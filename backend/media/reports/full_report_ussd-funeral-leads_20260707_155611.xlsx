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4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/>
    </xf>
    <xf numFmtId="3" fontId="2" fillId="4" borderId="7" applyAlignment="1" pivotButton="0" quotePrefix="0" xfId="0">
      <alignment horizontal="center"/>
    </xf>
    <xf numFmtId="10" fontId="2" fillId="4" borderId="7" applyAlignment="1" pivotButton="0" quotePrefix="0" xfId="0">
      <alignment horizontal="center"/>
    </xf>
    <xf numFmtId="0" fontId="0" fillId="0" borderId="7" applyAlignment="1" pivotButton="0" quotePrefix="0" xfId="0">
      <alignment horizontal="left" vertical="center"/>
    </xf>
    <xf numFmtId="3" fontId="2" fillId="5" borderId="7" applyAlignment="1" pivotButton="0" quotePrefix="0" xfId="0">
      <alignment horizontal="center"/>
    </xf>
    <xf numFmtId="0" fontId="3" fillId="6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/>
    </xf>
    <xf numFmtId="3" fontId="0" fillId="0" borderId="7" applyAlignment="1" pivotButton="0" quotePrefix="0" xfId="0">
      <alignment horizontal="center"/>
    </xf>
    <xf numFmtId="3" fontId="2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14943852</t>
        </is>
      </c>
      <c r="B2" t="inlineStr">
        <is>
          <t>e5be4e2a-ed9b-4f76-882b-15573154f797</t>
        </is>
      </c>
      <c r="D2" t="inlineStr">
        <is>
          <t>30001087</t>
        </is>
      </c>
      <c r="E2" t="inlineStr">
        <is>
          <t>ussd_funeral_leads_altitude_20260619</t>
        </is>
      </c>
      <c r="J2" t="inlineStr">
        <is>
          <t>CU</t>
        </is>
      </c>
      <c r="K2" t="inlineStr">
        <is>
          <t>Client Hung Up</t>
        </is>
      </c>
      <c r="L2" t="n">
        <v>18</v>
      </c>
      <c r="M2" t="inlineStr">
        <is>
          <t>2026-06-29 15:08:33</t>
        </is>
      </c>
      <c r="N2" t="inlineStr">
        <is>
          <t>Gontse Monageng</t>
        </is>
      </c>
      <c r="O2" t="inlineStr">
        <is>
          <t>2026-06-19 07:10:32</t>
        </is>
      </c>
      <c r="P2" t="inlineStr">
        <is>
          <t>2026-06-19 07:10:32</t>
        </is>
      </c>
      <c r="Y2" t="inlineStr">
        <is>
          <t>27760498446</t>
        </is>
      </c>
    </row>
    <row r="3">
      <c r="A3" t="inlineStr">
        <is>
          <t>14945926</t>
        </is>
      </c>
      <c r="B3" t="inlineStr">
        <is>
          <t>82c0d126-daee-4ec5-88c0-9cfb4a326b52</t>
        </is>
      </c>
      <c r="D3" t="inlineStr">
        <is>
          <t>30001087</t>
        </is>
      </c>
      <c r="E3" t="inlineStr">
        <is>
          <t>ussd_funeral_leads_altitude_20260619</t>
        </is>
      </c>
      <c r="H3" t="inlineStr">
        <is>
          <t>27647215952</t>
        </is>
      </c>
      <c r="J3" t="inlineStr">
        <is>
          <t>CU</t>
        </is>
      </c>
      <c r="K3" t="inlineStr">
        <is>
          <t>Client Hung Up</t>
        </is>
      </c>
      <c r="L3" t="n">
        <v>3</v>
      </c>
      <c r="M3" t="inlineStr">
        <is>
          <t>2026-06-29 14:58:18</t>
        </is>
      </c>
      <c r="N3" t="inlineStr">
        <is>
          <t>Vuyiswa Nxumalo</t>
        </is>
      </c>
      <c r="O3" t="inlineStr">
        <is>
          <t>2026-06-19 07:10:32</t>
        </is>
      </c>
      <c r="P3" t="inlineStr">
        <is>
          <t>2026-06-19 07:10:32</t>
        </is>
      </c>
      <c r="Y3" t="inlineStr">
        <is>
          <t>27647215952</t>
        </is>
      </c>
    </row>
    <row r="4">
      <c r="A4" t="inlineStr">
        <is>
          <t>14946794</t>
        </is>
      </c>
      <c r="B4" t="inlineStr">
        <is>
          <t>20fcf41b-41a9-4944-8176-fb39cd64fa99</t>
        </is>
      </c>
      <c r="D4" t="inlineStr">
        <is>
          <t>30001087</t>
        </is>
      </c>
      <c r="E4" t="inlineStr">
        <is>
          <t>ussd_funeral_leads_altitude_20260619</t>
        </is>
      </c>
      <c r="H4" t="inlineStr">
        <is>
          <t>27674117291</t>
        </is>
      </c>
      <c r="J4" t="inlineStr">
        <is>
          <t>IABDN</t>
        </is>
      </c>
      <c r="K4" t="inlineStr">
        <is>
          <t>Inbound Abandon</t>
        </is>
      </c>
      <c r="L4" t="n">
        <v>5</v>
      </c>
      <c r="M4" t="inlineStr">
        <is>
          <t>2026-06-29 13:13:52</t>
        </is>
      </c>
      <c r="N4" t="inlineStr">
        <is>
          <t>system</t>
        </is>
      </c>
      <c r="O4" t="inlineStr">
        <is>
          <t>2026-06-19 07:10:32</t>
        </is>
      </c>
      <c r="P4" t="inlineStr">
        <is>
          <t>2026-06-19 07:10:32</t>
        </is>
      </c>
      <c r="Y4" t="inlineStr">
        <is>
          <t>27674117291</t>
        </is>
      </c>
    </row>
    <row r="5">
      <c r="A5" t="inlineStr">
        <is>
          <t>14944772</t>
        </is>
      </c>
      <c r="B5" t="inlineStr">
        <is>
          <t>b8f98550-b90f-4349-abfc-4121c12f63ed</t>
        </is>
      </c>
      <c r="D5" t="inlineStr">
        <is>
          <t>30001087</t>
        </is>
      </c>
      <c r="E5" t="inlineStr">
        <is>
          <t>ussd_funeral_leads_altitude_20260619</t>
        </is>
      </c>
      <c r="J5" t="inlineStr">
        <is>
          <t>N</t>
        </is>
      </c>
      <c r="K5" t="inlineStr">
        <is>
          <t>No Answer</t>
        </is>
      </c>
      <c r="L5" t="n">
        <v>5</v>
      </c>
      <c r="M5" t="inlineStr">
        <is>
          <t>2026-06-29 11:42:40</t>
        </is>
      </c>
      <c r="N5" t="inlineStr">
        <is>
          <t>Vuyiswa Nxumalo</t>
        </is>
      </c>
      <c r="O5" t="inlineStr">
        <is>
          <t>2026-06-19 07:10:32</t>
        </is>
      </c>
      <c r="P5" t="inlineStr">
        <is>
          <t>2026-06-19 07:10:32</t>
        </is>
      </c>
      <c r="Y5" t="inlineStr">
        <is>
          <t>27608412595</t>
        </is>
      </c>
    </row>
    <row r="6">
      <c r="A6" t="inlineStr">
        <is>
          <t>14946740</t>
        </is>
      </c>
      <c r="B6" t="inlineStr">
        <is>
          <t>64cbe4d8-ba24-4366-a989-dc339af6a2c8</t>
        </is>
      </c>
      <c r="D6" t="inlineStr">
        <is>
          <t>30001087</t>
        </is>
      </c>
      <c r="E6" t="inlineStr">
        <is>
          <t>ussd_funeral_leads_altitude_20260619</t>
        </is>
      </c>
      <c r="J6" t="inlineStr">
        <is>
          <t>AF</t>
        </is>
      </c>
      <c r="K6" t="inlineStr">
        <is>
          <t>Cannot Afford</t>
        </is>
      </c>
      <c r="L6" t="n">
        <v>5</v>
      </c>
      <c r="M6" t="inlineStr">
        <is>
          <t>2026-06-29 09:13:53</t>
        </is>
      </c>
      <c r="N6" t="inlineStr">
        <is>
          <t>Virginia Letsatsi</t>
        </is>
      </c>
      <c r="O6" t="inlineStr">
        <is>
          <t>2026-06-19 07:10:32</t>
        </is>
      </c>
      <c r="P6" t="inlineStr">
        <is>
          <t>2026-06-19 07:10:32</t>
        </is>
      </c>
      <c r="Y6" t="inlineStr">
        <is>
          <t>27791151251</t>
        </is>
      </c>
    </row>
    <row r="7">
      <c r="A7" t="inlineStr">
        <is>
          <t>14946373</t>
        </is>
      </c>
      <c r="B7" t="inlineStr">
        <is>
          <t>39f6e5df-16cc-4146-9a06-c1ee926478be</t>
        </is>
      </c>
      <c r="D7" t="inlineStr">
        <is>
          <t>30001087</t>
        </is>
      </c>
      <c r="E7" t="inlineStr">
        <is>
          <t>ussd_funeral_leads_altitude_20260619</t>
        </is>
      </c>
      <c r="J7" t="inlineStr">
        <is>
          <t>CBACK</t>
        </is>
      </c>
      <c r="K7" t="inlineStr">
        <is>
          <t>Callback</t>
        </is>
      </c>
      <c r="L7" t="n">
        <v>17</v>
      </c>
      <c r="M7" t="inlineStr">
        <is>
          <t>2026-06-29 08:59:10</t>
        </is>
      </c>
      <c r="N7" t="inlineStr">
        <is>
          <t>Goitsimang Mogwasa</t>
        </is>
      </c>
      <c r="O7" t="inlineStr">
        <is>
          <t>2026-06-19 07:10:32</t>
        </is>
      </c>
      <c r="P7" t="inlineStr">
        <is>
          <t>2026-06-19 07:10:32</t>
        </is>
      </c>
      <c r="Y7" t="inlineStr">
        <is>
          <t>27609812356</t>
        </is>
      </c>
    </row>
    <row r="8">
      <c r="A8" t="inlineStr">
        <is>
          <t>14947154</t>
        </is>
      </c>
      <c r="B8" t="inlineStr">
        <is>
          <t>6e15e200-0bb0-4d2c-b0b7-0b31bd1df0ec</t>
        </is>
      </c>
      <c r="D8" t="inlineStr">
        <is>
          <t>30001087</t>
        </is>
      </c>
      <c r="E8" t="inlineStr">
        <is>
          <t>ussd_funeral_leads_altitude_20260619</t>
        </is>
      </c>
      <c r="J8" t="inlineStr">
        <is>
          <t>A</t>
        </is>
      </c>
      <c r="K8" t="inlineStr">
        <is>
          <t>Answering Machine</t>
        </is>
      </c>
      <c r="L8" t="n">
        <v>3</v>
      </c>
      <c r="M8" t="inlineStr">
        <is>
          <t>2026-06-29 08:48:14</t>
        </is>
      </c>
      <c r="N8" t="inlineStr">
        <is>
          <t>Virginia Letsatsi</t>
        </is>
      </c>
      <c r="O8" t="inlineStr">
        <is>
          <t>2026-06-19 07:10:32</t>
        </is>
      </c>
      <c r="P8" t="inlineStr">
        <is>
          <t>2026-06-19 07:10:32</t>
        </is>
      </c>
      <c r="Y8" t="inlineStr">
        <is>
          <t>27713643284</t>
        </is>
      </c>
    </row>
    <row r="9">
      <c r="A9" t="inlineStr">
        <is>
          <t>14943802</t>
        </is>
      </c>
      <c r="B9" t="inlineStr">
        <is>
          <t>0553563a-497d-4eb8-90a8-a04ab986941c</t>
        </is>
      </c>
      <c r="D9" t="inlineStr">
        <is>
          <t>30001087</t>
        </is>
      </c>
      <c r="E9" t="inlineStr">
        <is>
          <t>ussd_funeral_leads_altitude_20260619</t>
        </is>
      </c>
      <c r="H9" t="inlineStr">
        <is>
          <t>27794605971</t>
        </is>
      </c>
      <c r="J9" t="inlineStr">
        <is>
          <t>CU</t>
        </is>
      </c>
      <c r="K9" t="inlineStr">
        <is>
          <t>Client Hung Up</t>
        </is>
      </c>
      <c r="L9" t="n">
        <v>2</v>
      </c>
      <c r="M9" t="inlineStr">
        <is>
          <t>2026-06-29 08:42:07</t>
        </is>
      </c>
      <c r="N9" t="inlineStr">
        <is>
          <t>Lebohang Mabotja</t>
        </is>
      </c>
      <c r="O9" t="inlineStr">
        <is>
          <t>2026-06-19 07:10:32</t>
        </is>
      </c>
      <c r="P9" t="inlineStr">
        <is>
          <t>2026-06-19 07:10:32</t>
        </is>
      </c>
      <c r="Y9" t="inlineStr">
        <is>
          <t>27794605971</t>
        </is>
      </c>
    </row>
    <row r="10">
      <c r="A10" t="inlineStr">
        <is>
          <t>14947074</t>
        </is>
      </c>
      <c r="B10" t="inlineStr">
        <is>
          <t>04c69f32-6231-4af4-b5e2-373c47a6ecf3</t>
        </is>
      </c>
      <c r="D10" t="inlineStr">
        <is>
          <t>30001087</t>
        </is>
      </c>
      <c r="E10" t="inlineStr">
        <is>
          <t>ussd_funeral_leads_altitude_20260619</t>
        </is>
      </c>
      <c r="H10" t="inlineStr">
        <is>
          <t>27713768442</t>
        </is>
      </c>
      <c r="J10" t="inlineStr">
        <is>
          <t>AFTHRS</t>
        </is>
      </c>
      <c r="K10" t="inlineStr">
        <is>
          <t>Inbound After Hours Drop</t>
        </is>
      </c>
      <c r="L10" t="n">
        <v>3</v>
      </c>
      <c r="M10" t="inlineStr">
        <is>
          <t>2026-06-28 21:31:28</t>
        </is>
      </c>
      <c r="N10" t="inlineStr">
        <is>
          <t>system</t>
        </is>
      </c>
      <c r="O10" t="inlineStr">
        <is>
          <t>2026-06-19 07:10:32</t>
        </is>
      </c>
      <c r="P10" t="inlineStr">
        <is>
          <t>2026-06-19 07:10:32</t>
        </is>
      </c>
      <c r="Y10" t="inlineStr">
        <is>
          <t>27713768442</t>
        </is>
      </c>
    </row>
    <row r="11">
      <c r="A11" t="inlineStr">
        <is>
          <t>14946774</t>
        </is>
      </c>
      <c r="B11" t="inlineStr">
        <is>
          <t>21c4b457-b71c-44c7-99b8-af60ee5d9ce3</t>
        </is>
      </c>
      <c r="D11" t="inlineStr">
        <is>
          <t>30001087</t>
        </is>
      </c>
      <c r="E11" t="inlineStr">
        <is>
          <t>ussd_funeral_leads_altitude_20260619</t>
        </is>
      </c>
      <c r="H11" t="inlineStr">
        <is>
          <t>27716147768</t>
        </is>
      </c>
      <c r="J11" t="inlineStr">
        <is>
          <t>AFTHRS</t>
        </is>
      </c>
      <c r="K11" t="inlineStr">
        <is>
          <t>Inbound After Hours Drop</t>
        </is>
      </c>
      <c r="L11" t="n">
        <v>3</v>
      </c>
      <c r="M11" t="inlineStr">
        <is>
          <t>2026-06-28 11:44:39</t>
        </is>
      </c>
      <c r="N11" t="inlineStr">
        <is>
          <t>system</t>
        </is>
      </c>
      <c r="O11" t="inlineStr">
        <is>
          <t>2026-06-19 07:10:32</t>
        </is>
      </c>
      <c r="P11" t="inlineStr">
        <is>
          <t>2026-06-19 07:10:32</t>
        </is>
      </c>
      <c r="Y11" t="inlineStr">
        <is>
          <t>27716147768</t>
        </is>
      </c>
    </row>
    <row r="12">
      <c r="A12" t="inlineStr">
        <is>
          <t>14944903</t>
        </is>
      </c>
      <c r="B12" t="inlineStr">
        <is>
          <t>efc3ffc3-506c-43ec-8c0a-4d88a7b10623</t>
        </is>
      </c>
      <c r="D12" t="inlineStr">
        <is>
          <t>30001087</t>
        </is>
      </c>
      <c r="E12" t="inlineStr">
        <is>
          <t>ussd_funeral_leads_altitude_20260619</t>
        </is>
      </c>
      <c r="J12" t="inlineStr">
        <is>
          <t>A</t>
        </is>
      </c>
      <c r="K12" t="inlineStr">
        <is>
          <t>Answering Machine</t>
        </is>
      </c>
      <c r="L12" t="n">
        <v>3</v>
      </c>
      <c r="M12" t="inlineStr">
        <is>
          <t>2026-06-27 10:21:34</t>
        </is>
      </c>
      <c r="N12" t="inlineStr">
        <is>
          <t>Gontse Monageng</t>
        </is>
      </c>
      <c r="O12" t="inlineStr">
        <is>
          <t>2026-06-19 07:10:32</t>
        </is>
      </c>
      <c r="P12" t="inlineStr">
        <is>
          <t>2026-06-19 07:10:32</t>
        </is>
      </c>
      <c r="Y12" t="inlineStr">
        <is>
          <t>27715110571</t>
        </is>
      </c>
    </row>
    <row r="13">
      <c r="A13" t="inlineStr">
        <is>
          <t>14947731</t>
        </is>
      </c>
      <c r="B13" t="inlineStr">
        <is>
          <t>affd6349-5446-428d-8cd6-39271069f03d</t>
        </is>
      </c>
      <c r="D13" t="inlineStr">
        <is>
          <t>30001087</t>
        </is>
      </c>
      <c r="E13" t="inlineStr">
        <is>
          <t>ussd_funeral_leads_altitude_20260619</t>
        </is>
      </c>
      <c r="J13" t="inlineStr">
        <is>
          <t>A</t>
        </is>
      </c>
      <c r="K13" t="inlineStr">
        <is>
          <t>Answering Machine</t>
        </is>
      </c>
      <c r="L13" t="n">
        <v>4</v>
      </c>
      <c r="M13" t="inlineStr">
        <is>
          <t>2026-06-27 08:48:56</t>
        </is>
      </c>
      <c r="N13" t="inlineStr">
        <is>
          <t>Virginia Letsatsi</t>
        </is>
      </c>
      <c r="O13" t="inlineStr">
        <is>
          <t>2026-06-19 07:10:32</t>
        </is>
      </c>
      <c r="P13" t="inlineStr">
        <is>
          <t>2026-06-19 07:10:32</t>
        </is>
      </c>
      <c r="Y13" t="inlineStr">
        <is>
          <t>27798619313</t>
        </is>
      </c>
    </row>
    <row r="14">
      <c r="A14" t="inlineStr">
        <is>
          <t>14946363</t>
        </is>
      </c>
      <c r="B14" t="inlineStr">
        <is>
          <t>2d62b63d-d17c-4771-8e70-50028af1dd0f</t>
        </is>
      </c>
      <c r="D14" t="inlineStr">
        <is>
          <t>30001087</t>
        </is>
      </c>
      <c r="E14" t="inlineStr">
        <is>
          <t>ussd_funeral_leads_altitude_20260619</t>
        </is>
      </c>
      <c r="J14" t="inlineStr">
        <is>
          <t>N</t>
        </is>
      </c>
      <c r="K14" t="inlineStr">
        <is>
          <t>No Answer</t>
        </is>
      </c>
      <c r="L14" t="n">
        <v>3</v>
      </c>
      <c r="M14" t="inlineStr">
        <is>
          <t>2026-06-27 08:29:48</t>
        </is>
      </c>
      <c r="N14" t="inlineStr">
        <is>
          <t>Gontse Monageng</t>
        </is>
      </c>
      <c r="O14" t="inlineStr">
        <is>
          <t>2026-06-19 07:10:32</t>
        </is>
      </c>
      <c r="P14" t="inlineStr">
        <is>
          <t>2026-06-19 07:10:32</t>
        </is>
      </c>
      <c r="Y14" t="inlineStr">
        <is>
          <t>27665761467</t>
        </is>
      </c>
    </row>
    <row r="15">
      <c r="A15" t="inlineStr">
        <is>
          <t>14942711</t>
        </is>
      </c>
      <c r="B15" t="inlineStr">
        <is>
          <t>c334b1e3-8eda-4b81-af4e-42194d854462</t>
        </is>
      </c>
      <c r="D15" t="inlineStr">
        <is>
          <t>30001087</t>
        </is>
      </c>
      <c r="E15" t="inlineStr">
        <is>
          <t>ussd_funeral_leads_altitude_20260619</t>
        </is>
      </c>
      <c r="H15" t="inlineStr">
        <is>
          <t>27606477982</t>
        </is>
      </c>
      <c r="J15" t="inlineStr">
        <is>
          <t>A</t>
        </is>
      </c>
      <c r="K15" t="inlineStr">
        <is>
          <t>Answering Machine</t>
        </is>
      </c>
      <c r="L15" t="n">
        <v>4</v>
      </c>
      <c r="M15" t="inlineStr">
        <is>
          <t>2026-06-27 08:09:07</t>
        </is>
      </c>
      <c r="N15" t="inlineStr">
        <is>
          <t>Virginia Letsatsi</t>
        </is>
      </c>
      <c r="O15" t="inlineStr">
        <is>
          <t>2026-06-19 07:10:32</t>
        </is>
      </c>
      <c r="P15" t="inlineStr">
        <is>
          <t>2026-06-19 07:10:32</t>
        </is>
      </c>
      <c r="Y15" t="inlineStr">
        <is>
          <t>27606477982</t>
        </is>
      </c>
    </row>
    <row r="16">
      <c r="A16" t="inlineStr">
        <is>
          <t>14943101</t>
        </is>
      </c>
      <c r="B16" t="inlineStr">
        <is>
          <t>7833b342-031e-43d5-886f-70b1e46c3605</t>
        </is>
      </c>
      <c r="D16" t="inlineStr">
        <is>
          <t>30001087</t>
        </is>
      </c>
      <c r="E16" t="inlineStr">
        <is>
          <t>ussd_funeral_leads_altitude_20260619</t>
        </is>
      </c>
      <c r="J16" t="inlineStr">
        <is>
          <t>A</t>
        </is>
      </c>
      <c r="K16" t="inlineStr">
        <is>
          <t>Answering Machine</t>
        </is>
      </c>
      <c r="L16" t="n">
        <v>5</v>
      </c>
      <c r="M16" t="inlineStr">
        <is>
          <t>2026-06-27 07:57:31</t>
        </is>
      </c>
      <c r="N16" t="inlineStr">
        <is>
          <t>Gontse Monageng</t>
        </is>
      </c>
      <c r="O16" t="inlineStr">
        <is>
          <t>2026-06-19 07:10:32</t>
        </is>
      </c>
      <c r="P16" t="inlineStr">
        <is>
          <t>2026-06-19 07:10:32</t>
        </is>
      </c>
      <c r="Y16" t="inlineStr">
        <is>
          <t>27711911965</t>
        </is>
      </c>
    </row>
    <row r="17">
      <c r="A17" t="inlineStr">
        <is>
          <t>14946896</t>
        </is>
      </c>
      <c r="B17" t="inlineStr">
        <is>
          <t>03f88264-a95b-4ae4-a0dd-f1fc9c28e498</t>
        </is>
      </c>
      <c r="D17" t="inlineStr">
        <is>
          <t>30001087</t>
        </is>
      </c>
      <c r="E17" t="inlineStr">
        <is>
          <t>ussd_funeral_leads_altitude_20260619</t>
        </is>
      </c>
      <c r="J17" t="inlineStr">
        <is>
          <t>OAL</t>
        </is>
      </c>
      <c r="K17" t="inlineStr">
        <is>
          <t>Over Age Limit</t>
        </is>
      </c>
      <c r="L17" t="n">
        <v>3</v>
      </c>
      <c r="M17" t="inlineStr">
        <is>
          <t>2026-06-27 07:03:22</t>
        </is>
      </c>
      <c r="N17" t="inlineStr">
        <is>
          <t>Lebohang Mabotja</t>
        </is>
      </c>
      <c r="O17" t="inlineStr">
        <is>
          <t>2026-06-19 07:10:32</t>
        </is>
      </c>
      <c r="P17" t="inlineStr">
        <is>
          <t>2026-06-19 07:10:32</t>
        </is>
      </c>
      <c r="Y17" t="inlineStr">
        <is>
          <t>27608926014</t>
        </is>
      </c>
    </row>
    <row r="18">
      <c r="A18" t="inlineStr">
        <is>
          <t>14946206</t>
        </is>
      </c>
      <c r="B18" t="inlineStr">
        <is>
          <t>d6c5a973-c347-4764-aa21-3d34534ce9f3</t>
        </is>
      </c>
      <c r="D18" t="inlineStr">
        <is>
          <t>30001087</t>
        </is>
      </c>
      <c r="E18" t="inlineStr">
        <is>
          <t>ussd_funeral_leads_altitude_20260619</t>
        </is>
      </c>
      <c r="H18" t="inlineStr">
        <is>
          <t>27794436613</t>
        </is>
      </c>
      <c r="J18" t="inlineStr">
        <is>
          <t>AFTHRS</t>
        </is>
      </c>
      <c r="K18" t="inlineStr">
        <is>
          <t>Inbound After Hours Drop</t>
        </is>
      </c>
      <c r="L18" t="n">
        <v>3</v>
      </c>
      <c r="M18" t="inlineStr">
        <is>
          <t>2026-06-26 19:10:50</t>
        </is>
      </c>
      <c r="N18" t="inlineStr">
        <is>
          <t>system</t>
        </is>
      </c>
      <c r="O18" t="inlineStr">
        <is>
          <t>2026-06-19 07:10:32</t>
        </is>
      </c>
      <c r="P18" t="inlineStr">
        <is>
          <t>2026-06-19 07:10:32</t>
        </is>
      </c>
      <c r="Y18" t="inlineStr">
        <is>
          <t>27794436613</t>
        </is>
      </c>
    </row>
    <row r="19">
      <c r="A19" t="inlineStr">
        <is>
          <t>14947328</t>
        </is>
      </c>
      <c r="B19" t="inlineStr">
        <is>
          <t>3ff7df4b-b4ce-45b5-b75c-b0f5709e3d13</t>
        </is>
      </c>
      <c r="D19" t="inlineStr">
        <is>
          <t>30001087</t>
        </is>
      </c>
      <c r="E19" t="inlineStr">
        <is>
          <t>ussd_funeral_leads_altitude_20260619</t>
        </is>
      </c>
      <c r="H19" t="inlineStr">
        <is>
          <t>27795878562</t>
        </is>
      </c>
      <c r="J19" t="inlineStr">
        <is>
          <t>IABDN</t>
        </is>
      </c>
      <c r="K19" t="inlineStr">
        <is>
          <t>Inbound Abandon</t>
        </is>
      </c>
      <c r="L19" t="n">
        <v>3</v>
      </c>
      <c r="M19" t="inlineStr">
        <is>
          <t>2026-06-26 16:26:34</t>
        </is>
      </c>
      <c r="N19" t="inlineStr">
        <is>
          <t>system</t>
        </is>
      </c>
      <c r="O19" t="inlineStr">
        <is>
          <t>2026-06-19 07:10:32</t>
        </is>
      </c>
      <c r="P19" t="inlineStr">
        <is>
          <t>2026-06-19 07:10:32</t>
        </is>
      </c>
      <c r="Y19" t="inlineStr">
        <is>
          <t>27795878562</t>
        </is>
      </c>
    </row>
    <row r="20">
      <c r="A20" t="inlineStr">
        <is>
          <t>14946309</t>
        </is>
      </c>
      <c r="B20" t="inlineStr">
        <is>
          <t>0c6ccf1c-da3b-4007-b0cf-e36612983758</t>
        </is>
      </c>
      <c r="D20" t="inlineStr">
        <is>
          <t>30001087</t>
        </is>
      </c>
      <c r="E20" t="inlineStr">
        <is>
          <t>ussd_funeral_leads_altitude_20260619</t>
        </is>
      </c>
      <c r="J20" t="inlineStr">
        <is>
          <t>A</t>
        </is>
      </c>
      <c r="K20" t="inlineStr">
        <is>
          <t>Answering Machine</t>
        </is>
      </c>
      <c r="L20" t="n">
        <v>4</v>
      </c>
      <c r="M20" t="inlineStr">
        <is>
          <t>2026-06-26 10:25:11</t>
        </is>
      </c>
      <c r="N20" t="inlineStr">
        <is>
          <t>Virginia Letsatsi</t>
        </is>
      </c>
      <c r="O20" t="inlineStr">
        <is>
          <t>2026-06-19 07:10:32</t>
        </is>
      </c>
      <c r="P20" t="inlineStr">
        <is>
          <t>2026-06-19 07:10:32</t>
        </is>
      </c>
      <c r="Y20" t="inlineStr">
        <is>
          <t>27711991862</t>
        </is>
      </c>
    </row>
    <row r="21">
      <c r="A21" t="inlineStr">
        <is>
          <t>14946963</t>
        </is>
      </c>
      <c r="B21" t="inlineStr">
        <is>
          <t>f6586685-8b06-406a-940d-9bbb8acc4232</t>
        </is>
      </c>
      <c r="D21" t="inlineStr">
        <is>
          <t>30001087</t>
        </is>
      </c>
      <c r="E21" t="inlineStr">
        <is>
          <t>ussd_funeral_leads_altitude_20260619</t>
        </is>
      </c>
      <c r="J21" t="inlineStr">
        <is>
          <t>CUA</t>
        </is>
      </c>
      <c r="K21" t="inlineStr">
        <is>
          <t>Client Underage</t>
        </is>
      </c>
      <c r="L21" t="n">
        <v>4</v>
      </c>
      <c r="M21" t="inlineStr">
        <is>
          <t>2026-06-26 07:55:07</t>
        </is>
      </c>
      <c r="N21" t="inlineStr">
        <is>
          <t>Goitsimang Mogwasa</t>
        </is>
      </c>
      <c r="O21" t="inlineStr">
        <is>
          <t>2026-06-19 07:10:32</t>
        </is>
      </c>
      <c r="P21" t="inlineStr">
        <is>
          <t>2026-06-19 07:10:32</t>
        </is>
      </c>
      <c r="Y21" t="inlineStr">
        <is>
          <t>27773619252</t>
        </is>
      </c>
    </row>
    <row r="22">
      <c r="A22" t="inlineStr">
        <is>
          <t>14947930</t>
        </is>
      </c>
      <c r="B22" t="inlineStr">
        <is>
          <t>cb49414f-9ed9-4423-b33c-e1cc83eb6120</t>
        </is>
      </c>
      <c r="D22" t="inlineStr">
        <is>
          <t>30001087</t>
        </is>
      </c>
      <c r="E22" t="inlineStr">
        <is>
          <t>ussd_funeral_leads_altitude_20260619</t>
        </is>
      </c>
      <c r="H22" t="inlineStr">
        <is>
          <t>27799491073</t>
        </is>
      </c>
      <c r="J22" t="inlineStr">
        <is>
          <t>CU</t>
        </is>
      </c>
      <c r="K22" t="inlineStr">
        <is>
          <t>Client Hung Up</t>
        </is>
      </c>
      <c r="L22" t="n">
        <v>5</v>
      </c>
      <c r="M22" t="inlineStr">
        <is>
          <t>2026-06-26 07:03:38</t>
        </is>
      </c>
      <c r="N22" t="inlineStr">
        <is>
          <t>Vuyiswa Nxumalo</t>
        </is>
      </c>
      <c r="O22" t="inlineStr">
        <is>
          <t>2026-06-19 07:10:32</t>
        </is>
      </c>
      <c r="P22" t="inlineStr">
        <is>
          <t>2026-06-19 07:10:32</t>
        </is>
      </c>
      <c r="Y22" t="inlineStr">
        <is>
          <t>27799491073</t>
        </is>
      </c>
    </row>
    <row r="23">
      <c r="A23" t="inlineStr">
        <is>
          <t>14946687</t>
        </is>
      </c>
      <c r="B23" t="inlineStr">
        <is>
          <t>bff2f3e2-3ae1-4673-8a3c-afd1f50ae9e9</t>
        </is>
      </c>
      <c r="D23" t="inlineStr">
        <is>
          <t>30001087</t>
        </is>
      </c>
      <c r="E23" t="inlineStr">
        <is>
          <t>ussd_funeral_leads_altitude_20260619</t>
        </is>
      </c>
      <c r="H23" t="inlineStr">
        <is>
          <t>27768494113</t>
        </is>
      </c>
      <c r="J23" t="inlineStr">
        <is>
          <t>AFTHRS</t>
        </is>
      </c>
      <c r="K23" t="inlineStr">
        <is>
          <t>Inbound After Hours Drop</t>
        </is>
      </c>
      <c r="L23" t="n">
        <v>3</v>
      </c>
      <c r="M23" t="inlineStr">
        <is>
          <t>2026-06-25 20:50:40</t>
        </is>
      </c>
      <c r="N23" t="inlineStr">
        <is>
          <t>system</t>
        </is>
      </c>
      <c r="O23" t="inlineStr">
        <is>
          <t>2026-06-19 07:10:32</t>
        </is>
      </c>
      <c r="P23" t="inlineStr">
        <is>
          <t>2026-06-19 07:10:32</t>
        </is>
      </c>
      <c r="Y23" t="inlineStr">
        <is>
          <t>27768494113</t>
        </is>
      </c>
    </row>
    <row r="24">
      <c r="A24" t="inlineStr">
        <is>
          <t>14944730</t>
        </is>
      </c>
      <c r="B24" t="inlineStr">
        <is>
          <t>abbee72a-6f07-45f8-a91e-0d20c01403f6</t>
        </is>
      </c>
      <c r="D24" t="inlineStr">
        <is>
          <t>30001087</t>
        </is>
      </c>
      <c r="E24" t="inlineStr">
        <is>
          <t>ussd_funeral_leads_altitude_20260619</t>
        </is>
      </c>
      <c r="H24" t="inlineStr">
        <is>
          <t>27723987830</t>
        </is>
      </c>
      <c r="J24" t="inlineStr">
        <is>
          <t>IABDN</t>
        </is>
      </c>
      <c r="K24" t="inlineStr">
        <is>
          <t>Inbound Abandon</t>
        </is>
      </c>
      <c r="L24" t="n">
        <v>3</v>
      </c>
      <c r="M24" t="inlineStr">
        <is>
          <t>2026-06-25 16:27:10</t>
        </is>
      </c>
      <c r="N24" t="inlineStr">
        <is>
          <t>system</t>
        </is>
      </c>
      <c r="O24" t="inlineStr">
        <is>
          <t>2026-06-19 07:10:32</t>
        </is>
      </c>
      <c r="P24" t="inlineStr">
        <is>
          <t>2026-06-19 07:10:32</t>
        </is>
      </c>
      <c r="Y24" t="inlineStr">
        <is>
          <t>27723987830</t>
        </is>
      </c>
    </row>
    <row r="25">
      <c r="A25" t="inlineStr">
        <is>
          <t>14943444</t>
        </is>
      </c>
      <c r="B25" t="inlineStr">
        <is>
          <t>02dc99ac-d1de-4124-8742-4744f768df90</t>
        </is>
      </c>
      <c r="D25" t="inlineStr">
        <is>
          <t>30001087</t>
        </is>
      </c>
      <c r="E25" t="inlineStr">
        <is>
          <t>ussd_funeral_leads_altitude_20260619</t>
        </is>
      </c>
      <c r="J25" t="inlineStr">
        <is>
          <t>N</t>
        </is>
      </c>
      <c r="K25" t="inlineStr">
        <is>
          <t>No Answer</t>
        </is>
      </c>
      <c r="L25" t="n">
        <v>4</v>
      </c>
      <c r="M25" t="inlineStr">
        <is>
          <t>2026-06-25 13:45:05</t>
        </is>
      </c>
      <c r="N25" t="inlineStr">
        <is>
          <t>Vuyiswa Nxumalo</t>
        </is>
      </c>
      <c r="O25" t="inlineStr">
        <is>
          <t>2026-06-19 07:10:32</t>
        </is>
      </c>
      <c r="P25" t="inlineStr">
        <is>
          <t>2026-06-19 07:10:32</t>
        </is>
      </c>
      <c r="Y25" t="inlineStr">
        <is>
          <t>27769908460</t>
        </is>
      </c>
    </row>
    <row r="26">
      <c r="A26" t="inlineStr">
        <is>
          <t>14944168</t>
        </is>
      </c>
      <c r="B26" t="inlineStr">
        <is>
          <t>c74342a0-c2ad-4ced-aeef-58828b1f886e</t>
        </is>
      </c>
      <c r="D26" t="inlineStr">
        <is>
          <t>30001087</t>
        </is>
      </c>
      <c r="E26" t="inlineStr">
        <is>
          <t>ussd_funeral_leads_altitude_20260619</t>
        </is>
      </c>
      <c r="J26" t="inlineStr">
        <is>
          <t>N</t>
        </is>
      </c>
      <c r="K26" t="inlineStr">
        <is>
          <t>No Answer</t>
        </is>
      </c>
      <c r="L26" t="n">
        <v>6</v>
      </c>
      <c r="M26" t="inlineStr">
        <is>
          <t>2026-06-25 12:26:41</t>
        </is>
      </c>
      <c r="N26" t="inlineStr">
        <is>
          <t>Gontse Monageng</t>
        </is>
      </c>
      <c r="O26" t="inlineStr">
        <is>
          <t>2026-06-19 07:10:32</t>
        </is>
      </c>
      <c r="P26" t="inlineStr">
        <is>
          <t>2026-06-19 07:10:32</t>
        </is>
      </c>
      <c r="Y26" t="inlineStr">
        <is>
          <t>27769492808</t>
        </is>
      </c>
    </row>
    <row r="27">
      <c r="A27" t="inlineStr">
        <is>
          <t>14946475</t>
        </is>
      </c>
      <c r="B27" t="inlineStr">
        <is>
          <t>65ad856a-e518-4fd8-bdb6-684b328fb331</t>
        </is>
      </c>
      <c r="D27" t="inlineStr">
        <is>
          <t>30001087</t>
        </is>
      </c>
      <c r="E27" t="inlineStr">
        <is>
          <t>ussd_funeral_leads_altitude_20260619</t>
        </is>
      </c>
      <c r="J27" t="inlineStr">
        <is>
          <t>N</t>
        </is>
      </c>
      <c r="K27" t="inlineStr">
        <is>
          <t>No Answer</t>
        </is>
      </c>
      <c r="L27" t="n">
        <v>3</v>
      </c>
      <c r="M27" t="inlineStr">
        <is>
          <t>2026-06-25 12:01:44</t>
        </is>
      </c>
      <c r="N27" t="inlineStr">
        <is>
          <t>Vuyiswa Nxumalo</t>
        </is>
      </c>
      <c r="O27" t="inlineStr">
        <is>
          <t>2026-06-19 07:10:32</t>
        </is>
      </c>
      <c r="P27" t="inlineStr">
        <is>
          <t>2026-06-19 07:10:32</t>
        </is>
      </c>
      <c r="Y27" t="inlineStr">
        <is>
          <t>27767375802</t>
        </is>
      </c>
    </row>
    <row r="28">
      <c r="A28" t="inlineStr">
        <is>
          <t>14943694</t>
        </is>
      </c>
      <c r="B28" t="inlineStr">
        <is>
          <t>31ad9b47-837d-4248-933f-ba5365f7fc8b</t>
        </is>
      </c>
      <c r="D28" t="inlineStr">
        <is>
          <t>30001087</t>
        </is>
      </c>
      <c r="E28" t="inlineStr">
        <is>
          <t>ussd_funeral_leads_altitude_20260619</t>
        </is>
      </c>
      <c r="J28" t="inlineStr">
        <is>
          <t>A</t>
        </is>
      </c>
      <c r="K28" t="inlineStr">
        <is>
          <t>Answering Machine</t>
        </is>
      </c>
      <c r="L28" t="n">
        <v>4</v>
      </c>
      <c r="M28" t="inlineStr">
        <is>
          <t>2026-06-25 11:09:35</t>
        </is>
      </c>
      <c r="N28" t="inlineStr">
        <is>
          <t>Vuyiswa Nxumalo</t>
        </is>
      </c>
      <c r="O28" t="inlineStr">
        <is>
          <t>2026-06-19 07:10:32</t>
        </is>
      </c>
      <c r="P28" t="inlineStr">
        <is>
          <t>2026-06-19 07:10:32</t>
        </is>
      </c>
      <c r="Y28" t="inlineStr">
        <is>
          <t>27607117519</t>
        </is>
      </c>
    </row>
    <row r="29">
      <c r="A29" t="inlineStr">
        <is>
          <t>14948108</t>
        </is>
      </c>
      <c r="B29" t="inlineStr">
        <is>
          <t>0103a9d4-2ad8-4ca7-a7a9-eb8db66a2cc4</t>
        </is>
      </c>
      <c r="D29" t="inlineStr">
        <is>
          <t>30001087</t>
        </is>
      </c>
      <c r="E29" t="inlineStr">
        <is>
          <t>ussd_funeral_leads_altitude_20260619</t>
        </is>
      </c>
      <c r="H29" t="inlineStr">
        <is>
          <t>27728885291</t>
        </is>
      </c>
      <c r="J29" t="inlineStr">
        <is>
          <t>CU</t>
        </is>
      </c>
      <c r="K29" t="inlineStr">
        <is>
          <t>Client Hung Up</t>
        </is>
      </c>
      <c r="L29" t="n">
        <v>5</v>
      </c>
      <c r="M29" t="inlineStr">
        <is>
          <t>2026-06-25 07:49:29</t>
        </is>
      </c>
      <c r="N29" t="inlineStr">
        <is>
          <t>Vuyiswa Nxumalo</t>
        </is>
      </c>
      <c r="O29" t="inlineStr">
        <is>
          <t>2026-06-19 07:10:32</t>
        </is>
      </c>
      <c r="P29" t="inlineStr">
        <is>
          <t>2026-06-19 07:10:32</t>
        </is>
      </c>
      <c r="Y29" t="inlineStr">
        <is>
          <t>27728885291</t>
        </is>
      </c>
    </row>
    <row r="30">
      <c r="A30" t="inlineStr">
        <is>
          <t>14945350</t>
        </is>
      </c>
      <c r="B30" t="inlineStr">
        <is>
          <t>9e2d779c-7dab-481f-b53c-fead380e0945</t>
        </is>
      </c>
      <c r="D30" t="inlineStr">
        <is>
          <t>30001087</t>
        </is>
      </c>
      <c r="E30" t="inlineStr">
        <is>
          <t>ussd_funeral_leads_altitude_20260619</t>
        </is>
      </c>
      <c r="H30" t="inlineStr">
        <is>
          <t>27606812204</t>
        </is>
      </c>
      <c r="J30" t="inlineStr">
        <is>
          <t>AFTHRS</t>
        </is>
      </c>
      <c r="K30" t="inlineStr">
        <is>
          <t>Inbound After Hours Drop</t>
        </is>
      </c>
      <c r="L30" t="n">
        <v>3</v>
      </c>
      <c r="M30" t="inlineStr">
        <is>
          <t>2026-06-24 16:48:23</t>
        </is>
      </c>
      <c r="N30" t="inlineStr">
        <is>
          <t>system</t>
        </is>
      </c>
      <c r="O30" t="inlineStr">
        <is>
          <t>2026-06-19 07:10:32</t>
        </is>
      </c>
      <c r="P30" t="inlineStr">
        <is>
          <t>2026-06-19 07:10:32</t>
        </is>
      </c>
      <c r="Y30" t="inlineStr">
        <is>
          <t>27606812204</t>
        </is>
      </c>
    </row>
    <row r="31">
      <c r="A31" t="inlineStr">
        <is>
          <t>14946307</t>
        </is>
      </c>
      <c r="B31" t="inlineStr">
        <is>
          <t>fd0a8c0c-2471-4c16-91e7-3a51d16cc636</t>
        </is>
      </c>
      <c r="D31" t="inlineStr">
        <is>
          <t>30001087</t>
        </is>
      </c>
      <c r="E31" t="inlineStr">
        <is>
          <t>ussd_funeral_leads_altitude_20260619</t>
        </is>
      </c>
      <c r="H31" t="inlineStr">
        <is>
          <t>27663757195</t>
        </is>
      </c>
      <c r="J31" t="inlineStr">
        <is>
          <t>IABDN</t>
        </is>
      </c>
      <c r="K31" t="inlineStr">
        <is>
          <t>Inbound Abandon</t>
        </is>
      </c>
      <c r="L31" t="n">
        <v>3</v>
      </c>
      <c r="M31" t="inlineStr">
        <is>
          <t>2026-06-24 16:28:39</t>
        </is>
      </c>
      <c r="N31" t="inlineStr">
        <is>
          <t>system</t>
        </is>
      </c>
      <c r="O31" t="inlineStr">
        <is>
          <t>2026-06-19 07:10:32</t>
        </is>
      </c>
      <c r="P31" t="inlineStr">
        <is>
          <t>2026-06-19 07:10:32</t>
        </is>
      </c>
      <c r="Y31" t="inlineStr">
        <is>
          <t>27663757195</t>
        </is>
      </c>
    </row>
    <row r="32">
      <c r="A32" t="inlineStr">
        <is>
          <t>14945946</t>
        </is>
      </c>
      <c r="B32" t="inlineStr">
        <is>
          <t>fa9e5be4-41e9-4ede-98ee-a70986e19ae4</t>
        </is>
      </c>
      <c r="D32" t="inlineStr">
        <is>
          <t>30001087</t>
        </is>
      </c>
      <c r="E32" t="inlineStr">
        <is>
          <t>ussd_funeral_leads_altitude_20260619</t>
        </is>
      </c>
      <c r="H32" t="inlineStr">
        <is>
          <t>27661914673</t>
        </is>
      </c>
      <c r="J32" t="inlineStr">
        <is>
          <t>IABDN</t>
        </is>
      </c>
      <c r="K32" t="inlineStr">
        <is>
          <t>Inbound Abandon</t>
        </is>
      </c>
      <c r="L32" t="n">
        <v>3</v>
      </c>
      <c r="M32" t="inlineStr">
        <is>
          <t>2026-06-24 15:15:05</t>
        </is>
      </c>
      <c r="N32" t="inlineStr">
        <is>
          <t>system</t>
        </is>
      </c>
      <c r="O32" t="inlineStr">
        <is>
          <t>2026-06-19 07:10:32</t>
        </is>
      </c>
      <c r="P32" t="inlineStr">
        <is>
          <t>2026-06-19 07:10:32</t>
        </is>
      </c>
      <c r="Y32" t="inlineStr">
        <is>
          <t>27661914673</t>
        </is>
      </c>
    </row>
    <row r="33">
      <c r="A33" t="inlineStr">
        <is>
          <t>14942972</t>
        </is>
      </c>
      <c r="B33" t="inlineStr">
        <is>
          <t>a6917d17-cd01-4c97-8085-350eb82de4eb</t>
        </is>
      </c>
      <c r="D33" t="inlineStr">
        <is>
          <t>30001087</t>
        </is>
      </c>
      <c r="E33" t="inlineStr">
        <is>
          <t>ussd_funeral_leads_altitude_20260619</t>
        </is>
      </c>
      <c r="H33" t="inlineStr">
        <is>
          <t>27727977548</t>
        </is>
      </c>
      <c r="J33" t="inlineStr">
        <is>
          <t>U</t>
        </is>
      </c>
      <c r="K33" t="inlineStr">
        <is>
          <t>Unemployed</t>
        </is>
      </c>
      <c r="L33" t="n">
        <v>4</v>
      </c>
      <c r="M33" t="inlineStr">
        <is>
          <t>2026-06-24 15:08:35</t>
        </is>
      </c>
      <c r="N33" t="inlineStr">
        <is>
          <t>Bongiwe Precious Cele</t>
        </is>
      </c>
      <c r="O33" t="inlineStr">
        <is>
          <t>2026-06-19 07:10:32</t>
        </is>
      </c>
      <c r="P33" t="inlineStr">
        <is>
          <t>2026-06-19 07:10:32</t>
        </is>
      </c>
      <c r="Y33" t="inlineStr">
        <is>
          <t>27727977548</t>
        </is>
      </c>
    </row>
    <row r="34">
      <c r="A34" t="inlineStr">
        <is>
          <t>14944523</t>
        </is>
      </c>
      <c r="B34" t="inlineStr">
        <is>
          <t>b63185c6-99eb-4bec-aaa5-c7c031683387</t>
        </is>
      </c>
      <c r="D34" t="inlineStr">
        <is>
          <t>30001087</t>
        </is>
      </c>
      <c r="E34" t="inlineStr">
        <is>
          <t>ussd_funeral_leads_altitude_20260619</t>
        </is>
      </c>
      <c r="J34" t="inlineStr">
        <is>
          <t>CBACK</t>
        </is>
      </c>
      <c r="K34" t="inlineStr">
        <is>
          <t>Callback</t>
        </is>
      </c>
      <c r="L34" t="n">
        <v>6</v>
      </c>
      <c r="M34" t="inlineStr">
        <is>
          <t>2026-06-24 14:36:30</t>
        </is>
      </c>
      <c r="N34" t="inlineStr">
        <is>
          <t>Bongiwe Precious Cele</t>
        </is>
      </c>
      <c r="O34" t="inlineStr">
        <is>
          <t>2026-06-19 07:10:32</t>
        </is>
      </c>
      <c r="P34" t="inlineStr">
        <is>
          <t>2026-06-19 07:10:32</t>
        </is>
      </c>
      <c r="Y34" t="inlineStr">
        <is>
          <t>27673454133</t>
        </is>
      </c>
    </row>
    <row r="35">
      <c r="A35" t="inlineStr">
        <is>
          <t>14944574</t>
        </is>
      </c>
      <c r="B35" t="inlineStr">
        <is>
          <t>f1e81d78-67ab-4380-99d9-a6b4b1981301</t>
        </is>
      </c>
      <c r="D35" t="inlineStr">
        <is>
          <t>30001087</t>
        </is>
      </c>
      <c r="E35" t="inlineStr">
        <is>
          <t>ussd_funeral_leads_altitude_20260619</t>
        </is>
      </c>
      <c r="J35" t="inlineStr">
        <is>
          <t>NI</t>
        </is>
      </c>
      <c r="K35" t="inlineStr">
        <is>
          <t>Not Interested</t>
        </is>
      </c>
      <c r="L35" t="n">
        <v>3</v>
      </c>
      <c r="M35" t="inlineStr">
        <is>
          <t>2026-06-24 14:06:56</t>
        </is>
      </c>
      <c r="N35" t="inlineStr">
        <is>
          <t>Vuyiswa Nxumalo</t>
        </is>
      </c>
      <c r="O35" t="inlineStr">
        <is>
          <t>2026-06-19 07:10:32</t>
        </is>
      </c>
      <c r="P35" t="inlineStr">
        <is>
          <t>2026-06-19 07:10:32</t>
        </is>
      </c>
      <c r="Y35" t="inlineStr">
        <is>
          <t>27728455990</t>
        </is>
      </c>
    </row>
    <row r="36">
      <c r="A36" t="inlineStr">
        <is>
          <t>14945601</t>
        </is>
      </c>
      <c r="B36" t="inlineStr">
        <is>
          <t>28b99825-6329-4a21-aacc-e812a4cd02cb</t>
        </is>
      </c>
      <c r="D36" t="inlineStr">
        <is>
          <t>30001087</t>
        </is>
      </c>
      <c r="E36" t="inlineStr">
        <is>
          <t>ussd_funeral_leads_altitude_20260619</t>
        </is>
      </c>
      <c r="J36" t="inlineStr">
        <is>
          <t>N</t>
        </is>
      </c>
      <c r="K36" t="inlineStr">
        <is>
          <t>No Answer</t>
        </is>
      </c>
      <c r="L36" t="n">
        <v>5</v>
      </c>
      <c r="M36" t="inlineStr">
        <is>
          <t>2026-06-24 13:15:32</t>
        </is>
      </c>
      <c r="N36" t="inlineStr">
        <is>
          <t>Bongiwe Precious Cele</t>
        </is>
      </c>
      <c r="O36" t="inlineStr">
        <is>
          <t>2026-06-19 07:10:32</t>
        </is>
      </c>
      <c r="P36" t="inlineStr">
        <is>
          <t>2026-06-19 07:10:32</t>
        </is>
      </c>
      <c r="Y36" t="inlineStr">
        <is>
          <t>27822300248</t>
        </is>
      </c>
    </row>
    <row r="37">
      <c r="A37" t="inlineStr">
        <is>
          <t>14943106</t>
        </is>
      </c>
      <c r="B37" t="inlineStr">
        <is>
          <t>19f757ac-a5be-4312-a0f8-ef1008f664fb</t>
        </is>
      </c>
      <c r="D37" t="inlineStr">
        <is>
          <t>30001087</t>
        </is>
      </c>
      <c r="E37" t="inlineStr">
        <is>
          <t>ussd_funeral_leads_altitude_20260619</t>
        </is>
      </c>
      <c r="J37" t="inlineStr">
        <is>
          <t>N</t>
        </is>
      </c>
      <c r="K37" t="inlineStr">
        <is>
          <t>No Answer</t>
        </is>
      </c>
      <c r="L37" t="n">
        <v>4</v>
      </c>
      <c r="M37" t="inlineStr">
        <is>
          <t>2026-06-24 13:01:59</t>
        </is>
      </c>
      <c r="N37" t="inlineStr">
        <is>
          <t>Lebohang Mabotja</t>
        </is>
      </c>
      <c r="O37" t="inlineStr">
        <is>
          <t>2026-06-19 07:10:32</t>
        </is>
      </c>
      <c r="P37" t="inlineStr">
        <is>
          <t>2026-06-19 07:10:32</t>
        </is>
      </c>
      <c r="Y37" t="inlineStr">
        <is>
          <t>27790806006</t>
        </is>
      </c>
    </row>
    <row r="38">
      <c r="A38" t="inlineStr">
        <is>
          <t>14943176</t>
        </is>
      </c>
      <c r="B38" t="inlineStr">
        <is>
          <t>2fd76c8c-eaf4-4c88-8fdf-d739636946fd</t>
        </is>
      </c>
      <c r="D38" t="inlineStr">
        <is>
          <t>30001087</t>
        </is>
      </c>
      <c r="E38" t="inlineStr">
        <is>
          <t>ussd_funeral_leads_altitude_20260619</t>
        </is>
      </c>
      <c r="J38" t="inlineStr">
        <is>
          <t>CU</t>
        </is>
      </c>
      <c r="K38" t="inlineStr">
        <is>
          <t>Client Hung Up</t>
        </is>
      </c>
      <c r="L38" t="n">
        <v>3</v>
      </c>
      <c r="M38" t="inlineStr">
        <is>
          <t>2026-06-24 12:29:22</t>
        </is>
      </c>
      <c r="N38" t="inlineStr">
        <is>
          <t>Vuyiswa Nxumalo</t>
        </is>
      </c>
      <c r="O38" t="inlineStr">
        <is>
          <t>2026-06-19 07:10:32</t>
        </is>
      </c>
      <c r="P38" t="inlineStr">
        <is>
          <t>2026-06-19 07:10:32</t>
        </is>
      </c>
      <c r="Y38" t="inlineStr">
        <is>
          <t>27791855413</t>
        </is>
      </c>
    </row>
    <row r="39">
      <c r="A39" t="inlineStr">
        <is>
          <t>14944579</t>
        </is>
      </c>
      <c r="B39" t="inlineStr">
        <is>
          <t>f6be37e8-a3b1-4803-9424-9722a7317433</t>
        </is>
      </c>
      <c r="D39" t="inlineStr">
        <is>
          <t>30001087</t>
        </is>
      </c>
      <c r="E39" t="inlineStr">
        <is>
          <t>ussd_funeral_leads_altitude_20260619</t>
        </is>
      </c>
      <c r="J39" t="inlineStr">
        <is>
          <t>A</t>
        </is>
      </c>
      <c r="K39" t="inlineStr">
        <is>
          <t>Answering Machine</t>
        </is>
      </c>
      <c r="L39" t="n">
        <v>5</v>
      </c>
      <c r="M39" t="inlineStr">
        <is>
          <t>2026-06-24 11:33:33</t>
        </is>
      </c>
      <c r="N39" t="inlineStr">
        <is>
          <t>Goitsimang Mogwasa</t>
        </is>
      </c>
      <c r="O39" t="inlineStr">
        <is>
          <t>2026-06-19 07:10:32</t>
        </is>
      </c>
      <c r="P39" t="inlineStr">
        <is>
          <t>2026-06-19 07:10:32</t>
        </is>
      </c>
      <c r="Y39" t="inlineStr">
        <is>
          <t>27649859889</t>
        </is>
      </c>
    </row>
    <row r="40">
      <c r="A40" t="inlineStr">
        <is>
          <t>14945982</t>
        </is>
      </c>
      <c r="B40" t="inlineStr">
        <is>
          <t>3c971aec-1278-4bc4-b37a-2d53df5069a2</t>
        </is>
      </c>
      <c r="D40" t="inlineStr">
        <is>
          <t>30001087</t>
        </is>
      </c>
      <c r="E40" t="inlineStr">
        <is>
          <t>ussd_funeral_leads_altitude_20260619</t>
        </is>
      </c>
      <c r="J40" t="inlineStr">
        <is>
          <t>A</t>
        </is>
      </c>
      <c r="K40" t="inlineStr">
        <is>
          <t>Answering Machine</t>
        </is>
      </c>
      <c r="L40" t="n">
        <v>4</v>
      </c>
      <c r="M40" t="inlineStr">
        <is>
          <t>2026-06-24 10:59:02</t>
        </is>
      </c>
      <c r="N40" t="inlineStr">
        <is>
          <t>Goitsimang Mogwasa</t>
        </is>
      </c>
      <c r="O40" t="inlineStr">
        <is>
          <t>2026-06-19 07:10:32</t>
        </is>
      </c>
      <c r="P40" t="inlineStr">
        <is>
          <t>2026-06-19 07:10:32</t>
        </is>
      </c>
      <c r="Y40" t="inlineStr">
        <is>
          <t>27714689145</t>
        </is>
      </c>
    </row>
    <row r="41">
      <c r="A41" t="inlineStr">
        <is>
          <t>14943545</t>
        </is>
      </c>
      <c r="B41" t="inlineStr">
        <is>
          <t>1b4cb42a-8ee6-43d1-829e-f48f2a34b5cc</t>
        </is>
      </c>
      <c r="D41" t="inlineStr">
        <is>
          <t>30001087</t>
        </is>
      </c>
      <c r="E41" t="inlineStr">
        <is>
          <t>ussd_funeral_leads_altitude_20260619</t>
        </is>
      </c>
      <c r="J41" t="inlineStr">
        <is>
          <t>AA</t>
        </is>
      </c>
      <c r="K41" t="inlineStr">
        <is>
          <t>Answering Machine Autodial</t>
        </is>
      </c>
      <c r="L41" t="n">
        <v>3</v>
      </c>
      <c r="M41" t="inlineStr">
        <is>
          <t>2026-06-24 10:46:13</t>
        </is>
      </c>
      <c r="N41" t="inlineStr">
        <is>
          <t>system</t>
        </is>
      </c>
      <c r="O41" t="inlineStr">
        <is>
          <t>2026-06-19 07:10:32</t>
        </is>
      </c>
      <c r="P41" t="inlineStr">
        <is>
          <t>2026-06-19 07:10:32</t>
        </is>
      </c>
      <c r="Y41" t="inlineStr">
        <is>
          <t>27608471448</t>
        </is>
      </c>
    </row>
    <row r="42">
      <c r="A42" t="inlineStr">
        <is>
          <t>14943120</t>
        </is>
      </c>
      <c r="B42" t="inlineStr">
        <is>
          <t>55166b47-861d-424b-a100-efbe2aa05084</t>
        </is>
      </c>
      <c r="D42" t="inlineStr">
        <is>
          <t>30001087</t>
        </is>
      </c>
      <c r="E42" t="inlineStr">
        <is>
          <t>ussd_funeral_leads_altitude_20260619</t>
        </is>
      </c>
      <c r="J42" t="inlineStr">
        <is>
          <t>QAVER</t>
        </is>
      </c>
      <c r="K42" t="inlineStr">
        <is>
          <t>Sale Made</t>
        </is>
      </c>
      <c r="L42" t="n">
        <v>4</v>
      </c>
      <c r="M42" t="inlineStr">
        <is>
          <t>2026-06-24 10:39:17</t>
        </is>
      </c>
      <c r="N42" t="inlineStr">
        <is>
          <t>Goitsimang Mogwasa</t>
        </is>
      </c>
      <c r="O42" t="inlineStr">
        <is>
          <t>2026-06-19 07:10:32</t>
        </is>
      </c>
      <c r="P42" t="inlineStr">
        <is>
          <t>2026-06-19 07:10:32</t>
        </is>
      </c>
      <c r="Y42" t="inlineStr">
        <is>
          <t>27828618814</t>
        </is>
      </c>
    </row>
    <row r="43">
      <c r="A43" t="inlineStr">
        <is>
          <t>14943544</t>
        </is>
      </c>
      <c r="B43" t="inlineStr">
        <is>
          <t>89d7b02f-53c7-4d2c-8aa8-6ff018275a55</t>
        </is>
      </c>
      <c r="D43" t="inlineStr">
        <is>
          <t>30001087</t>
        </is>
      </c>
      <c r="E43" t="inlineStr">
        <is>
          <t>ussd_funeral_leads_altitude_20260619</t>
        </is>
      </c>
      <c r="J43" t="inlineStr">
        <is>
          <t>CU</t>
        </is>
      </c>
      <c r="K43" t="inlineStr">
        <is>
          <t>Client Hung Up</t>
        </is>
      </c>
      <c r="L43" t="n">
        <v>3</v>
      </c>
      <c r="M43" t="inlineStr">
        <is>
          <t>2026-06-24 10:26:20</t>
        </is>
      </c>
      <c r="N43" t="inlineStr">
        <is>
          <t>Lebohang Mabotja</t>
        </is>
      </c>
      <c r="O43" t="inlineStr">
        <is>
          <t>2026-06-19 07:10:32</t>
        </is>
      </c>
      <c r="P43" t="inlineStr">
        <is>
          <t>2026-06-19 07:10:32</t>
        </is>
      </c>
      <c r="Y43" t="inlineStr">
        <is>
          <t>27765655911</t>
        </is>
      </c>
    </row>
    <row r="44">
      <c r="A44" t="inlineStr">
        <is>
          <t>14947800</t>
        </is>
      </c>
      <c r="B44" t="inlineStr">
        <is>
          <t>210336c6-4095-4955-b5f6-f1d1a32f6299</t>
        </is>
      </c>
      <c r="D44" t="inlineStr">
        <is>
          <t>30001087</t>
        </is>
      </c>
      <c r="E44" t="inlineStr">
        <is>
          <t>ussd_funeral_leads_altitude_20260619</t>
        </is>
      </c>
      <c r="J44" t="inlineStr">
        <is>
          <t>NI</t>
        </is>
      </c>
      <c r="K44" t="inlineStr">
        <is>
          <t>Not Interested</t>
        </is>
      </c>
      <c r="L44" t="n">
        <v>3</v>
      </c>
      <c r="M44" t="inlineStr">
        <is>
          <t>2026-06-24 10:15:01</t>
        </is>
      </c>
      <c r="N44" t="inlineStr">
        <is>
          <t>Vuyiswa Nxumalo</t>
        </is>
      </c>
      <c r="O44" t="inlineStr">
        <is>
          <t>2026-06-19 07:10:32</t>
        </is>
      </c>
      <c r="P44" t="inlineStr">
        <is>
          <t>2026-06-19 07:10:32</t>
        </is>
      </c>
      <c r="Y44" t="inlineStr">
        <is>
          <t>27828779534</t>
        </is>
      </c>
    </row>
    <row r="45">
      <c r="A45" t="inlineStr">
        <is>
          <t>14943422</t>
        </is>
      </c>
      <c r="B45" t="inlineStr">
        <is>
          <t>b1fe6fdb-25cf-4cd3-affe-7e43beb86b1a</t>
        </is>
      </c>
      <c r="D45" t="inlineStr">
        <is>
          <t>30001087</t>
        </is>
      </c>
      <c r="E45" t="inlineStr">
        <is>
          <t>ussd_funeral_leads_altitude_20260619</t>
        </is>
      </c>
      <c r="J45" t="inlineStr">
        <is>
          <t>N</t>
        </is>
      </c>
      <c r="K45" t="inlineStr">
        <is>
          <t>No Answer</t>
        </is>
      </c>
      <c r="L45" t="n">
        <v>3</v>
      </c>
      <c r="M45" t="inlineStr">
        <is>
          <t>2026-06-24 10:14:09</t>
        </is>
      </c>
      <c r="N45" t="inlineStr">
        <is>
          <t>Bongiwe Precious Cele</t>
        </is>
      </c>
      <c r="O45" t="inlineStr">
        <is>
          <t>2026-06-19 07:10:32</t>
        </is>
      </c>
      <c r="P45" t="inlineStr">
        <is>
          <t>2026-06-19 07:10:32</t>
        </is>
      </c>
      <c r="Y45" t="inlineStr">
        <is>
          <t>27762287158</t>
        </is>
      </c>
    </row>
    <row r="46">
      <c r="A46" t="inlineStr">
        <is>
          <t>14946731</t>
        </is>
      </c>
      <c r="B46" t="inlineStr">
        <is>
          <t>94bd2ff4-5a68-49ac-9b9a-05ab59b078f8</t>
        </is>
      </c>
      <c r="D46" t="inlineStr">
        <is>
          <t>30001087</t>
        </is>
      </c>
      <c r="E46" t="inlineStr">
        <is>
          <t>ussd_funeral_leads_altitude_20260619</t>
        </is>
      </c>
      <c r="J46" t="inlineStr">
        <is>
          <t>CU</t>
        </is>
      </c>
      <c r="K46" t="inlineStr">
        <is>
          <t>Client Hung Up</t>
        </is>
      </c>
      <c r="L46" t="n">
        <v>2</v>
      </c>
      <c r="M46" t="inlineStr">
        <is>
          <t>2026-06-24 09:42:43</t>
        </is>
      </c>
      <c r="N46" t="inlineStr">
        <is>
          <t>Vuyiswa Nxumalo</t>
        </is>
      </c>
      <c r="O46" t="inlineStr">
        <is>
          <t>2026-06-19 07:10:32</t>
        </is>
      </c>
      <c r="P46" t="inlineStr">
        <is>
          <t>2026-06-19 07:10:32</t>
        </is>
      </c>
      <c r="Y46" t="inlineStr">
        <is>
          <t>27793643838</t>
        </is>
      </c>
    </row>
    <row r="47">
      <c r="A47" t="inlineStr">
        <is>
          <t>14944012</t>
        </is>
      </c>
      <c r="B47" t="inlineStr">
        <is>
          <t>3e5aeabf-bbad-475b-af95-f2c283ae0e5a</t>
        </is>
      </c>
      <c r="D47" t="inlineStr">
        <is>
          <t>30001087</t>
        </is>
      </c>
      <c r="E47" t="inlineStr">
        <is>
          <t>ussd_funeral_leads_altitude_20260619</t>
        </is>
      </c>
      <c r="J47" t="inlineStr">
        <is>
          <t>CBACK</t>
        </is>
      </c>
      <c r="K47" t="inlineStr">
        <is>
          <t>Callback</t>
        </is>
      </c>
      <c r="L47" t="n">
        <v>4</v>
      </c>
      <c r="M47" t="inlineStr">
        <is>
          <t>2026-06-24 09:32:23</t>
        </is>
      </c>
      <c r="N47" t="inlineStr">
        <is>
          <t>Virginia Letsatsi</t>
        </is>
      </c>
      <c r="O47" t="inlineStr">
        <is>
          <t>2026-06-19 07:10:32</t>
        </is>
      </c>
      <c r="P47" t="inlineStr">
        <is>
          <t>2026-06-19 07:10:32</t>
        </is>
      </c>
      <c r="Y47" t="inlineStr">
        <is>
          <t>27794616759</t>
        </is>
      </c>
    </row>
    <row r="48">
      <c r="A48" t="inlineStr">
        <is>
          <t>14943400</t>
        </is>
      </c>
      <c r="B48" t="inlineStr">
        <is>
          <t>843f78b4-dee0-4d80-9b41-ab9508da046d</t>
        </is>
      </c>
      <c r="D48" t="inlineStr">
        <is>
          <t>30001087</t>
        </is>
      </c>
      <c r="E48" t="inlineStr">
        <is>
          <t>ussd_funeral_leads_altitude_20260619</t>
        </is>
      </c>
      <c r="J48" t="inlineStr">
        <is>
          <t>A</t>
        </is>
      </c>
      <c r="K48" t="inlineStr">
        <is>
          <t>Answering Machine</t>
        </is>
      </c>
      <c r="L48" t="n">
        <v>4</v>
      </c>
      <c r="M48" t="inlineStr">
        <is>
          <t>2026-06-24 09:21:35</t>
        </is>
      </c>
      <c r="N48" t="inlineStr">
        <is>
          <t>Virginia Letsatsi</t>
        </is>
      </c>
      <c r="O48" t="inlineStr">
        <is>
          <t>2026-06-19 07:10:32</t>
        </is>
      </c>
      <c r="P48" t="inlineStr">
        <is>
          <t>2026-06-19 07:10:32</t>
        </is>
      </c>
      <c r="Y48" t="inlineStr">
        <is>
          <t>27791397274</t>
        </is>
      </c>
    </row>
    <row r="49">
      <c r="A49" t="inlineStr">
        <is>
          <t>14943563</t>
        </is>
      </c>
      <c r="B49" t="inlineStr">
        <is>
          <t>45ff40fe-c024-4a7e-9391-b3812aadbeb6</t>
        </is>
      </c>
      <c r="D49" t="inlineStr">
        <is>
          <t>30001087</t>
        </is>
      </c>
      <c r="E49" t="inlineStr">
        <is>
          <t>ussd_funeral_leads_altitude_20260619</t>
        </is>
      </c>
      <c r="J49" t="inlineStr">
        <is>
          <t>AA</t>
        </is>
      </c>
      <c r="K49" t="inlineStr">
        <is>
          <t>Answering Machine Autodial</t>
        </is>
      </c>
      <c r="L49" t="n">
        <v>3</v>
      </c>
      <c r="M49" t="inlineStr">
        <is>
          <t>2026-06-24 09:07:17</t>
        </is>
      </c>
      <c r="N49" t="inlineStr">
        <is>
          <t>system</t>
        </is>
      </c>
      <c r="O49" t="inlineStr">
        <is>
          <t>2026-06-19 07:10:32</t>
        </is>
      </c>
      <c r="P49" t="inlineStr">
        <is>
          <t>2026-06-19 07:10:32</t>
        </is>
      </c>
      <c r="Y49" t="inlineStr">
        <is>
          <t>27772865935</t>
        </is>
      </c>
    </row>
    <row r="50">
      <c r="A50" t="inlineStr">
        <is>
          <t>14943543</t>
        </is>
      </c>
      <c r="B50" t="inlineStr">
        <is>
          <t>839763b4-83cf-4337-b3fb-b7bee6fc578b</t>
        </is>
      </c>
      <c r="D50" t="inlineStr">
        <is>
          <t>30001087</t>
        </is>
      </c>
      <c r="E50" t="inlineStr">
        <is>
          <t>ussd_funeral_leads_altitude_20260619</t>
        </is>
      </c>
      <c r="J50" t="inlineStr">
        <is>
          <t>ADC</t>
        </is>
      </c>
      <c r="K50" t="inlineStr">
        <is>
          <t>Auto Dial Disconnected</t>
        </is>
      </c>
      <c r="L50" t="n">
        <v>3</v>
      </c>
      <c r="M50" t="inlineStr">
        <is>
          <t>2026-06-24 09:07:09</t>
        </is>
      </c>
      <c r="N50" t="inlineStr">
        <is>
          <t>system</t>
        </is>
      </c>
      <c r="O50" t="inlineStr">
        <is>
          <t>2026-06-19 07:10:32</t>
        </is>
      </c>
      <c r="P50" t="inlineStr">
        <is>
          <t>2026-06-19 07:10:32</t>
        </is>
      </c>
      <c r="Y50" t="inlineStr">
        <is>
          <t>27674864277</t>
        </is>
      </c>
    </row>
    <row r="51">
      <c r="A51" t="inlineStr">
        <is>
          <t>14900000</t>
        </is>
      </c>
      <c r="B51" t="inlineStr">
        <is>
          <t>7604e820-9c30-405e-af8f-159f4bc69899</t>
        </is>
      </c>
      <c r="D51" t="inlineStr">
        <is>
          <t>30001087</t>
        </is>
      </c>
      <c r="E51" t="inlineStr">
        <is>
          <t>ussd_funeral_leads_altitude_20260619</t>
        </is>
      </c>
      <c r="J51" t="inlineStr">
        <is>
          <t>CU</t>
        </is>
      </c>
      <c r="K51" t="inlineStr">
        <is>
          <t>Client Hung Up</t>
        </is>
      </c>
      <c r="L51" t="n">
        <v>4</v>
      </c>
      <c r="M51" t="inlineStr">
        <is>
          <t>2026-06-24 08:54:24</t>
        </is>
      </c>
      <c r="N51" t="inlineStr">
        <is>
          <t>Virginia Letsatsi</t>
        </is>
      </c>
      <c r="O51" t="inlineStr">
        <is>
          <t>2026-06-19 07:10:32</t>
        </is>
      </c>
      <c r="P51" t="inlineStr">
        <is>
          <t>2026-06-19 07:10:32</t>
        </is>
      </c>
      <c r="Y51" t="inlineStr">
        <is>
          <t>27762911372</t>
        </is>
      </c>
    </row>
    <row r="52">
      <c r="A52" t="inlineStr">
        <is>
          <t>14943439</t>
        </is>
      </c>
      <c r="B52" t="inlineStr">
        <is>
          <t>caf04050-8d45-4fd9-b347-4213bd9319ba</t>
        </is>
      </c>
      <c r="D52" t="inlineStr">
        <is>
          <t>30001087</t>
        </is>
      </c>
      <c r="E52" t="inlineStr">
        <is>
          <t>ussd_funeral_leads_altitude_20260619</t>
        </is>
      </c>
      <c r="J52" t="inlineStr">
        <is>
          <t>A</t>
        </is>
      </c>
      <c r="K52" t="inlineStr">
        <is>
          <t>Answering Machine</t>
        </is>
      </c>
      <c r="L52" t="n">
        <v>10</v>
      </c>
      <c r="M52" t="inlineStr">
        <is>
          <t>2026-06-24 08:40:26</t>
        </is>
      </c>
      <c r="N52" t="inlineStr">
        <is>
          <t>Goitsimang Mogwasa</t>
        </is>
      </c>
      <c r="O52" t="inlineStr">
        <is>
          <t>2026-06-19 07:10:32</t>
        </is>
      </c>
      <c r="P52" t="inlineStr">
        <is>
          <t>2026-06-19 07:10:32</t>
        </is>
      </c>
      <c r="Y52" t="inlineStr">
        <is>
          <t>27648641733</t>
        </is>
      </c>
    </row>
    <row r="53">
      <c r="A53" t="inlineStr">
        <is>
          <t>14943169</t>
        </is>
      </c>
      <c r="B53" t="inlineStr">
        <is>
          <t>aedf71b7-52dd-4273-adec-5bc2db9087e0</t>
        </is>
      </c>
      <c r="D53" t="inlineStr">
        <is>
          <t>30001087</t>
        </is>
      </c>
      <c r="E53" t="inlineStr">
        <is>
          <t>ussd_funeral_leads_altitude_20260619</t>
        </is>
      </c>
      <c r="J53" t="inlineStr">
        <is>
          <t>A</t>
        </is>
      </c>
      <c r="K53" t="inlineStr">
        <is>
          <t>Answering Machine</t>
        </is>
      </c>
      <c r="L53" t="n">
        <v>4</v>
      </c>
      <c r="M53" t="inlineStr">
        <is>
          <t>2026-06-24 07:56:04</t>
        </is>
      </c>
      <c r="N53" t="inlineStr">
        <is>
          <t>Virginia Letsatsi</t>
        </is>
      </c>
      <c r="O53" t="inlineStr">
        <is>
          <t>2026-06-19 07:10:32</t>
        </is>
      </c>
      <c r="P53" t="inlineStr">
        <is>
          <t>2026-06-19 07:10:32</t>
        </is>
      </c>
      <c r="Y53" t="inlineStr">
        <is>
          <t>27662102524</t>
        </is>
      </c>
    </row>
    <row r="54">
      <c r="A54" t="inlineStr">
        <is>
          <t>14943023</t>
        </is>
      </c>
      <c r="B54" t="inlineStr">
        <is>
          <t>26ab6d14-d31a-4411-a5bc-f7f58af7a153</t>
        </is>
      </c>
      <c r="D54" t="inlineStr">
        <is>
          <t>30001087</t>
        </is>
      </c>
      <c r="E54" t="inlineStr">
        <is>
          <t>ussd_funeral_leads_altitude_20260619</t>
        </is>
      </c>
      <c r="J54" t="inlineStr">
        <is>
          <t>AA</t>
        </is>
      </c>
      <c r="K54" t="inlineStr">
        <is>
          <t>Answering Machine Autodial</t>
        </is>
      </c>
      <c r="L54" t="n">
        <v>3</v>
      </c>
      <c r="M54" t="inlineStr">
        <is>
          <t>2026-06-24 07:44:15</t>
        </is>
      </c>
      <c r="N54" t="inlineStr">
        <is>
          <t>system</t>
        </is>
      </c>
      <c r="O54" t="inlineStr">
        <is>
          <t>2026-06-19 07:10:32</t>
        </is>
      </c>
      <c r="P54" t="inlineStr">
        <is>
          <t>2026-06-19 07:10:32</t>
        </is>
      </c>
      <c r="Y54" t="inlineStr">
        <is>
          <t>27774932104</t>
        </is>
      </c>
    </row>
    <row r="55">
      <c r="A55" t="inlineStr">
        <is>
          <t>14943022</t>
        </is>
      </c>
      <c r="B55" t="inlineStr">
        <is>
          <t>965520df-d1fd-47f0-9e05-c574310ff8ea</t>
        </is>
      </c>
      <c r="D55" t="inlineStr">
        <is>
          <t>30001087</t>
        </is>
      </c>
      <c r="E55" t="inlineStr">
        <is>
          <t>ussd_funeral_leads_altitude_20260619</t>
        </is>
      </c>
      <c r="J55" t="inlineStr">
        <is>
          <t>ADC</t>
        </is>
      </c>
      <c r="K55" t="inlineStr">
        <is>
          <t>Auto Dial Disconnected</t>
        </is>
      </c>
      <c r="L55" t="n">
        <v>3</v>
      </c>
      <c r="M55" t="inlineStr">
        <is>
          <t>2026-06-24 07:43:59</t>
        </is>
      </c>
      <c r="N55" t="inlineStr">
        <is>
          <t>system</t>
        </is>
      </c>
      <c r="O55" t="inlineStr">
        <is>
          <t>2026-06-19 07:10:32</t>
        </is>
      </c>
      <c r="P55" t="inlineStr">
        <is>
          <t>2026-06-19 07:10:32</t>
        </is>
      </c>
      <c r="Y55" t="inlineStr">
        <is>
          <t>27723393460</t>
        </is>
      </c>
    </row>
    <row r="56">
      <c r="A56" t="inlineStr">
        <is>
          <t>14943021</t>
        </is>
      </c>
      <c r="B56" t="inlineStr">
        <is>
          <t>11c2a635-7efb-43b8-8909-68cc0e991de0</t>
        </is>
      </c>
      <c r="D56" t="inlineStr">
        <is>
          <t>30001087</t>
        </is>
      </c>
      <c r="E56" t="inlineStr">
        <is>
          <t>ussd_funeral_leads_altitude_20260619</t>
        </is>
      </c>
      <c r="J56" t="inlineStr">
        <is>
          <t>AA</t>
        </is>
      </c>
      <c r="K56" t="inlineStr">
        <is>
          <t>Answering Machine Autodial</t>
        </is>
      </c>
      <c r="L56" t="n">
        <v>3</v>
      </c>
      <c r="M56" t="inlineStr">
        <is>
          <t>2026-06-24 07:43:58</t>
        </is>
      </c>
      <c r="N56" t="inlineStr">
        <is>
          <t>system</t>
        </is>
      </c>
      <c r="O56" t="inlineStr">
        <is>
          <t>2026-06-19 07:10:32</t>
        </is>
      </c>
      <c r="P56" t="inlineStr">
        <is>
          <t>2026-06-19 07:10:32</t>
        </is>
      </c>
      <c r="Y56" t="inlineStr">
        <is>
          <t>27768105712</t>
        </is>
      </c>
    </row>
    <row r="57">
      <c r="A57" t="inlineStr">
        <is>
          <t>14900000</t>
        </is>
      </c>
      <c r="B57" t="inlineStr">
        <is>
          <t>e397b3c8-3d84-4b44-bff1-a109a97841e6</t>
        </is>
      </c>
      <c r="D57" t="inlineStr">
        <is>
          <t>30001087</t>
        </is>
      </c>
      <c r="E57" t="inlineStr">
        <is>
          <t>ussd_funeral_leads_altitude_20260619</t>
        </is>
      </c>
      <c r="J57" t="inlineStr">
        <is>
          <t>AA</t>
        </is>
      </c>
      <c r="K57" t="inlineStr">
        <is>
          <t>Answering Machine Autodial</t>
        </is>
      </c>
      <c r="L57" t="n">
        <v>3</v>
      </c>
      <c r="M57" t="inlineStr">
        <is>
          <t>2026-06-24 07:43:54</t>
        </is>
      </c>
      <c r="N57" t="inlineStr">
        <is>
          <t>system</t>
        </is>
      </c>
      <c r="O57" t="inlineStr">
        <is>
          <t>2026-06-19 07:10:32</t>
        </is>
      </c>
      <c r="P57" t="inlineStr">
        <is>
          <t>2026-06-19 07:10:32</t>
        </is>
      </c>
      <c r="Y57" t="inlineStr">
        <is>
          <t>27769335482</t>
        </is>
      </c>
    </row>
    <row r="58">
      <c r="A58" t="inlineStr">
        <is>
          <t>14943018</t>
        </is>
      </c>
      <c r="B58" t="inlineStr">
        <is>
          <t>964a2aa1-bc11-4ca8-9d2d-d68397dc7fc8</t>
        </is>
      </c>
      <c r="D58" t="inlineStr">
        <is>
          <t>30001087</t>
        </is>
      </c>
      <c r="E58" t="inlineStr">
        <is>
          <t>ussd_funeral_leads_altitude_20260619</t>
        </is>
      </c>
      <c r="J58" t="inlineStr">
        <is>
          <t>AA</t>
        </is>
      </c>
      <c r="K58" t="inlineStr">
        <is>
          <t>Answering Machine Autodial</t>
        </is>
      </c>
      <c r="L58" t="n">
        <v>3</v>
      </c>
      <c r="M58" t="inlineStr">
        <is>
          <t>2026-06-24 07:43:49</t>
        </is>
      </c>
      <c r="N58" t="inlineStr">
        <is>
          <t>system</t>
        </is>
      </c>
      <c r="O58" t="inlineStr">
        <is>
          <t>2026-06-19 07:10:32</t>
        </is>
      </c>
      <c r="P58" t="inlineStr">
        <is>
          <t>2026-06-19 07:10:32</t>
        </is>
      </c>
      <c r="Y58" t="inlineStr">
        <is>
          <t>27792133820</t>
        </is>
      </c>
    </row>
    <row r="59">
      <c r="A59" t="inlineStr">
        <is>
          <t>14943017</t>
        </is>
      </c>
      <c r="B59" t="inlineStr">
        <is>
          <t>54d0d58e-cc68-4d52-a9ee-3933a2558449</t>
        </is>
      </c>
      <c r="D59" t="inlineStr">
        <is>
          <t>30001087</t>
        </is>
      </c>
      <c r="E59" t="inlineStr">
        <is>
          <t>ussd_funeral_leads_altitude_20260619</t>
        </is>
      </c>
      <c r="J59" t="inlineStr">
        <is>
          <t>NA</t>
        </is>
      </c>
      <c r="K59" t="inlineStr">
        <is>
          <t>No Answer Autodial</t>
        </is>
      </c>
      <c r="L59" t="n">
        <v>3</v>
      </c>
      <c r="M59" t="inlineStr">
        <is>
          <t>2026-06-24 07:43:47</t>
        </is>
      </c>
      <c r="N59" t="inlineStr">
        <is>
          <t>system</t>
        </is>
      </c>
      <c r="O59" t="inlineStr">
        <is>
          <t>2026-06-19 07:10:32</t>
        </is>
      </c>
      <c r="P59" t="inlineStr">
        <is>
          <t>2026-06-19 07:10:32</t>
        </is>
      </c>
      <c r="Y59" t="inlineStr">
        <is>
          <t>27796631043</t>
        </is>
      </c>
    </row>
    <row r="60">
      <c r="A60" t="inlineStr">
        <is>
          <t>14943016</t>
        </is>
      </c>
      <c r="B60" t="inlineStr">
        <is>
          <t>54cc4253-3c9b-4747-a6b0-63c5658854c8</t>
        </is>
      </c>
      <c r="D60" t="inlineStr">
        <is>
          <t>30001087</t>
        </is>
      </c>
      <c r="E60" t="inlineStr">
        <is>
          <t>ussd_funeral_leads_altitude_20260619</t>
        </is>
      </c>
      <c r="J60" t="inlineStr">
        <is>
          <t>NA</t>
        </is>
      </c>
      <c r="K60" t="inlineStr">
        <is>
          <t>No Answer Autodial</t>
        </is>
      </c>
      <c r="L60" t="n">
        <v>3</v>
      </c>
      <c r="M60" t="inlineStr">
        <is>
          <t>2026-06-24 07:43:43</t>
        </is>
      </c>
      <c r="N60" t="inlineStr">
        <is>
          <t>system</t>
        </is>
      </c>
      <c r="O60" t="inlineStr">
        <is>
          <t>2026-06-19 07:10:32</t>
        </is>
      </c>
      <c r="P60" t="inlineStr">
        <is>
          <t>2026-06-19 07:10:32</t>
        </is>
      </c>
      <c r="Y60" t="inlineStr">
        <is>
          <t>27820762285</t>
        </is>
      </c>
    </row>
    <row r="61">
      <c r="A61" t="inlineStr">
        <is>
          <t>14943013</t>
        </is>
      </c>
      <c r="B61" t="inlineStr">
        <is>
          <t>962f6d43-6ccb-4eac-83fe-458fefb16f61</t>
        </is>
      </c>
      <c r="D61" t="inlineStr">
        <is>
          <t>30001087</t>
        </is>
      </c>
      <c r="E61" t="inlineStr">
        <is>
          <t>ussd_funeral_leads_altitude_20260619</t>
        </is>
      </c>
      <c r="J61" t="inlineStr">
        <is>
          <t>AE</t>
        </is>
      </c>
      <c r="K61" t="inlineStr">
        <is>
          <t>Auto Engaged</t>
        </is>
      </c>
      <c r="L61" t="n">
        <v>3</v>
      </c>
      <c r="M61" t="inlineStr">
        <is>
          <t>2026-06-24 07:43:41</t>
        </is>
      </c>
      <c r="N61" t="inlineStr">
        <is>
          <t>system</t>
        </is>
      </c>
      <c r="O61" t="inlineStr">
        <is>
          <t>2026-06-19 07:10:32</t>
        </is>
      </c>
      <c r="P61" t="inlineStr">
        <is>
          <t>2026-06-19 07:10:32</t>
        </is>
      </c>
      <c r="Y61" t="inlineStr">
        <is>
          <t>27826916258</t>
        </is>
      </c>
    </row>
    <row r="62">
      <c r="A62" t="inlineStr">
        <is>
          <t>14943014</t>
        </is>
      </c>
      <c r="B62" t="inlineStr">
        <is>
          <t>ab25404c-ab62-42ae-9f82-8ef57fe1e446</t>
        </is>
      </c>
      <c r="D62" t="inlineStr">
        <is>
          <t>30001087</t>
        </is>
      </c>
      <c r="E62" t="inlineStr">
        <is>
          <t>ussd_funeral_leads_altitude_20260619</t>
        </is>
      </c>
      <c r="J62" t="inlineStr">
        <is>
          <t>TDN</t>
        </is>
      </c>
      <c r="K62" t="inlineStr">
        <is>
          <t>Temporary Disconnected Number</t>
        </is>
      </c>
      <c r="L62" t="n">
        <v>3</v>
      </c>
      <c r="M62" t="inlineStr">
        <is>
          <t>2026-06-24 07:43:41</t>
        </is>
      </c>
      <c r="N62" t="inlineStr">
        <is>
          <t>system</t>
        </is>
      </c>
      <c r="O62" t="inlineStr">
        <is>
          <t>2026-06-19 07:10:32</t>
        </is>
      </c>
      <c r="P62" t="inlineStr">
        <is>
          <t>2026-06-19 07:10:32</t>
        </is>
      </c>
      <c r="Y62" t="inlineStr">
        <is>
          <t>27799475410</t>
        </is>
      </c>
    </row>
    <row r="63">
      <c r="A63" t="inlineStr">
        <is>
          <t>14943015</t>
        </is>
      </c>
      <c r="B63" t="inlineStr">
        <is>
          <t>bbfbf231-3bd8-4d17-a46e-9f4e90be263d</t>
        </is>
      </c>
      <c r="D63" t="inlineStr">
        <is>
          <t>30001087</t>
        </is>
      </c>
      <c r="E63" t="inlineStr">
        <is>
          <t>ussd_funeral_leads_altitude_20260619</t>
        </is>
      </c>
      <c r="J63" t="inlineStr">
        <is>
          <t>NA</t>
        </is>
      </c>
      <c r="K63" t="inlineStr">
        <is>
          <t>No Answer Autodial</t>
        </is>
      </c>
      <c r="L63" t="n">
        <v>3</v>
      </c>
      <c r="M63" t="inlineStr">
        <is>
          <t>2026-06-24 07:43:41</t>
        </is>
      </c>
      <c r="N63" t="inlineStr">
        <is>
          <t>system</t>
        </is>
      </c>
      <c r="O63" t="inlineStr">
        <is>
          <t>2026-06-19 07:10:32</t>
        </is>
      </c>
      <c r="P63" t="inlineStr">
        <is>
          <t>2026-06-19 07:10:32</t>
        </is>
      </c>
      <c r="Y63" t="inlineStr">
        <is>
          <t>27818145645</t>
        </is>
      </c>
    </row>
    <row r="64">
      <c r="A64" t="inlineStr">
        <is>
          <t>14943010</t>
        </is>
      </c>
      <c r="B64" t="inlineStr">
        <is>
          <t>65a4849b-7cf2-45fb-9cf0-8001e5ab0bb2</t>
        </is>
      </c>
      <c r="D64" t="inlineStr">
        <is>
          <t>30001087</t>
        </is>
      </c>
      <c r="E64" t="inlineStr">
        <is>
          <t>ussd_funeral_leads_altitude_20260619</t>
        </is>
      </c>
      <c r="J64" t="inlineStr">
        <is>
          <t>AA</t>
        </is>
      </c>
      <c r="K64" t="inlineStr">
        <is>
          <t>Answering Machine Autodial</t>
        </is>
      </c>
      <c r="L64" t="n">
        <v>3</v>
      </c>
      <c r="M64" t="inlineStr">
        <is>
          <t>2026-06-24 07:43:40</t>
        </is>
      </c>
      <c r="N64" t="inlineStr">
        <is>
          <t>system</t>
        </is>
      </c>
      <c r="O64" t="inlineStr">
        <is>
          <t>2026-06-19 07:10:32</t>
        </is>
      </c>
      <c r="P64" t="inlineStr">
        <is>
          <t>2026-06-19 07:10:32</t>
        </is>
      </c>
      <c r="Y64" t="inlineStr">
        <is>
          <t>27648821017</t>
        </is>
      </c>
    </row>
    <row r="65">
      <c r="A65" t="inlineStr">
        <is>
          <t>14943067</t>
        </is>
      </c>
      <c r="B65" t="inlineStr">
        <is>
          <t>047dc259-6bb7-4f02-a6a1-6b96af818da5</t>
        </is>
      </c>
      <c r="D65" t="inlineStr">
        <is>
          <t>30001087</t>
        </is>
      </c>
      <c r="E65" t="inlineStr">
        <is>
          <t>ussd_funeral_leads_altitude_20260619</t>
        </is>
      </c>
      <c r="J65" t="inlineStr">
        <is>
          <t>AA</t>
        </is>
      </c>
      <c r="K65" t="inlineStr">
        <is>
          <t>Answering Machine Autodial</t>
        </is>
      </c>
      <c r="L65" t="n">
        <v>3</v>
      </c>
      <c r="M65" t="inlineStr">
        <is>
          <t>2026-06-24 07:42:59</t>
        </is>
      </c>
      <c r="N65" t="inlineStr">
        <is>
          <t>system</t>
        </is>
      </c>
      <c r="O65" t="inlineStr">
        <is>
          <t>2026-06-19 07:10:32</t>
        </is>
      </c>
      <c r="P65" t="inlineStr">
        <is>
          <t>2026-06-19 07:10:32</t>
        </is>
      </c>
      <c r="Y65" t="inlineStr">
        <is>
          <t>27797195751</t>
        </is>
      </c>
    </row>
    <row r="66">
      <c r="A66" t="inlineStr">
        <is>
          <t>14943065</t>
        </is>
      </c>
      <c r="B66" t="inlineStr">
        <is>
          <t>fa9e8475-fcd1-4e13-b1c5-96994675b77c</t>
        </is>
      </c>
      <c r="D66" t="inlineStr">
        <is>
          <t>30001087</t>
        </is>
      </c>
      <c r="E66" t="inlineStr">
        <is>
          <t>ussd_funeral_leads_altitude_20260619</t>
        </is>
      </c>
      <c r="J66" t="inlineStr">
        <is>
          <t>AA</t>
        </is>
      </c>
      <c r="K66" t="inlineStr">
        <is>
          <t>Answering Machine Autodial</t>
        </is>
      </c>
      <c r="L66" t="n">
        <v>3</v>
      </c>
      <c r="M66" t="inlineStr">
        <is>
          <t>2026-06-24 07:42:57</t>
        </is>
      </c>
      <c r="N66" t="inlineStr">
        <is>
          <t>system</t>
        </is>
      </c>
      <c r="O66" t="inlineStr">
        <is>
          <t>2026-06-19 07:10:32</t>
        </is>
      </c>
      <c r="P66" t="inlineStr">
        <is>
          <t>2026-06-19 07:10:32</t>
        </is>
      </c>
      <c r="Y66" t="inlineStr">
        <is>
          <t>27795278877</t>
        </is>
      </c>
    </row>
    <row r="67">
      <c r="A67" t="inlineStr">
        <is>
          <t>14943066</t>
        </is>
      </c>
      <c r="B67" t="inlineStr">
        <is>
          <t>b7742345-02bb-454a-8a85-ecbefe4e2a07</t>
        </is>
      </c>
      <c r="D67" t="inlineStr">
        <is>
          <t>30001087</t>
        </is>
      </c>
      <c r="E67" t="inlineStr">
        <is>
          <t>ussd_funeral_leads_altitude_20260619</t>
        </is>
      </c>
      <c r="J67" t="inlineStr">
        <is>
          <t>AA</t>
        </is>
      </c>
      <c r="K67" t="inlineStr">
        <is>
          <t>Answering Machine Autodial</t>
        </is>
      </c>
      <c r="L67" t="n">
        <v>3</v>
      </c>
      <c r="M67" t="inlineStr">
        <is>
          <t>2026-06-24 07:42:57</t>
        </is>
      </c>
      <c r="N67" t="inlineStr">
        <is>
          <t>system</t>
        </is>
      </c>
      <c r="O67" t="inlineStr">
        <is>
          <t>2026-06-19 07:10:32</t>
        </is>
      </c>
      <c r="P67" t="inlineStr">
        <is>
          <t>2026-06-19 07:10:32</t>
        </is>
      </c>
      <c r="Y67" t="inlineStr">
        <is>
          <t>27729820172</t>
        </is>
      </c>
    </row>
    <row r="68">
      <c r="A68" t="inlineStr">
        <is>
          <t>14943064</t>
        </is>
      </c>
      <c r="B68" t="inlineStr">
        <is>
          <t>28d801fa-6c64-4927-ac23-cef24597b05b</t>
        </is>
      </c>
      <c r="D68" t="inlineStr">
        <is>
          <t>30001087</t>
        </is>
      </c>
      <c r="E68" t="inlineStr">
        <is>
          <t>ussd_funeral_leads_altitude_20260619</t>
        </is>
      </c>
      <c r="J68" t="inlineStr">
        <is>
          <t>TDN</t>
        </is>
      </c>
      <c r="K68" t="inlineStr">
        <is>
          <t>Temporary Disconnected Number</t>
        </is>
      </c>
      <c r="L68" t="n">
        <v>3</v>
      </c>
      <c r="M68" t="inlineStr">
        <is>
          <t>2026-06-24 07:42:56</t>
        </is>
      </c>
      <c r="N68" t="inlineStr">
        <is>
          <t>system</t>
        </is>
      </c>
      <c r="O68" t="inlineStr">
        <is>
          <t>2026-06-19 07:10:32</t>
        </is>
      </c>
      <c r="P68" t="inlineStr">
        <is>
          <t>2026-06-19 07:10:32</t>
        </is>
      </c>
      <c r="Y68" t="inlineStr">
        <is>
          <t>27714587875</t>
        </is>
      </c>
    </row>
    <row r="69">
      <c r="A69" t="inlineStr">
        <is>
          <t>14943062</t>
        </is>
      </c>
      <c r="B69" t="inlineStr">
        <is>
          <t>3027a193-b72d-4833-bec8-9567172a8b2e</t>
        </is>
      </c>
      <c r="D69" t="inlineStr">
        <is>
          <t>30001087</t>
        </is>
      </c>
      <c r="E69" t="inlineStr">
        <is>
          <t>ussd_funeral_leads_altitude_20260619</t>
        </is>
      </c>
      <c r="J69" t="inlineStr">
        <is>
          <t>NA</t>
        </is>
      </c>
      <c r="K69" t="inlineStr">
        <is>
          <t>No Answer Autodial</t>
        </is>
      </c>
      <c r="L69" t="n">
        <v>3</v>
      </c>
      <c r="M69" t="inlineStr">
        <is>
          <t>2026-06-24 07:42:54</t>
        </is>
      </c>
      <c r="N69" t="inlineStr">
        <is>
          <t>system</t>
        </is>
      </c>
      <c r="O69" t="inlineStr">
        <is>
          <t>2026-06-19 07:10:32</t>
        </is>
      </c>
      <c r="P69" t="inlineStr">
        <is>
          <t>2026-06-19 07:10:32</t>
        </is>
      </c>
      <c r="Y69" t="inlineStr">
        <is>
          <t>27790596052</t>
        </is>
      </c>
    </row>
    <row r="70">
      <c r="A70" t="inlineStr">
        <is>
          <t>14943063</t>
        </is>
      </c>
      <c r="B70" t="inlineStr">
        <is>
          <t>fadd3923-6bd0-491b-98b0-dc668e4d86f0</t>
        </is>
      </c>
      <c r="D70" t="inlineStr">
        <is>
          <t>30001087</t>
        </is>
      </c>
      <c r="E70" t="inlineStr">
        <is>
          <t>ussd_funeral_leads_altitude_20260619</t>
        </is>
      </c>
      <c r="J70" t="inlineStr">
        <is>
          <t>AA</t>
        </is>
      </c>
      <c r="K70" t="inlineStr">
        <is>
          <t>Answering Machine Autodial</t>
        </is>
      </c>
      <c r="L70" t="n">
        <v>3</v>
      </c>
      <c r="M70" t="inlineStr">
        <is>
          <t>2026-06-24 07:42:54</t>
        </is>
      </c>
      <c r="N70" t="inlineStr">
        <is>
          <t>system</t>
        </is>
      </c>
      <c r="O70" t="inlineStr">
        <is>
          <t>2026-06-19 07:10:32</t>
        </is>
      </c>
      <c r="P70" t="inlineStr">
        <is>
          <t>2026-06-19 07:10:32</t>
        </is>
      </c>
      <c r="Y70" t="inlineStr">
        <is>
          <t>27762805946</t>
        </is>
      </c>
    </row>
    <row r="71">
      <c r="A71" t="inlineStr">
        <is>
          <t>14943059</t>
        </is>
      </c>
      <c r="B71" t="inlineStr">
        <is>
          <t>bd7cd54c-c531-4653-9ccd-772ace5506a6</t>
        </is>
      </c>
      <c r="D71" t="inlineStr">
        <is>
          <t>30001087</t>
        </is>
      </c>
      <c r="E71" t="inlineStr">
        <is>
          <t>ussd_funeral_leads_altitude_20260619</t>
        </is>
      </c>
      <c r="J71" t="inlineStr">
        <is>
          <t>AA</t>
        </is>
      </c>
      <c r="K71" t="inlineStr">
        <is>
          <t>Answering Machine Autodial</t>
        </is>
      </c>
      <c r="L71" t="n">
        <v>3</v>
      </c>
      <c r="M71" t="inlineStr">
        <is>
          <t>2026-06-24 07:42:51</t>
        </is>
      </c>
      <c r="N71" t="inlineStr">
        <is>
          <t>system</t>
        </is>
      </c>
      <c r="O71" t="inlineStr">
        <is>
          <t>2026-06-19 07:10:32</t>
        </is>
      </c>
      <c r="P71" t="inlineStr">
        <is>
          <t>2026-06-19 07:10:32</t>
        </is>
      </c>
      <c r="Y71" t="inlineStr">
        <is>
          <t>27826990848</t>
        </is>
      </c>
    </row>
    <row r="72">
      <c r="A72" t="inlineStr">
        <is>
          <t>14943060</t>
        </is>
      </c>
      <c r="B72" t="inlineStr">
        <is>
          <t>b39f8a14-82e8-4425-8c09-2c7dfa1c5501</t>
        </is>
      </c>
      <c r="D72" t="inlineStr">
        <is>
          <t>30001087</t>
        </is>
      </c>
      <c r="E72" t="inlineStr">
        <is>
          <t>ussd_funeral_leads_altitude_20260619</t>
        </is>
      </c>
      <c r="J72" t="inlineStr">
        <is>
          <t>AA</t>
        </is>
      </c>
      <c r="K72" t="inlineStr">
        <is>
          <t>Answering Machine Autodial</t>
        </is>
      </c>
      <c r="L72" t="n">
        <v>3</v>
      </c>
      <c r="M72" t="inlineStr">
        <is>
          <t>2026-06-24 07:42:51</t>
        </is>
      </c>
      <c r="N72" t="inlineStr">
        <is>
          <t>system</t>
        </is>
      </c>
      <c r="O72" t="inlineStr">
        <is>
          <t>2026-06-19 07:10:32</t>
        </is>
      </c>
      <c r="P72" t="inlineStr">
        <is>
          <t>2026-06-19 07:10:32</t>
        </is>
      </c>
      <c r="Y72" t="inlineStr">
        <is>
          <t>27773779601</t>
        </is>
      </c>
    </row>
    <row r="73">
      <c r="A73" t="inlineStr">
        <is>
          <t>14943061</t>
        </is>
      </c>
      <c r="B73" t="inlineStr">
        <is>
          <t>1769bdbf-597a-47ae-b577-a4b9732752b0</t>
        </is>
      </c>
      <c r="D73" t="inlineStr">
        <is>
          <t>30001087</t>
        </is>
      </c>
      <c r="E73" t="inlineStr">
        <is>
          <t>ussd_funeral_leads_altitude_20260619</t>
        </is>
      </c>
      <c r="J73" t="inlineStr">
        <is>
          <t>AA</t>
        </is>
      </c>
      <c r="K73" t="inlineStr">
        <is>
          <t>Answering Machine Autodial</t>
        </is>
      </c>
      <c r="L73" t="n">
        <v>3</v>
      </c>
      <c r="M73" t="inlineStr">
        <is>
          <t>2026-06-24 07:42:51</t>
        </is>
      </c>
      <c r="N73" t="inlineStr">
        <is>
          <t>system</t>
        </is>
      </c>
      <c r="O73" t="inlineStr">
        <is>
          <t>2026-06-19 07:10:32</t>
        </is>
      </c>
      <c r="P73" t="inlineStr">
        <is>
          <t>2026-06-19 07:10:32</t>
        </is>
      </c>
      <c r="Y73" t="inlineStr">
        <is>
          <t>27820817171</t>
        </is>
      </c>
    </row>
    <row r="74">
      <c r="A74" t="inlineStr">
        <is>
          <t>14943058</t>
        </is>
      </c>
      <c r="B74" t="inlineStr">
        <is>
          <t>84dd7adf-d65c-458e-9997-36cb2c157c2d</t>
        </is>
      </c>
      <c r="D74" t="inlineStr">
        <is>
          <t>30001087</t>
        </is>
      </c>
      <c r="E74" t="inlineStr">
        <is>
          <t>ussd_funeral_leads_altitude_20260619</t>
        </is>
      </c>
      <c r="J74" t="inlineStr">
        <is>
          <t>ADC</t>
        </is>
      </c>
      <c r="K74" t="inlineStr">
        <is>
          <t>Auto Dial Disconnected</t>
        </is>
      </c>
      <c r="L74" t="n">
        <v>3</v>
      </c>
      <c r="M74" t="inlineStr">
        <is>
          <t>2026-06-24 07:42:48</t>
        </is>
      </c>
      <c r="N74" t="inlineStr">
        <is>
          <t>system</t>
        </is>
      </c>
      <c r="O74" t="inlineStr">
        <is>
          <t>2026-06-19 07:10:32</t>
        </is>
      </c>
      <c r="P74" t="inlineStr">
        <is>
          <t>2026-06-19 07:10:32</t>
        </is>
      </c>
      <c r="Y74" t="inlineStr">
        <is>
          <t>27824307044</t>
        </is>
      </c>
    </row>
    <row r="75">
      <c r="A75" t="inlineStr">
        <is>
          <t>14943053</t>
        </is>
      </c>
      <c r="B75" t="inlineStr">
        <is>
          <t>a2fa7bb0-327c-45d1-99b0-ee2c519767db</t>
        </is>
      </c>
      <c r="D75" t="inlineStr">
        <is>
          <t>30001087</t>
        </is>
      </c>
      <c r="E75" t="inlineStr">
        <is>
          <t>ussd_funeral_leads_altitude_20260619</t>
        </is>
      </c>
      <c r="J75" t="inlineStr">
        <is>
          <t>AE</t>
        </is>
      </c>
      <c r="K75" t="inlineStr">
        <is>
          <t>Auto Engaged</t>
        </is>
      </c>
      <c r="L75" t="n">
        <v>3</v>
      </c>
      <c r="M75" t="inlineStr">
        <is>
          <t>2026-06-24 07:42:46</t>
        </is>
      </c>
      <c r="N75" t="inlineStr">
        <is>
          <t>system</t>
        </is>
      </c>
      <c r="O75" t="inlineStr">
        <is>
          <t>2026-06-19 07:10:32</t>
        </is>
      </c>
      <c r="P75" t="inlineStr">
        <is>
          <t>2026-06-19 07:10:32</t>
        </is>
      </c>
      <c r="Y75" t="inlineStr">
        <is>
          <t>27818525548</t>
        </is>
      </c>
    </row>
    <row r="76">
      <c r="A76" t="inlineStr">
        <is>
          <t>14943054</t>
        </is>
      </c>
      <c r="B76" t="inlineStr">
        <is>
          <t>3490ed82-48eb-426e-9e45-490ff9cb4f9e</t>
        </is>
      </c>
      <c r="D76" t="inlineStr">
        <is>
          <t>30001087</t>
        </is>
      </c>
      <c r="E76" t="inlineStr">
        <is>
          <t>ussd_funeral_leads_altitude_20260619</t>
        </is>
      </c>
      <c r="J76" t="inlineStr">
        <is>
          <t>AA</t>
        </is>
      </c>
      <c r="K76" t="inlineStr">
        <is>
          <t>Answering Machine Autodial</t>
        </is>
      </c>
      <c r="L76" t="n">
        <v>3</v>
      </c>
      <c r="M76" t="inlineStr">
        <is>
          <t>2026-06-24 07:42:46</t>
        </is>
      </c>
      <c r="N76" t="inlineStr">
        <is>
          <t>system</t>
        </is>
      </c>
      <c r="O76" t="inlineStr">
        <is>
          <t>2026-06-19 07:10:32</t>
        </is>
      </c>
      <c r="P76" t="inlineStr">
        <is>
          <t>2026-06-19 07:10:32</t>
        </is>
      </c>
      <c r="Y76" t="inlineStr">
        <is>
          <t>27720134472</t>
        </is>
      </c>
    </row>
    <row r="77">
      <c r="A77" t="inlineStr">
        <is>
          <t>14943055</t>
        </is>
      </c>
      <c r="B77" t="inlineStr">
        <is>
          <t>be5e43d8-4294-4656-abc3-ad861c9295f4</t>
        </is>
      </c>
      <c r="D77" t="inlineStr">
        <is>
          <t>30001087</t>
        </is>
      </c>
      <c r="E77" t="inlineStr">
        <is>
          <t>ussd_funeral_leads_altitude_20260619</t>
        </is>
      </c>
      <c r="J77" t="inlineStr">
        <is>
          <t>ADC</t>
        </is>
      </c>
      <c r="K77" t="inlineStr">
        <is>
          <t>Auto Dial Disconnected</t>
        </is>
      </c>
      <c r="L77" t="n">
        <v>3</v>
      </c>
      <c r="M77" t="inlineStr">
        <is>
          <t>2026-06-24 07:42:46</t>
        </is>
      </c>
      <c r="N77" t="inlineStr">
        <is>
          <t>system</t>
        </is>
      </c>
      <c r="O77" t="inlineStr">
        <is>
          <t>2026-06-19 07:10:32</t>
        </is>
      </c>
      <c r="P77" t="inlineStr">
        <is>
          <t>2026-06-19 07:10:32</t>
        </is>
      </c>
      <c r="Y77" t="inlineStr">
        <is>
          <t>27646352506</t>
        </is>
      </c>
    </row>
    <row r="78">
      <c r="A78" t="inlineStr">
        <is>
          <t>14943057</t>
        </is>
      </c>
      <c r="B78" t="inlineStr">
        <is>
          <t>c02fccd1-799c-4460-bace-98ffa6dccd7a</t>
        </is>
      </c>
      <c r="D78" t="inlineStr">
        <is>
          <t>30001087</t>
        </is>
      </c>
      <c r="E78" t="inlineStr">
        <is>
          <t>ussd_funeral_leads_altitude_20260619</t>
        </is>
      </c>
      <c r="J78" t="inlineStr">
        <is>
          <t>ADC</t>
        </is>
      </c>
      <c r="K78" t="inlineStr">
        <is>
          <t>Auto Dial Disconnected</t>
        </is>
      </c>
      <c r="L78" t="n">
        <v>3</v>
      </c>
      <c r="M78" t="inlineStr">
        <is>
          <t>2026-06-24 07:42:46</t>
        </is>
      </c>
      <c r="N78" t="inlineStr">
        <is>
          <t>system</t>
        </is>
      </c>
      <c r="O78" t="inlineStr">
        <is>
          <t>2026-06-19 07:10:32</t>
        </is>
      </c>
      <c r="P78" t="inlineStr">
        <is>
          <t>2026-06-19 07:10:32</t>
        </is>
      </c>
      <c r="Y78" t="inlineStr">
        <is>
          <t>27723965609</t>
        </is>
      </c>
    </row>
    <row r="79">
      <c r="A79" t="inlineStr">
        <is>
          <t>14943051</t>
        </is>
      </c>
      <c r="B79" t="inlineStr">
        <is>
          <t>ff6ab237-05e4-438f-9a95-c510c681ed42</t>
        </is>
      </c>
      <c r="D79" t="inlineStr">
        <is>
          <t>30001087</t>
        </is>
      </c>
      <c r="E79" t="inlineStr">
        <is>
          <t>ussd_funeral_leads_altitude_20260619</t>
        </is>
      </c>
      <c r="J79" t="inlineStr">
        <is>
          <t>CU</t>
        </is>
      </c>
      <c r="K79" t="inlineStr">
        <is>
          <t>Client Hung Up</t>
        </is>
      </c>
      <c r="L79" t="n">
        <v>3</v>
      </c>
      <c r="M79" t="inlineStr">
        <is>
          <t>2026-06-24 07:42:45</t>
        </is>
      </c>
      <c r="N79" t="inlineStr">
        <is>
          <t>Lebohang Mabotja</t>
        </is>
      </c>
      <c r="O79" t="inlineStr">
        <is>
          <t>2026-06-19 07:10:32</t>
        </is>
      </c>
      <c r="P79" t="inlineStr">
        <is>
          <t>2026-06-19 07:10:32</t>
        </is>
      </c>
      <c r="Y79" t="inlineStr">
        <is>
          <t>27609312093</t>
        </is>
      </c>
    </row>
    <row r="80">
      <c r="A80" t="inlineStr">
        <is>
          <t>14943052</t>
        </is>
      </c>
      <c r="B80" t="inlineStr">
        <is>
          <t>f3672f60-4304-4cbd-92e6-858c82bf4d76</t>
        </is>
      </c>
      <c r="D80" t="inlineStr">
        <is>
          <t>30001087</t>
        </is>
      </c>
      <c r="E80" t="inlineStr">
        <is>
          <t>ussd_funeral_leads_altitude_20260619</t>
        </is>
      </c>
      <c r="J80" t="inlineStr">
        <is>
          <t>NI</t>
        </is>
      </c>
      <c r="K80" t="inlineStr">
        <is>
          <t>Not Interested</t>
        </is>
      </c>
      <c r="L80" t="n">
        <v>3</v>
      </c>
      <c r="M80" t="inlineStr">
        <is>
          <t>2026-06-24 07:42:45</t>
        </is>
      </c>
      <c r="N80" t="inlineStr">
        <is>
          <t>Vuyiswa Nxumalo</t>
        </is>
      </c>
      <c r="O80" t="inlineStr">
        <is>
          <t>2026-06-19 07:10:32</t>
        </is>
      </c>
      <c r="P80" t="inlineStr">
        <is>
          <t>2026-06-19 07:10:32</t>
        </is>
      </c>
      <c r="Y80" t="inlineStr">
        <is>
          <t>27649670555</t>
        </is>
      </c>
    </row>
    <row r="81">
      <c r="A81" t="inlineStr">
        <is>
          <t>14943050</t>
        </is>
      </c>
      <c r="B81" t="inlineStr">
        <is>
          <t>5537ca28-4f16-44e4-b8d0-fbbe66dc81bd</t>
        </is>
      </c>
      <c r="D81" t="inlineStr">
        <is>
          <t>30001087</t>
        </is>
      </c>
      <c r="E81" t="inlineStr">
        <is>
          <t>ussd_funeral_leads_altitude_20260619</t>
        </is>
      </c>
      <c r="J81" t="inlineStr">
        <is>
          <t>AA</t>
        </is>
      </c>
      <c r="K81" t="inlineStr">
        <is>
          <t>Answering Machine Autodial</t>
        </is>
      </c>
      <c r="L81" t="n">
        <v>3</v>
      </c>
      <c r="M81" t="inlineStr">
        <is>
          <t>2026-06-24 07:42:44</t>
        </is>
      </c>
      <c r="N81" t="inlineStr">
        <is>
          <t>system</t>
        </is>
      </c>
      <c r="O81" t="inlineStr">
        <is>
          <t>2026-06-19 07:10:32</t>
        </is>
      </c>
      <c r="P81" t="inlineStr">
        <is>
          <t>2026-06-19 07:10:32</t>
        </is>
      </c>
      <c r="Y81" t="inlineStr">
        <is>
          <t>27647881644</t>
        </is>
      </c>
    </row>
    <row r="82">
      <c r="A82" t="inlineStr">
        <is>
          <t>14943049</t>
        </is>
      </c>
      <c r="B82" t="inlineStr">
        <is>
          <t>a459f71d-d86a-4544-afe1-7111b745b65b</t>
        </is>
      </c>
      <c r="D82" t="inlineStr">
        <is>
          <t>30001087</t>
        </is>
      </c>
      <c r="E82" t="inlineStr">
        <is>
          <t>ussd_funeral_leads_altitude_20260619</t>
        </is>
      </c>
      <c r="J82" t="inlineStr">
        <is>
          <t>ADC</t>
        </is>
      </c>
      <c r="K82" t="inlineStr">
        <is>
          <t>Auto Dial Disconnected</t>
        </is>
      </c>
      <c r="L82" t="n">
        <v>3</v>
      </c>
      <c r="M82" t="inlineStr">
        <is>
          <t>2026-06-24 07:42:37</t>
        </is>
      </c>
      <c r="N82" t="inlineStr">
        <is>
          <t>system</t>
        </is>
      </c>
      <c r="O82" t="inlineStr">
        <is>
          <t>2026-06-19 07:10:32</t>
        </is>
      </c>
      <c r="P82" t="inlineStr">
        <is>
          <t>2026-06-19 07:10:32</t>
        </is>
      </c>
      <c r="Y82" t="inlineStr">
        <is>
          <t>27762209503</t>
        </is>
      </c>
    </row>
    <row r="83">
      <c r="A83" t="inlineStr">
        <is>
          <t>14943048</t>
        </is>
      </c>
      <c r="B83" t="inlineStr">
        <is>
          <t>04241a81-5ba1-4fa0-9658-08aea0736093</t>
        </is>
      </c>
      <c r="D83" t="inlineStr">
        <is>
          <t>30001087</t>
        </is>
      </c>
      <c r="E83" t="inlineStr">
        <is>
          <t>ussd_funeral_leads_altitude_20260619</t>
        </is>
      </c>
      <c r="J83" t="inlineStr">
        <is>
          <t>AA</t>
        </is>
      </c>
      <c r="K83" t="inlineStr">
        <is>
          <t>Answering Machine Autodial</t>
        </is>
      </c>
      <c r="L83" t="n">
        <v>3</v>
      </c>
      <c r="M83" t="inlineStr">
        <is>
          <t>2026-06-24 07:42:26</t>
        </is>
      </c>
      <c r="N83" t="inlineStr">
        <is>
          <t>system</t>
        </is>
      </c>
      <c r="O83" t="inlineStr">
        <is>
          <t>2026-06-19 07:10:32</t>
        </is>
      </c>
      <c r="P83" t="inlineStr">
        <is>
          <t>2026-06-19 07:10:32</t>
        </is>
      </c>
      <c r="Y83" t="inlineStr">
        <is>
          <t>27796279294</t>
        </is>
      </c>
    </row>
    <row r="84">
      <c r="A84" t="inlineStr">
        <is>
          <t>14943044</t>
        </is>
      </c>
      <c r="B84" t="inlineStr">
        <is>
          <t>185aa4fa-6564-4285-aaa4-bf503fba8540</t>
        </is>
      </c>
      <c r="D84" t="inlineStr">
        <is>
          <t>30001087</t>
        </is>
      </c>
      <c r="E84" t="inlineStr">
        <is>
          <t>ussd_funeral_leads_altitude_20260619</t>
        </is>
      </c>
      <c r="J84" t="inlineStr">
        <is>
          <t>AA</t>
        </is>
      </c>
      <c r="K84" t="inlineStr">
        <is>
          <t>Answering Machine Autodial</t>
        </is>
      </c>
      <c r="L84" t="n">
        <v>3</v>
      </c>
      <c r="M84" t="inlineStr">
        <is>
          <t>2026-06-24 07:42:21</t>
        </is>
      </c>
      <c r="N84" t="inlineStr">
        <is>
          <t>system</t>
        </is>
      </c>
      <c r="O84" t="inlineStr">
        <is>
          <t>2026-06-19 07:10:32</t>
        </is>
      </c>
      <c r="P84" t="inlineStr">
        <is>
          <t>2026-06-19 07:10:32</t>
        </is>
      </c>
      <c r="Y84" t="inlineStr">
        <is>
          <t>27724953879</t>
        </is>
      </c>
    </row>
    <row r="85">
      <c r="A85" t="inlineStr">
        <is>
          <t>14943045</t>
        </is>
      </c>
      <c r="B85" t="inlineStr">
        <is>
          <t>4f7f3d92-bba0-4245-ad31-dc4b67932318</t>
        </is>
      </c>
      <c r="D85" t="inlineStr">
        <is>
          <t>30001087</t>
        </is>
      </c>
      <c r="E85" t="inlineStr">
        <is>
          <t>ussd_funeral_leads_altitude_20260619</t>
        </is>
      </c>
      <c r="J85" t="inlineStr">
        <is>
          <t>NA</t>
        </is>
      </c>
      <c r="K85" t="inlineStr">
        <is>
          <t>No Answer Autodial</t>
        </is>
      </c>
      <c r="L85" t="n">
        <v>3</v>
      </c>
      <c r="M85" t="inlineStr">
        <is>
          <t>2026-06-24 07:42:21</t>
        </is>
      </c>
      <c r="N85" t="inlineStr">
        <is>
          <t>system</t>
        </is>
      </c>
      <c r="O85" t="inlineStr">
        <is>
          <t>2026-06-19 07:10:32</t>
        </is>
      </c>
      <c r="P85" t="inlineStr">
        <is>
          <t>2026-06-19 07:10:32</t>
        </is>
      </c>
      <c r="Y85" t="inlineStr">
        <is>
          <t>27637663662</t>
        </is>
      </c>
    </row>
    <row r="86">
      <c r="A86" t="inlineStr">
        <is>
          <t>14943039</t>
        </is>
      </c>
      <c r="B86" t="inlineStr">
        <is>
          <t>207806da-b5e9-4f0e-8ce6-b536fdc58072</t>
        </is>
      </c>
      <c r="D86" t="inlineStr">
        <is>
          <t>30001087</t>
        </is>
      </c>
      <c r="E86" t="inlineStr">
        <is>
          <t>ussd_funeral_leads_altitude_20260619</t>
        </is>
      </c>
      <c r="J86" t="inlineStr">
        <is>
          <t>ADC</t>
        </is>
      </c>
      <c r="K86" t="inlineStr">
        <is>
          <t>Auto Dial Disconnected</t>
        </is>
      </c>
      <c r="L86" t="n">
        <v>3</v>
      </c>
      <c r="M86" t="inlineStr">
        <is>
          <t>2026-06-24 07:42:20</t>
        </is>
      </c>
      <c r="N86" t="inlineStr">
        <is>
          <t>system</t>
        </is>
      </c>
      <c r="O86" t="inlineStr">
        <is>
          <t>2026-06-19 07:10:32</t>
        </is>
      </c>
      <c r="P86" t="inlineStr">
        <is>
          <t>2026-06-19 07:10:32</t>
        </is>
      </c>
      <c r="Y86" t="inlineStr">
        <is>
          <t>27818423061</t>
        </is>
      </c>
    </row>
    <row r="87">
      <c r="A87" t="inlineStr">
        <is>
          <t>14943040</t>
        </is>
      </c>
      <c r="B87" t="inlineStr">
        <is>
          <t>9a717984-2717-4af2-925b-96043a074347</t>
        </is>
      </c>
      <c r="D87" t="inlineStr">
        <is>
          <t>30001087</t>
        </is>
      </c>
      <c r="E87" t="inlineStr">
        <is>
          <t>ussd_funeral_leads_altitude_20260619</t>
        </is>
      </c>
      <c r="J87" t="inlineStr">
        <is>
          <t>TDN</t>
        </is>
      </c>
      <c r="K87" t="inlineStr">
        <is>
          <t>Temporary Disconnected Number</t>
        </is>
      </c>
      <c r="L87" t="n">
        <v>3</v>
      </c>
      <c r="M87" t="inlineStr">
        <is>
          <t>2026-06-24 07:42:20</t>
        </is>
      </c>
      <c r="N87" t="inlineStr">
        <is>
          <t>system</t>
        </is>
      </c>
      <c r="O87" t="inlineStr">
        <is>
          <t>2026-06-19 07:10:32</t>
        </is>
      </c>
      <c r="P87" t="inlineStr">
        <is>
          <t>2026-06-19 07:10:32</t>
        </is>
      </c>
      <c r="Y87" t="inlineStr">
        <is>
          <t>27824859830</t>
        </is>
      </c>
    </row>
    <row r="88">
      <c r="A88" t="inlineStr">
        <is>
          <t>14943042</t>
        </is>
      </c>
      <c r="B88" t="inlineStr">
        <is>
          <t>5cb627ae-d271-4789-abc3-3dabcd8f5c15</t>
        </is>
      </c>
      <c r="D88" t="inlineStr">
        <is>
          <t>30001087</t>
        </is>
      </c>
      <c r="E88" t="inlineStr">
        <is>
          <t>ussd_funeral_leads_altitude_20260619</t>
        </is>
      </c>
      <c r="J88" t="inlineStr">
        <is>
          <t>ADC</t>
        </is>
      </c>
      <c r="K88" t="inlineStr">
        <is>
          <t>Auto Dial Disconnected</t>
        </is>
      </c>
      <c r="L88" t="n">
        <v>3</v>
      </c>
      <c r="M88" t="inlineStr">
        <is>
          <t>2026-06-24 07:42:20</t>
        </is>
      </c>
      <c r="N88" t="inlineStr">
        <is>
          <t>system</t>
        </is>
      </c>
      <c r="O88" t="inlineStr">
        <is>
          <t>2026-06-19 07:10:32</t>
        </is>
      </c>
      <c r="P88" t="inlineStr">
        <is>
          <t>2026-06-19 07:10:32</t>
        </is>
      </c>
      <c r="Y88" t="inlineStr">
        <is>
          <t>27729189178</t>
        </is>
      </c>
    </row>
    <row r="89">
      <c r="A89" t="inlineStr">
        <is>
          <t>14943037</t>
        </is>
      </c>
      <c r="B89" t="inlineStr">
        <is>
          <t>471caa57-58ec-4ab0-b8df-cf7f2a25339c</t>
        </is>
      </c>
      <c r="D89" t="inlineStr">
        <is>
          <t>30001087</t>
        </is>
      </c>
      <c r="E89" t="inlineStr">
        <is>
          <t>ussd_funeral_leads_altitude_20260619</t>
        </is>
      </c>
      <c r="J89" t="inlineStr">
        <is>
          <t>ADC</t>
        </is>
      </c>
      <c r="K89" t="inlineStr">
        <is>
          <t>Auto Dial Disconnected</t>
        </is>
      </c>
      <c r="L89" t="n">
        <v>3</v>
      </c>
      <c r="M89" t="inlineStr">
        <is>
          <t>2026-06-24 07:42:18</t>
        </is>
      </c>
      <c r="N89" t="inlineStr">
        <is>
          <t>system</t>
        </is>
      </c>
      <c r="O89" t="inlineStr">
        <is>
          <t>2026-06-19 07:10:32</t>
        </is>
      </c>
      <c r="P89" t="inlineStr">
        <is>
          <t>2026-06-19 07:10:32</t>
        </is>
      </c>
      <c r="Y89" t="inlineStr">
        <is>
          <t>27818817996</t>
        </is>
      </c>
    </row>
    <row r="90">
      <c r="A90" t="inlineStr">
        <is>
          <t>14943171</t>
        </is>
      </c>
      <c r="B90" t="inlineStr">
        <is>
          <t>4300621c-5f87-4435-8e3d-b68799c4cb7e</t>
        </is>
      </c>
      <c r="D90" t="inlineStr">
        <is>
          <t>30001087</t>
        </is>
      </c>
      <c r="E90" t="inlineStr">
        <is>
          <t>ussd_funeral_leads_altitude_20260619</t>
        </is>
      </c>
      <c r="J90" t="inlineStr">
        <is>
          <t>NA</t>
        </is>
      </c>
      <c r="K90" t="inlineStr">
        <is>
          <t>No Answer Autodial</t>
        </is>
      </c>
      <c r="L90" t="n">
        <v>3</v>
      </c>
      <c r="M90" t="inlineStr">
        <is>
          <t>2026-06-24 07:42:14</t>
        </is>
      </c>
      <c r="N90" t="inlineStr">
        <is>
          <t>system</t>
        </is>
      </c>
      <c r="O90" t="inlineStr">
        <is>
          <t>2026-06-19 07:10:32</t>
        </is>
      </c>
      <c r="P90" t="inlineStr">
        <is>
          <t>2026-06-19 07:10:32</t>
        </is>
      </c>
      <c r="Y90" t="inlineStr">
        <is>
          <t>27792568391</t>
        </is>
      </c>
    </row>
    <row r="91">
      <c r="A91" t="inlineStr">
        <is>
          <t>14943170</t>
        </is>
      </c>
      <c r="B91" t="inlineStr">
        <is>
          <t>55f48e90-0d63-4c43-956d-6d797178fa29</t>
        </is>
      </c>
      <c r="D91" t="inlineStr">
        <is>
          <t>30001087</t>
        </is>
      </c>
      <c r="E91" t="inlineStr">
        <is>
          <t>ussd_funeral_leads_altitude_20260619</t>
        </is>
      </c>
      <c r="J91" t="inlineStr">
        <is>
          <t>AA</t>
        </is>
      </c>
      <c r="K91" t="inlineStr">
        <is>
          <t>Answering Machine Autodial</t>
        </is>
      </c>
      <c r="L91" t="n">
        <v>3</v>
      </c>
      <c r="M91" t="inlineStr">
        <is>
          <t>2026-06-24 07:42:09</t>
        </is>
      </c>
      <c r="N91" t="inlineStr">
        <is>
          <t>system</t>
        </is>
      </c>
      <c r="O91" t="inlineStr">
        <is>
          <t>2026-06-19 07:10:32</t>
        </is>
      </c>
      <c r="P91" t="inlineStr">
        <is>
          <t>2026-06-19 07:10:32</t>
        </is>
      </c>
      <c r="Y91" t="inlineStr">
        <is>
          <t>27712810541</t>
        </is>
      </c>
    </row>
    <row r="92">
      <c r="A92" t="inlineStr">
        <is>
          <t>14943168</t>
        </is>
      </c>
      <c r="B92" t="inlineStr">
        <is>
          <t>c6143166-e709-412e-be5c-febf8f90bf27</t>
        </is>
      </c>
      <c r="D92" t="inlineStr">
        <is>
          <t>30001087</t>
        </is>
      </c>
      <c r="E92" t="inlineStr">
        <is>
          <t>ussd_funeral_leads_altitude_20260619</t>
        </is>
      </c>
      <c r="J92" t="inlineStr">
        <is>
          <t>TDN</t>
        </is>
      </c>
      <c r="K92" t="inlineStr">
        <is>
          <t>Temporary Disconnected Number</t>
        </is>
      </c>
      <c r="L92" t="n">
        <v>3</v>
      </c>
      <c r="M92" t="inlineStr">
        <is>
          <t>2026-06-24 07:42:01</t>
        </is>
      </c>
      <c r="N92" t="inlineStr">
        <is>
          <t>system</t>
        </is>
      </c>
      <c r="O92" t="inlineStr">
        <is>
          <t>2026-06-19 07:10:32</t>
        </is>
      </c>
      <c r="P92" t="inlineStr">
        <is>
          <t>2026-06-19 07:10:32</t>
        </is>
      </c>
      <c r="Y92" t="inlineStr">
        <is>
          <t>27769127327</t>
        </is>
      </c>
    </row>
    <row r="93">
      <c r="A93" t="inlineStr">
        <is>
          <t>14943167</t>
        </is>
      </c>
      <c r="B93" t="inlineStr">
        <is>
          <t>5b84cd4e-6180-47fb-9e84-99937a9a389c</t>
        </is>
      </c>
      <c r="D93" t="inlineStr">
        <is>
          <t>30001087</t>
        </is>
      </c>
      <c r="E93" t="inlineStr">
        <is>
          <t>ussd_funeral_leads_altitude_20260619</t>
        </is>
      </c>
      <c r="J93" t="inlineStr">
        <is>
          <t>NA</t>
        </is>
      </c>
      <c r="K93" t="inlineStr">
        <is>
          <t>No Answer Autodial</t>
        </is>
      </c>
      <c r="L93" t="n">
        <v>3</v>
      </c>
      <c r="M93" t="inlineStr">
        <is>
          <t>2026-06-24 07:42:00</t>
        </is>
      </c>
      <c r="N93" t="inlineStr">
        <is>
          <t>system</t>
        </is>
      </c>
      <c r="O93" t="inlineStr">
        <is>
          <t>2026-06-19 07:10:32</t>
        </is>
      </c>
      <c r="P93" t="inlineStr">
        <is>
          <t>2026-06-19 07:10:32</t>
        </is>
      </c>
      <c r="Y93" t="inlineStr">
        <is>
          <t>27606232281</t>
        </is>
      </c>
    </row>
    <row r="94">
      <c r="A94" t="inlineStr">
        <is>
          <t>14943164</t>
        </is>
      </c>
      <c r="B94" t="inlineStr">
        <is>
          <t>95d67a2d-f6ba-40e3-b97c-9d0f34707cfc</t>
        </is>
      </c>
      <c r="D94" t="inlineStr">
        <is>
          <t>30001087</t>
        </is>
      </c>
      <c r="E94" t="inlineStr">
        <is>
          <t>ussd_funeral_leads_altitude_20260619</t>
        </is>
      </c>
      <c r="J94" t="inlineStr">
        <is>
          <t>AA</t>
        </is>
      </c>
      <c r="K94" t="inlineStr">
        <is>
          <t>Answering Machine Autodial</t>
        </is>
      </c>
      <c r="L94" t="n">
        <v>3</v>
      </c>
      <c r="M94" t="inlineStr">
        <is>
          <t>2026-06-24 07:41:43</t>
        </is>
      </c>
      <c r="N94" t="inlineStr">
        <is>
          <t>system</t>
        </is>
      </c>
      <c r="O94" t="inlineStr">
        <is>
          <t>2026-06-19 07:10:32</t>
        </is>
      </c>
      <c r="P94" t="inlineStr">
        <is>
          <t>2026-06-19 07:10:32</t>
        </is>
      </c>
      <c r="Y94" t="inlineStr">
        <is>
          <t>27790988208</t>
        </is>
      </c>
    </row>
    <row r="95">
      <c r="A95" t="inlineStr">
        <is>
          <t>14943166</t>
        </is>
      </c>
      <c r="B95" t="inlineStr">
        <is>
          <t>ac8e9b43-e38d-4496-ad12-edd8810523e3</t>
        </is>
      </c>
      <c r="D95" t="inlineStr">
        <is>
          <t>30001087</t>
        </is>
      </c>
      <c r="E95" t="inlineStr">
        <is>
          <t>ussd_funeral_leads_altitude_20260619</t>
        </is>
      </c>
      <c r="J95" t="inlineStr">
        <is>
          <t>ADC</t>
        </is>
      </c>
      <c r="K95" t="inlineStr">
        <is>
          <t>Auto Dial Disconnected</t>
        </is>
      </c>
      <c r="L95" t="n">
        <v>3</v>
      </c>
      <c r="M95" t="inlineStr">
        <is>
          <t>2026-06-24 07:41:43</t>
        </is>
      </c>
      <c r="N95" t="inlineStr">
        <is>
          <t>system</t>
        </is>
      </c>
      <c r="O95" t="inlineStr">
        <is>
          <t>2026-06-19 07:10:32</t>
        </is>
      </c>
      <c r="P95" t="inlineStr">
        <is>
          <t>2026-06-19 07:10:32</t>
        </is>
      </c>
      <c r="Y95" t="inlineStr">
        <is>
          <t>27772506737</t>
        </is>
      </c>
    </row>
    <row r="96">
      <c r="A96" t="inlineStr">
        <is>
          <t>14943162</t>
        </is>
      </c>
      <c r="B96" t="inlineStr">
        <is>
          <t>d05250c2-96a6-4f39-96e5-49a6d18d21fb</t>
        </is>
      </c>
      <c r="D96" t="inlineStr">
        <is>
          <t>30001087</t>
        </is>
      </c>
      <c r="E96" t="inlineStr">
        <is>
          <t>ussd_funeral_leads_altitude_20260619</t>
        </is>
      </c>
      <c r="J96" t="inlineStr">
        <is>
          <t>CBACK</t>
        </is>
      </c>
      <c r="K96" t="inlineStr">
        <is>
          <t>Callback</t>
        </is>
      </c>
      <c r="L96" t="n">
        <v>3</v>
      </c>
      <c r="M96" t="inlineStr">
        <is>
          <t>2026-06-24 07:41:42</t>
        </is>
      </c>
      <c r="N96" t="inlineStr">
        <is>
          <t>Bongiwe Precious Cele</t>
        </is>
      </c>
      <c r="O96" t="inlineStr">
        <is>
          <t>2026-06-19 07:10:32</t>
        </is>
      </c>
      <c r="P96" t="inlineStr">
        <is>
          <t>2026-06-19 07:10:32</t>
        </is>
      </c>
      <c r="Y96" t="inlineStr">
        <is>
          <t>27818830522</t>
        </is>
      </c>
    </row>
    <row r="97">
      <c r="A97" t="inlineStr">
        <is>
          <t>14943163</t>
        </is>
      </c>
      <c r="B97" t="inlineStr">
        <is>
          <t>8ea2c60e-fa1e-4997-9157-e8b79e1f5b68</t>
        </is>
      </c>
      <c r="D97" t="inlineStr">
        <is>
          <t>30001087</t>
        </is>
      </c>
      <c r="E97" t="inlineStr">
        <is>
          <t>ussd_funeral_leads_altitude_20260619</t>
        </is>
      </c>
      <c r="J97" t="inlineStr">
        <is>
          <t>ADC</t>
        </is>
      </c>
      <c r="K97" t="inlineStr">
        <is>
          <t>Auto Dial Disconnected</t>
        </is>
      </c>
      <c r="L97" t="n">
        <v>3</v>
      </c>
      <c r="M97" t="inlineStr">
        <is>
          <t>2026-06-24 07:41:42</t>
        </is>
      </c>
      <c r="N97" t="inlineStr">
        <is>
          <t>system</t>
        </is>
      </c>
      <c r="O97" t="inlineStr">
        <is>
          <t>2026-06-19 07:10:32</t>
        </is>
      </c>
      <c r="P97" t="inlineStr">
        <is>
          <t>2026-06-19 07:10:32</t>
        </is>
      </c>
      <c r="Y97" t="inlineStr">
        <is>
          <t>27608445531</t>
        </is>
      </c>
    </row>
    <row r="98">
      <c r="A98" t="inlineStr">
        <is>
          <t>14943165</t>
        </is>
      </c>
      <c r="B98" t="inlineStr">
        <is>
          <t>af6bcab4-a17f-409d-aa25-782fbd1f9465</t>
        </is>
      </c>
      <c r="D98" t="inlineStr">
        <is>
          <t>30001087</t>
        </is>
      </c>
      <c r="E98" t="inlineStr">
        <is>
          <t>ussd_funeral_leads_altitude_20260619</t>
        </is>
      </c>
      <c r="J98" t="inlineStr">
        <is>
          <t>AA</t>
        </is>
      </c>
      <c r="K98" t="inlineStr">
        <is>
          <t>Answering Machine Autodial</t>
        </is>
      </c>
      <c r="L98" t="n">
        <v>3</v>
      </c>
      <c r="M98" t="inlineStr">
        <is>
          <t>2026-06-24 07:41:42</t>
        </is>
      </c>
      <c r="N98" t="inlineStr">
        <is>
          <t>system</t>
        </is>
      </c>
      <c r="O98" t="inlineStr">
        <is>
          <t>2026-06-19 07:10:32</t>
        </is>
      </c>
      <c r="P98" t="inlineStr">
        <is>
          <t>2026-06-19 07:10:32</t>
        </is>
      </c>
      <c r="Y98" t="inlineStr">
        <is>
          <t>27760318322</t>
        </is>
      </c>
    </row>
    <row r="99">
      <c r="A99" t="inlineStr">
        <is>
          <t>14943160</t>
        </is>
      </c>
      <c r="B99" t="inlineStr">
        <is>
          <t>aba8cd7f-05b8-4e14-a25e-51af457d1259</t>
        </is>
      </c>
      <c r="D99" t="inlineStr">
        <is>
          <t>30001087</t>
        </is>
      </c>
      <c r="E99" t="inlineStr">
        <is>
          <t>ussd_funeral_leads_altitude_20260619</t>
        </is>
      </c>
      <c r="J99" t="inlineStr">
        <is>
          <t>AA</t>
        </is>
      </c>
      <c r="K99" t="inlineStr">
        <is>
          <t>Answering Machine Autodial</t>
        </is>
      </c>
      <c r="L99" t="n">
        <v>3</v>
      </c>
      <c r="M99" t="inlineStr">
        <is>
          <t>2026-06-24 07:41:23</t>
        </is>
      </c>
      <c r="N99" t="inlineStr">
        <is>
          <t>system</t>
        </is>
      </c>
      <c r="O99" t="inlineStr">
        <is>
          <t>2026-06-19 07:10:32</t>
        </is>
      </c>
      <c r="P99" t="inlineStr">
        <is>
          <t>2026-06-19 07:10:32</t>
        </is>
      </c>
      <c r="Y99" t="inlineStr">
        <is>
          <t>27723534720</t>
        </is>
      </c>
    </row>
    <row r="100">
      <c r="A100" t="inlineStr">
        <is>
          <t>14943161</t>
        </is>
      </c>
      <c r="B100" t="inlineStr">
        <is>
          <t>0f803bb6-b17e-445f-9b4f-92ad1a0bbf91</t>
        </is>
      </c>
      <c r="D100" t="inlineStr">
        <is>
          <t>30001087</t>
        </is>
      </c>
      <c r="E100" t="inlineStr">
        <is>
          <t>ussd_funeral_leads_altitude_20260619</t>
        </is>
      </c>
      <c r="J100" t="inlineStr">
        <is>
          <t>NA</t>
        </is>
      </c>
      <c r="K100" t="inlineStr">
        <is>
          <t>No Answer Autodial</t>
        </is>
      </c>
      <c r="L100" t="n">
        <v>3</v>
      </c>
      <c r="M100" t="inlineStr">
        <is>
          <t>2026-06-24 07:41:23</t>
        </is>
      </c>
      <c r="N100" t="inlineStr">
        <is>
          <t>system</t>
        </is>
      </c>
      <c r="O100" t="inlineStr">
        <is>
          <t>2026-06-19 07:10:32</t>
        </is>
      </c>
      <c r="P100" t="inlineStr">
        <is>
          <t>2026-06-19 07:10:32</t>
        </is>
      </c>
      <c r="Y100" t="inlineStr">
        <is>
          <t>27797428288</t>
        </is>
      </c>
    </row>
    <row r="101">
      <c r="A101" t="inlineStr">
        <is>
          <t>14943155</t>
        </is>
      </c>
      <c r="B101" t="inlineStr">
        <is>
          <t>a2f3af4c-0866-404a-9d71-328fdd27feea</t>
        </is>
      </c>
      <c r="D101" t="inlineStr">
        <is>
          <t>30001087</t>
        </is>
      </c>
      <c r="E101" t="inlineStr">
        <is>
          <t>ussd_funeral_leads_altitude_20260619</t>
        </is>
      </c>
      <c r="J101" t="inlineStr">
        <is>
          <t>CUA</t>
        </is>
      </c>
      <c r="K101" t="inlineStr">
        <is>
          <t>Client Underage</t>
        </is>
      </c>
      <c r="L101" t="n">
        <v>3</v>
      </c>
      <c r="M101" t="inlineStr">
        <is>
          <t>2026-06-24 07:41:17</t>
        </is>
      </c>
      <c r="N101" t="inlineStr">
        <is>
          <t>Vuyiswa Nxumalo</t>
        </is>
      </c>
      <c r="O101" t="inlineStr">
        <is>
          <t>2026-06-19 07:10:32</t>
        </is>
      </c>
      <c r="P101" t="inlineStr">
        <is>
          <t>2026-06-19 07:10:32</t>
        </is>
      </c>
      <c r="Y101" t="inlineStr">
        <is>
          <t>27798443895</t>
        </is>
      </c>
    </row>
    <row r="102">
      <c r="A102" t="inlineStr">
        <is>
          <t>14943156</t>
        </is>
      </c>
      <c r="B102" t="inlineStr">
        <is>
          <t>dec85eae-a3e2-4304-9a31-6c627ce3025a</t>
        </is>
      </c>
      <c r="D102" t="inlineStr">
        <is>
          <t>30001087</t>
        </is>
      </c>
      <c r="E102" t="inlineStr">
        <is>
          <t>ussd_funeral_leads_altitude_20260619</t>
        </is>
      </c>
      <c r="J102" t="inlineStr">
        <is>
          <t>AA</t>
        </is>
      </c>
      <c r="K102" t="inlineStr">
        <is>
          <t>Answering Machine Autodial</t>
        </is>
      </c>
      <c r="L102" t="n">
        <v>3</v>
      </c>
      <c r="M102" t="inlineStr">
        <is>
          <t>2026-06-24 07:41:17</t>
        </is>
      </c>
      <c r="N102" t="inlineStr">
        <is>
          <t>system</t>
        </is>
      </c>
      <c r="O102" t="inlineStr">
        <is>
          <t>2026-06-19 07:10:32</t>
        </is>
      </c>
      <c r="P102" t="inlineStr">
        <is>
          <t>2026-06-19 07:10:32</t>
        </is>
      </c>
      <c r="Y102" t="inlineStr">
        <is>
          <t>27767897972</t>
        </is>
      </c>
    </row>
    <row r="103">
      <c r="A103" t="inlineStr">
        <is>
          <t>14943157</t>
        </is>
      </c>
      <c r="B103" t="inlineStr">
        <is>
          <t>2b4ddfe5-e2fe-4439-9b04-994860da02ad</t>
        </is>
      </c>
      <c r="D103" t="inlineStr">
        <is>
          <t>30001087</t>
        </is>
      </c>
      <c r="E103" t="inlineStr">
        <is>
          <t>ussd_funeral_leads_altitude_20260619</t>
        </is>
      </c>
      <c r="J103" t="inlineStr">
        <is>
          <t>AA</t>
        </is>
      </c>
      <c r="K103" t="inlineStr">
        <is>
          <t>Answering Machine Autodial</t>
        </is>
      </c>
      <c r="L103" t="n">
        <v>3</v>
      </c>
      <c r="M103" t="inlineStr">
        <is>
          <t>2026-06-24 07:41:17</t>
        </is>
      </c>
      <c r="N103" t="inlineStr">
        <is>
          <t>system</t>
        </is>
      </c>
      <c r="O103" t="inlineStr">
        <is>
          <t>2026-06-19 07:10:32</t>
        </is>
      </c>
      <c r="P103" t="inlineStr">
        <is>
          <t>2026-06-19 07:10:32</t>
        </is>
      </c>
      <c r="Y103" t="inlineStr">
        <is>
          <t>27767584330</t>
        </is>
      </c>
    </row>
    <row r="104">
      <c r="A104" t="inlineStr">
        <is>
          <t>14943158</t>
        </is>
      </c>
      <c r="B104" t="inlineStr">
        <is>
          <t>d6500888-e9e7-45c0-84f3-c1c80d62b190</t>
        </is>
      </c>
      <c r="D104" t="inlineStr">
        <is>
          <t>30001087</t>
        </is>
      </c>
      <c r="E104" t="inlineStr">
        <is>
          <t>ussd_funeral_leads_altitude_20260619</t>
        </is>
      </c>
      <c r="J104" t="inlineStr">
        <is>
          <t>AE</t>
        </is>
      </c>
      <c r="K104" t="inlineStr">
        <is>
          <t>Auto Engaged</t>
        </is>
      </c>
      <c r="L104" t="n">
        <v>3</v>
      </c>
      <c r="M104" t="inlineStr">
        <is>
          <t>2026-06-24 07:41:17</t>
        </is>
      </c>
      <c r="N104" t="inlineStr">
        <is>
          <t>system</t>
        </is>
      </c>
      <c r="O104" t="inlineStr">
        <is>
          <t>2026-06-19 07:10:32</t>
        </is>
      </c>
      <c r="P104" t="inlineStr">
        <is>
          <t>2026-06-19 07:10:32</t>
        </is>
      </c>
      <c r="Y104" t="inlineStr">
        <is>
          <t>27724169762</t>
        </is>
      </c>
    </row>
    <row r="105">
      <c r="A105" t="inlineStr">
        <is>
          <t>14900000</t>
        </is>
      </c>
      <c r="B105" t="inlineStr">
        <is>
          <t>9e467101-16e8-4683-9172-d432cc608c84</t>
        </is>
      </c>
      <c r="D105" t="inlineStr">
        <is>
          <t>30001087</t>
        </is>
      </c>
      <c r="E105" t="inlineStr">
        <is>
          <t>ussd_funeral_leads_altitude_20260619</t>
        </is>
      </c>
      <c r="J105" t="inlineStr">
        <is>
          <t>NA</t>
        </is>
      </c>
      <c r="K105" t="inlineStr">
        <is>
          <t>No Answer Autodial</t>
        </is>
      </c>
      <c r="L105" t="n">
        <v>3</v>
      </c>
      <c r="M105" t="inlineStr">
        <is>
          <t>2026-06-24 07:41:17</t>
        </is>
      </c>
      <c r="N105" t="inlineStr">
        <is>
          <t>system</t>
        </is>
      </c>
      <c r="O105" t="inlineStr">
        <is>
          <t>2026-06-19 07:10:32</t>
        </is>
      </c>
      <c r="P105" t="inlineStr">
        <is>
          <t>2026-06-19 07:10:32</t>
        </is>
      </c>
      <c r="Y105" t="inlineStr">
        <is>
          <t>27647759008</t>
        </is>
      </c>
    </row>
    <row r="106">
      <c r="A106" t="inlineStr">
        <is>
          <t>14943154</t>
        </is>
      </c>
      <c r="B106" t="inlineStr">
        <is>
          <t>0d4209c9-9cea-4412-9968-b6bcb74eb690</t>
        </is>
      </c>
      <c r="D106" t="inlineStr">
        <is>
          <t>30001087</t>
        </is>
      </c>
      <c r="E106" t="inlineStr">
        <is>
          <t>ussd_funeral_leads_altitude_20260619</t>
        </is>
      </c>
      <c r="J106" t="inlineStr">
        <is>
          <t>AA</t>
        </is>
      </c>
      <c r="K106" t="inlineStr">
        <is>
          <t>Answering Machine Autodial</t>
        </is>
      </c>
      <c r="L106" t="n">
        <v>3</v>
      </c>
      <c r="M106" t="inlineStr">
        <is>
          <t>2026-06-24 07:41:16</t>
        </is>
      </c>
      <c r="N106" t="inlineStr">
        <is>
          <t>system</t>
        </is>
      </c>
      <c r="O106" t="inlineStr">
        <is>
          <t>2026-06-19 07:10:32</t>
        </is>
      </c>
      <c r="P106" t="inlineStr">
        <is>
          <t>2026-06-19 07:10:32</t>
        </is>
      </c>
      <c r="Y106" t="inlineStr">
        <is>
          <t>27764802799</t>
        </is>
      </c>
    </row>
    <row r="107">
      <c r="A107" t="inlineStr">
        <is>
          <t>14943122</t>
        </is>
      </c>
      <c r="B107" t="inlineStr">
        <is>
          <t>ed01dab4-2e1d-45a8-8a3b-161a91dd08c3</t>
        </is>
      </c>
      <c r="D107" t="inlineStr">
        <is>
          <t>30001087</t>
        </is>
      </c>
      <c r="E107" t="inlineStr">
        <is>
          <t>ussd_funeral_leads_altitude_20260619</t>
        </is>
      </c>
      <c r="J107" t="inlineStr">
        <is>
          <t>AE</t>
        </is>
      </c>
      <c r="K107" t="inlineStr">
        <is>
          <t>Auto Engaged</t>
        </is>
      </c>
      <c r="L107" t="n">
        <v>3</v>
      </c>
      <c r="M107" t="inlineStr">
        <is>
          <t>2026-06-24 07:41:10</t>
        </is>
      </c>
      <c r="N107" t="inlineStr">
        <is>
          <t>system</t>
        </is>
      </c>
      <c r="O107" t="inlineStr">
        <is>
          <t>2026-06-19 07:10:32</t>
        </is>
      </c>
      <c r="P107" t="inlineStr">
        <is>
          <t>2026-06-19 07:10:32</t>
        </is>
      </c>
      <c r="Y107" t="inlineStr">
        <is>
          <t>27723772504</t>
        </is>
      </c>
    </row>
    <row r="108">
      <c r="A108" t="inlineStr">
        <is>
          <t>14947372</t>
        </is>
      </c>
      <c r="B108" t="inlineStr">
        <is>
          <t>ac12190b-6612-4094-821b-c3b979f993a7</t>
        </is>
      </c>
      <c r="D108" t="inlineStr">
        <is>
          <t>30001087</t>
        </is>
      </c>
      <c r="E108" t="inlineStr">
        <is>
          <t>ussd_funeral_leads_altitude_20260619</t>
        </is>
      </c>
      <c r="J108" t="inlineStr">
        <is>
          <t>ADC</t>
        </is>
      </c>
      <c r="K108" t="inlineStr">
        <is>
          <t>Auto Dial Disconnected</t>
        </is>
      </c>
      <c r="L108" t="n">
        <v>3</v>
      </c>
      <c r="M108" t="inlineStr">
        <is>
          <t>2026-06-24 07:41:10</t>
        </is>
      </c>
      <c r="N108" t="inlineStr">
        <is>
          <t>system</t>
        </is>
      </c>
      <c r="O108" t="inlineStr">
        <is>
          <t>2026-06-19 07:10:32</t>
        </is>
      </c>
      <c r="P108" t="inlineStr">
        <is>
          <t>2026-06-19 07:10:32</t>
        </is>
      </c>
      <c r="Y108" t="inlineStr">
        <is>
          <t>27664272438</t>
        </is>
      </c>
    </row>
    <row r="109">
      <c r="A109" t="inlineStr">
        <is>
          <t>14943119</t>
        </is>
      </c>
      <c r="B109" t="inlineStr">
        <is>
          <t>3388d1f3-9160-4ae0-980b-3ef5d166cdf6</t>
        </is>
      </c>
      <c r="D109" t="inlineStr">
        <is>
          <t>30001087</t>
        </is>
      </c>
      <c r="E109" t="inlineStr">
        <is>
          <t>ussd_funeral_leads_altitude_20260619</t>
        </is>
      </c>
      <c r="J109" t="inlineStr">
        <is>
          <t>AA</t>
        </is>
      </c>
      <c r="K109" t="inlineStr">
        <is>
          <t>Answering Machine Autodial</t>
        </is>
      </c>
      <c r="L109" t="n">
        <v>3</v>
      </c>
      <c r="M109" t="inlineStr">
        <is>
          <t>2026-06-24 07:41:06</t>
        </is>
      </c>
      <c r="N109" t="inlineStr">
        <is>
          <t>system</t>
        </is>
      </c>
      <c r="O109" t="inlineStr">
        <is>
          <t>2026-06-19 07:10:32</t>
        </is>
      </c>
      <c r="P109" t="inlineStr">
        <is>
          <t>2026-06-19 07:10:32</t>
        </is>
      </c>
      <c r="Y109" t="inlineStr">
        <is>
          <t>27712046460</t>
        </is>
      </c>
    </row>
    <row r="110">
      <c r="A110" t="inlineStr">
        <is>
          <t>14943118</t>
        </is>
      </c>
      <c r="B110" t="inlineStr">
        <is>
          <t>0133cd33-81f2-46b6-b9b5-d6eacf0352d4</t>
        </is>
      </c>
      <c r="D110" t="inlineStr">
        <is>
          <t>30001087</t>
        </is>
      </c>
      <c r="E110" t="inlineStr">
        <is>
          <t>ussd_funeral_leads_altitude_20260619</t>
        </is>
      </c>
      <c r="J110" t="inlineStr">
        <is>
          <t>AA</t>
        </is>
      </c>
      <c r="K110" t="inlineStr">
        <is>
          <t>Answering Machine Autodial</t>
        </is>
      </c>
      <c r="L110" t="n">
        <v>3</v>
      </c>
      <c r="M110" t="inlineStr">
        <is>
          <t>2026-06-24 07:41:03</t>
        </is>
      </c>
      <c r="N110" t="inlineStr">
        <is>
          <t>system</t>
        </is>
      </c>
      <c r="O110" t="inlineStr">
        <is>
          <t>2026-06-19 07:10:32</t>
        </is>
      </c>
      <c r="P110" t="inlineStr">
        <is>
          <t>2026-06-19 07:10:32</t>
        </is>
      </c>
      <c r="Y110" t="inlineStr">
        <is>
          <t>27763217152</t>
        </is>
      </c>
    </row>
    <row r="111">
      <c r="A111" t="inlineStr">
        <is>
          <t>14943117</t>
        </is>
      </c>
      <c r="B111" t="inlineStr">
        <is>
          <t>00fd71c7-148d-471a-9056-84710fc1f3ef</t>
        </is>
      </c>
      <c r="D111" t="inlineStr">
        <is>
          <t>30001087</t>
        </is>
      </c>
      <c r="E111" t="inlineStr">
        <is>
          <t>ussd_funeral_leads_altitude_20260619</t>
        </is>
      </c>
      <c r="J111" t="inlineStr">
        <is>
          <t>AA</t>
        </is>
      </c>
      <c r="K111" t="inlineStr">
        <is>
          <t>Answering Machine Autodial</t>
        </is>
      </c>
      <c r="L111" t="n">
        <v>3</v>
      </c>
      <c r="M111" t="inlineStr">
        <is>
          <t>2026-06-24 07:41:01</t>
        </is>
      </c>
      <c r="N111" t="inlineStr">
        <is>
          <t>system</t>
        </is>
      </c>
      <c r="O111" t="inlineStr">
        <is>
          <t>2026-06-19 07:10:32</t>
        </is>
      </c>
      <c r="P111" t="inlineStr">
        <is>
          <t>2026-06-19 07:10:32</t>
        </is>
      </c>
      <c r="Y111" t="inlineStr">
        <is>
          <t>27823558501</t>
        </is>
      </c>
    </row>
    <row r="112">
      <c r="A112" t="inlineStr">
        <is>
          <t>14943115</t>
        </is>
      </c>
      <c r="B112" t="inlineStr">
        <is>
          <t>9dc45b58-472d-4a04-bfcb-603d40f81e2a</t>
        </is>
      </c>
      <c r="D112" t="inlineStr">
        <is>
          <t>30001087</t>
        </is>
      </c>
      <c r="E112" t="inlineStr">
        <is>
          <t>ussd_funeral_leads_altitude_20260619</t>
        </is>
      </c>
      <c r="J112" t="inlineStr">
        <is>
          <t>AA</t>
        </is>
      </c>
      <c r="K112" t="inlineStr">
        <is>
          <t>Answering Machine Autodial</t>
        </is>
      </c>
      <c r="L112" t="n">
        <v>3</v>
      </c>
      <c r="M112" t="inlineStr">
        <is>
          <t>2026-06-24 07:41:00</t>
        </is>
      </c>
      <c r="N112" t="inlineStr">
        <is>
          <t>system</t>
        </is>
      </c>
      <c r="O112" t="inlineStr">
        <is>
          <t>2026-06-19 07:10:32</t>
        </is>
      </c>
      <c r="P112" t="inlineStr">
        <is>
          <t>2026-06-19 07:10:32</t>
        </is>
      </c>
      <c r="Y112" t="inlineStr">
        <is>
          <t>27795355531</t>
        </is>
      </c>
    </row>
    <row r="113">
      <c r="A113" t="inlineStr">
        <is>
          <t>14943116</t>
        </is>
      </c>
      <c r="B113" t="inlineStr">
        <is>
          <t>375e2a37-7505-4731-967b-c185ee30aee8</t>
        </is>
      </c>
      <c r="D113" t="inlineStr">
        <is>
          <t>30001087</t>
        </is>
      </c>
      <c r="E113" t="inlineStr">
        <is>
          <t>ussd_funeral_leads_altitude_20260619</t>
        </is>
      </c>
      <c r="J113" t="inlineStr">
        <is>
          <t>AA</t>
        </is>
      </c>
      <c r="K113" t="inlineStr">
        <is>
          <t>Answering Machine Autodial</t>
        </is>
      </c>
      <c r="L113" t="n">
        <v>3</v>
      </c>
      <c r="M113" t="inlineStr">
        <is>
          <t>2026-06-24 07:41:00</t>
        </is>
      </c>
      <c r="N113" t="inlineStr">
        <is>
          <t>system</t>
        </is>
      </c>
      <c r="O113" t="inlineStr">
        <is>
          <t>2026-06-19 07:10:32</t>
        </is>
      </c>
      <c r="P113" t="inlineStr">
        <is>
          <t>2026-06-19 07:10:32</t>
        </is>
      </c>
      <c r="Y113" t="inlineStr">
        <is>
          <t>27798663331</t>
        </is>
      </c>
    </row>
    <row r="114">
      <c r="A114" t="inlineStr">
        <is>
          <t>14943111</t>
        </is>
      </c>
      <c r="B114" t="inlineStr">
        <is>
          <t>e51ae445-2f3e-4621-8284-40b1816a445e</t>
        </is>
      </c>
      <c r="D114" t="inlineStr">
        <is>
          <t>30001087</t>
        </is>
      </c>
      <c r="E114" t="inlineStr">
        <is>
          <t>ussd_funeral_leads_altitude_20260619</t>
        </is>
      </c>
      <c r="J114" t="inlineStr">
        <is>
          <t>ADC</t>
        </is>
      </c>
      <c r="K114" t="inlineStr">
        <is>
          <t>Auto Dial Disconnected</t>
        </is>
      </c>
      <c r="L114" t="n">
        <v>3</v>
      </c>
      <c r="M114" t="inlineStr">
        <is>
          <t>2026-06-24 07:40:59</t>
        </is>
      </c>
      <c r="N114" t="inlineStr">
        <is>
          <t>system</t>
        </is>
      </c>
      <c r="O114" t="inlineStr">
        <is>
          <t>2026-06-19 07:10:32</t>
        </is>
      </c>
      <c r="P114" t="inlineStr">
        <is>
          <t>2026-06-19 07:10:32</t>
        </is>
      </c>
      <c r="Y114" t="inlineStr">
        <is>
          <t>27661245155</t>
        </is>
      </c>
    </row>
    <row r="115">
      <c r="A115" t="inlineStr">
        <is>
          <t>14943112</t>
        </is>
      </c>
      <c r="B115" t="inlineStr">
        <is>
          <t>03df3128-6492-48fa-b9c3-e00ef944a1ec</t>
        </is>
      </c>
      <c r="D115" t="inlineStr">
        <is>
          <t>30001087</t>
        </is>
      </c>
      <c r="E115" t="inlineStr">
        <is>
          <t>ussd_funeral_leads_altitude_20260619</t>
        </is>
      </c>
      <c r="J115" t="inlineStr">
        <is>
          <t>A</t>
        </is>
      </c>
      <c r="K115" t="inlineStr">
        <is>
          <t>Answering Machine</t>
        </is>
      </c>
      <c r="L115" t="n">
        <v>3</v>
      </c>
      <c r="M115" t="inlineStr">
        <is>
          <t>2026-06-24 07:40:59</t>
        </is>
      </c>
      <c r="N115" t="inlineStr">
        <is>
          <t>Bongiwe Precious Cele</t>
        </is>
      </c>
      <c r="O115" t="inlineStr">
        <is>
          <t>2026-06-19 07:10:32</t>
        </is>
      </c>
      <c r="P115" t="inlineStr">
        <is>
          <t>2026-06-19 07:10:32</t>
        </is>
      </c>
      <c r="Y115" t="inlineStr">
        <is>
          <t>27729920195</t>
        </is>
      </c>
    </row>
    <row r="116">
      <c r="A116" t="inlineStr">
        <is>
          <t>14943113</t>
        </is>
      </c>
      <c r="B116" t="inlineStr">
        <is>
          <t>10c02fbd-189e-4cb9-8c82-6f6616fe1108</t>
        </is>
      </c>
      <c r="D116" t="inlineStr">
        <is>
          <t>30001087</t>
        </is>
      </c>
      <c r="E116" t="inlineStr">
        <is>
          <t>ussd_funeral_leads_altitude_20260619</t>
        </is>
      </c>
      <c r="J116" t="inlineStr">
        <is>
          <t>AA</t>
        </is>
      </c>
      <c r="K116" t="inlineStr">
        <is>
          <t>Answering Machine Autodial</t>
        </is>
      </c>
      <c r="L116" t="n">
        <v>3</v>
      </c>
      <c r="M116" t="inlineStr">
        <is>
          <t>2026-06-24 07:40:59</t>
        </is>
      </c>
      <c r="N116" t="inlineStr">
        <is>
          <t>system</t>
        </is>
      </c>
      <c r="O116" t="inlineStr">
        <is>
          <t>2026-06-19 07:10:32</t>
        </is>
      </c>
      <c r="P116" t="inlineStr">
        <is>
          <t>2026-06-19 07:10:32</t>
        </is>
      </c>
      <c r="Y116" t="inlineStr">
        <is>
          <t>27728578411</t>
        </is>
      </c>
    </row>
    <row r="117">
      <c r="A117" t="inlineStr">
        <is>
          <t>14943114</t>
        </is>
      </c>
      <c r="B117" t="inlineStr">
        <is>
          <t>4cc0cd60-cdf2-48d4-b15d-2b1d91e133f7</t>
        </is>
      </c>
      <c r="D117" t="inlineStr">
        <is>
          <t>30001087</t>
        </is>
      </c>
      <c r="E117" t="inlineStr">
        <is>
          <t>ussd_funeral_leads_altitude_20260619</t>
        </is>
      </c>
      <c r="J117" t="inlineStr">
        <is>
          <t>CU</t>
        </is>
      </c>
      <c r="K117" t="inlineStr">
        <is>
          <t>Client Hung Up</t>
        </is>
      </c>
      <c r="L117" t="n">
        <v>3</v>
      </c>
      <c r="M117" t="inlineStr">
        <is>
          <t>2026-06-24 07:40:59</t>
        </is>
      </c>
      <c r="N117" t="inlineStr">
        <is>
          <t>Vuyiswa Nxumalo</t>
        </is>
      </c>
      <c r="O117" t="inlineStr">
        <is>
          <t>2026-06-19 07:10:32</t>
        </is>
      </c>
      <c r="P117" t="inlineStr">
        <is>
          <t>2026-06-19 07:10:32</t>
        </is>
      </c>
      <c r="Y117" t="inlineStr">
        <is>
          <t>27728858178</t>
        </is>
      </c>
    </row>
    <row r="118">
      <c r="A118" t="inlineStr">
        <is>
          <t>14943110</t>
        </is>
      </c>
      <c r="B118" t="inlineStr">
        <is>
          <t>da2ebbaf-a925-48f2-ba3b-44b6bdca6429</t>
        </is>
      </c>
      <c r="D118" t="inlineStr">
        <is>
          <t>30001087</t>
        </is>
      </c>
      <c r="E118" t="inlineStr">
        <is>
          <t>ussd_funeral_leads_altitude_20260619</t>
        </is>
      </c>
      <c r="J118" t="inlineStr">
        <is>
          <t>AA</t>
        </is>
      </c>
      <c r="K118" t="inlineStr">
        <is>
          <t>Answering Machine Autodial</t>
        </is>
      </c>
      <c r="L118" t="n">
        <v>3</v>
      </c>
      <c r="M118" t="inlineStr">
        <is>
          <t>2026-06-24 07:40:57</t>
        </is>
      </c>
      <c r="N118" t="inlineStr">
        <is>
          <t>system</t>
        </is>
      </c>
      <c r="O118" t="inlineStr">
        <is>
          <t>2026-06-19 07:10:32</t>
        </is>
      </c>
      <c r="P118" t="inlineStr">
        <is>
          <t>2026-06-19 07:10:32</t>
        </is>
      </c>
      <c r="Y118" t="inlineStr">
        <is>
          <t>27607215337</t>
        </is>
      </c>
    </row>
    <row r="119">
      <c r="A119" t="inlineStr">
        <is>
          <t>14943109</t>
        </is>
      </c>
      <c r="B119" t="inlineStr">
        <is>
          <t>1b175b4a-1759-48af-afee-7b257765aa0a</t>
        </is>
      </c>
      <c r="D119" t="inlineStr">
        <is>
          <t>30001087</t>
        </is>
      </c>
      <c r="E119" t="inlineStr">
        <is>
          <t>ussd_funeral_leads_altitude_20260619</t>
        </is>
      </c>
      <c r="J119" t="inlineStr">
        <is>
          <t>AA</t>
        </is>
      </c>
      <c r="K119" t="inlineStr">
        <is>
          <t>Answering Machine Autodial</t>
        </is>
      </c>
      <c r="L119" t="n">
        <v>3</v>
      </c>
      <c r="M119" t="inlineStr">
        <is>
          <t>2026-06-24 07:40:56</t>
        </is>
      </c>
      <c r="N119" t="inlineStr">
        <is>
          <t>system</t>
        </is>
      </c>
      <c r="O119" t="inlineStr">
        <is>
          <t>2026-06-19 07:10:32</t>
        </is>
      </c>
      <c r="P119" t="inlineStr">
        <is>
          <t>2026-06-19 07:10:32</t>
        </is>
      </c>
      <c r="Y119" t="inlineStr">
        <is>
          <t>27712126945</t>
        </is>
      </c>
    </row>
    <row r="120">
      <c r="A120" t="inlineStr">
        <is>
          <t>14943108</t>
        </is>
      </c>
      <c r="B120" t="inlineStr">
        <is>
          <t>007b5aa6-3b2f-491d-b871-c756d8ebf906</t>
        </is>
      </c>
      <c r="D120" t="inlineStr">
        <is>
          <t>30001087</t>
        </is>
      </c>
      <c r="E120" t="inlineStr">
        <is>
          <t>ussd_funeral_leads_altitude_20260619</t>
        </is>
      </c>
      <c r="J120" t="inlineStr">
        <is>
          <t>AA</t>
        </is>
      </c>
      <c r="K120" t="inlineStr">
        <is>
          <t>Answering Machine Autodial</t>
        </is>
      </c>
      <c r="L120" t="n">
        <v>3</v>
      </c>
      <c r="M120" t="inlineStr">
        <is>
          <t>2026-06-24 07:40:55</t>
        </is>
      </c>
      <c r="N120" t="inlineStr">
        <is>
          <t>system</t>
        </is>
      </c>
      <c r="O120" t="inlineStr">
        <is>
          <t>2026-06-19 07:10:32</t>
        </is>
      </c>
      <c r="P120" t="inlineStr">
        <is>
          <t>2026-06-19 07:10:32</t>
        </is>
      </c>
      <c r="Y120" t="inlineStr">
        <is>
          <t>27796968691</t>
        </is>
      </c>
    </row>
    <row r="121">
      <c r="A121" t="inlineStr">
        <is>
          <t>14943107</t>
        </is>
      </c>
      <c r="B121" t="inlineStr">
        <is>
          <t>2631411c-1ac4-49df-9f35-47994c42731c</t>
        </is>
      </c>
      <c r="D121" t="inlineStr">
        <is>
          <t>30001087</t>
        </is>
      </c>
      <c r="E121" t="inlineStr">
        <is>
          <t>ussd_funeral_leads_altitude_20260619</t>
        </is>
      </c>
      <c r="J121" t="inlineStr">
        <is>
          <t>AA</t>
        </is>
      </c>
      <c r="K121" t="inlineStr">
        <is>
          <t>Answering Machine Autodial</t>
        </is>
      </c>
      <c r="L121" t="n">
        <v>3</v>
      </c>
      <c r="M121" t="inlineStr">
        <is>
          <t>2026-06-24 07:40:50</t>
        </is>
      </c>
      <c r="N121" t="inlineStr">
        <is>
          <t>system</t>
        </is>
      </c>
      <c r="O121" t="inlineStr">
        <is>
          <t>2026-06-19 07:10:32</t>
        </is>
      </c>
      <c r="P121" t="inlineStr">
        <is>
          <t>2026-06-19 07:10:32</t>
        </is>
      </c>
      <c r="Y121" t="inlineStr">
        <is>
          <t>27768945668</t>
        </is>
      </c>
    </row>
    <row r="122">
      <c r="A122" t="inlineStr">
        <is>
          <t>14943104</t>
        </is>
      </c>
      <c r="B122" t="inlineStr">
        <is>
          <t>c218021b-9fe4-4342-90a6-d7ae43d82d57</t>
        </is>
      </c>
      <c r="D122" t="inlineStr">
        <is>
          <t>30001087</t>
        </is>
      </c>
      <c r="E122" t="inlineStr">
        <is>
          <t>ussd_funeral_leads_altitude_20260619</t>
        </is>
      </c>
      <c r="J122" t="inlineStr">
        <is>
          <t>AA</t>
        </is>
      </c>
      <c r="K122" t="inlineStr">
        <is>
          <t>Answering Machine Autodial</t>
        </is>
      </c>
      <c r="L122" t="n">
        <v>3</v>
      </c>
      <c r="M122" t="inlineStr">
        <is>
          <t>2026-06-24 07:40:40</t>
        </is>
      </c>
      <c r="N122" t="inlineStr">
        <is>
          <t>system</t>
        </is>
      </c>
      <c r="O122" t="inlineStr">
        <is>
          <t>2026-06-19 07:10:32</t>
        </is>
      </c>
      <c r="P122" t="inlineStr">
        <is>
          <t>2026-06-19 07:10:32</t>
        </is>
      </c>
      <c r="Y122" t="inlineStr">
        <is>
          <t>27648150514</t>
        </is>
      </c>
    </row>
    <row r="123">
      <c r="A123" t="inlineStr">
        <is>
          <t>14943105</t>
        </is>
      </c>
      <c r="B123" t="inlineStr">
        <is>
          <t>57247c6f-1dde-4033-8cf4-d90fc243a853</t>
        </is>
      </c>
      <c r="D123" t="inlineStr">
        <is>
          <t>30001087</t>
        </is>
      </c>
      <c r="E123" t="inlineStr">
        <is>
          <t>ussd_funeral_leads_altitude_20260619</t>
        </is>
      </c>
      <c r="J123" t="inlineStr">
        <is>
          <t>NA</t>
        </is>
      </c>
      <c r="K123" t="inlineStr">
        <is>
          <t>No Answer Autodial</t>
        </is>
      </c>
      <c r="L123" t="n">
        <v>3</v>
      </c>
      <c r="M123" t="inlineStr">
        <is>
          <t>2026-06-24 07:40:40</t>
        </is>
      </c>
      <c r="N123" t="inlineStr">
        <is>
          <t>system</t>
        </is>
      </c>
      <c r="O123" t="inlineStr">
        <is>
          <t>2026-06-19 07:10:32</t>
        </is>
      </c>
      <c r="P123" t="inlineStr">
        <is>
          <t>2026-06-19 07:10:32</t>
        </is>
      </c>
      <c r="Y123" t="inlineStr">
        <is>
          <t>27720771290</t>
        </is>
      </c>
    </row>
    <row r="124">
      <c r="A124" t="inlineStr">
        <is>
          <t>14943102</t>
        </is>
      </c>
      <c r="B124" t="inlineStr">
        <is>
          <t>08ec9690-b292-45d8-99ce-4073feb614a8</t>
        </is>
      </c>
      <c r="D124" t="inlineStr">
        <is>
          <t>30001087</t>
        </is>
      </c>
      <c r="E124" t="inlineStr">
        <is>
          <t>ussd_funeral_leads_altitude_20260619</t>
        </is>
      </c>
      <c r="J124" t="inlineStr">
        <is>
          <t>AA</t>
        </is>
      </c>
      <c r="K124" t="inlineStr">
        <is>
          <t>Answering Machine Autodial</t>
        </is>
      </c>
      <c r="L124" t="n">
        <v>3</v>
      </c>
      <c r="M124" t="inlineStr">
        <is>
          <t>2026-06-24 07:40:38</t>
        </is>
      </c>
      <c r="N124" t="inlineStr">
        <is>
          <t>system</t>
        </is>
      </c>
      <c r="O124" t="inlineStr">
        <is>
          <t>2026-06-19 07:10:32</t>
        </is>
      </c>
      <c r="P124" t="inlineStr">
        <is>
          <t>2026-06-19 07:10:32</t>
        </is>
      </c>
      <c r="Y124" t="inlineStr">
        <is>
          <t>27664181627</t>
        </is>
      </c>
    </row>
    <row r="125">
      <c r="A125" t="inlineStr">
        <is>
          <t>14943103</t>
        </is>
      </c>
      <c r="B125" t="inlineStr">
        <is>
          <t>1ac00e51-9698-46fa-9ef2-3d4d74f68cbb</t>
        </is>
      </c>
      <c r="D125" t="inlineStr">
        <is>
          <t>30001087</t>
        </is>
      </c>
      <c r="E125" t="inlineStr">
        <is>
          <t>ussd_funeral_leads_altitude_20260619</t>
        </is>
      </c>
      <c r="J125" t="inlineStr">
        <is>
          <t>AA</t>
        </is>
      </c>
      <c r="K125" t="inlineStr">
        <is>
          <t>Answering Machine Autodial</t>
        </is>
      </c>
      <c r="L125" t="n">
        <v>3</v>
      </c>
      <c r="M125" t="inlineStr">
        <is>
          <t>2026-06-24 07:40:36</t>
        </is>
      </c>
      <c r="N125" t="inlineStr">
        <is>
          <t>system</t>
        </is>
      </c>
      <c r="O125" t="inlineStr">
        <is>
          <t>2026-06-19 07:10:32</t>
        </is>
      </c>
      <c r="P125" t="inlineStr">
        <is>
          <t>2026-06-19 07:10:32</t>
        </is>
      </c>
      <c r="Y125" t="inlineStr">
        <is>
          <t>27723440466</t>
        </is>
      </c>
    </row>
    <row r="126">
      <c r="A126" t="inlineStr">
        <is>
          <t>14943096</t>
        </is>
      </c>
      <c r="B126" t="inlineStr">
        <is>
          <t>5dfdf22f-f346-4b83-98d2-f0ec02725aa9</t>
        </is>
      </c>
      <c r="D126" t="inlineStr">
        <is>
          <t>30001087</t>
        </is>
      </c>
      <c r="E126" t="inlineStr">
        <is>
          <t>ussd_funeral_leads_altitude_20260619</t>
        </is>
      </c>
      <c r="J126" t="inlineStr">
        <is>
          <t>AA</t>
        </is>
      </c>
      <c r="K126" t="inlineStr">
        <is>
          <t>Answering Machine Autodial</t>
        </is>
      </c>
      <c r="L126" t="n">
        <v>3</v>
      </c>
      <c r="M126" t="inlineStr">
        <is>
          <t>2026-06-24 07:40:32</t>
        </is>
      </c>
      <c r="N126" t="inlineStr">
        <is>
          <t>system</t>
        </is>
      </c>
      <c r="O126" t="inlineStr">
        <is>
          <t>2026-06-19 07:10:32</t>
        </is>
      </c>
      <c r="P126" t="inlineStr">
        <is>
          <t>2026-06-19 07:10:32</t>
        </is>
      </c>
      <c r="Y126" t="inlineStr">
        <is>
          <t>27760955233</t>
        </is>
      </c>
    </row>
    <row r="127">
      <c r="A127" t="inlineStr">
        <is>
          <t>14943098</t>
        </is>
      </c>
      <c r="B127" t="inlineStr">
        <is>
          <t>6e11fc97-3974-4c1e-ab61-26882917754f</t>
        </is>
      </c>
      <c r="D127" t="inlineStr">
        <is>
          <t>30001087</t>
        </is>
      </c>
      <c r="E127" t="inlineStr">
        <is>
          <t>ussd_funeral_leads_altitude_20260619</t>
        </is>
      </c>
      <c r="J127" t="inlineStr">
        <is>
          <t>AA</t>
        </is>
      </c>
      <c r="K127" t="inlineStr">
        <is>
          <t>Answering Machine Autodial</t>
        </is>
      </c>
      <c r="L127" t="n">
        <v>3</v>
      </c>
      <c r="M127" t="inlineStr">
        <is>
          <t>2026-06-24 07:40:32</t>
        </is>
      </c>
      <c r="N127" t="inlineStr">
        <is>
          <t>system</t>
        </is>
      </c>
      <c r="O127" t="inlineStr">
        <is>
          <t>2026-06-19 07:10:32</t>
        </is>
      </c>
      <c r="P127" t="inlineStr">
        <is>
          <t>2026-06-19 07:10:32</t>
        </is>
      </c>
      <c r="Y127" t="inlineStr">
        <is>
          <t>27711304361</t>
        </is>
      </c>
    </row>
    <row r="128">
      <c r="A128" t="inlineStr">
        <is>
          <t>14943099</t>
        </is>
      </c>
      <c r="B128" t="inlineStr">
        <is>
          <t>6202750f-4998-4864-a294-7f50df31d87b</t>
        </is>
      </c>
      <c r="D128" t="inlineStr">
        <is>
          <t>30001087</t>
        </is>
      </c>
      <c r="E128" t="inlineStr">
        <is>
          <t>ussd_funeral_leads_altitude_20260619</t>
        </is>
      </c>
      <c r="J128" t="inlineStr">
        <is>
          <t>AA</t>
        </is>
      </c>
      <c r="K128" t="inlineStr">
        <is>
          <t>Answering Machine Autodial</t>
        </is>
      </c>
      <c r="L128" t="n">
        <v>3</v>
      </c>
      <c r="M128" t="inlineStr">
        <is>
          <t>2026-06-24 07:40:32</t>
        </is>
      </c>
      <c r="N128" t="inlineStr">
        <is>
          <t>system</t>
        </is>
      </c>
      <c r="O128" t="inlineStr">
        <is>
          <t>2026-06-19 07:10:32</t>
        </is>
      </c>
      <c r="P128" t="inlineStr">
        <is>
          <t>2026-06-19 07:10:32</t>
        </is>
      </c>
      <c r="Y128" t="inlineStr">
        <is>
          <t>27790781300</t>
        </is>
      </c>
    </row>
    <row r="129">
      <c r="A129" t="inlineStr">
        <is>
          <t>14943100</t>
        </is>
      </c>
      <c r="B129" t="inlineStr">
        <is>
          <t>6479b52c-704f-423c-8005-ba1f983e6c18</t>
        </is>
      </c>
      <c r="D129" t="inlineStr">
        <is>
          <t>30001087</t>
        </is>
      </c>
      <c r="E129" t="inlineStr">
        <is>
          <t>ussd_funeral_leads_altitude_20260619</t>
        </is>
      </c>
      <c r="J129" t="inlineStr">
        <is>
          <t>AA</t>
        </is>
      </c>
      <c r="K129" t="inlineStr">
        <is>
          <t>Answering Machine Autodial</t>
        </is>
      </c>
      <c r="L129" t="n">
        <v>3</v>
      </c>
      <c r="M129" t="inlineStr">
        <is>
          <t>2026-06-24 07:40:32</t>
        </is>
      </c>
      <c r="N129" t="inlineStr">
        <is>
          <t>system</t>
        </is>
      </c>
      <c r="O129" t="inlineStr">
        <is>
          <t>2026-06-19 07:10:32</t>
        </is>
      </c>
      <c r="P129" t="inlineStr">
        <is>
          <t>2026-06-19 07:10:32</t>
        </is>
      </c>
      <c r="Y129" t="inlineStr">
        <is>
          <t>27798273603</t>
        </is>
      </c>
    </row>
    <row r="130">
      <c r="A130" t="inlineStr">
        <is>
          <t>14943095</t>
        </is>
      </c>
      <c r="B130" t="inlineStr">
        <is>
          <t>77b5f4d2-b301-421c-a06c-38bf1b0deaf2</t>
        </is>
      </c>
      <c r="D130" t="inlineStr">
        <is>
          <t>30001087</t>
        </is>
      </c>
      <c r="E130" t="inlineStr">
        <is>
          <t>ussd_funeral_leads_altitude_20260619</t>
        </is>
      </c>
      <c r="J130" t="inlineStr">
        <is>
          <t>AA</t>
        </is>
      </c>
      <c r="K130" t="inlineStr">
        <is>
          <t>Answering Machine Autodial</t>
        </is>
      </c>
      <c r="L130" t="n">
        <v>3</v>
      </c>
      <c r="M130" t="inlineStr">
        <is>
          <t>2026-06-24 07:40:31</t>
        </is>
      </c>
      <c r="N130" t="inlineStr">
        <is>
          <t>system</t>
        </is>
      </c>
      <c r="O130" t="inlineStr">
        <is>
          <t>2026-06-19 07:10:32</t>
        </is>
      </c>
      <c r="P130" t="inlineStr">
        <is>
          <t>2026-06-19 07:10:32</t>
        </is>
      </c>
      <c r="Y130" t="inlineStr">
        <is>
          <t>27721276384</t>
        </is>
      </c>
    </row>
    <row r="131">
      <c r="A131" t="inlineStr">
        <is>
          <t>14943097</t>
        </is>
      </c>
      <c r="B131" t="inlineStr">
        <is>
          <t>7acdab95-8513-4828-bc37-e1863037db39</t>
        </is>
      </c>
      <c r="D131" t="inlineStr">
        <is>
          <t>30001087</t>
        </is>
      </c>
      <c r="E131" t="inlineStr">
        <is>
          <t>ussd_funeral_leads_altitude_20260619</t>
        </is>
      </c>
      <c r="J131" t="inlineStr">
        <is>
          <t>NA</t>
        </is>
      </c>
      <c r="K131" t="inlineStr">
        <is>
          <t>No Answer Autodial</t>
        </is>
      </c>
      <c r="L131" t="n">
        <v>3</v>
      </c>
      <c r="M131" t="inlineStr">
        <is>
          <t>2026-06-24 07:40:31</t>
        </is>
      </c>
      <c r="N131" t="inlineStr">
        <is>
          <t>system</t>
        </is>
      </c>
      <c r="O131" t="inlineStr">
        <is>
          <t>2026-06-19 07:10:32</t>
        </is>
      </c>
      <c r="P131" t="inlineStr">
        <is>
          <t>2026-06-19 07:10:32</t>
        </is>
      </c>
      <c r="Y131" t="inlineStr">
        <is>
          <t>27824385512</t>
        </is>
      </c>
    </row>
    <row r="132">
      <c r="A132" t="inlineStr">
        <is>
          <t>14943094</t>
        </is>
      </c>
      <c r="B132" t="inlineStr">
        <is>
          <t>d6257645-6ce2-48d0-be7f-8e4a54e42cf8</t>
        </is>
      </c>
      <c r="D132" t="inlineStr">
        <is>
          <t>30001087</t>
        </is>
      </c>
      <c r="E132" t="inlineStr">
        <is>
          <t>ussd_funeral_leads_altitude_20260619</t>
        </is>
      </c>
      <c r="J132" t="inlineStr">
        <is>
          <t>NA</t>
        </is>
      </c>
      <c r="K132" t="inlineStr">
        <is>
          <t>No Answer Autodial</t>
        </is>
      </c>
      <c r="L132" t="n">
        <v>3</v>
      </c>
      <c r="M132" t="inlineStr">
        <is>
          <t>2026-06-24 07:40:27</t>
        </is>
      </c>
      <c r="N132" t="inlineStr">
        <is>
          <t>system</t>
        </is>
      </c>
      <c r="O132" t="inlineStr">
        <is>
          <t>2026-06-19 07:10:32</t>
        </is>
      </c>
      <c r="P132" t="inlineStr">
        <is>
          <t>2026-06-19 07:10:32</t>
        </is>
      </c>
      <c r="Y132" t="inlineStr">
        <is>
          <t>27720126172</t>
        </is>
      </c>
    </row>
    <row r="133">
      <c r="A133" t="inlineStr">
        <is>
          <t>14943092</t>
        </is>
      </c>
      <c r="B133" t="inlineStr">
        <is>
          <t>eae73b9d-7397-4611-b9f1-f5e775aa3700</t>
        </is>
      </c>
      <c r="D133" t="inlineStr">
        <is>
          <t>30001087</t>
        </is>
      </c>
      <c r="E133" t="inlineStr">
        <is>
          <t>ussd_funeral_leads_altitude_20260619</t>
        </is>
      </c>
      <c r="J133" t="inlineStr">
        <is>
          <t>AA</t>
        </is>
      </c>
      <c r="K133" t="inlineStr">
        <is>
          <t>Answering Machine Autodial</t>
        </is>
      </c>
      <c r="L133" t="n">
        <v>3</v>
      </c>
      <c r="M133" t="inlineStr">
        <is>
          <t>2026-06-24 07:40:26</t>
        </is>
      </c>
      <c r="N133" t="inlineStr">
        <is>
          <t>system</t>
        </is>
      </c>
      <c r="O133" t="inlineStr">
        <is>
          <t>2026-06-19 07:10:32</t>
        </is>
      </c>
      <c r="P133" t="inlineStr">
        <is>
          <t>2026-06-19 07:10:32</t>
        </is>
      </c>
      <c r="Y133" t="inlineStr">
        <is>
          <t>27791930532</t>
        </is>
      </c>
    </row>
    <row r="134">
      <c r="A134" t="inlineStr">
        <is>
          <t>14947540</t>
        </is>
      </c>
      <c r="B134" t="inlineStr">
        <is>
          <t>8af76eed-5249-493f-8bfd-6d920fb343d8</t>
        </is>
      </c>
      <c r="D134" t="inlineStr">
        <is>
          <t>30001087</t>
        </is>
      </c>
      <c r="E134" t="inlineStr">
        <is>
          <t>ussd_funeral_leads_altitude_20260619</t>
        </is>
      </c>
      <c r="J134" t="inlineStr">
        <is>
          <t>AA</t>
        </is>
      </c>
      <c r="K134" t="inlineStr">
        <is>
          <t>Answering Machine Autodial</t>
        </is>
      </c>
      <c r="L134" t="n">
        <v>3</v>
      </c>
      <c r="M134" t="inlineStr">
        <is>
          <t>2026-06-24 07:40:22</t>
        </is>
      </c>
      <c r="N134" t="inlineStr">
        <is>
          <t>system</t>
        </is>
      </c>
      <c r="O134" t="inlineStr">
        <is>
          <t>2026-06-19 07:10:32</t>
        </is>
      </c>
      <c r="P134" t="inlineStr">
        <is>
          <t>2026-06-19 07:10:32</t>
        </is>
      </c>
      <c r="Y134" t="inlineStr">
        <is>
          <t>27826289922</t>
        </is>
      </c>
    </row>
    <row r="135">
      <c r="A135" t="inlineStr">
        <is>
          <t>14947541</t>
        </is>
      </c>
      <c r="B135" t="inlineStr">
        <is>
          <t>246d33c7-a8c6-4aa8-b1c4-f602b7512132</t>
        </is>
      </c>
      <c r="D135" t="inlineStr">
        <is>
          <t>30001087</t>
        </is>
      </c>
      <c r="E135" t="inlineStr">
        <is>
          <t>ussd_funeral_leads_altitude_20260619</t>
        </is>
      </c>
      <c r="J135" t="inlineStr">
        <is>
          <t>CU</t>
        </is>
      </c>
      <c r="K135" t="inlineStr">
        <is>
          <t>Client Hung Up</t>
        </is>
      </c>
      <c r="L135" t="n">
        <v>3</v>
      </c>
      <c r="M135" t="inlineStr">
        <is>
          <t>2026-06-24 07:40:22</t>
        </is>
      </c>
      <c r="N135" t="inlineStr">
        <is>
          <t>Vuyiswa Nxumalo</t>
        </is>
      </c>
      <c r="O135" t="inlineStr">
        <is>
          <t>2026-06-19 07:10:32</t>
        </is>
      </c>
      <c r="P135" t="inlineStr">
        <is>
          <t>2026-06-19 07:10:32</t>
        </is>
      </c>
      <c r="Y135" t="inlineStr">
        <is>
          <t>27763941776</t>
        </is>
      </c>
    </row>
    <row r="136">
      <c r="A136" t="inlineStr">
        <is>
          <t>14943152</t>
        </is>
      </c>
      <c r="B136" t="inlineStr">
        <is>
          <t>984f1be0-7009-40fd-a7f2-19aec15447be</t>
        </is>
      </c>
      <c r="D136" t="inlineStr">
        <is>
          <t>30001087</t>
        </is>
      </c>
      <c r="E136" t="inlineStr">
        <is>
          <t>ussd_funeral_leads_altitude_20260619</t>
        </is>
      </c>
      <c r="J136" t="inlineStr">
        <is>
          <t>TDN</t>
        </is>
      </c>
      <c r="K136" t="inlineStr">
        <is>
          <t>Temporary Disconnected Number</t>
        </is>
      </c>
      <c r="L136" t="n">
        <v>3</v>
      </c>
      <c r="M136" t="inlineStr">
        <is>
          <t>2026-06-24 07:40:09</t>
        </is>
      </c>
      <c r="N136" t="inlineStr">
        <is>
          <t>system</t>
        </is>
      </c>
      <c r="O136" t="inlineStr">
        <is>
          <t>2026-06-19 07:10:32</t>
        </is>
      </c>
      <c r="P136" t="inlineStr">
        <is>
          <t>2026-06-19 07:10:32</t>
        </is>
      </c>
      <c r="Y136" t="inlineStr">
        <is>
          <t>27768156435</t>
        </is>
      </c>
    </row>
    <row r="137">
      <c r="A137" t="inlineStr">
        <is>
          <t>14943153</t>
        </is>
      </c>
      <c r="B137" t="inlineStr">
        <is>
          <t>8f940589-0351-4552-85cf-7ad992c4e350</t>
        </is>
      </c>
      <c r="D137" t="inlineStr">
        <is>
          <t>30001087</t>
        </is>
      </c>
      <c r="E137" t="inlineStr">
        <is>
          <t>ussd_funeral_leads_altitude_20260619</t>
        </is>
      </c>
      <c r="J137" t="inlineStr">
        <is>
          <t>NA</t>
        </is>
      </c>
      <c r="K137" t="inlineStr">
        <is>
          <t>No Answer Autodial</t>
        </is>
      </c>
      <c r="L137" t="n">
        <v>3</v>
      </c>
      <c r="M137" t="inlineStr">
        <is>
          <t>2026-06-24 07:40:09</t>
        </is>
      </c>
      <c r="N137" t="inlineStr">
        <is>
          <t>system</t>
        </is>
      </c>
      <c r="O137" t="inlineStr">
        <is>
          <t>2026-06-19 07:10:32</t>
        </is>
      </c>
      <c r="P137" t="inlineStr">
        <is>
          <t>2026-06-19 07:10:32</t>
        </is>
      </c>
      <c r="Y137" t="inlineStr">
        <is>
          <t>27726904980</t>
        </is>
      </c>
    </row>
    <row r="138">
      <c r="A138" t="inlineStr">
        <is>
          <t>14943147</t>
        </is>
      </c>
      <c r="B138" t="inlineStr">
        <is>
          <t>d5e309a4-2752-402c-9490-3b94a359fc02</t>
        </is>
      </c>
      <c r="D138" t="inlineStr">
        <is>
          <t>30001087</t>
        </is>
      </c>
      <c r="E138" t="inlineStr">
        <is>
          <t>ussd_funeral_leads_altitude_20260619</t>
        </is>
      </c>
      <c r="J138" t="inlineStr">
        <is>
          <t>TDN</t>
        </is>
      </c>
      <c r="K138" t="inlineStr">
        <is>
          <t>Temporary Disconnected Number</t>
        </is>
      </c>
      <c r="L138" t="n">
        <v>3</v>
      </c>
      <c r="M138" t="inlineStr">
        <is>
          <t>2026-06-24 07:40:02</t>
        </is>
      </c>
      <c r="N138" t="inlineStr">
        <is>
          <t>system</t>
        </is>
      </c>
      <c r="O138" t="inlineStr">
        <is>
          <t>2026-06-19 07:10:32</t>
        </is>
      </c>
      <c r="P138" t="inlineStr">
        <is>
          <t>2026-06-19 07:10:32</t>
        </is>
      </c>
      <c r="Y138" t="inlineStr">
        <is>
          <t>27729195990</t>
        </is>
      </c>
    </row>
    <row r="139">
      <c r="A139" t="inlineStr">
        <is>
          <t>14943148</t>
        </is>
      </c>
      <c r="B139" t="inlineStr">
        <is>
          <t>b6298dca-bd57-4e2a-909b-45ea35895210</t>
        </is>
      </c>
      <c r="D139" t="inlineStr">
        <is>
          <t>30001087</t>
        </is>
      </c>
      <c r="E139" t="inlineStr">
        <is>
          <t>ussd_funeral_leads_altitude_20260619</t>
        </is>
      </c>
      <c r="J139" t="inlineStr">
        <is>
          <t>AA</t>
        </is>
      </c>
      <c r="K139" t="inlineStr">
        <is>
          <t>Answering Machine Autodial</t>
        </is>
      </c>
      <c r="L139" t="n">
        <v>3</v>
      </c>
      <c r="M139" t="inlineStr">
        <is>
          <t>2026-06-24 07:40:02</t>
        </is>
      </c>
      <c r="N139" t="inlineStr">
        <is>
          <t>system</t>
        </is>
      </c>
      <c r="O139" t="inlineStr">
        <is>
          <t>2026-06-19 07:10:32</t>
        </is>
      </c>
      <c r="P139" t="inlineStr">
        <is>
          <t>2026-06-19 07:10:32</t>
        </is>
      </c>
      <c r="Y139" t="inlineStr">
        <is>
          <t>27728249363</t>
        </is>
      </c>
    </row>
    <row r="140">
      <c r="A140" t="inlineStr">
        <is>
          <t>14943149</t>
        </is>
      </c>
      <c r="B140" t="inlineStr">
        <is>
          <t>0c72f37b-edec-460d-aca0-09ba52c3954e</t>
        </is>
      </c>
      <c r="D140" t="inlineStr">
        <is>
          <t>30001087</t>
        </is>
      </c>
      <c r="E140" t="inlineStr">
        <is>
          <t>ussd_funeral_leads_altitude_20260619</t>
        </is>
      </c>
      <c r="J140" t="inlineStr">
        <is>
          <t>NA</t>
        </is>
      </c>
      <c r="K140" t="inlineStr">
        <is>
          <t>No Answer Autodial</t>
        </is>
      </c>
      <c r="L140" t="n">
        <v>3</v>
      </c>
      <c r="M140" t="inlineStr">
        <is>
          <t>2026-06-24 07:40:02</t>
        </is>
      </c>
      <c r="N140" t="inlineStr">
        <is>
          <t>system</t>
        </is>
      </c>
      <c r="O140" t="inlineStr">
        <is>
          <t>2026-06-19 07:10:32</t>
        </is>
      </c>
      <c r="P140" t="inlineStr">
        <is>
          <t>2026-06-19 07:10:32</t>
        </is>
      </c>
      <c r="Y140" t="inlineStr">
        <is>
          <t>27799703886</t>
        </is>
      </c>
    </row>
    <row r="141">
      <c r="A141" t="inlineStr">
        <is>
          <t>14943150</t>
        </is>
      </c>
      <c r="B141" t="inlineStr">
        <is>
          <t>17645ba5-118d-454e-8895-b30c85d41d12</t>
        </is>
      </c>
      <c r="D141" t="inlineStr">
        <is>
          <t>30001087</t>
        </is>
      </c>
      <c r="E141" t="inlineStr">
        <is>
          <t>ussd_funeral_leads_altitude_20260619</t>
        </is>
      </c>
      <c r="J141" t="inlineStr">
        <is>
          <t>AA</t>
        </is>
      </c>
      <c r="K141" t="inlineStr">
        <is>
          <t>Answering Machine Autodial</t>
        </is>
      </c>
      <c r="L141" t="n">
        <v>3</v>
      </c>
      <c r="M141" t="inlineStr">
        <is>
          <t>2026-06-24 07:40:02</t>
        </is>
      </c>
      <c r="N141" t="inlineStr">
        <is>
          <t>system</t>
        </is>
      </c>
      <c r="O141" t="inlineStr">
        <is>
          <t>2026-06-19 07:10:32</t>
        </is>
      </c>
      <c r="P141" t="inlineStr">
        <is>
          <t>2026-06-19 07:10:32</t>
        </is>
      </c>
      <c r="Y141" t="inlineStr">
        <is>
          <t>27793018960</t>
        </is>
      </c>
    </row>
    <row r="142">
      <c r="A142" t="inlineStr">
        <is>
          <t>14943151</t>
        </is>
      </c>
      <c r="B142" t="inlineStr">
        <is>
          <t>7188fe10-9154-47ae-a9de-958a4e03c50f</t>
        </is>
      </c>
      <c r="D142" t="inlineStr">
        <is>
          <t>30001087</t>
        </is>
      </c>
      <c r="E142" t="inlineStr">
        <is>
          <t>ussd_funeral_leads_altitude_20260619</t>
        </is>
      </c>
      <c r="J142" t="inlineStr">
        <is>
          <t>TDN</t>
        </is>
      </c>
      <c r="K142" t="inlineStr">
        <is>
          <t>Temporary Disconnected Number</t>
        </is>
      </c>
      <c r="L142" t="n">
        <v>3</v>
      </c>
      <c r="M142" t="inlineStr">
        <is>
          <t>2026-06-24 07:40:02</t>
        </is>
      </c>
      <c r="N142" t="inlineStr">
        <is>
          <t>system</t>
        </is>
      </c>
      <c r="O142" t="inlineStr">
        <is>
          <t>2026-06-19 07:10:32</t>
        </is>
      </c>
      <c r="P142" t="inlineStr">
        <is>
          <t>2026-06-19 07:10:32</t>
        </is>
      </c>
      <c r="Y142" t="inlineStr">
        <is>
          <t>27773765162</t>
        </is>
      </c>
    </row>
    <row r="143">
      <c r="A143" t="inlineStr">
        <is>
          <t>14943145</t>
        </is>
      </c>
      <c r="B143" t="inlineStr">
        <is>
          <t>1504024a-dabb-4b75-9188-3005fa7f1055</t>
        </is>
      </c>
      <c r="D143" t="inlineStr">
        <is>
          <t>30001087</t>
        </is>
      </c>
      <c r="E143" t="inlineStr">
        <is>
          <t>ussd_funeral_leads_altitude_20260619</t>
        </is>
      </c>
      <c r="J143" t="inlineStr">
        <is>
          <t>NA</t>
        </is>
      </c>
      <c r="K143" t="inlineStr">
        <is>
          <t>No Answer Autodial</t>
        </is>
      </c>
      <c r="L143" t="n">
        <v>3</v>
      </c>
      <c r="M143" t="inlineStr">
        <is>
          <t>2026-06-24 07:39:55</t>
        </is>
      </c>
      <c r="N143" t="inlineStr">
        <is>
          <t>system</t>
        </is>
      </c>
      <c r="O143" t="inlineStr">
        <is>
          <t>2026-06-19 07:10:32</t>
        </is>
      </c>
      <c r="P143" t="inlineStr">
        <is>
          <t>2026-06-19 07:10:32</t>
        </is>
      </c>
      <c r="Y143" t="inlineStr">
        <is>
          <t>27725821687</t>
        </is>
      </c>
    </row>
    <row r="144">
      <c r="A144" t="inlineStr">
        <is>
          <t>14947375</t>
        </is>
      </c>
      <c r="B144" t="inlineStr">
        <is>
          <t>f3b8a6da-a081-4753-b59e-2f4b4cd4e9a6</t>
        </is>
      </c>
      <c r="D144" t="inlineStr">
        <is>
          <t>30001087</t>
        </is>
      </c>
      <c r="E144" t="inlineStr">
        <is>
          <t>ussd_funeral_leads_altitude_20260619</t>
        </is>
      </c>
      <c r="J144" t="inlineStr">
        <is>
          <t>NA</t>
        </is>
      </c>
      <c r="K144" t="inlineStr">
        <is>
          <t>No Answer Autodial</t>
        </is>
      </c>
      <c r="L144" t="n">
        <v>3</v>
      </c>
      <c r="M144" t="inlineStr">
        <is>
          <t>2026-06-24 07:39:55</t>
        </is>
      </c>
      <c r="N144" t="inlineStr">
        <is>
          <t>system</t>
        </is>
      </c>
      <c r="O144" t="inlineStr">
        <is>
          <t>2026-06-19 07:10:32</t>
        </is>
      </c>
      <c r="P144" t="inlineStr">
        <is>
          <t>2026-06-19 07:10:32</t>
        </is>
      </c>
      <c r="Y144" t="inlineStr">
        <is>
          <t>27766655588</t>
        </is>
      </c>
    </row>
    <row r="145">
      <c r="A145" t="inlineStr">
        <is>
          <t>14943144</t>
        </is>
      </c>
      <c r="B145" t="inlineStr">
        <is>
          <t>fbd24eb2-4bbe-4bf2-bff3-c11a3fbd2d0b</t>
        </is>
      </c>
      <c r="D145" t="inlineStr">
        <is>
          <t>30001087</t>
        </is>
      </c>
      <c r="E145" t="inlineStr">
        <is>
          <t>ussd_funeral_leads_altitude_20260619</t>
        </is>
      </c>
      <c r="J145" t="inlineStr">
        <is>
          <t>AA</t>
        </is>
      </c>
      <c r="K145" t="inlineStr">
        <is>
          <t>Answering Machine Autodial</t>
        </is>
      </c>
      <c r="L145" t="n">
        <v>3</v>
      </c>
      <c r="M145" t="inlineStr">
        <is>
          <t>2026-06-24 07:39:26</t>
        </is>
      </c>
      <c r="N145" t="inlineStr">
        <is>
          <t>system</t>
        </is>
      </c>
      <c r="O145" t="inlineStr">
        <is>
          <t>2026-06-19 07:10:32</t>
        </is>
      </c>
      <c r="P145" t="inlineStr">
        <is>
          <t>2026-06-19 07:10:32</t>
        </is>
      </c>
      <c r="Y145" t="inlineStr">
        <is>
          <t>27772891184</t>
        </is>
      </c>
    </row>
    <row r="146">
      <c r="A146" t="inlineStr">
        <is>
          <t>14943142</t>
        </is>
      </c>
      <c r="B146" t="inlineStr">
        <is>
          <t>5c6c89a0-d29e-406e-8cdf-a4db743b46a5</t>
        </is>
      </c>
      <c r="D146" t="inlineStr">
        <is>
          <t>30001087</t>
        </is>
      </c>
      <c r="E146" t="inlineStr">
        <is>
          <t>ussd_funeral_leads_altitude_20260619</t>
        </is>
      </c>
      <c r="J146" t="inlineStr">
        <is>
          <t>AA</t>
        </is>
      </c>
      <c r="K146" t="inlineStr">
        <is>
          <t>Answering Machine Autodial</t>
        </is>
      </c>
      <c r="L146" t="n">
        <v>3</v>
      </c>
      <c r="M146" t="inlineStr">
        <is>
          <t>2026-06-24 07:39:24</t>
        </is>
      </c>
      <c r="N146" t="inlineStr">
        <is>
          <t>system</t>
        </is>
      </c>
      <c r="O146" t="inlineStr">
        <is>
          <t>2026-06-19 07:10:32</t>
        </is>
      </c>
      <c r="P146" t="inlineStr">
        <is>
          <t>2026-06-19 07:10:32</t>
        </is>
      </c>
      <c r="Y146" t="inlineStr">
        <is>
          <t>27763875080</t>
        </is>
      </c>
    </row>
    <row r="147">
      <c r="A147" t="inlineStr">
        <is>
          <t>14943143</t>
        </is>
      </c>
      <c r="B147" t="inlineStr">
        <is>
          <t>2eccffd2-f663-47fc-97e4-711bf7ae9a38</t>
        </is>
      </c>
      <c r="D147" t="inlineStr">
        <is>
          <t>30001087</t>
        </is>
      </c>
      <c r="E147" t="inlineStr">
        <is>
          <t>ussd_funeral_leads_altitude_20260619</t>
        </is>
      </c>
      <c r="J147" t="inlineStr">
        <is>
          <t>AA</t>
        </is>
      </c>
      <c r="K147" t="inlineStr">
        <is>
          <t>Answering Machine Autodial</t>
        </is>
      </c>
      <c r="L147" t="n">
        <v>3</v>
      </c>
      <c r="M147" t="inlineStr">
        <is>
          <t>2026-06-24 07:39:24</t>
        </is>
      </c>
      <c r="N147" t="inlineStr">
        <is>
          <t>system</t>
        </is>
      </c>
      <c r="O147" t="inlineStr">
        <is>
          <t>2026-06-19 07:10:32</t>
        </is>
      </c>
      <c r="P147" t="inlineStr">
        <is>
          <t>2026-06-19 07:10:32</t>
        </is>
      </c>
      <c r="Y147" t="inlineStr">
        <is>
          <t>27664482195</t>
        </is>
      </c>
    </row>
    <row r="148">
      <c r="A148" t="inlineStr">
        <is>
          <t>14943141</t>
        </is>
      </c>
      <c r="B148" t="inlineStr">
        <is>
          <t>c971e7ff-9992-44c1-85c3-ddddc337071f</t>
        </is>
      </c>
      <c r="D148" t="inlineStr">
        <is>
          <t>30001087</t>
        </is>
      </c>
      <c r="E148" t="inlineStr">
        <is>
          <t>ussd_funeral_leads_altitude_20260619</t>
        </is>
      </c>
      <c r="J148" t="inlineStr">
        <is>
          <t>AA</t>
        </is>
      </c>
      <c r="K148" t="inlineStr">
        <is>
          <t>Answering Machine Autodial</t>
        </is>
      </c>
      <c r="L148" t="n">
        <v>3</v>
      </c>
      <c r="M148" t="inlineStr">
        <is>
          <t>2026-06-24 07:39:23</t>
        </is>
      </c>
      <c r="N148" t="inlineStr">
        <is>
          <t>system</t>
        </is>
      </c>
      <c r="O148" t="inlineStr">
        <is>
          <t>2026-06-19 07:10:32</t>
        </is>
      </c>
      <c r="P148" t="inlineStr">
        <is>
          <t>2026-06-19 07:10:32</t>
        </is>
      </c>
      <c r="Y148" t="inlineStr">
        <is>
          <t>27795498792</t>
        </is>
      </c>
    </row>
    <row r="149">
      <c r="A149" t="inlineStr">
        <is>
          <t>14943140</t>
        </is>
      </c>
      <c r="B149" t="inlineStr">
        <is>
          <t>6a5a9200-a6b0-4a38-97fb-4998e58a93fc</t>
        </is>
      </c>
      <c r="D149" t="inlineStr">
        <is>
          <t>30001087</t>
        </is>
      </c>
      <c r="E149" t="inlineStr">
        <is>
          <t>ussd_funeral_leads_altitude_20260619</t>
        </is>
      </c>
      <c r="J149" t="inlineStr">
        <is>
          <t>ADC</t>
        </is>
      </c>
      <c r="K149" t="inlineStr">
        <is>
          <t>Auto Dial Disconnected</t>
        </is>
      </c>
      <c r="L149" t="n">
        <v>3</v>
      </c>
      <c r="M149" t="inlineStr">
        <is>
          <t>2026-06-24 07:39:21</t>
        </is>
      </c>
      <c r="N149" t="inlineStr">
        <is>
          <t>system</t>
        </is>
      </c>
      <c r="O149" t="inlineStr">
        <is>
          <t>2026-06-19 07:10:32</t>
        </is>
      </c>
      <c r="P149" t="inlineStr">
        <is>
          <t>2026-06-19 07:10:32</t>
        </is>
      </c>
      <c r="Y149" t="inlineStr">
        <is>
          <t>27825067048</t>
        </is>
      </c>
    </row>
    <row r="150">
      <c r="A150" t="inlineStr">
        <is>
          <t>14943139</t>
        </is>
      </c>
      <c r="B150" t="inlineStr">
        <is>
          <t>3457cf7b-9cdd-48cb-a536-0170a4b5d5d5</t>
        </is>
      </c>
      <c r="D150" t="inlineStr">
        <is>
          <t>30001087</t>
        </is>
      </c>
      <c r="E150" t="inlineStr">
        <is>
          <t>ussd_funeral_leads_altitude_20260619</t>
        </is>
      </c>
      <c r="J150" t="inlineStr">
        <is>
          <t>AA</t>
        </is>
      </c>
      <c r="K150" t="inlineStr">
        <is>
          <t>Answering Machine Autodial</t>
        </is>
      </c>
      <c r="L150" t="n">
        <v>3</v>
      </c>
      <c r="M150" t="inlineStr">
        <is>
          <t>2026-06-24 07:39:19</t>
        </is>
      </c>
      <c r="N150" t="inlineStr">
        <is>
          <t>system</t>
        </is>
      </c>
      <c r="O150" t="inlineStr">
        <is>
          <t>2026-06-19 07:10:32</t>
        </is>
      </c>
      <c r="P150" t="inlineStr">
        <is>
          <t>2026-06-19 07:10:32</t>
        </is>
      </c>
      <c r="Y150" t="inlineStr">
        <is>
          <t>27711032903</t>
        </is>
      </c>
    </row>
    <row r="151">
      <c r="A151" t="inlineStr">
        <is>
          <t>14943137</t>
        </is>
      </c>
      <c r="B151" t="inlineStr">
        <is>
          <t>562b1202-1ba6-4ef6-ad8f-d4c4d06adcdb</t>
        </is>
      </c>
      <c r="D151" t="inlineStr">
        <is>
          <t>30001087</t>
        </is>
      </c>
      <c r="E151" t="inlineStr">
        <is>
          <t>ussd_funeral_leads_altitude_20260619</t>
        </is>
      </c>
      <c r="J151" t="inlineStr">
        <is>
          <t>AA</t>
        </is>
      </c>
      <c r="K151" t="inlineStr">
        <is>
          <t>Answering Machine Autodial</t>
        </is>
      </c>
      <c r="L151" t="n">
        <v>3</v>
      </c>
      <c r="M151" t="inlineStr">
        <is>
          <t>2026-06-24 07:39:18</t>
        </is>
      </c>
      <c r="N151" t="inlineStr">
        <is>
          <t>system</t>
        </is>
      </c>
      <c r="O151" t="inlineStr">
        <is>
          <t>2026-06-19 07:10:32</t>
        </is>
      </c>
      <c r="P151" t="inlineStr">
        <is>
          <t>2026-06-19 07:10:32</t>
        </is>
      </c>
      <c r="Y151" t="inlineStr">
        <is>
          <t>27765024654</t>
        </is>
      </c>
    </row>
    <row r="152">
      <c r="A152" t="inlineStr">
        <is>
          <t>14943131</t>
        </is>
      </c>
      <c r="B152" t="inlineStr">
        <is>
          <t>5c617e53-d287-4db7-b6cc-d15135cb0b41</t>
        </is>
      </c>
      <c r="D152" t="inlineStr">
        <is>
          <t>30001087</t>
        </is>
      </c>
      <c r="E152" t="inlineStr">
        <is>
          <t>ussd_funeral_leads_altitude_20260619</t>
        </is>
      </c>
      <c r="J152" t="inlineStr">
        <is>
          <t>NA</t>
        </is>
      </c>
      <c r="K152" t="inlineStr">
        <is>
          <t>No Answer Autodial</t>
        </is>
      </c>
      <c r="L152" t="n">
        <v>3</v>
      </c>
      <c r="M152" t="inlineStr">
        <is>
          <t>2026-06-24 07:39:15</t>
        </is>
      </c>
      <c r="N152" t="inlineStr">
        <is>
          <t>system</t>
        </is>
      </c>
      <c r="O152" t="inlineStr">
        <is>
          <t>2026-06-19 07:10:32</t>
        </is>
      </c>
      <c r="P152" t="inlineStr">
        <is>
          <t>2026-06-19 07:10:32</t>
        </is>
      </c>
      <c r="Y152" t="inlineStr">
        <is>
          <t>27723223022</t>
        </is>
      </c>
    </row>
    <row r="153">
      <c r="A153" t="inlineStr">
        <is>
          <t>14943133</t>
        </is>
      </c>
      <c r="B153" t="inlineStr">
        <is>
          <t>4b03473c-6ef2-4929-a2e5-ca60da28f2e4</t>
        </is>
      </c>
      <c r="D153" t="inlineStr">
        <is>
          <t>30001087</t>
        </is>
      </c>
      <c r="E153" t="inlineStr">
        <is>
          <t>ussd_funeral_leads_altitude_20260619</t>
        </is>
      </c>
      <c r="J153" t="inlineStr">
        <is>
          <t>AA</t>
        </is>
      </c>
      <c r="K153" t="inlineStr">
        <is>
          <t>Answering Machine Autodial</t>
        </is>
      </c>
      <c r="L153" t="n">
        <v>3</v>
      </c>
      <c r="M153" t="inlineStr">
        <is>
          <t>2026-06-24 07:39:15</t>
        </is>
      </c>
      <c r="N153" t="inlineStr">
        <is>
          <t>system</t>
        </is>
      </c>
      <c r="O153" t="inlineStr">
        <is>
          <t>2026-06-19 07:10:32</t>
        </is>
      </c>
      <c r="P153" t="inlineStr">
        <is>
          <t>2026-06-19 07:10:32</t>
        </is>
      </c>
      <c r="Y153" t="inlineStr">
        <is>
          <t>27608389522</t>
        </is>
      </c>
    </row>
    <row r="154">
      <c r="A154" t="inlineStr">
        <is>
          <t>14943134</t>
        </is>
      </c>
      <c r="B154" t="inlineStr">
        <is>
          <t>55946ef9-014c-4acb-8e52-7492d041bd41</t>
        </is>
      </c>
      <c r="D154" t="inlineStr">
        <is>
          <t>30001087</t>
        </is>
      </c>
      <c r="E154" t="inlineStr">
        <is>
          <t>ussd_funeral_leads_altitude_20260619</t>
        </is>
      </c>
      <c r="J154" t="inlineStr">
        <is>
          <t>CU</t>
        </is>
      </c>
      <c r="K154" t="inlineStr">
        <is>
          <t>Client Hung Up</t>
        </is>
      </c>
      <c r="L154" t="n">
        <v>3</v>
      </c>
      <c r="M154" t="inlineStr">
        <is>
          <t>2026-06-24 07:39:15</t>
        </is>
      </c>
      <c r="N154" t="inlineStr">
        <is>
          <t>Gontse Monageng</t>
        </is>
      </c>
      <c r="O154" t="inlineStr">
        <is>
          <t>2026-06-19 07:10:32</t>
        </is>
      </c>
      <c r="P154" t="inlineStr">
        <is>
          <t>2026-06-19 07:10:32</t>
        </is>
      </c>
      <c r="Y154" t="inlineStr">
        <is>
          <t>27729596498</t>
        </is>
      </c>
    </row>
    <row r="155">
      <c r="A155" t="inlineStr">
        <is>
          <t>14943135</t>
        </is>
      </c>
      <c r="B155" t="inlineStr">
        <is>
          <t>70793c5d-1f63-4f49-bef6-a25a4cb57d8f</t>
        </is>
      </c>
      <c r="D155" t="inlineStr">
        <is>
          <t>30001087</t>
        </is>
      </c>
      <c r="E155" t="inlineStr">
        <is>
          <t>ussd_funeral_leads_altitude_20260619</t>
        </is>
      </c>
      <c r="J155" t="inlineStr">
        <is>
          <t>NA</t>
        </is>
      </c>
      <c r="K155" t="inlineStr">
        <is>
          <t>No Answer Autodial</t>
        </is>
      </c>
      <c r="L155" t="n">
        <v>3</v>
      </c>
      <c r="M155" t="inlineStr">
        <is>
          <t>2026-06-24 07:39:15</t>
        </is>
      </c>
      <c r="N155" t="inlineStr">
        <is>
          <t>system</t>
        </is>
      </c>
      <c r="O155" t="inlineStr">
        <is>
          <t>2026-06-19 07:10:32</t>
        </is>
      </c>
      <c r="P155" t="inlineStr">
        <is>
          <t>2026-06-19 07:10:32</t>
        </is>
      </c>
      <c r="Y155" t="inlineStr">
        <is>
          <t>27662201128</t>
        </is>
      </c>
    </row>
    <row r="156">
      <c r="A156" t="inlineStr">
        <is>
          <t>14943136</t>
        </is>
      </c>
      <c r="B156" t="inlineStr">
        <is>
          <t>88be3b09-9156-4f21-9d17-a437f96548ba</t>
        </is>
      </c>
      <c r="D156" t="inlineStr">
        <is>
          <t>30001087</t>
        </is>
      </c>
      <c r="E156" t="inlineStr">
        <is>
          <t>ussd_funeral_leads_altitude_20260619</t>
        </is>
      </c>
      <c r="J156" t="inlineStr">
        <is>
          <t>AA</t>
        </is>
      </c>
      <c r="K156" t="inlineStr">
        <is>
          <t>Answering Machine Autodial</t>
        </is>
      </c>
      <c r="L156" t="n">
        <v>3</v>
      </c>
      <c r="M156" t="inlineStr">
        <is>
          <t>2026-06-24 07:39:15</t>
        </is>
      </c>
      <c r="N156" t="inlineStr">
        <is>
          <t>system</t>
        </is>
      </c>
      <c r="O156" t="inlineStr">
        <is>
          <t>2026-06-19 07:10:32</t>
        </is>
      </c>
      <c r="P156" t="inlineStr">
        <is>
          <t>2026-06-19 07:10:32</t>
        </is>
      </c>
      <c r="Y156" t="inlineStr">
        <is>
          <t>27661662175</t>
        </is>
      </c>
    </row>
    <row r="157">
      <c r="A157" t="inlineStr">
        <is>
          <t>14943130</t>
        </is>
      </c>
      <c r="B157" t="inlineStr">
        <is>
          <t>9a4b7907-82ef-43fc-a6b9-ebba3a7c1971</t>
        </is>
      </c>
      <c r="D157" t="inlineStr">
        <is>
          <t>30001087</t>
        </is>
      </c>
      <c r="E157" t="inlineStr">
        <is>
          <t>ussd_funeral_leads_altitude_20260619</t>
        </is>
      </c>
      <c r="J157" t="inlineStr">
        <is>
          <t>NA</t>
        </is>
      </c>
      <c r="K157" t="inlineStr">
        <is>
          <t>No Answer Autodial</t>
        </is>
      </c>
      <c r="L157" t="n">
        <v>3</v>
      </c>
      <c r="M157" t="inlineStr">
        <is>
          <t>2026-06-24 07:39:14</t>
        </is>
      </c>
      <c r="N157" t="inlineStr">
        <is>
          <t>system</t>
        </is>
      </c>
      <c r="O157" t="inlineStr">
        <is>
          <t>2026-06-19 07:10:32</t>
        </is>
      </c>
      <c r="P157" t="inlineStr">
        <is>
          <t>2026-06-19 07:10:32</t>
        </is>
      </c>
      <c r="Y157" t="inlineStr">
        <is>
          <t>27797636163</t>
        </is>
      </c>
    </row>
    <row r="158">
      <c r="A158" t="inlineStr">
        <is>
          <t>14943129</t>
        </is>
      </c>
      <c r="B158" t="inlineStr">
        <is>
          <t>9f0a5b38-8ddf-4525-8e93-980329a19180</t>
        </is>
      </c>
      <c r="D158" t="inlineStr">
        <is>
          <t>30001087</t>
        </is>
      </c>
      <c r="E158" t="inlineStr">
        <is>
          <t>ussd_funeral_leads_altitude_20260619</t>
        </is>
      </c>
      <c r="J158" t="inlineStr">
        <is>
          <t>AA</t>
        </is>
      </c>
      <c r="K158" t="inlineStr">
        <is>
          <t>Answering Machine Autodial</t>
        </is>
      </c>
      <c r="L158" t="n">
        <v>3</v>
      </c>
      <c r="M158" t="inlineStr">
        <is>
          <t>2026-06-24 07:39:10</t>
        </is>
      </c>
      <c r="N158" t="inlineStr">
        <is>
          <t>system</t>
        </is>
      </c>
      <c r="O158" t="inlineStr">
        <is>
          <t>2026-06-19 07:10:32</t>
        </is>
      </c>
      <c r="P158" t="inlineStr">
        <is>
          <t>2026-06-19 07:10:32</t>
        </is>
      </c>
      <c r="Y158" t="inlineStr">
        <is>
          <t>27649206144</t>
        </is>
      </c>
    </row>
    <row r="159">
      <c r="A159" t="inlineStr">
        <is>
          <t>14943121</t>
        </is>
      </c>
      <c r="B159" t="inlineStr">
        <is>
          <t>ee0b84a2-993e-465e-985b-91bf6c205435</t>
        </is>
      </c>
      <c r="D159" t="inlineStr">
        <is>
          <t>30001087</t>
        </is>
      </c>
      <c r="E159" t="inlineStr">
        <is>
          <t>ussd_funeral_leads_altitude_20260619</t>
        </is>
      </c>
      <c r="J159" t="inlineStr">
        <is>
          <t>AA</t>
        </is>
      </c>
      <c r="K159" t="inlineStr">
        <is>
          <t>Answering Machine Autodial</t>
        </is>
      </c>
      <c r="L159" t="n">
        <v>3</v>
      </c>
      <c r="M159" t="inlineStr">
        <is>
          <t>2026-06-24 07:39:08</t>
        </is>
      </c>
      <c r="N159" t="inlineStr">
        <is>
          <t>system</t>
        </is>
      </c>
      <c r="O159" t="inlineStr">
        <is>
          <t>2026-06-19 07:10:32</t>
        </is>
      </c>
      <c r="P159" t="inlineStr">
        <is>
          <t>2026-06-19 07:10:32</t>
        </is>
      </c>
      <c r="Y159" t="inlineStr">
        <is>
          <t>27791365962</t>
        </is>
      </c>
    </row>
    <row r="160">
      <c r="A160" t="inlineStr">
        <is>
          <t>14943123</t>
        </is>
      </c>
      <c r="B160" t="inlineStr">
        <is>
          <t>ca8b9c0b-da2f-49b7-a00f-4576f0574842</t>
        </is>
      </c>
      <c r="D160" t="inlineStr">
        <is>
          <t>30001087</t>
        </is>
      </c>
      <c r="E160" t="inlineStr">
        <is>
          <t>ussd_funeral_leads_altitude_20260619</t>
        </is>
      </c>
      <c r="J160" t="inlineStr">
        <is>
          <t>TDN</t>
        </is>
      </c>
      <c r="K160" t="inlineStr">
        <is>
          <t>Temporary Disconnected Number</t>
        </is>
      </c>
      <c r="L160" t="n">
        <v>3</v>
      </c>
      <c r="M160" t="inlineStr">
        <is>
          <t>2026-06-24 07:39:08</t>
        </is>
      </c>
      <c r="N160" t="inlineStr">
        <is>
          <t>system</t>
        </is>
      </c>
      <c r="O160" t="inlineStr">
        <is>
          <t>2026-06-19 07:10:32</t>
        </is>
      </c>
      <c r="P160" t="inlineStr">
        <is>
          <t>2026-06-19 07:10:32</t>
        </is>
      </c>
      <c r="Y160" t="inlineStr">
        <is>
          <t>27763933376</t>
        </is>
      </c>
    </row>
    <row r="161">
      <c r="A161" t="inlineStr">
        <is>
          <t>14943124</t>
        </is>
      </c>
      <c r="B161" t="inlineStr">
        <is>
          <t>1eefc12f-f781-4626-94d1-cfa938ffb3a9</t>
        </is>
      </c>
      <c r="D161" t="inlineStr">
        <is>
          <t>30001087</t>
        </is>
      </c>
      <c r="E161" t="inlineStr">
        <is>
          <t>ussd_funeral_leads_altitude_20260619</t>
        </is>
      </c>
      <c r="J161" t="inlineStr">
        <is>
          <t>ADC</t>
        </is>
      </c>
      <c r="K161" t="inlineStr">
        <is>
          <t>Auto Dial Disconnected</t>
        </is>
      </c>
      <c r="L161" t="n">
        <v>3</v>
      </c>
      <c r="M161" t="inlineStr">
        <is>
          <t>2026-06-24 07:39:08</t>
        </is>
      </c>
      <c r="N161" t="inlineStr">
        <is>
          <t>system</t>
        </is>
      </c>
      <c r="O161" t="inlineStr">
        <is>
          <t>2026-06-19 07:10:32</t>
        </is>
      </c>
      <c r="P161" t="inlineStr">
        <is>
          <t>2026-06-19 07:10:32</t>
        </is>
      </c>
      <c r="Y161" t="inlineStr">
        <is>
          <t>27607326372</t>
        </is>
      </c>
    </row>
    <row r="162">
      <c r="A162" t="inlineStr">
        <is>
          <t>14943125</t>
        </is>
      </c>
      <c r="B162" t="inlineStr">
        <is>
          <t>fe56a8d5-74cd-4e51-aef2-e2e138ccd34d</t>
        </is>
      </c>
      <c r="D162" t="inlineStr">
        <is>
          <t>30001087</t>
        </is>
      </c>
      <c r="E162" t="inlineStr">
        <is>
          <t>ussd_funeral_leads_altitude_20260619</t>
        </is>
      </c>
      <c r="J162" t="inlineStr">
        <is>
          <t>AE</t>
        </is>
      </c>
      <c r="K162" t="inlineStr">
        <is>
          <t>Auto Engaged</t>
        </is>
      </c>
      <c r="L162" t="n">
        <v>3</v>
      </c>
      <c r="M162" t="inlineStr">
        <is>
          <t>2026-06-24 07:39:08</t>
        </is>
      </c>
      <c r="N162" t="inlineStr">
        <is>
          <t>system</t>
        </is>
      </c>
      <c r="O162" t="inlineStr">
        <is>
          <t>2026-06-19 07:10:32</t>
        </is>
      </c>
      <c r="P162" t="inlineStr">
        <is>
          <t>2026-06-19 07:10:32</t>
        </is>
      </c>
      <c r="Y162" t="inlineStr">
        <is>
          <t>27763928378</t>
        </is>
      </c>
    </row>
    <row r="163">
      <c r="A163" t="inlineStr">
        <is>
          <t>14943126</t>
        </is>
      </c>
      <c r="B163" t="inlineStr">
        <is>
          <t>76503073-2dca-48bc-9597-eab3a8fd62ed</t>
        </is>
      </c>
      <c r="D163" t="inlineStr">
        <is>
          <t>30001087</t>
        </is>
      </c>
      <c r="E163" t="inlineStr">
        <is>
          <t>ussd_funeral_leads_altitude_20260619</t>
        </is>
      </c>
      <c r="J163" t="inlineStr">
        <is>
          <t>NA</t>
        </is>
      </c>
      <c r="K163" t="inlineStr">
        <is>
          <t>No Answer Autodial</t>
        </is>
      </c>
      <c r="L163" t="n">
        <v>3</v>
      </c>
      <c r="M163" t="inlineStr">
        <is>
          <t>2026-06-24 07:39:08</t>
        </is>
      </c>
      <c r="N163" t="inlineStr">
        <is>
          <t>system</t>
        </is>
      </c>
      <c r="O163" t="inlineStr">
        <is>
          <t>2026-06-19 07:10:32</t>
        </is>
      </c>
      <c r="P163" t="inlineStr">
        <is>
          <t>2026-06-19 07:10:32</t>
        </is>
      </c>
      <c r="Y163" t="inlineStr">
        <is>
          <t>27647272740</t>
        </is>
      </c>
    </row>
    <row r="164">
      <c r="A164" t="inlineStr">
        <is>
          <t>14943127</t>
        </is>
      </c>
      <c r="B164" t="inlineStr">
        <is>
          <t>94a040bf-c8ea-4b59-aaee-27c8f1115ee4</t>
        </is>
      </c>
      <c r="D164" t="inlineStr">
        <is>
          <t>30001087</t>
        </is>
      </c>
      <c r="E164" t="inlineStr">
        <is>
          <t>ussd_funeral_leads_altitude_20260619</t>
        </is>
      </c>
      <c r="J164" t="inlineStr">
        <is>
          <t>CU</t>
        </is>
      </c>
      <c r="K164" t="inlineStr">
        <is>
          <t>Client Hung Up</t>
        </is>
      </c>
      <c r="L164" t="n">
        <v>3</v>
      </c>
      <c r="M164" t="inlineStr">
        <is>
          <t>2026-06-24 07:39:08</t>
        </is>
      </c>
      <c r="N164" t="inlineStr">
        <is>
          <t>Vuyiswa Nxumalo</t>
        </is>
      </c>
      <c r="O164" t="inlineStr">
        <is>
          <t>2026-06-19 07:10:32</t>
        </is>
      </c>
      <c r="P164" t="inlineStr">
        <is>
          <t>2026-06-19 07:10:32</t>
        </is>
      </c>
      <c r="Y164" t="inlineStr">
        <is>
          <t>27673725863</t>
        </is>
      </c>
    </row>
    <row r="165">
      <c r="A165" t="inlineStr">
        <is>
          <t>14943225</t>
        </is>
      </c>
      <c r="B165" t="inlineStr">
        <is>
          <t>2f3dc13a-6c80-4b45-8213-a882bf3b8343</t>
        </is>
      </c>
      <c r="D165" t="inlineStr">
        <is>
          <t>30001087</t>
        </is>
      </c>
      <c r="E165" t="inlineStr">
        <is>
          <t>ussd_funeral_leads_altitude_20260619</t>
        </is>
      </c>
      <c r="H165" t="inlineStr">
        <is>
          <t>27762570197</t>
        </is>
      </c>
      <c r="J165" t="inlineStr">
        <is>
          <t>AA</t>
        </is>
      </c>
      <c r="K165" t="inlineStr">
        <is>
          <t>Answering Machine Autodial</t>
        </is>
      </c>
      <c r="L165" t="n">
        <v>3</v>
      </c>
      <c r="M165" t="inlineStr">
        <is>
          <t>2026-06-24 07:37:43</t>
        </is>
      </c>
      <c r="N165" t="inlineStr">
        <is>
          <t>system</t>
        </is>
      </c>
      <c r="O165" t="inlineStr">
        <is>
          <t>2026-06-19 07:10:32</t>
        </is>
      </c>
      <c r="P165" t="inlineStr">
        <is>
          <t>2026-06-19 07:10:32</t>
        </is>
      </c>
      <c r="Y165" t="inlineStr">
        <is>
          <t>27762570197</t>
        </is>
      </c>
    </row>
    <row r="166">
      <c r="A166" t="inlineStr">
        <is>
          <t>14943223</t>
        </is>
      </c>
      <c r="B166" t="inlineStr">
        <is>
          <t>da883c3f-f482-49de-a757-902cb4e6f962</t>
        </is>
      </c>
      <c r="D166" t="inlineStr">
        <is>
          <t>30001087</t>
        </is>
      </c>
      <c r="E166" t="inlineStr">
        <is>
          <t>ussd_funeral_leads_altitude_20260619</t>
        </is>
      </c>
      <c r="J166" t="inlineStr">
        <is>
          <t>ADC</t>
        </is>
      </c>
      <c r="K166" t="inlineStr">
        <is>
          <t>Auto Dial Disconnected</t>
        </is>
      </c>
      <c r="L166" t="n">
        <v>3</v>
      </c>
      <c r="M166" t="inlineStr">
        <is>
          <t>2026-06-24 07:37:42</t>
        </is>
      </c>
      <c r="N166" t="inlineStr">
        <is>
          <t>system</t>
        </is>
      </c>
      <c r="O166" t="inlineStr">
        <is>
          <t>2026-06-19 07:10:32</t>
        </is>
      </c>
      <c r="P166" t="inlineStr">
        <is>
          <t>2026-06-19 07:10:32</t>
        </is>
      </c>
      <c r="Y166" t="inlineStr">
        <is>
          <t>27712942457</t>
        </is>
      </c>
    </row>
    <row r="167">
      <c r="A167" t="inlineStr">
        <is>
          <t>14943221</t>
        </is>
      </c>
      <c r="B167" t="inlineStr">
        <is>
          <t>74eab6da-10a5-4961-80df-1376d5dc7f61</t>
        </is>
      </c>
      <c r="D167" t="inlineStr">
        <is>
          <t>30001087</t>
        </is>
      </c>
      <c r="E167" t="inlineStr">
        <is>
          <t>ussd_funeral_leads_altitude_20260619</t>
        </is>
      </c>
      <c r="J167" t="inlineStr">
        <is>
          <t>NA</t>
        </is>
      </c>
      <c r="K167" t="inlineStr">
        <is>
          <t>No Answer Autodial</t>
        </is>
      </c>
      <c r="L167" t="n">
        <v>3</v>
      </c>
      <c r="M167" t="inlineStr">
        <is>
          <t>2026-06-24 07:37:41</t>
        </is>
      </c>
      <c r="N167" t="inlineStr">
        <is>
          <t>system</t>
        </is>
      </c>
      <c r="O167" t="inlineStr">
        <is>
          <t>2026-06-19 07:10:32</t>
        </is>
      </c>
      <c r="P167" t="inlineStr">
        <is>
          <t>2026-06-19 07:10:32</t>
        </is>
      </c>
      <c r="Y167" t="inlineStr">
        <is>
          <t>27791884446</t>
        </is>
      </c>
    </row>
    <row r="168">
      <c r="A168" t="inlineStr">
        <is>
          <t>14943224</t>
        </is>
      </c>
      <c r="B168" t="inlineStr">
        <is>
          <t>59762ee9-698a-4a6d-b39c-f8bb3f6172a7</t>
        </is>
      </c>
      <c r="D168" t="inlineStr">
        <is>
          <t>30001087</t>
        </is>
      </c>
      <c r="E168" t="inlineStr">
        <is>
          <t>ussd_funeral_leads_altitude_20260619</t>
        </is>
      </c>
      <c r="J168" t="inlineStr">
        <is>
          <t>NA</t>
        </is>
      </c>
      <c r="K168" t="inlineStr">
        <is>
          <t>No Answer Autodial</t>
        </is>
      </c>
      <c r="L168" t="n">
        <v>3</v>
      </c>
      <c r="M168" t="inlineStr">
        <is>
          <t>2026-06-24 07:37:41</t>
        </is>
      </c>
      <c r="N168" t="inlineStr">
        <is>
          <t>system</t>
        </is>
      </c>
      <c r="O168" t="inlineStr">
        <is>
          <t>2026-06-19 07:10:32</t>
        </is>
      </c>
      <c r="P168" t="inlineStr">
        <is>
          <t>2026-06-19 07:10:32</t>
        </is>
      </c>
      <c r="Y168" t="inlineStr">
        <is>
          <t>27646757099</t>
        </is>
      </c>
    </row>
    <row r="169">
      <c r="A169" t="inlineStr">
        <is>
          <t>14943220</t>
        </is>
      </c>
      <c r="B169" t="inlineStr">
        <is>
          <t>c448b184-3bb4-48b8-b78d-e350a02f779c</t>
        </is>
      </c>
      <c r="D169" t="inlineStr">
        <is>
          <t>30001087</t>
        </is>
      </c>
      <c r="E169" t="inlineStr">
        <is>
          <t>ussd_funeral_leads_altitude_20260619</t>
        </is>
      </c>
      <c r="J169" t="inlineStr">
        <is>
          <t>AA</t>
        </is>
      </c>
      <c r="K169" t="inlineStr">
        <is>
          <t>Answering Machine Autodial</t>
        </is>
      </c>
      <c r="L169" t="n">
        <v>3</v>
      </c>
      <c r="M169" t="inlineStr">
        <is>
          <t>2026-06-24 07:37:40</t>
        </is>
      </c>
      <c r="N169" t="inlineStr">
        <is>
          <t>system</t>
        </is>
      </c>
      <c r="O169" t="inlineStr">
        <is>
          <t>2026-06-19 07:10:32</t>
        </is>
      </c>
      <c r="P169" t="inlineStr">
        <is>
          <t>2026-06-19 07:10:32</t>
        </is>
      </c>
      <c r="Y169" t="inlineStr">
        <is>
          <t>27825657983</t>
        </is>
      </c>
    </row>
    <row r="170">
      <c r="A170" t="inlineStr">
        <is>
          <t>14943222</t>
        </is>
      </c>
      <c r="B170" t="inlineStr">
        <is>
          <t>6fac55b0-b4aa-449b-a47f-87801ad6dd9c</t>
        </is>
      </c>
      <c r="D170" t="inlineStr">
        <is>
          <t>30001087</t>
        </is>
      </c>
      <c r="E170" t="inlineStr">
        <is>
          <t>ussd_funeral_leads_altitude_20260619</t>
        </is>
      </c>
      <c r="J170" t="inlineStr">
        <is>
          <t>ADC</t>
        </is>
      </c>
      <c r="K170" t="inlineStr">
        <is>
          <t>Auto Dial Disconnected</t>
        </is>
      </c>
      <c r="L170" t="n">
        <v>3</v>
      </c>
      <c r="M170" t="inlineStr">
        <is>
          <t>2026-06-24 07:37:40</t>
        </is>
      </c>
      <c r="N170" t="inlineStr">
        <is>
          <t>system</t>
        </is>
      </c>
      <c r="O170" t="inlineStr">
        <is>
          <t>2026-06-19 07:10:32</t>
        </is>
      </c>
      <c r="P170" t="inlineStr">
        <is>
          <t>2026-06-19 07:10:32</t>
        </is>
      </c>
      <c r="Y170" t="inlineStr">
        <is>
          <t>27827300230</t>
        </is>
      </c>
    </row>
    <row r="171">
      <c r="A171" t="inlineStr">
        <is>
          <t>14943217</t>
        </is>
      </c>
      <c r="B171" t="inlineStr">
        <is>
          <t>1cb53b53-7d7c-496c-821f-5f61b73f9496</t>
        </is>
      </c>
      <c r="D171" t="inlineStr">
        <is>
          <t>30001087</t>
        </is>
      </c>
      <c r="E171" t="inlineStr">
        <is>
          <t>ussd_funeral_leads_altitude_20260619</t>
        </is>
      </c>
      <c r="J171" t="inlineStr">
        <is>
          <t>NA</t>
        </is>
      </c>
      <c r="K171" t="inlineStr">
        <is>
          <t>No Answer Autodial</t>
        </is>
      </c>
      <c r="L171" t="n">
        <v>3</v>
      </c>
      <c r="M171" t="inlineStr">
        <is>
          <t>2026-06-24 07:37:38</t>
        </is>
      </c>
      <c r="N171" t="inlineStr">
        <is>
          <t>system</t>
        </is>
      </c>
      <c r="O171" t="inlineStr">
        <is>
          <t>2026-06-19 07:10:32</t>
        </is>
      </c>
      <c r="P171" t="inlineStr">
        <is>
          <t>2026-06-19 07:10:32</t>
        </is>
      </c>
      <c r="Y171" t="inlineStr">
        <is>
          <t>27720764012</t>
        </is>
      </c>
    </row>
    <row r="172">
      <c r="A172" t="inlineStr">
        <is>
          <t>14947373</t>
        </is>
      </c>
      <c r="B172" t="inlineStr">
        <is>
          <t>2f343b6a-bf08-49e3-8b4e-30991c6ae9d0</t>
        </is>
      </c>
      <c r="D172" t="inlineStr">
        <is>
          <t>30001087</t>
        </is>
      </c>
      <c r="E172" t="inlineStr">
        <is>
          <t>ussd_funeral_leads_altitude_20260619</t>
        </is>
      </c>
      <c r="J172" t="inlineStr">
        <is>
          <t>TDN</t>
        </is>
      </c>
      <c r="K172" t="inlineStr">
        <is>
          <t>Temporary Disconnected Number</t>
        </is>
      </c>
      <c r="L172" t="n">
        <v>3</v>
      </c>
      <c r="M172" t="inlineStr">
        <is>
          <t>2026-06-24 07:37:37</t>
        </is>
      </c>
      <c r="N172" t="inlineStr">
        <is>
          <t>system</t>
        </is>
      </c>
      <c r="O172" t="inlineStr">
        <is>
          <t>2026-06-19 07:10:32</t>
        </is>
      </c>
      <c r="P172" t="inlineStr">
        <is>
          <t>2026-06-19 07:10:32</t>
        </is>
      </c>
      <c r="Y172" t="inlineStr">
        <is>
          <t>27715216135</t>
        </is>
      </c>
    </row>
    <row r="173">
      <c r="A173" t="inlineStr">
        <is>
          <t>14943218</t>
        </is>
      </c>
      <c r="B173" t="inlineStr">
        <is>
          <t>76d77f8f-25e5-4fcd-8783-0241598345ed</t>
        </is>
      </c>
      <c r="D173" t="inlineStr">
        <is>
          <t>30001087</t>
        </is>
      </c>
      <c r="E173" t="inlineStr">
        <is>
          <t>ussd_funeral_leads_altitude_20260619</t>
        </is>
      </c>
      <c r="J173" t="inlineStr">
        <is>
          <t>AA</t>
        </is>
      </c>
      <c r="K173" t="inlineStr">
        <is>
          <t>Answering Machine Autodial</t>
        </is>
      </c>
      <c r="L173" t="n">
        <v>3</v>
      </c>
      <c r="M173" t="inlineStr">
        <is>
          <t>2026-06-24 07:37:36</t>
        </is>
      </c>
      <c r="N173" t="inlineStr">
        <is>
          <t>system</t>
        </is>
      </c>
      <c r="O173" t="inlineStr">
        <is>
          <t>2026-06-19 07:10:32</t>
        </is>
      </c>
      <c r="P173" t="inlineStr">
        <is>
          <t>2026-06-19 07:10:32</t>
        </is>
      </c>
      <c r="Y173" t="inlineStr">
        <is>
          <t>27761006051</t>
        </is>
      </c>
    </row>
    <row r="174">
      <c r="A174" t="inlineStr">
        <is>
          <t>14943211</t>
        </is>
      </c>
      <c r="B174" t="inlineStr">
        <is>
          <t>7adfee99-acf2-43a1-9e01-1f701876914b</t>
        </is>
      </c>
      <c r="D174" t="inlineStr">
        <is>
          <t>30001087</t>
        </is>
      </c>
      <c r="E174" t="inlineStr">
        <is>
          <t>ussd_funeral_leads_altitude_20260619</t>
        </is>
      </c>
      <c r="J174" t="inlineStr">
        <is>
          <t>AA</t>
        </is>
      </c>
      <c r="K174" t="inlineStr">
        <is>
          <t>Answering Machine Autodial</t>
        </is>
      </c>
      <c r="L174" t="n">
        <v>3</v>
      </c>
      <c r="M174" t="inlineStr">
        <is>
          <t>2026-06-24 07:37:35</t>
        </is>
      </c>
      <c r="N174" t="inlineStr">
        <is>
          <t>system</t>
        </is>
      </c>
      <c r="O174" t="inlineStr">
        <is>
          <t>2026-06-19 07:10:32</t>
        </is>
      </c>
      <c r="P174" t="inlineStr">
        <is>
          <t>2026-06-19 07:10:32</t>
        </is>
      </c>
      <c r="Y174" t="inlineStr">
        <is>
          <t>27608742313</t>
        </is>
      </c>
    </row>
    <row r="175">
      <c r="A175" t="inlineStr">
        <is>
          <t>14943213</t>
        </is>
      </c>
      <c r="B175" t="inlineStr">
        <is>
          <t>d6a9883d-5128-4b2f-854a-8fa4bffb9c0f</t>
        </is>
      </c>
      <c r="D175" t="inlineStr">
        <is>
          <t>30001087</t>
        </is>
      </c>
      <c r="E175" t="inlineStr">
        <is>
          <t>ussd_funeral_leads_altitude_20260619</t>
        </is>
      </c>
      <c r="J175" t="inlineStr">
        <is>
          <t>NA</t>
        </is>
      </c>
      <c r="K175" t="inlineStr">
        <is>
          <t>No Answer Autodial</t>
        </is>
      </c>
      <c r="L175" t="n">
        <v>3</v>
      </c>
      <c r="M175" t="inlineStr">
        <is>
          <t>2026-06-24 07:37:35</t>
        </is>
      </c>
      <c r="N175" t="inlineStr">
        <is>
          <t>system</t>
        </is>
      </c>
      <c r="O175" t="inlineStr">
        <is>
          <t>2026-06-19 07:10:32</t>
        </is>
      </c>
      <c r="P175" t="inlineStr">
        <is>
          <t>2026-06-19 07:10:32</t>
        </is>
      </c>
      <c r="Y175" t="inlineStr">
        <is>
          <t>27637899886</t>
        </is>
      </c>
    </row>
    <row r="176">
      <c r="A176" t="inlineStr">
        <is>
          <t>14943209</t>
        </is>
      </c>
      <c r="B176" t="inlineStr">
        <is>
          <t>98c34156-629c-413b-868d-9db89ccc26ea</t>
        </is>
      </c>
      <c r="D176" t="inlineStr">
        <is>
          <t>30001087</t>
        </is>
      </c>
      <c r="E176" t="inlineStr">
        <is>
          <t>ussd_funeral_leads_altitude_20260619</t>
        </is>
      </c>
      <c r="J176" t="inlineStr">
        <is>
          <t>ADC</t>
        </is>
      </c>
      <c r="K176" t="inlineStr">
        <is>
          <t>Auto Dial Disconnected</t>
        </is>
      </c>
      <c r="L176" t="n">
        <v>3</v>
      </c>
      <c r="M176" t="inlineStr">
        <is>
          <t>2026-06-24 07:37:34</t>
        </is>
      </c>
      <c r="N176" t="inlineStr">
        <is>
          <t>system</t>
        </is>
      </c>
      <c r="O176" t="inlineStr">
        <is>
          <t>2026-06-19 07:10:32</t>
        </is>
      </c>
      <c r="P176" t="inlineStr">
        <is>
          <t>2026-06-19 07:10:32</t>
        </is>
      </c>
      <c r="Y176" t="inlineStr">
        <is>
          <t>27649413749</t>
        </is>
      </c>
    </row>
    <row r="177">
      <c r="A177" t="inlineStr">
        <is>
          <t>14943210</t>
        </is>
      </c>
      <c r="B177" t="inlineStr">
        <is>
          <t>e5a602e0-5625-4146-840f-39cc44b8296f</t>
        </is>
      </c>
      <c r="D177" t="inlineStr">
        <is>
          <t>30001087</t>
        </is>
      </c>
      <c r="E177" t="inlineStr">
        <is>
          <t>ussd_funeral_leads_altitude_20260619</t>
        </is>
      </c>
      <c r="J177" t="inlineStr">
        <is>
          <t>AA</t>
        </is>
      </c>
      <c r="K177" t="inlineStr">
        <is>
          <t>Answering Machine Autodial</t>
        </is>
      </c>
      <c r="L177" t="n">
        <v>3</v>
      </c>
      <c r="M177" t="inlineStr">
        <is>
          <t>2026-06-24 07:37:34</t>
        </is>
      </c>
      <c r="N177" t="inlineStr">
        <is>
          <t>system</t>
        </is>
      </c>
      <c r="O177" t="inlineStr">
        <is>
          <t>2026-06-19 07:10:32</t>
        </is>
      </c>
      <c r="P177" t="inlineStr">
        <is>
          <t>2026-06-19 07:10:32</t>
        </is>
      </c>
      <c r="Y177" t="inlineStr">
        <is>
          <t>27763137049</t>
        </is>
      </c>
    </row>
    <row r="178">
      <c r="A178" t="inlineStr">
        <is>
          <t>14943214</t>
        </is>
      </c>
      <c r="B178" t="inlineStr">
        <is>
          <t>8911962d-f019-4840-8599-0f5b07623872</t>
        </is>
      </c>
      <c r="D178" t="inlineStr">
        <is>
          <t>30001087</t>
        </is>
      </c>
      <c r="E178" t="inlineStr">
        <is>
          <t>ussd_funeral_leads_altitude_20260619</t>
        </is>
      </c>
      <c r="J178" t="inlineStr">
        <is>
          <t>NA</t>
        </is>
      </c>
      <c r="K178" t="inlineStr">
        <is>
          <t>No Answer Autodial</t>
        </is>
      </c>
      <c r="L178" t="n">
        <v>3</v>
      </c>
      <c r="M178" t="inlineStr">
        <is>
          <t>2026-06-24 07:37:34</t>
        </is>
      </c>
      <c r="N178" t="inlineStr">
        <is>
          <t>system</t>
        </is>
      </c>
      <c r="O178" t="inlineStr">
        <is>
          <t>2026-06-19 07:10:32</t>
        </is>
      </c>
      <c r="P178" t="inlineStr">
        <is>
          <t>2026-06-19 07:10:32</t>
        </is>
      </c>
      <c r="Y178" t="inlineStr">
        <is>
          <t>27648262920</t>
        </is>
      </c>
    </row>
    <row r="179">
      <c r="A179" t="inlineStr">
        <is>
          <t>14943215</t>
        </is>
      </c>
      <c r="B179" t="inlineStr">
        <is>
          <t>a151d5c6-453f-4782-91a3-f1d8ac1441b9</t>
        </is>
      </c>
      <c r="D179" t="inlineStr">
        <is>
          <t>30001087</t>
        </is>
      </c>
      <c r="E179" t="inlineStr">
        <is>
          <t>ussd_funeral_leads_altitude_20260619</t>
        </is>
      </c>
      <c r="J179" t="inlineStr">
        <is>
          <t>AA</t>
        </is>
      </c>
      <c r="K179" t="inlineStr">
        <is>
          <t>Answering Machine Autodial</t>
        </is>
      </c>
      <c r="L179" t="n">
        <v>3</v>
      </c>
      <c r="M179" t="inlineStr">
        <is>
          <t>2026-06-24 07:37:34</t>
        </is>
      </c>
      <c r="N179" t="inlineStr">
        <is>
          <t>system</t>
        </is>
      </c>
      <c r="O179" t="inlineStr">
        <is>
          <t>2026-06-19 07:10:32</t>
        </is>
      </c>
      <c r="P179" t="inlineStr">
        <is>
          <t>2026-06-19 07:10:32</t>
        </is>
      </c>
      <c r="Y179" t="inlineStr">
        <is>
          <t>27608697130</t>
        </is>
      </c>
    </row>
    <row r="180">
      <c r="A180" t="inlineStr">
        <is>
          <t>14943216</t>
        </is>
      </c>
      <c r="B180" t="inlineStr">
        <is>
          <t>a0e1264c-e5de-4208-9ba6-81f59c32220a</t>
        </is>
      </c>
      <c r="D180" t="inlineStr">
        <is>
          <t>30001087</t>
        </is>
      </c>
      <c r="E180" t="inlineStr">
        <is>
          <t>ussd_funeral_leads_altitude_20260619</t>
        </is>
      </c>
      <c r="J180" t="inlineStr">
        <is>
          <t>NI</t>
        </is>
      </c>
      <c r="K180" t="inlineStr">
        <is>
          <t>Not Interested</t>
        </is>
      </c>
      <c r="L180" t="n">
        <v>3</v>
      </c>
      <c r="M180" t="inlineStr">
        <is>
          <t>2026-06-24 07:37:34</t>
        </is>
      </c>
      <c r="N180" t="inlineStr">
        <is>
          <t>Goitsimang Mogwasa</t>
        </is>
      </c>
      <c r="O180" t="inlineStr">
        <is>
          <t>2026-06-19 07:10:32</t>
        </is>
      </c>
      <c r="P180" t="inlineStr">
        <is>
          <t>2026-06-19 07:10:32</t>
        </is>
      </c>
      <c r="Y180" t="inlineStr">
        <is>
          <t>27799937968</t>
        </is>
      </c>
    </row>
    <row r="181">
      <c r="A181" t="inlineStr">
        <is>
          <t>14943207</t>
        </is>
      </c>
      <c r="B181" t="inlineStr">
        <is>
          <t>be619b8e-b4af-4f26-9660-8e54342ad85c</t>
        </is>
      </c>
      <c r="D181" t="inlineStr">
        <is>
          <t>30001087</t>
        </is>
      </c>
      <c r="E181" t="inlineStr">
        <is>
          <t>ussd_funeral_leads_altitude_20260619</t>
        </is>
      </c>
      <c r="J181" t="inlineStr">
        <is>
          <t>AA</t>
        </is>
      </c>
      <c r="K181" t="inlineStr">
        <is>
          <t>Answering Machine Autodial</t>
        </is>
      </c>
      <c r="L181" t="n">
        <v>3</v>
      </c>
      <c r="M181" t="inlineStr">
        <is>
          <t>2026-06-24 07:37:32</t>
        </is>
      </c>
      <c r="N181" t="inlineStr">
        <is>
          <t>system</t>
        </is>
      </c>
      <c r="O181" t="inlineStr">
        <is>
          <t>2026-06-19 07:10:32</t>
        </is>
      </c>
      <c r="P181" t="inlineStr">
        <is>
          <t>2026-06-19 07:10:32</t>
        </is>
      </c>
      <c r="Y181" t="inlineStr">
        <is>
          <t>27828910324</t>
        </is>
      </c>
    </row>
    <row r="182">
      <c r="A182" t="inlineStr">
        <is>
          <t>14943208</t>
        </is>
      </c>
      <c r="B182" t="inlineStr">
        <is>
          <t>ee733408-824e-4c7f-8ca1-7fa5b95e59e9</t>
        </is>
      </c>
      <c r="D182" t="inlineStr">
        <is>
          <t>30001087</t>
        </is>
      </c>
      <c r="E182" t="inlineStr">
        <is>
          <t>ussd_funeral_leads_altitude_20260619</t>
        </is>
      </c>
      <c r="J182" t="inlineStr">
        <is>
          <t>AA</t>
        </is>
      </c>
      <c r="K182" t="inlineStr">
        <is>
          <t>Answering Machine Autodial</t>
        </is>
      </c>
      <c r="L182" t="n">
        <v>3</v>
      </c>
      <c r="M182" t="inlineStr">
        <is>
          <t>2026-06-24 07:37:32</t>
        </is>
      </c>
      <c r="N182" t="inlineStr">
        <is>
          <t>system</t>
        </is>
      </c>
      <c r="O182" t="inlineStr">
        <is>
          <t>2026-06-19 07:10:32</t>
        </is>
      </c>
      <c r="P182" t="inlineStr">
        <is>
          <t>2026-06-19 07:10:32</t>
        </is>
      </c>
      <c r="Y182" t="inlineStr">
        <is>
          <t>27790762501</t>
        </is>
      </c>
    </row>
    <row r="183">
      <c r="A183" t="inlineStr">
        <is>
          <t>14943205</t>
        </is>
      </c>
      <c r="B183" t="inlineStr">
        <is>
          <t>b61d0747-2776-49d2-869e-4b3405853c6f</t>
        </is>
      </c>
      <c r="D183" t="inlineStr">
        <is>
          <t>30001087</t>
        </is>
      </c>
      <c r="E183" t="inlineStr">
        <is>
          <t>ussd_funeral_leads_altitude_20260619</t>
        </is>
      </c>
      <c r="J183" t="inlineStr">
        <is>
          <t>AA</t>
        </is>
      </c>
      <c r="K183" t="inlineStr">
        <is>
          <t>Answering Machine Autodial</t>
        </is>
      </c>
      <c r="L183" t="n">
        <v>3</v>
      </c>
      <c r="M183" t="inlineStr">
        <is>
          <t>2026-06-24 07:37:31</t>
        </is>
      </c>
      <c r="N183" t="inlineStr">
        <is>
          <t>system</t>
        </is>
      </c>
      <c r="O183" t="inlineStr">
        <is>
          <t>2026-06-19 07:10:32</t>
        </is>
      </c>
      <c r="P183" t="inlineStr">
        <is>
          <t>2026-06-19 07:10:32</t>
        </is>
      </c>
      <c r="Y183" t="inlineStr">
        <is>
          <t>27764395542</t>
        </is>
      </c>
    </row>
    <row r="184">
      <c r="A184" t="inlineStr">
        <is>
          <t>14943206</t>
        </is>
      </c>
      <c r="B184" t="inlineStr">
        <is>
          <t>255d5437-6356-4f8b-acc7-2715df65673e</t>
        </is>
      </c>
      <c r="D184" t="inlineStr">
        <is>
          <t>30001087</t>
        </is>
      </c>
      <c r="E184" t="inlineStr">
        <is>
          <t>ussd_funeral_leads_altitude_20260619</t>
        </is>
      </c>
      <c r="J184" t="inlineStr">
        <is>
          <t>ADC</t>
        </is>
      </c>
      <c r="K184" t="inlineStr">
        <is>
          <t>Auto Dial Disconnected</t>
        </is>
      </c>
      <c r="L184" t="n">
        <v>3</v>
      </c>
      <c r="M184" t="inlineStr">
        <is>
          <t>2026-06-24 07:37:31</t>
        </is>
      </c>
      <c r="N184" t="inlineStr">
        <is>
          <t>system</t>
        </is>
      </c>
      <c r="O184" t="inlineStr">
        <is>
          <t>2026-06-19 07:10:32</t>
        </is>
      </c>
      <c r="P184" t="inlineStr">
        <is>
          <t>2026-06-19 07:10:32</t>
        </is>
      </c>
      <c r="Y184" t="inlineStr">
        <is>
          <t>27648870368</t>
        </is>
      </c>
    </row>
    <row r="185">
      <c r="A185" t="inlineStr">
        <is>
          <t>14943204</t>
        </is>
      </c>
      <c r="B185" t="inlineStr">
        <is>
          <t>9364d7b6-92cc-4f5d-b353-355fb28c3d93</t>
        </is>
      </c>
      <c r="D185" t="inlineStr">
        <is>
          <t>30001087</t>
        </is>
      </c>
      <c r="E185" t="inlineStr">
        <is>
          <t>ussd_funeral_leads_altitude_20260619</t>
        </is>
      </c>
      <c r="J185" t="inlineStr">
        <is>
          <t>AA</t>
        </is>
      </c>
      <c r="K185" t="inlineStr">
        <is>
          <t>Answering Machine Autodial</t>
        </is>
      </c>
      <c r="L185" t="n">
        <v>3</v>
      </c>
      <c r="M185" t="inlineStr">
        <is>
          <t>2026-06-24 07:37:26</t>
        </is>
      </c>
      <c r="N185" t="inlineStr">
        <is>
          <t>system</t>
        </is>
      </c>
      <c r="O185" t="inlineStr">
        <is>
          <t>2026-06-19 07:10:32</t>
        </is>
      </c>
      <c r="P185" t="inlineStr">
        <is>
          <t>2026-06-19 07:10:32</t>
        </is>
      </c>
      <c r="Y185" t="inlineStr">
        <is>
          <t>27729229776</t>
        </is>
      </c>
    </row>
    <row r="186">
      <c r="A186" t="inlineStr">
        <is>
          <t>14943203</t>
        </is>
      </c>
      <c r="B186" t="inlineStr">
        <is>
          <t>67bee5ad-d7e2-4bb7-b1bb-68a04dc66230</t>
        </is>
      </c>
      <c r="D186" t="inlineStr">
        <is>
          <t>30001087</t>
        </is>
      </c>
      <c r="E186" t="inlineStr">
        <is>
          <t>ussd_funeral_leads_altitude_20260619</t>
        </is>
      </c>
      <c r="J186" t="inlineStr">
        <is>
          <t>AA</t>
        </is>
      </c>
      <c r="K186" t="inlineStr">
        <is>
          <t>Answering Machine Autodial</t>
        </is>
      </c>
      <c r="L186" t="n">
        <v>3</v>
      </c>
      <c r="M186" t="inlineStr">
        <is>
          <t>2026-06-24 07:37:24</t>
        </is>
      </c>
      <c r="N186" t="inlineStr">
        <is>
          <t>system</t>
        </is>
      </c>
      <c r="O186" t="inlineStr">
        <is>
          <t>2026-06-19 07:10:32</t>
        </is>
      </c>
      <c r="P186" t="inlineStr">
        <is>
          <t>2026-06-19 07:10:32</t>
        </is>
      </c>
      <c r="Y186" t="inlineStr">
        <is>
          <t>27606956144</t>
        </is>
      </c>
    </row>
    <row r="187">
      <c r="A187" t="inlineStr">
        <is>
          <t>14943202</t>
        </is>
      </c>
      <c r="B187" t="inlineStr">
        <is>
          <t>2e76df9a-3df8-4a53-adc7-7b70fb9e3581</t>
        </is>
      </c>
      <c r="D187" t="inlineStr">
        <is>
          <t>30001087</t>
        </is>
      </c>
      <c r="E187" t="inlineStr">
        <is>
          <t>ussd_funeral_leads_altitude_20260619</t>
        </is>
      </c>
      <c r="J187" t="inlineStr">
        <is>
          <t>AA</t>
        </is>
      </c>
      <c r="K187" t="inlineStr">
        <is>
          <t>Answering Machine Autodial</t>
        </is>
      </c>
      <c r="L187" t="n">
        <v>3</v>
      </c>
      <c r="M187" t="inlineStr">
        <is>
          <t>2026-06-24 07:37:22</t>
        </is>
      </c>
      <c r="N187" t="inlineStr">
        <is>
          <t>system</t>
        </is>
      </c>
      <c r="O187" t="inlineStr">
        <is>
          <t>2026-06-19 07:10:32</t>
        </is>
      </c>
      <c r="P187" t="inlineStr">
        <is>
          <t>2026-06-19 07:10:32</t>
        </is>
      </c>
      <c r="Y187" t="inlineStr">
        <is>
          <t>27712970337</t>
        </is>
      </c>
    </row>
    <row r="188">
      <c r="A188" t="inlineStr">
        <is>
          <t>14943199</t>
        </is>
      </c>
      <c r="B188" t="inlineStr">
        <is>
          <t>ad914f55-9fe2-4841-9c95-fd20d5e59908</t>
        </is>
      </c>
      <c r="D188" t="inlineStr">
        <is>
          <t>30001087</t>
        </is>
      </c>
      <c r="E188" t="inlineStr">
        <is>
          <t>ussd_funeral_leads_altitude_20260619</t>
        </is>
      </c>
      <c r="J188" t="inlineStr">
        <is>
          <t>ADC</t>
        </is>
      </c>
      <c r="K188" t="inlineStr">
        <is>
          <t>Auto Dial Disconnected</t>
        </is>
      </c>
      <c r="L188" t="n">
        <v>3</v>
      </c>
      <c r="M188" t="inlineStr">
        <is>
          <t>2026-06-24 07:37:19</t>
        </is>
      </c>
      <c r="N188" t="inlineStr">
        <is>
          <t>system</t>
        </is>
      </c>
      <c r="O188" t="inlineStr">
        <is>
          <t>2026-06-19 07:10:32</t>
        </is>
      </c>
      <c r="P188" t="inlineStr">
        <is>
          <t>2026-06-19 07:10:32</t>
        </is>
      </c>
      <c r="Y188" t="inlineStr">
        <is>
          <t>27767167523</t>
        </is>
      </c>
    </row>
    <row r="189">
      <c r="A189" t="inlineStr">
        <is>
          <t>14943201</t>
        </is>
      </c>
      <c r="B189" t="inlineStr">
        <is>
          <t>3375fa89-d9e6-45c6-a960-4dd78064c5b3</t>
        </is>
      </c>
      <c r="D189" t="inlineStr">
        <is>
          <t>30001087</t>
        </is>
      </c>
      <c r="E189" t="inlineStr">
        <is>
          <t>ussd_funeral_leads_altitude_20260619</t>
        </is>
      </c>
      <c r="J189" t="inlineStr">
        <is>
          <t>ADC</t>
        </is>
      </c>
      <c r="K189" t="inlineStr">
        <is>
          <t>Auto Dial Disconnected</t>
        </is>
      </c>
      <c r="L189" t="n">
        <v>3</v>
      </c>
      <c r="M189" t="inlineStr">
        <is>
          <t>2026-06-24 07:37:19</t>
        </is>
      </c>
      <c r="N189" t="inlineStr">
        <is>
          <t>system</t>
        </is>
      </c>
      <c r="O189" t="inlineStr">
        <is>
          <t>2026-06-19 07:10:32</t>
        </is>
      </c>
      <c r="P189" t="inlineStr">
        <is>
          <t>2026-06-19 07:10:32</t>
        </is>
      </c>
      <c r="Y189" t="inlineStr">
        <is>
          <t>27636868913</t>
        </is>
      </c>
    </row>
    <row r="190">
      <c r="A190" t="inlineStr">
        <is>
          <t>14943198</t>
        </is>
      </c>
      <c r="B190" t="inlineStr">
        <is>
          <t>d6533a32-6181-4293-b8e3-d508299b3953</t>
        </is>
      </c>
      <c r="D190" t="inlineStr">
        <is>
          <t>30001087</t>
        </is>
      </c>
      <c r="E190" t="inlineStr">
        <is>
          <t>ussd_funeral_leads_altitude_20260619</t>
        </is>
      </c>
      <c r="J190" t="inlineStr">
        <is>
          <t>TDN</t>
        </is>
      </c>
      <c r="K190" t="inlineStr">
        <is>
          <t>Temporary Disconnected Number</t>
        </is>
      </c>
      <c r="L190" t="n">
        <v>3</v>
      </c>
      <c r="M190" t="inlineStr">
        <is>
          <t>2026-06-24 07:37:18</t>
        </is>
      </c>
      <c r="N190" t="inlineStr">
        <is>
          <t>system</t>
        </is>
      </c>
      <c r="O190" t="inlineStr">
        <is>
          <t>2026-06-19 07:10:32</t>
        </is>
      </c>
      <c r="P190" t="inlineStr">
        <is>
          <t>2026-06-19 07:10:32</t>
        </is>
      </c>
      <c r="Y190" t="inlineStr">
        <is>
          <t>27829756118</t>
        </is>
      </c>
    </row>
    <row r="191">
      <c r="A191" t="inlineStr">
        <is>
          <t>14943197</t>
        </is>
      </c>
      <c r="B191" t="inlineStr">
        <is>
          <t>01b417f9-dfb0-4399-babd-3990aa183e5f</t>
        </is>
      </c>
      <c r="D191" t="inlineStr">
        <is>
          <t>30001087</t>
        </is>
      </c>
      <c r="E191" t="inlineStr">
        <is>
          <t>ussd_funeral_leads_altitude_20260619</t>
        </is>
      </c>
      <c r="J191" t="inlineStr">
        <is>
          <t>NA</t>
        </is>
      </c>
      <c r="K191" t="inlineStr">
        <is>
          <t>No Answer Autodial</t>
        </is>
      </c>
      <c r="L191" t="n">
        <v>3</v>
      </c>
      <c r="M191" t="inlineStr">
        <is>
          <t>2026-06-24 07:37:17</t>
        </is>
      </c>
      <c r="N191" t="inlineStr">
        <is>
          <t>system</t>
        </is>
      </c>
      <c r="O191" t="inlineStr">
        <is>
          <t>2026-06-19 07:10:32</t>
        </is>
      </c>
      <c r="P191" t="inlineStr">
        <is>
          <t>2026-06-19 07:10:32</t>
        </is>
      </c>
      <c r="Y191" t="inlineStr">
        <is>
          <t>27664980275</t>
        </is>
      </c>
    </row>
    <row r="192">
      <c r="A192" t="inlineStr">
        <is>
          <t>14943195</t>
        </is>
      </c>
      <c r="B192" t="inlineStr">
        <is>
          <t>928ec311-8cf6-4a1a-96f9-a63090dc01ad</t>
        </is>
      </c>
      <c r="D192" t="inlineStr">
        <is>
          <t>30001087</t>
        </is>
      </c>
      <c r="E192" t="inlineStr">
        <is>
          <t>ussd_funeral_leads_altitude_20260619</t>
        </is>
      </c>
      <c r="J192" t="inlineStr">
        <is>
          <t>AA</t>
        </is>
      </c>
      <c r="K192" t="inlineStr">
        <is>
          <t>Answering Machine Autodial</t>
        </is>
      </c>
      <c r="L192" t="n">
        <v>3</v>
      </c>
      <c r="M192" t="inlineStr">
        <is>
          <t>2026-06-24 07:37:16</t>
        </is>
      </c>
      <c r="N192" t="inlineStr">
        <is>
          <t>system</t>
        </is>
      </c>
      <c r="O192" t="inlineStr">
        <is>
          <t>2026-06-19 07:10:32</t>
        </is>
      </c>
      <c r="P192" t="inlineStr">
        <is>
          <t>2026-06-19 07:10:32</t>
        </is>
      </c>
      <c r="Y192" t="inlineStr">
        <is>
          <t>27769198042</t>
        </is>
      </c>
    </row>
    <row r="193">
      <c r="A193" t="inlineStr">
        <is>
          <t>14943194</t>
        </is>
      </c>
      <c r="B193" t="inlineStr">
        <is>
          <t>5e6ba10b-7e29-403e-9383-b5226986db21</t>
        </is>
      </c>
      <c r="D193" t="inlineStr">
        <is>
          <t>30001087</t>
        </is>
      </c>
      <c r="E193" t="inlineStr">
        <is>
          <t>ussd_funeral_leads_altitude_20260619</t>
        </is>
      </c>
      <c r="J193" t="inlineStr">
        <is>
          <t>ADC</t>
        </is>
      </c>
      <c r="K193" t="inlineStr">
        <is>
          <t>Auto Dial Disconnected</t>
        </is>
      </c>
      <c r="L193" t="n">
        <v>3</v>
      </c>
      <c r="M193" t="inlineStr">
        <is>
          <t>2026-06-24 07:37:15</t>
        </is>
      </c>
      <c r="N193" t="inlineStr">
        <is>
          <t>system</t>
        </is>
      </c>
      <c r="O193" t="inlineStr">
        <is>
          <t>2026-06-19 07:10:32</t>
        </is>
      </c>
      <c r="P193" t="inlineStr">
        <is>
          <t>2026-06-19 07:10:32</t>
        </is>
      </c>
      <c r="Y193" t="inlineStr">
        <is>
          <t>27660748782</t>
        </is>
      </c>
    </row>
    <row r="194">
      <c r="A194" t="inlineStr">
        <is>
          <t>14943190</t>
        </is>
      </c>
      <c r="B194" t="inlineStr">
        <is>
          <t>086a18a8-c283-4314-93aa-d44f4ae086c9</t>
        </is>
      </c>
      <c r="D194" t="inlineStr">
        <is>
          <t>30001087</t>
        </is>
      </c>
      <c r="E194" t="inlineStr">
        <is>
          <t>ussd_funeral_leads_altitude_20260619</t>
        </is>
      </c>
      <c r="J194" t="inlineStr">
        <is>
          <t>AA</t>
        </is>
      </c>
      <c r="K194" t="inlineStr">
        <is>
          <t>Answering Machine Autodial</t>
        </is>
      </c>
      <c r="L194" t="n">
        <v>3</v>
      </c>
      <c r="M194" t="inlineStr">
        <is>
          <t>2026-06-24 07:37:14</t>
        </is>
      </c>
      <c r="N194" t="inlineStr">
        <is>
          <t>system</t>
        </is>
      </c>
      <c r="O194" t="inlineStr">
        <is>
          <t>2026-06-19 07:10:32</t>
        </is>
      </c>
      <c r="P194" t="inlineStr">
        <is>
          <t>2026-06-19 07:10:32</t>
        </is>
      </c>
      <c r="Y194" t="inlineStr">
        <is>
          <t>27715366360</t>
        </is>
      </c>
    </row>
    <row r="195">
      <c r="A195" t="inlineStr">
        <is>
          <t>14943191</t>
        </is>
      </c>
      <c r="B195" t="inlineStr">
        <is>
          <t>8a0f705b-5e0f-449a-a435-11b168302dc4</t>
        </is>
      </c>
      <c r="D195" t="inlineStr">
        <is>
          <t>30001087</t>
        </is>
      </c>
      <c r="E195" t="inlineStr">
        <is>
          <t>ussd_funeral_leads_altitude_20260619</t>
        </is>
      </c>
      <c r="J195" t="inlineStr">
        <is>
          <t>AA</t>
        </is>
      </c>
      <c r="K195" t="inlineStr">
        <is>
          <t>Answering Machine Autodial</t>
        </is>
      </c>
      <c r="L195" t="n">
        <v>3</v>
      </c>
      <c r="M195" t="inlineStr">
        <is>
          <t>2026-06-24 07:37:14</t>
        </is>
      </c>
      <c r="N195" t="inlineStr">
        <is>
          <t>system</t>
        </is>
      </c>
      <c r="O195" t="inlineStr">
        <is>
          <t>2026-06-19 07:10:32</t>
        </is>
      </c>
      <c r="P195" t="inlineStr">
        <is>
          <t>2026-06-19 07:10:32</t>
        </is>
      </c>
      <c r="Y195" t="inlineStr">
        <is>
          <t>27673025109</t>
        </is>
      </c>
    </row>
    <row r="196">
      <c r="A196" t="inlineStr">
        <is>
          <t>14943193</t>
        </is>
      </c>
      <c r="B196" t="inlineStr">
        <is>
          <t>4618aa23-6e57-4736-a286-001384c9290f</t>
        </is>
      </c>
      <c r="D196" t="inlineStr">
        <is>
          <t>30001087</t>
        </is>
      </c>
      <c r="E196" t="inlineStr">
        <is>
          <t>ussd_funeral_leads_altitude_20260619</t>
        </is>
      </c>
      <c r="J196" t="inlineStr">
        <is>
          <t>ADC</t>
        </is>
      </c>
      <c r="K196" t="inlineStr">
        <is>
          <t>Auto Dial Disconnected</t>
        </is>
      </c>
      <c r="L196" t="n">
        <v>3</v>
      </c>
      <c r="M196" t="inlineStr">
        <is>
          <t>2026-06-24 07:37:14</t>
        </is>
      </c>
      <c r="N196" t="inlineStr">
        <is>
          <t>system</t>
        </is>
      </c>
      <c r="O196" t="inlineStr">
        <is>
          <t>2026-06-19 07:10:32</t>
        </is>
      </c>
      <c r="P196" t="inlineStr">
        <is>
          <t>2026-06-19 07:10:32</t>
        </is>
      </c>
      <c r="Y196" t="inlineStr">
        <is>
          <t>27726663055</t>
        </is>
      </c>
    </row>
    <row r="197">
      <c r="A197" t="inlineStr">
        <is>
          <t>14943188</t>
        </is>
      </c>
      <c r="B197" t="inlineStr">
        <is>
          <t>d5e057e0-0b8b-48de-85c3-c042b639e1e8</t>
        </is>
      </c>
      <c r="D197" t="inlineStr">
        <is>
          <t>30001087</t>
        </is>
      </c>
      <c r="E197" t="inlineStr">
        <is>
          <t>ussd_funeral_leads_altitude_20260619</t>
        </is>
      </c>
      <c r="J197" t="inlineStr">
        <is>
          <t>AA</t>
        </is>
      </c>
      <c r="K197" t="inlineStr">
        <is>
          <t>Answering Machine Autodial</t>
        </is>
      </c>
      <c r="L197" t="n">
        <v>3</v>
      </c>
      <c r="M197" t="inlineStr">
        <is>
          <t>2026-06-24 07:37:13</t>
        </is>
      </c>
      <c r="N197" t="inlineStr">
        <is>
          <t>system</t>
        </is>
      </c>
      <c r="O197" t="inlineStr">
        <is>
          <t>2026-06-19 07:10:32</t>
        </is>
      </c>
      <c r="P197" t="inlineStr">
        <is>
          <t>2026-06-19 07:10:32</t>
        </is>
      </c>
      <c r="Y197" t="inlineStr">
        <is>
          <t>27791882633</t>
        </is>
      </c>
    </row>
    <row r="198">
      <c r="A198" t="inlineStr">
        <is>
          <t>14943189</t>
        </is>
      </c>
      <c r="B198" t="inlineStr">
        <is>
          <t>a17653a2-43c1-45e4-a1cb-2e5705e558f0</t>
        </is>
      </c>
      <c r="D198" t="inlineStr">
        <is>
          <t>30001087</t>
        </is>
      </c>
      <c r="E198" t="inlineStr">
        <is>
          <t>ussd_funeral_leads_altitude_20260619</t>
        </is>
      </c>
      <c r="J198" t="inlineStr">
        <is>
          <t>AA</t>
        </is>
      </c>
      <c r="K198" t="inlineStr">
        <is>
          <t>Answering Machine Autodial</t>
        </is>
      </c>
      <c r="L198" t="n">
        <v>3</v>
      </c>
      <c r="M198" t="inlineStr">
        <is>
          <t>2026-06-24 07:37:13</t>
        </is>
      </c>
      <c r="N198" t="inlineStr">
        <is>
          <t>system</t>
        </is>
      </c>
      <c r="O198" t="inlineStr">
        <is>
          <t>2026-06-19 07:10:32</t>
        </is>
      </c>
      <c r="P198" t="inlineStr">
        <is>
          <t>2026-06-19 07:10:32</t>
        </is>
      </c>
      <c r="Y198" t="inlineStr">
        <is>
          <t>27795458662</t>
        </is>
      </c>
    </row>
    <row r="199">
      <c r="A199" t="inlineStr">
        <is>
          <t>14943187</t>
        </is>
      </c>
      <c r="B199" t="inlineStr">
        <is>
          <t>a27bff58-70d6-4d39-a013-f3c5b62b2418</t>
        </is>
      </c>
      <c r="D199" t="inlineStr">
        <is>
          <t>30001087</t>
        </is>
      </c>
      <c r="E199" t="inlineStr">
        <is>
          <t>ussd_funeral_leads_altitude_20260619</t>
        </is>
      </c>
      <c r="J199" t="inlineStr">
        <is>
          <t>AA</t>
        </is>
      </c>
      <c r="K199" t="inlineStr">
        <is>
          <t>Answering Machine Autodial</t>
        </is>
      </c>
      <c r="L199" t="n">
        <v>3</v>
      </c>
      <c r="M199" t="inlineStr">
        <is>
          <t>2026-06-24 07:37:10</t>
        </is>
      </c>
      <c r="N199" t="inlineStr">
        <is>
          <t>system</t>
        </is>
      </c>
      <c r="O199" t="inlineStr">
        <is>
          <t>2026-06-19 07:10:32</t>
        </is>
      </c>
      <c r="P199" t="inlineStr">
        <is>
          <t>2026-06-19 07:10:32</t>
        </is>
      </c>
      <c r="Y199" t="inlineStr">
        <is>
          <t>27799714910</t>
        </is>
      </c>
    </row>
    <row r="200">
      <c r="A200" t="inlineStr">
        <is>
          <t>14943186</t>
        </is>
      </c>
      <c r="B200" t="inlineStr">
        <is>
          <t>229bf676-a619-40ad-b6f7-c7997b3d0188</t>
        </is>
      </c>
      <c r="D200" t="inlineStr">
        <is>
          <t>30001087</t>
        </is>
      </c>
      <c r="E200" t="inlineStr">
        <is>
          <t>ussd_funeral_leads_altitude_20260619</t>
        </is>
      </c>
      <c r="J200" t="inlineStr">
        <is>
          <t>ADC</t>
        </is>
      </c>
      <c r="K200" t="inlineStr">
        <is>
          <t>Auto Dial Disconnected</t>
        </is>
      </c>
      <c r="L200" t="n">
        <v>3</v>
      </c>
      <c r="M200" t="inlineStr">
        <is>
          <t>2026-06-24 07:37:08</t>
        </is>
      </c>
      <c r="N200" t="inlineStr">
        <is>
          <t>system</t>
        </is>
      </c>
      <c r="O200" t="inlineStr">
        <is>
          <t>2026-06-19 07:10:32</t>
        </is>
      </c>
      <c r="P200" t="inlineStr">
        <is>
          <t>2026-06-19 07:10:32</t>
        </is>
      </c>
      <c r="Y200" t="inlineStr">
        <is>
          <t>27796180753</t>
        </is>
      </c>
    </row>
    <row r="201">
      <c r="A201" t="inlineStr">
        <is>
          <t>14943185</t>
        </is>
      </c>
      <c r="B201" t="inlineStr">
        <is>
          <t>c3d1f4d9-4fe0-46d0-a7a8-1a47bc1de162</t>
        </is>
      </c>
      <c r="D201" t="inlineStr">
        <is>
          <t>30001087</t>
        </is>
      </c>
      <c r="E201" t="inlineStr">
        <is>
          <t>ussd_funeral_leads_altitude_20260619</t>
        </is>
      </c>
      <c r="J201" t="inlineStr">
        <is>
          <t>NA</t>
        </is>
      </c>
      <c r="K201" t="inlineStr">
        <is>
          <t>No Answer Autodial</t>
        </is>
      </c>
      <c r="L201" t="n">
        <v>3</v>
      </c>
      <c r="M201" t="inlineStr">
        <is>
          <t>2026-06-24 07:37:04</t>
        </is>
      </c>
      <c r="N201" t="inlineStr">
        <is>
          <t>system</t>
        </is>
      </c>
      <c r="O201" t="inlineStr">
        <is>
          <t>2026-06-19 07:10:32</t>
        </is>
      </c>
      <c r="P201" t="inlineStr">
        <is>
          <t>2026-06-19 07:10:32</t>
        </is>
      </c>
      <c r="Y201" t="inlineStr">
        <is>
          <t>27729563477</t>
        </is>
      </c>
    </row>
    <row r="202">
      <c r="A202" t="inlineStr">
        <is>
          <t>14943184</t>
        </is>
      </c>
      <c r="B202" t="inlineStr">
        <is>
          <t>76a3f7e9-787e-4bd1-a8b5-a55585fa1626</t>
        </is>
      </c>
      <c r="D202" t="inlineStr">
        <is>
          <t>30001087</t>
        </is>
      </c>
      <c r="E202" t="inlineStr">
        <is>
          <t>ussd_funeral_leads_altitude_20260619</t>
        </is>
      </c>
      <c r="J202" t="inlineStr">
        <is>
          <t>AA</t>
        </is>
      </c>
      <c r="K202" t="inlineStr">
        <is>
          <t>Answering Machine Autodial</t>
        </is>
      </c>
      <c r="L202" t="n">
        <v>3</v>
      </c>
      <c r="M202" t="inlineStr">
        <is>
          <t>2026-06-24 07:37:02</t>
        </is>
      </c>
      <c r="N202" t="inlineStr">
        <is>
          <t>system</t>
        </is>
      </c>
      <c r="O202" t="inlineStr">
        <is>
          <t>2026-06-19 07:10:32</t>
        </is>
      </c>
      <c r="P202" t="inlineStr">
        <is>
          <t>2026-06-19 07:10:32</t>
        </is>
      </c>
      <c r="Y202" t="inlineStr">
        <is>
          <t>27722063500</t>
        </is>
      </c>
    </row>
    <row r="203">
      <c r="A203" t="inlineStr">
        <is>
          <t>14943183</t>
        </is>
      </c>
      <c r="B203" t="inlineStr">
        <is>
          <t>e6c93f1d-d69e-4ab8-8c05-2a6328ce0455</t>
        </is>
      </c>
      <c r="D203" t="inlineStr">
        <is>
          <t>30001087</t>
        </is>
      </c>
      <c r="E203" t="inlineStr">
        <is>
          <t>ussd_funeral_leads_altitude_20260619</t>
        </is>
      </c>
      <c r="J203" t="inlineStr">
        <is>
          <t>TDN</t>
        </is>
      </c>
      <c r="K203" t="inlineStr">
        <is>
          <t>Temporary Disconnected Number</t>
        </is>
      </c>
      <c r="L203" t="n">
        <v>3</v>
      </c>
      <c r="M203" t="inlineStr">
        <is>
          <t>2026-06-24 07:36:56</t>
        </is>
      </c>
      <c r="N203" t="inlineStr">
        <is>
          <t>system</t>
        </is>
      </c>
      <c r="O203" t="inlineStr">
        <is>
          <t>2026-06-19 07:10:32</t>
        </is>
      </c>
      <c r="P203" t="inlineStr">
        <is>
          <t>2026-06-19 07:10:32</t>
        </is>
      </c>
      <c r="Y203" t="inlineStr">
        <is>
          <t>27649224952</t>
        </is>
      </c>
    </row>
    <row r="204">
      <c r="A204" t="inlineStr">
        <is>
          <t>14943181</t>
        </is>
      </c>
      <c r="B204" t="inlineStr">
        <is>
          <t>a504b3bb-2843-40b2-afe1-63e64a80beef</t>
        </is>
      </c>
      <c r="D204" t="inlineStr">
        <is>
          <t>30001087</t>
        </is>
      </c>
      <c r="E204" t="inlineStr">
        <is>
          <t>ussd_funeral_leads_altitude_20260619</t>
        </is>
      </c>
      <c r="J204" t="inlineStr">
        <is>
          <t>AA</t>
        </is>
      </c>
      <c r="K204" t="inlineStr">
        <is>
          <t>Answering Machine Autodial</t>
        </is>
      </c>
      <c r="L204" t="n">
        <v>3</v>
      </c>
      <c r="M204" t="inlineStr">
        <is>
          <t>2026-06-24 07:36:55</t>
        </is>
      </c>
      <c r="N204" t="inlineStr">
        <is>
          <t>system</t>
        </is>
      </c>
      <c r="O204" t="inlineStr">
        <is>
          <t>2026-06-19 07:10:32</t>
        </is>
      </c>
      <c r="P204" t="inlineStr">
        <is>
          <t>2026-06-19 07:10:32</t>
        </is>
      </c>
      <c r="Y204" t="inlineStr">
        <is>
          <t>27720732573</t>
        </is>
      </c>
    </row>
    <row r="205">
      <c r="A205" t="inlineStr">
        <is>
          <t>14943182</t>
        </is>
      </c>
      <c r="B205" t="inlineStr">
        <is>
          <t>71aff111-729c-4e87-aa7c-7a14e1681059</t>
        </is>
      </c>
      <c r="D205" t="inlineStr">
        <is>
          <t>30001087</t>
        </is>
      </c>
      <c r="E205" t="inlineStr">
        <is>
          <t>ussd_funeral_leads_altitude_20260619</t>
        </is>
      </c>
      <c r="J205" t="inlineStr">
        <is>
          <t>ADC</t>
        </is>
      </c>
      <c r="K205" t="inlineStr">
        <is>
          <t>Auto Dial Disconnected</t>
        </is>
      </c>
      <c r="L205" t="n">
        <v>3</v>
      </c>
      <c r="M205" t="inlineStr">
        <is>
          <t>2026-06-24 07:36:55</t>
        </is>
      </c>
      <c r="N205" t="inlineStr">
        <is>
          <t>system</t>
        </is>
      </c>
      <c r="O205" t="inlineStr">
        <is>
          <t>2026-06-19 07:10:32</t>
        </is>
      </c>
      <c r="P205" t="inlineStr">
        <is>
          <t>2026-06-19 07:10:32</t>
        </is>
      </c>
      <c r="Y205" t="inlineStr">
        <is>
          <t>27725313501</t>
        </is>
      </c>
    </row>
    <row r="206">
      <c r="A206" t="inlineStr">
        <is>
          <t>14943179</t>
        </is>
      </c>
      <c r="B206" t="inlineStr">
        <is>
          <t>463ff132-7f28-4bab-b4ba-5f2326fd10ed</t>
        </is>
      </c>
      <c r="D206" t="inlineStr">
        <is>
          <t>30001087</t>
        </is>
      </c>
      <c r="E206" t="inlineStr">
        <is>
          <t>ussd_funeral_leads_altitude_20260619</t>
        </is>
      </c>
      <c r="J206" t="inlineStr">
        <is>
          <t>AA</t>
        </is>
      </c>
      <c r="K206" t="inlineStr">
        <is>
          <t>Answering Machine Autodial</t>
        </is>
      </c>
      <c r="L206" t="n">
        <v>3</v>
      </c>
      <c r="M206" t="inlineStr">
        <is>
          <t>2026-06-24 07:36:34</t>
        </is>
      </c>
      <c r="N206" t="inlineStr">
        <is>
          <t>system</t>
        </is>
      </c>
      <c r="O206" t="inlineStr">
        <is>
          <t>2026-06-19 07:10:32</t>
        </is>
      </c>
      <c r="P206" t="inlineStr">
        <is>
          <t>2026-06-19 07:10:32</t>
        </is>
      </c>
      <c r="Y206" t="inlineStr">
        <is>
          <t>27773865602</t>
        </is>
      </c>
    </row>
    <row r="207">
      <c r="A207" t="inlineStr">
        <is>
          <t>14943178</t>
        </is>
      </c>
      <c r="B207" t="inlineStr">
        <is>
          <t>11a6cebc-35d3-4867-96c8-e1013f6185a9</t>
        </is>
      </c>
      <c r="D207" t="inlineStr">
        <is>
          <t>30001087</t>
        </is>
      </c>
      <c r="E207" t="inlineStr">
        <is>
          <t>ussd_funeral_leads_altitude_20260619</t>
        </is>
      </c>
      <c r="J207" t="inlineStr">
        <is>
          <t>ADC</t>
        </is>
      </c>
      <c r="K207" t="inlineStr">
        <is>
          <t>Auto Dial Disconnected</t>
        </is>
      </c>
      <c r="L207" t="n">
        <v>3</v>
      </c>
      <c r="M207" t="inlineStr">
        <is>
          <t>2026-06-24 07:36:33</t>
        </is>
      </c>
      <c r="N207" t="inlineStr">
        <is>
          <t>system</t>
        </is>
      </c>
      <c r="O207" t="inlineStr">
        <is>
          <t>2026-06-19 07:10:32</t>
        </is>
      </c>
      <c r="P207" t="inlineStr">
        <is>
          <t>2026-06-19 07:10:32</t>
        </is>
      </c>
      <c r="Y207" t="inlineStr">
        <is>
          <t>27798093279</t>
        </is>
      </c>
    </row>
    <row r="208">
      <c r="A208" t="inlineStr">
        <is>
          <t>14943180</t>
        </is>
      </c>
      <c r="B208" t="inlineStr">
        <is>
          <t>ac82a735-44f6-4e5e-b01c-ca4145a66026</t>
        </is>
      </c>
      <c r="D208" t="inlineStr">
        <is>
          <t>30001087</t>
        </is>
      </c>
      <c r="E208" t="inlineStr">
        <is>
          <t>ussd_funeral_leads_altitude_20260619</t>
        </is>
      </c>
      <c r="J208" t="inlineStr">
        <is>
          <t>AA</t>
        </is>
      </c>
      <c r="K208" t="inlineStr">
        <is>
          <t>Answering Machine Autodial</t>
        </is>
      </c>
      <c r="L208" t="n">
        <v>3</v>
      </c>
      <c r="M208" t="inlineStr">
        <is>
          <t>2026-06-24 07:36:33</t>
        </is>
      </c>
      <c r="N208" t="inlineStr">
        <is>
          <t>system</t>
        </is>
      </c>
      <c r="O208" t="inlineStr">
        <is>
          <t>2026-06-19 07:10:32</t>
        </is>
      </c>
      <c r="P208" t="inlineStr">
        <is>
          <t>2026-06-19 07:10:32</t>
        </is>
      </c>
      <c r="Y208" t="inlineStr">
        <is>
          <t>27664021020</t>
        </is>
      </c>
    </row>
    <row r="209">
      <c r="A209" t="inlineStr">
        <is>
          <t>14943177</t>
        </is>
      </c>
      <c r="B209" t="inlineStr">
        <is>
          <t>01f7e681-2f45-43ec-aa7c-0d80e9324e74</t>
        </is>
      </c>
      <c r="D209" t="inlineStr">
        <is>
          <t>30001087</t>
        </is>
      </c>
      <c r="E209" t="inlineStr">
        <is>
          <t>ussd_funeral_leads_altitude_20260619</t>
        </is>
      </c>
      <c r="J209" t="inlineStr">
        <is>
          <t>ADC</t>
        </is>
      </c>
      <c r="K209" t="inlineStr">
        <is>
          <t>Auto Dial Disconnected</t>
        </is>
      </c>
      <c r="L209" t="n">
        <v>3</v>
      </c>
      <c r="M209" t="inlineStr">
        <is>
          <t>2026-06-24 07:36:21</t>
        </is>
      </c>
      <c r="N209" t="inlineStr">
        <is>
          <t>system</t>
        </is>
      </c>
      <c r="O209" t="inlineStr">
        <is>
          <t>2026-06-19 07:10:32</t>
        </is>
      </c>
      <c r="P209" t="inlineStr">
        <is>
          <t>2026-06-19 07:10:32</t>
        </is>
      </c>
      <c r="Y209" t="inlineStr">
        <is>
          <t>27726093066</t>
        </is>
      </c>
    </row>
    <row r="210">
      <c r="A210" t="inlineStr">
        <is>
          <t>14943173</t>
        </is>
      </c>
      <c r="B210" t="inlineStr">
        <is>
          <t>e5f1781b-b144-46d2-8b4d-8c2a460c1668</t>
        </is>
      </c>
      <c r="D210" t="inlineStr">
        <is>
          <t>30001087</t>
        </is>
      </c>
      <c r="E210" t="inlineStr">
        <is>
          <t>ussd_funeral_leads_altitude_20260619</t>
        </is>
      </c>
      <c r="J210" t="inlineStr">
        <is>
          <t>AA</t>
        </is>
      </c>
      <c r="K210" t="inlineStr">
        <is>
          <t>Answering Machine Autodial</t>
        </is>
      </c>
      <c r="L210" t="n">
        <v>3</v>
      </c>
      <c r="M210" t="inlineStr">
        <is>
          <t>2026-06-24 07:36:21</t>
        </is>
      </c>
      <c r="N210" t="inlineStr">
        <is>
          <t>system</t>
        </is>
      </c>
      <c r="O210" t="inlineStr">
        <is>
          <t>2026-06-19 07:10:32</t>
        </is>
      </c>
      <c r="P210" t="inlineStr">
        <is>
          <t>2026-06-19 07:10:32</t>
        </is>
      </c>
      <c r="Y210" t="inlineStr">
        <is>
          <t>27720862236</t>
        </is>
      </c>
    </row>
    <row r="211">
      <c r="A211" t="inlineStr">
        <is>
          <t>14943175</t>
        </is>
      </c>
      <c r="B211" t="inlineStr">
        <is>
          <t>30f34e85-5da4-445f-b013-e94948ac9280</t>
        </is>
      </c>
      <c r="D211" t="inlineStr">
        <is>
          <t>30001087</t>
        </is>
      </c>
      <c r="E211" t="inlineStr">
        <is>
          <t>ussd_funeral_leads_altitude_20260619</t>
        </is>
      </c>
      <c r="H211" t="inlineStr">
        <is>
          <t>27646093970</t>
        </is>
      </c>
      <c r="J211" t="inlineStr">
        <is>
          <t>NA</t>
        </is>
      </c>
      <c r="K211" t="inlineStr">
        <is>
          <t>No Answer Autodial</t>
        </is>
      </c>
      <c r="L211" t="n">
        <v>3</v>
      </c>
      <c r="M211" t="inlineStr">
        <is>
          <t>2026-06-24 07:36:21</t>
        </is>
      </c>
      <c r="N211" t="inlineStr">
        <is>
          <t>system</t>
        </is>
      </c>
      <c r="O211" t="inlineStr">
        <is>
          <t>2026-06-19 07:10:32</t>
        </is>
      </c>
      <c r="P211" t="inlineStr">
        <is>
          <t>2026-06-19 07:10:32</t>
        </is>
      </c>
      <c r="Y211" t="inlineStr">
        <is>
          <t>27646093970</t>
        </is>
      </c>
    </row>
    <row r="212">
      <c r="A212" t="inlineStr">
        <is>
          <t>14943537</t>
        </is>
      </c>
      <c r="B212" t="inlineStr">
        <is>
          <t>28593603-26b7-4028-9fd4-1cc3078580a5</t>
        </is>
      </c>
      <c r="D212" t="inlineStr">
        <is>
          <t>30001087</t>
        </is>
      </c>
      <c r="E212" t="inlineStr">
        <is>
          <t>ussd_funeral_leads_altitude_20260619</t>
        </is>
      </c>
      <c r="J212" t="inlineStr">
        <is>
          <t>AA</t>
        </is>
      </c>
      <c r="K212" t="inlineStr">
        <is>
          <t>Answering Machine Autodial</t>
        </is>
      </c>
      <c r="L212" t="n">
        <v>3</v>
      </c>
      <c r="M212" t="inlineStr">
        <is>
          <t>2026-06-24 07:36:20</t>
        </is>
      </c>
      <c r="N212" t="inlineStr">
        <is>
          <t>system</t>
        </is>
      </c>
      <c r="O212" t="inlineStr">
        <is>
          <t>2026-06-19 07:10:32</t>
        </is>
      </c>
      <c r="P212" t="inlineStr">
        <is>
          <t>2026-06-19 07:10:32</t>
        </is>
      </c>
      <c r="Y212" t="inlineStr">
        <is>
          <t>27663927547</t>
        </is>
      </c>
    </row>
    <row r="213">
      <c r="A213" t="inlineStr">
        <is>
          <t>14943539</t>
        </is>
      </c>
      <c r="B213" t="inlineStr">
        <is>
          <t>b9caad95-32f8-4523-8511-b189f612ae7a</t>
        </is>
      </c>
      <c r="D213" t="inlineStr">
        <is>
          <t>30001087</t>
        </is>
      </c>
      <c r="E213" t="inlineStr">
        <is>
          <t>ussd_funeral_leads_altitude_20260619</t>
        </is>
      </c>
      <c r="J213" t="inlineStr">
        <is>
          <t>CU</t>
        </is>
      </c>
      <c r="K213" t="inlineStr">
        <is>
          <t>Client Hung Up</t>
        </is>
      </c>
      <c r="L213" t="n">
        <v>3</v>
      </c>
      <c r="M213" t="inlineStr">
        <is>
          <t>2026-06-24 07:36:19</t>
        </is>
      </c>
      <c r="N213" t="inlineStr">
        <is>
          <t>Goitsimang Mogwasa</t>
        </is>
      </c>
      <c r="O213" t="inlineStr">
        <is>
          <t>2026-06-19 07:10:32</t>
        </is>
      </c>
      <c r="P213" t="inlineStr">
        <is>
          <t>2026-06-19 07:10:32</t>
        </is>
      </c>
      <c r="Y213" t="inlineStr">
        <is>
          <t>27818522276</t>
        </is>
      </c>
    </row>
    <row r="214">
      <c r="A214" t="inlineStr">
        <is>
          <t>14943541</t>
        </is>
      </c>
      <c r="B214" t="inlineStr">
        <is>
          <t>9ed5afef-e424-4c46-a7c7-de19ca9802c2</t>
        </is>
      </c>
      <c r="D214" t="inlineStr">
        <is>
          <t>30001087</t>
        </is>
      </c>
      <c r="E214" t="inlineStr">
        <is>
          <t>ussd_funeral_leads_altitude_20260619</t>
        </is>
      </c>
      <c r="J214" t="inlineStr">
        <is>
          <t>ADC</t>
        </is>
      </c>
      <c r="K214" t="inlineStr">
        <is>
          <t>Auto Dial Disconnected</t>
        </is>
      </c>
      <c r="L214" t="n">
        <v>3</v>
      </c>
      <c r="M214" t="inlineStr">
        <is>
          <t>2026-06-24 07:36:19</t>
        </is>
      </c>
      <c r="N214" t="inlineStr">
        <is>
          <t>system</t>
        </is>
      </c>
      <c r="O214" t="inlineStr">
        <is>
          <t>2026-06-19 07:10:32</t>
        </is>
      </c>
      <c r="P214" t="inlineStr">
        <is>
          <t>2026-06-19 07:10:32</t>
        </is>
      </c>
      <c r="Y214" t="inlineStr">
        <is>
          <t>27774591766</t>
        </is>
      </c>
    </row>
    <row r="215">
      <c r="A215" t="inlineStr">
        <is>
          <t>14943538</t>
        </is>
      </c>
      <c r="B215" t="inlineStr">
        <is>
          <t>f50ed740-16bb-4675-b2ae-0fe67baf329b</t>
        </is>
      </c>
      <c r="D215" t="inlineStr">
        <is>
          <t>30001087</t>
        </is>
      </c>
      <c r="E215" t="inlineStr">
        <is>
          <t>ussd_funeral_leads_altitude_20260619</t>
        </is>
      </c>
      <c r="J215" t="inlineStr">
        <is>
          <t>CBACK</t>
        </is>
      </c>
      <c r="K215" t="inlineStr">
        <is>
          <t>Callback</t>
        </is>
      </c>
      <c r="L215" t="n">
        <v>3</v>
      </c>
      <c r="M215" t="inlineStr">
        <is>
          <t>2026-06-24 07:36:18</t>
        </is>
      </c>
      <c r="N215" t="inlineStr">
        <is>
          <t>Lebohang Mabotja</t>
        </is>
      </c>
      <c r="O215" t="inlineStr">
        <is>
          <t>2026-06-19 07:10:32</t>
        </is>
      </c>
      <c r="P215" t="inlineStr">
        <is>
          <t>2026-06-19 07:10:32</t>
        </is>
      </c>
      <c r="Y215" t="inlineStr">
        <is>
          <t>27637919947</t>
        </is>
      </c>
    </row>
    <row r="216">
      <c r="A216" t="inlineStr">
        <is>
          <t>14943534</t>
        </is>
      </c>
      <c r="B216" t="inlineStr">
        <is>
          <t>ed149f1a-eb9f-4fc2-be0a-1b0e33321289</t>
        </is>
      </c>
      <c r="D216" t="inlineStr">
        <is>
          <t>30001087</t>
        </is>
      </c>
      <c r="E216" t="inlineStr">
        <is>
          <t>ussd_funeral_leads_altitude_20260619</t>
        </is>
      </c>
      <c r="J216" t="inlineStr">
        <is>
          <t>AA</t>
        </is>
      </c>
      <c r="K216" t="inlineStr">
        <is>
          <t>Answering Machine Autodial</t>
        </is>
      </c>
      <c r="L216" t="n">
        <v>3</v>
      </c>
      <c r="M216" t="inlineStr">
        <is>
          <t>2026-06-24 07:36:16</t>
        </is>
      </c>
      <c r="N216" t="inlineStr">
        <is>
          <t>system</t>
        </is>
      </c>
      <c r="O216" t="inlineStr">
        <is>
          <t>2026-06-19 07:10:32</t>
        </is>
      </c>
      <c r="P216" t="inlineStr">
        <is>
          <t>2026-06-19 07:10:32</t>
        </is>
      </c>
      <c r="Y216" t="inlineStr">
        <is>
          <t>27795234645</t>
        </is>
      </c>
    </row>
    <row r="217">
      <c r="A217" t="inlineStr">
        <is>
          <t>14943535</t>
        </is>
      </c>
      <c r="B217" t="inlineStr">
        <is>
          <t>1848716b-229a-4083-b937-a3aacab2a87a</t>
        </is>
      </c>
      <c r="D217" t="inlineStr">
        <is>
          <t>30001087</t>
        </is>
      </c>
      <c r="E217" t="inlineStr">
        <is>
          <t>ussd_funeral_leads_altitude_20260619</t>
        </is>
      </c>
      <c r="J217" t="inlineStr">
        <is>
          <t>AA</t>
        </is>
      </c>
      <c r="K217" t="inlineStr">
        <is>
          <t>Answering Machine Autodial</t>
        </is>
      </c>
      <c r="L217" t="n">
        <v>3</v>
      </c>
      <c r="M217" t="inlineStr">
        <is>
          <t>2026-06-24 07:36:16</t>
        </is>
      </c>
      <c r="N217" t="inlineStr">
        <is>
          <t>system</t>
        </is>
      </c>
      <c r="O217" t="inlineStr">
        <is>
          <t>2026-06-19 07:10:32</t>
        </is>
      </c>
      <c r="P217" t="inlineStr">
        <is>
          <t>2026-06-19 07:10:32</t>
        </is>
      </c>
      <c r="Y217" t="inlineStr">
        <is>
          <t>27661030620</t>
        </is>
      </c>
    </row>
    <row r="218">
      <c r="A218" t="inlineStr">
        <is>
          <t>14943536</t>
        </is>
      </c>
      <c r="B218" t="inlineStr">
        <is>
          <t>200343f5-a1c9-414c-a45b-eafcd9c2a566</t>
        </is>
      </c>
      <c r="D218" t="inlineStr">
        <is>
          <t>30001087</t>
        </is>
      </c>
      <c r="E218" t="inlineStr">
        <is>
          <t>ussd_funeral_leads_altitude_20260619</t>
        </is>
      </c>
      <c r="J218" t="inlineStr">
        <is>
          <t>AE</t>
        </is>
      </c>
      <c r="K218" t="inlineStr">
        <is>
          <t>Auto Engaged</t>
        </is>
      </c>
      <c r="L218" t="n">
        <v>3</v>
      </c>
      <c r="M218" t="inlineStr">
        <is>
          <t>2026-06-24 07:36:16</t>
        </is>
      </c>
      <c r="N218" t="inlineStr">
        <is>
          <t>system</t>
        </is>
      </c>
      <c r="O218" t="inlineStr">
        <is>
          <t>2026-06-19 07:10:32</t>
        </is>
      </c>
      <c r="P218" t="inlineStr">
        <is>
          <t>2026-06-19 07:10:32</t>
        </is>
      </c>
      <c r="Y218" t="inlineStr">
        <is>
          <t>27766251472</t>
        </is>
      </c>
    </row>
    <row r="219">
      <c r="A219" t="inlineStr">
        <is>
          <t>14943532</t>
        </is>
      </c>
      <c r="B219" t="inlineStr">
        <is>
          <t>5d25f375-cee9-484b-a13e-15e8c07e5dc0</t>
        </is>
      </c>
      <c r="D219" t="inlineStr">
        <is>
          <t>30001087</t>
        </is>
      </c>
      <c r="E219" t="inlineStr">
        <is>
          <t>ussd_funeral_leads_altitude_20260619</t>
        </is>
      </c>
      <c r="J219" t="inlineStr">
        <is>
          <t>AA</t>
        </is>
      </c>
      <c r="K219" t="inlineStr">
        <is>
          <t>Answering Machine Autodial</t>
        </is>
      </c>
      <c r="L219" t="n">
        <v>3</v>
      </c>
      <c r="M219" t="inlineStr">
        <is>
          <t>2026-06-24 07:36:15</t>
        </is>
      </c>
      <c r="N219" t="inlineStr">
        <is>
          <t>system</t>
        </is>
      </c>
      <c r="O219" t="inlineStr">
        <is>
          <t>2026-06-19 07:10:32</t>
        </is>
      </c>
      <c r="P219" t="inlineStr">
        <is>
          <t>2026-06-19 07:10:32</t>
        </is>
      </c>
      <c r="Y219" t="inlineStr">
        <is>
          <t>27828379904</t>
        </is>
      </c>
    </row>
    <row r="220">
      <c r="A220" t="inlineStr">
        <is>
          <t>14943533</t>
        </is>
      </c>
      <c r="B220" t="inlineStr">
        <is>
          <t>10779a51-0ae8-4481-af50-93438656ed80</t>
        </is>
      </c>
      <c r="D220" t="inlineStr">
        <is>
          <t>30001087</t>
        </is>
      </c>
      <c r="E220" t="inlineStr">
        <is>
          <t>ussd_funeral_leads_altitude_20260619</t>
        </is>
      </c>
      <c r="J220" t="inlineStr">
        <is>
          <t>ADC</t>
        </is>
      </c>
      <c r="K220" t="inlineStr">
        <is>
          <t>Auto Dial Disconnected</t>
        </is>
      </c>
      <c r="L220" t="n">
        <v>3</v>
      </c>
      <c r="M220" t="inlineStr">
        <is>
          <t>2026-06-24 07:36:15</t>
        </is>
      </c>
      <c r="N220" t="inlineStr">
        <is>
          <t>system</t>
        </is>
      </c>
      <c r="O220" t="inlineStr">
        <is>
          <t>2026-06-19 07:10:32</t>
        </is>
      </c>
      <c r="P220" t="inlineStr">
        <is>
          <t>2026-06-19 07:10:32</t>
        </is>
      </c>
      <c r="Y220" t="inlineStr">
        <is>
          <t>27799432966</t>
        </is>
      </c>
    </row>
    <row r="221">
      <c r="A221" t="inlineStr">
        <is>
          <t>14943529</t>
        </is>
      </c>
      <c r="B221" t="inlineStr">
        <is>
          <t>1181489d-7ede-484f-8488-57085bfe913b</t>
        </is>
      </c>
      <c r="D221" t="inlineStr">
        <is>
          <t>30001087</t>
        </is>
      </c>
      <c r="E221" t="inlineStr">
        <is>
          <t>ussd_funeral_leads_altitude_20260619</t>
        </is>
      </c>
      <c r="J221" t="inlineStr">
        <is>
          <t>AA</t>
        </is>
      </c>
      <c r="K221" t="inlineStr">
        <is>
          <t>Answering Machine Autodial</t>
        </is>
      </c>
      <c r="L221" t="n">
        <v>3</v>
      </c>
      <c r="M221" t="inlineStr">
        <is>
          <t>2026-06-24 07:36:14</t>
        </is>
      </c>
      <c r="N221" t="inlineStr">
        <is>
          <t>system</t>
        </is>
      </c>
      <c r="O221" t="inlineStr">
        <is>
          <t>2026-06-19 07:10:32</t>
        </is>
      </c>
      <c r="P221" t="inlineStr">
        <is>
          <t>2026-06-19 07:10:32</t>
        </is>
      </c>
      <c r="Y221" t="inlineStr">
        <is>
          <t>27761730570</t>
        </is>
      </c>
    </row>
    <row r="222">
      <c r="A222" t="inlineStr">
        <is>
          <t>14943530</t>
        </is>
      </c>
      <c r="B222" t="inlineStr">
        <is>
          <t>d41d9f39-a7f6-409c-a980-44c18f9037dd</t>
        </is>
      </c>
      <c r="D222" t="inlineStr">
        <is>
          <t>30001087</t>
        </is>
      </c>
      <c r="E222" t="inlineStr">
        <is>
          <t>ussd_funeral_leads_altitude_20260619</t>
        </is>
      </c>
      <c r="J222" t="inlineStr">
        <is>
          <t>TDN</t>
        </is>
      </c>
      <c r="K222" t="inlineStr">
        <is>
          <t>Temporary Disconnected Number</t>
        </is>
      </c>
      <c r="L222" t="n">
        <v>3</v>
      </c>
      <c r="M222" t="inlineStr">
        <is>
          <t>2026-06-24 07:36:14</t>
        </is>
      </c>
      <c r="N222" t="inlineStr">
        <is>
          <t>system</t>
        </is>
      </c>
      <c r="O222" t="inlineStr">
        <is>
          <t>2026-06-19 07:10:32</t>
        </is>
      </c>
      <c r="P222" t="inlineStr">
        <is>
          <t>2026-06-19 07:10:32</t>
        </is>
      </c>
      <c r="Y222" t="inlineStr">
        <is>
          <t>27712957030</t>
        </is>
      </c>
    </row>
    <row r="223">
      <c r="A223" t="inlineStr">
        <is>
          <t>14943531</t>
        </is>
      </c>
      <c r="B223" t="inlineStr">
        <is>
          <t>dc75cf8c-d7db-45c8-a430-272d7cbf969a</t>
        </is>
      </c>
      <c r="D223" t="inlineStr">
        <is>
          <t>30001087</t>
        </is>
      </c>
      <c r="E223" t="inlineStr">
        <is>
          <t>ussd_funeral_leads_altitude_20260619</t>
        </is>
      </c>
      <c r="J223" t="inlineStr">
        <is>
          <t>ADC</t>
        </is>
      </c>
      <c r="K223" t="inlineStr">
        <is>
          <t>Auto Dial Disconnected</t>
        </is>
      </c>
      <c r="L223" t="n">
        <v>3</v>
      </c>
      <c r="M223" t="inlineStr">
        <is>
          <t>2026-06-24 07:36:14</t>
        </is>
      </c>
      <c r="N223" t="inlineStr">
        <is>
          <t>system</t>
        </is>
      </c>
      <c r="O223" t="inlineStr">
        <is>
          <t>2026-06-19 07:10:32</t>
        </is>
      </c>
      <c r="P223" t="inlineStr">
        <is>
          <t>2026-06-19 07:10:32</t>
        </is>
      </c>
      <c r="Y223" t="inlineStr">
        <is>
          <t>27762815557</t>
        </is>
      </c>
    </row>
    <row r="224">
      <c r="A224" t="inlineStr">
        <is>
          <t>14943527</t>
        </is>
      </c>
      <c r="B224" t="inlineStr">
        <is>
          <t>3ad96e96-8813-4e8c-90c5-48d5da3fb642</t>
        </is>
      </c>
      <c r="D224" t="inlineStr">
        <is>
          <t>30001087</t>
        </is>
      </c>
      <c r="E224" t="inlineStr">
        <is>
          <t>ussd_funeral_leads_altitude_20260619</t>
        </is>
      </c>
      <c r="J224" t="inlineStr">
        <is>
          <t>AA</t>
        </is>
      </c>
      <c r="K224" t="inlineStr">
        <is>
          <t>Answering Machine Autodial</t>
        </is>
      </c>
      <c r="L224" t="n">
        <v>3</v>
      </c>
      <c r="M224" t="inlineStr">
        <is>
          <t>2026-06-24 07:36:12</t>
        </is>
      </c>
      <c r="N224" t="inlineStr">
        <is>
          <t>system</t>
        </is>
      </c>
      <c r="O224" t="inlineStr">
        <is>
          <t>2026-06-19 07:10:32</t>
        </is>
      </c>
      <c r="P224" t="inlineStr">
        <is>
          <t>2026-06-19 07:10:32</t>
        </is>
      </c>
      <c r="Y224" t="inlineStr">
        <is>
          <t>27608460142</t>
        </is>
      </c>
    </row>
    <row r="225">
      <c r="A225" t="inlineStr">
        <is>
          <t>14943528</t>
        </is>
      </c>
      <c r="B225" t="inlineStr">
        <is>
          <t>020bedd6-1636-4987-a48a-50bdc36a662c</t>
        </is>
      </c>
      <c r="D225" t="inlineStr">
        <is>
          <t>30001087</t>
        </is>
      </c>
      <c r="E225" t="inlineStr">
        <is>
          <t>ussd_funeral_leads_altitude_20260619</t>
        </is>
      </c>
      <c r="J225" t="inlineStr">
        <is>
          <t>AA</t>
        </is>
      </c>
      <c r="K225" t="inlineStr">
        <is>
          <t>Answering Machine Autodial</t>
        </is>
      </c>
      <c r="L225" t="n">
        <v>3</v>
      </c>
      <c r="M225" t="inlineStr">
        <is>
          <t>2026-06-24 07:36:12</t>
        </is>
      </c>
      <c r="N225" t="inlineStr">
        <is>
          <t>system</t>
        </is>
      </c>
      <c r="O225" t="inlineStr">
        <is>
          <t>2026-06-19 07:10:32</t>
        </is>
      </c>
      <c r="P225" t="inlineStr">
        <is>
          <t>2026-06-19 07:10:32</t>
        </is>
      </c>
      <c r="Y225" t="inlineStr">
        <is>
          <t>27761143425</t>
        </is>
      </c>
    </row>
    <row r="226">
      <c r="A226" t="inlineStr">
        <is>
          <t>14943521</t>
        </is>
      </c>
      <c r="B226" t="inlineStr">
        <is>
          <t>0c24575a-3c19-4da2-be21-87e5b97240ad</t>
        </is>
      </c>
      <c r="D226" t="inlineStr">
        <is>
          <t>30001087</t>
        </is>
      </c>
      <c r="E226" t="inlineStr">
        <is>
          <t>ussd_funeral_leads_altitude_20260619</t>
        </is>
      </c>
      <c r="J226" t="inlineStr">
        <is>
          <t>AE</t>
        </is>
      </c>
      <c r="K226" t="inlineStr">
        <is>
          <t>Auto Engaged</t>
        </is>
      </c>
      <c r="L226" t="n">
        <v>3</v>
      </c>
      <c r="M226" t="inlineStr">
        <is>
          <t>2026-06-24 07:36:11</t>
        </is>
      </c>
      <c r="N226" t="inlineStr">
        <is>
          <t>system</t>
        </is>
      </c>
      <c r="O226" t="inlineStr">
        <is>
          <t>2026-06-19 07:10:32</t>
        </is>
      </c>
      <c r="P226" t="inlineStr">
        <is>
          <t>2026-06-19 07:10:32</t>
        </is>
      </c>
      <c r="Y226" t="inlineStr">
        <is>
          <t>27648163354</t>
        </is>
      </c>
    </row>
    <row r="227">
      <c r="A227" t="inlineStr">
        <is>
          <t>14943526</t>
        </is>
      </c>
      <c r="B227" t="inlineStr">
        <is>
          <t>157d6156-1e0b-44eb-90eb-4e9762725c3f</t>
        </is>
      </c>
      <c r="D227" t="inlineStr">
        <is>
          <t>30001087</t>
        </is>
      </c>
      <c r="E227" t="inlineStr">
        <is>
          <t>ussd_funeral_leads_altitude_20260619</t>
        </is>
      </c>
      <c r="H227" t="inlineStr">
        <is>
          <t>27665519305</t>
        </is>
      </c>
      <c r="J227" t="inlineStr">
        <is>
          <t>NA</t>
        </is>
      </c>
      <c r="K227" t="inlineStr">
        <is>
          <t>No Answer Autodial</t>
        </is>
      </c>
      <c r="L227" t="n">
        <v>3</v>
      </c>
      <c r="M227" t="inlineStr">
        <is>
          <t>2026-06-24 07:36:11</t>
        </is>
      </c>
      <c r="N227" t="inlineStr">
        <is>
          <t>system</t>
        </is>
      </c>
      <c r="O227" t="inlineStr">
        <is>
          <t>2026-06-19 07:10:32</t>
        </is>
      </c>
      <c r="P227" t="inlineStr">
        <is>
          <t>2026-06-19 07:10:32</t>
        </is>
      </c>
      <c r="Y227" t="inlineStr">
        <is>
          <t>27665519305</t>
        </is>
      </c>
    </row>
    <row r="228">
      <c r="A228" t="inlineStr">
        <is>
          <t>14943522</t>
        </is>
      </c>
      <c r="B228" t="inlineStr">
        <is>
          <t>995b69f3-b9e2-409a-836c-a132b970c040</t>
        </is>
      </c>
      <c r="D228" t="inlineStr">
        <is>
          <t>30001087</t>
        </is>
      </c>
      <c r="E228" t="inlineStr">
        <is>
          <t>ussd_funeral_leads_altitude_20260619</t>
        </is>
      </c>
      <c r="J228" t="inlineStr">
        <is>
          <t>AA</t>
        </is>
      </c>
      <c r="K228" t="inlineStr">
        <is>
          <t>Answering Machine Autodial</t>
        </is>
      </c>
      <c r="L228" t="n">
        <v>3</v>
      </c>
      <c r="M228" t="inlineStr">
        <is>
          <t>2026-06-24 07:36:10</t>
        </is>
      </c>
      <c r="N228" t="inlineStr">
        <is>
          <t>system</t>
        </is>
      </c>
      <c r="O228" t="inlineStr">
        <is>
          <t>2026-06-19 07:10:32</t>
        </is>
      </c>
      <c r="P228" t="inlineStr">
        <is>
          <t>2026-06-19 07:10:32</t>
        </is>
      </c>
      <c r="Y228" t="inlineStr">
        <is>
          <t>27729138814</t>
        </is>
      </c>
    </row>
    <row r="229">
      <c r="A229" t="inlineStr">
        <is>
          <t>14943523</t>
        </is>
      </c>
      <c r="B229" t="inlineStr">
        <is>
          <t>6c8f80d7-6666-4d84-a40a-e3892728f646</t>
        </is>
      </c>
      <c r="D229" t="inlineStr">
        <is>
          <t>30001087</t>
        </is>
      </c>
      <c r="E229" t="inlineStr">
        <is>
          <t>ussd_funeral_leads_altitude_20260619</t>
        </is>
      </c>
      <c r="J229" t="inlineStr">
        <is>
          <t>ADC</t>
        </is>
      </c>
      <c r="K229" t="inlineStr">
        <is>
          <t>Auto Dial Disconnected</t>
        </is>
      </c>
      <c r="L229" t="n">
        <v>3</v>
      </c>
      <c r="M229" t="inlineStr">
        <is>
          <t>2026-06-24 07:36:10</t>
        </is>
      </c>
      <c r="N229" t="inlineStr">
        <is>
          <t>system</t>
        </is>
      </c>
      <c r="O229" t="inlineStr">
        <is>
          <t>2026-06-19 07:10:32</t>
        </is>
      </c>
      <c r="P229" t="inlineStr">
        <is>
          <t>2026-06-19 07:10:32</t>
        </is>
      </c>
      <c r="Y229" t="inlineStr">
        <is>
          <t>27766636456</t>
        </is>
      </c>
    </row>
    <row r="230">
      <c r="A230" t="inlineStr">
        <is>
          <t>14943524</t>
        </is>
      </c>
      <c r="B230" t="inlineStr">
        <is>
          <t>17225f22-7bdd-48a1-ac02-5bca7cd6a327</t>
        </is>
      </c>
      <c r="D230" t="inlineStr">
        <is>
          <t>30001087</t>
        </is>
      </c>
      <c r="E230" t="inlineStr">
        <is>
          <t>ussd_funeral_leads_altitude_20260619</t>
        </is>
      </c>
      <c r="J230" t="inlineStr">
        <is>
          <t>AA</t>
        </is>
      </c>
      <c r="K230" t="inlineStr">
        <is>
          <t>Answering Machine Autodial</t>
        </is>
      </c>
      <c r="L230" t="n">
        <v>3</v>
      </c>
      <c r="M230" t="inlineStr">
        <is>
          <t>2026-06-24 07:36:10</t>
        </is>
      </c>
      <c r="N230" t="inlineStr">
        <is>
          <t>system</t>
        </is>
      </c>
      <c r="O230" t="inlineStr">
        <is>
          <t>2026-06-19 07:10:32</t>
        </is>
      </c>
      <c r="P230" t="inlineStr">
        <is>
          <t>2026-06-19 07:10:32</t>
        </is>
      </c>
      <c r="Y230" t="inlineStr">
        <is>
          <t>27790825059</t>
        </is>
      </c>
    </row>
    <row r="231">
      <c r="A231" t="inlineStr">
        <is>
          <t>14943525</t>
        </is>
      </c>
      <c r="B231" t="inlineStr">
        <is>
          <t>84ec1e69-383a-4de1-b221-93c8b8afe5b1</t>
        </is>
      </c>
      <c r="D231" t="inlineStr">
        <is>
          <t>30001087</t>
        </is>
      </c>
      <c r="E231" t="inlineStr">
        <is>
          <t>ussd_funeral_leads_altitude_20260619</t>
        </is>
      </c>
      <c r="J231" t="inlineStr">
        <is>
          <t>AA</t>
        </is>
      </c>
      <c r="K231" t="inlineStr">
        <is>
          <t>Answering Machine Autodial</t>
        </is>
      </c>
      <c r="L231" t="n">
        <v>3</v>
      </c>
      <c r="M231" t="inlineStr">
        <is>
          <t>2026-06-24 07:36:10</t>
        </is>
      </c>
      <c r="N231" t="inlineStr">
        <is>
          <t>system</t>
        </is>
      </c>
      <c r="O231" t="inlineStr">
        <is>
          <t>2026-06-19 07:10:32</t>
        </is>
      </c>
      <c r="P231" t="inlineStr">
        <is>
          <t>2026-06-19 07:10:32</t>
        </is>
      </c>
      <c r="Y231" t="inlineStr">
        <is>
          <t>27729736932</t>
        </is>
      </c>
    </row>
    <row r="232">
      <c r="A232" t="inlineStr">
        <is>
          <t>14943520</t>
        </is>
      </c>
      <c r="B232" t="inlineStr">
        <is>
          <t>db182091-3c17-4451-9ae3-87b8bb836cf3</t>
        </is>
      </c>
      <c r="D232" t="inlineStr">
        <is>
          <t>30001087</t>
        </is>
      </c>
      <c r="E232" t="inlineStr">
        <is>
          <t>ussd_funeral_leads_altitude_20260619</t>
        </is>
      </c>
      <c r="J232" t="inlineStr">
        <is>
          <t>ADC</t>
        </is>
      </c>
      <c r="K232" t="inlineStr">
        <is>
          <t>Auto Dial Disconnected</t>
        </is>
      </c>
      <c r="L232" t="n">
        <v>3</v>
      </c>
      <c r="M232" t="inlineStr">
        <is>
          <t>2026-06-24 07:36:10</t>
        </is>
      </c>
      <c r="N232" t="inlineStr">
        <is>
          <t>system</t>
        </is>
      </c>
      <c r="O232" t="inlineStr">
        <is>
          <t>2026-06-19 07:10:32</t>
        </is>
      </c>
      <c r="P232" t="inlineStr">
        <is>
          <t>2026-06-19 07:10:32</t>
        </is>
      </c>
      <c r="Y232" t="inlineStr">
        <is>
          <t>27664794107</t>
        </is>
      </c>
    </row>
    <row r="233">
      <c r="A233" t="inlineStr">
        <is>
          <t>14943518</t>
        </is>
      </c>
      <c r="B233" t="inlineStr">
        <is>
          <t>27b45e7e-265c-4460-b6a9-978164408ac7</t>
        </is>
      </c>
      <c r="D233" t="inlineStr">
        <is>
          <t>30001087</t>
        </is>
      </c>
      <c r="E233" t="inlineStr">
        <is>
          <t>ussd_funeral_leads_altitude_20260619</t>
        </is>
      </c>
      <c r="J233" t="inlineStr">
        <is>
          <t>AA</t>
        </is>
      </c>
      <c r="K233" t="inlineStr">
        <is>
          <t>Answering Machine Autodial</t>
        </is>
      </c>
      <c r="L233" t="n">
        <v>3</v>
      </c>
      <c r="M233" t="inlineStr">
        <is>
          <t>2026-06-24 07:36:09</t>
        </is>
      </c>
      <c r="N233" t="inlineStr">
        <is>
          <t>system</t>
        </is>
      </c>
      <c r="O233" t="inlineStr">
        <is>
          <t>2026-06-19 07:10:32</t>
        </is>
      </c>
      <c r="P233" t="inlineStr">
        <is>
          <t>2026-06-19 07:10:32</t>
        </is>
      </c>
      <c r="Y233" t="inlineStr">
        <is>
          <t>27793057957</t>
        </is>
      </c>
    </row>
    <row r="234">
      <c r="A234" t="inlineStr">
        <is>
          <t>14943519</t>
        </is>
      </c>
      <c r="B234" t="inlineStr">
        <is>
          <t>ab176c9e-a9ac-4eec-b08e-9adc7b90568c</t>
        </is>
      </c>
      <c r="D234" t="inlineStr">
        <is>
          <t>30001087</t>
        </is>
      </c>
      <c r="E234" t="inlineStr">
        <is>
          <t>ussd_funeral_leads_altitude_20260619</t>
        </is>
      </c>
      <c r="J234" t="inlineStr">
        <is>
          <t>TDN</t>
        </is>
      </c>
      <c r="K234" t="inlineStr">
        <is>
          <t>Temporary Disconnected Number</t>
        </is>
      </c>
      <c r="L234" t="n">
        <v>3</v>
      </c>
      <c r="M234" t="inlineStr">
        <is>
          <t>2026-06-24 07:36:09</t>
        </is>
      </c>
      <c r="N234" t="inlineStr">
        <is>
          <t>system</t>
        </is>
      </c>
      <c r="O234" t="inlineStr">
        <is>
          <t>2026-06-19 07:10:32</t>
        </is>
      </c>
      <c r="P234" t="inlineStr">
        <is>
          <t>2026-06-19 07:10:32</t>
        </is>
      </c>
      <c r="Y234" t="inlineStr">
        <is>
          <t>27797604519</t>
        </is>
      </c>
    </row>
    <row r="235">
      <c r="A235" t="inlineStr">
        <is>
          <t>14947602</t>
        </is>
      </c>
      <c r="B235" t="inlineStr">
        <is>
          <t>4f008489-09a0-4b74-9a38-de5b6bcb8614</t>
        </is>
      </c>
      <c r="D235" t="inlineStr">
        <is>
          <t>30001087</t>
        </is>
      </c>
      <c r="E235" t="inlineStr">
        <is>
          <t>ussd_funeral_leads_altitude_20260619</t>
        </is>
      </c>
      <c r="J235" t="inlineStr">
        <is>
          <t>AA</t>
        </is>
      </c>
      <c r="K235" t="inlineStr">
        <is>
          <t>Answering Machine Autodial</t>
        </is>
      </c>
      <c r="L235" t="n">
        <v>3</v>
      </c>
      <c r="M235" t="inlineStr">
        <is>
          <t>2026-06-24 07:36:07</t>
        </is>
      </c>
      <c r="N235" t="inlineStr">
        <is>
          <t>system</t>
        </is>
      </c>
      <c r="O235" t="inlineStr">
        <is>
          <t>2026-06-19 07:10:32</t>
        </is>
      </c>
      <c r="P235" t="inlineStr">
        <is>
          <t>2026-06-19 07:10:32</t>
        </is>
      </c>
      <c r="Y235" t="inlineStr">
        <is>
          <t>27660844813</t>
        </is>
      </c>
    </row>
    <row r="236">
      <c r="A236" t="inlineStr">
        <is>
          <t>14943311</t>
        </is>
      </c>
      <c r="B236" t="inlineStr">
        <is>
          <t>1d4a8598-6037-42b7-b7ff-34fcb72ff69b</t>
        </is>
      </c>
      <c r="D236" t="inlineStr">
        <is>
          <t>30001087</t>
        </is>
      </c>
      <c r="E236" t="inlineStr">
        <is>
          <t>ussd_funeral_leads_altitude_20260619</t>
        </is>
      </c>
      <c r="J236" t="inlineStr">
        <is>
          <t>CBACK</t>
        </is>
      </c>
      <c r="K236" t="inlineStr">
        <is>
          <t>Callback</t>
        </is>
      </c>
      <c r="L236" t="n">
        <v>3</v>
      </c>
      <c r="M236" t="inlineStr">
        <is>
          <t>2026-06-24 07:36:06</t>
        </is>
      </c>
      <c r="N236" t="inlineStr">
        <is>
          <t>Bongiwe Precious Cele</t>
        </is>
      </c>
      <c r="O236" t="inlineStr">
        <is>
          <t>2026-06-19 07:10:32</t>
        </is>
      </c>
      <c r="P236" t="inlineStr">
        <is>
          <t>2026-06-19 07:10:32</t>
        </is>
      </c>
      <c r="Y236" t="inlineStr">
        <is>
          <t>27646609950</t>
        </is>
      </c>
    </row>
    <row r="237">
      <c r="A237" t="inlineStr">
        <is>
          <t>14943517</t>
        </is>
      </c>
      <c r="B237" t="inlineStr">
        <is>
          <t>25fd5541-9bab-43e2-8d03-e4ef45c1364e</t>
        </is>
      </c>
      <c r="D237" t="inlineStr">
        <is>
          <t>30001087</t>
        </is>
      </c>
      <c r="E237" t="inlineStr">
        <is>
          <t>ussd_funeral_leads_altitude_20260619</t>
        </is>
      </c>
      <c r="J237" t="inlineStr">
        <is>
          <t>AA</t>
        </is>
      </c>
      <c r="K237" t="inlineStr">
        <is>
          <t>Answering Machine Autodial</t>
        </is>
      </c>
      <c r="L237" t="n">
        <v>3</v>
      </c>
      <c r="M237" t="inlineStr">
        <is>
          <t>2026-06-24 07:36:06</t>
        </is>
      </c>
      <c r="N237" t="inlineStr">
        <is>
          <t>system</t>
        </is>
      </c>
      <c r="O237" t="inlineStr">
        <is>
          <t>2026-06-19 07:10:32</t>
        </is>
      </c>
      <c r="P237" t="inlineStr">
        <is>
          <t>2026-06-19 07:10:32</t>
        </is>
      </c>
      <c r="Y237" t="inlineStr">
        <is>
          <t>27796104152</t>
        </is>
      </c>
    </row>
    <row r="238">
      <c r="A238" t="inlineStr">
        <is>
          <t>14947603</t>
        </is>
      </c>
      <c r="B238" t="inlineStr">
        <is>
          <t>e48aca2c-effa-4181-a28d-fb5af61b52f7</t>
        </is>
      </c>
      <c r="D238" t="inlineStr">
        <is>
          <t>30001087</t>
        </is>
      </c>
      <c r="E238" t="inlineStr">
        <is>
          <t>ussd_funeral_leads_altitude_20260619</t>
        </is>
      </c>
      <c r="J238" t="inlineStr">
        <is>
          <t>TDN</t>
        </is>
      </c>
      <c r="K238" t="inlineStr">
        <is>
          <t>Temporary Disconnected Number</t>
        </is>
      </c>
      <c r="L238" t="n">
        <v>3</v>
      </c>
      <c r="M238" t="inlineStr">
        <is>
          <t>2026-06-24 07:36:06</t>
        </is>
      </c>
      <c r="N238" t="inlineStr">
        <is>
          <t>system</t>
        </is>
      </c>
      <c r="O238" t="inlineStr">
        <is>
          <t>2026-06-19 07:10:32</t>
        </is>
      </c>
      <c r="P238" t="inlineStr">
        <is>
          <t>2026-06-19 07:10:32</t>
        </is>
      </c>
      <c r="Y238" t="inlineStr">
        <is>
          <t>27721011840</t>
        </is>
      </c>
    </row>
    <row r="239">
      <c r="A239" t="inlineStr">
        <is>
          <t>14943310</t>
        </is>
      </c>
      <c r="B239" t="inlineStr">
        <is>
          <t>289aa1b3-f989-4c87-9313-9efc5e8f922a</t>
        </is>
      </c>
      <c r="D239" t="inlineStr">
        <is>
          <t>30001087</t>
        </is>
      </c>
      <c r="E239" t="inlineStr">
        <is>
          <t>ussd_funeral_leads_altitude_20260619</t>
        </is>
      </c>
      <c r="J239" t="inlineStr">
        <is>
          <t>ADC</t>
        </is>
      </c>
      <c r="K239" t="inlineStr">
        <is>
          <t>Auto Dial Disconnected</t>
        </is>
      </c>
      <c r="L239" t="n">
        <v>3</v>
      </c>
      <c r="M239" t="inlineStr">
        <is>
          <t>2026-06-24 07:36:05</t>
        </is>
      </c>
      <c r="N239" t="inlineStr">
        <is>
          <t>system</t>
        </is>
      </c>
      <c r="O239" t="inlineStr">
        <is>
          <t>2026-06-19 07:10:32</t>
        </is>
      </c>
      <c r="P239" t="inlineStr">
        <is>
          <t>2026-06-19 07:10:32</t>
        </is>
      </c>
      <c r="Y239" t="inlineStr">
        <is>
          <t>27713506389</t>
        </is>
      </c>
    </row>
    <row r="240">
      <c r="A240" t="inlineStr">
        <is>
          <t>14943312</t>
        </is>
      </c>
      <c r="B240" t="inlineStr">
        <is>
          <t>ddfcf92c-dbbb-4acb-86fc-3a22a4b6f092</t>
        </is>
      </c>
      <c r="D240" t="inlineStr">
        <is>
          <t>30001087</t>
        </is>
      </c>
      <c r="E240" t="inlineStr">
        <is>
          <t>ussd_funeral_leads_altitude_20260619</t>
        </is>
      </c>
      <c r="J240" t="inlineStr">
        <is>
          <t>ADC</t>
        </is>
      </c>
      <c r="K240" t="inlineStr">
        <is>
          <t>Auto Dial Disconnected</t>
        </is>
      </c>
      <c r="L240" t="n">
        <v>3</v>
      </c>
      <c r="M240" t="inlineStr">
        <is>
          <t>2026-06-24 07:36:05</t>
        </is>
      </c>
      <c r="N240" t="inlineStr">
        <is>
          <t>system</t>
        </is>
      </c>
      <c r="O240" t="inlineStr">
        <is>
          <t>2026-06-19 07:10:32</t>
        </is>
      </c>
      <c r="P240" t="inlineStr">
        <is>
          <t>2026-06-19 07:10:32</t>
        </is>
      </c>
      <c r="Y240" t="inlineStr">
        <is>
          <t>27828688885</t>
        </is>
      </c>
    </row>
    <row r="241">
      <c r="A241" t="inlineStr">
        <is>
          <t>14943314</t>
        </is>
      </c>
      <c r="B241" t="inlineStr">
        <is>
          <t>a1f9d6ae-a6ab-4068-9713-b3ae5ede130d</t>
        </is>
      </c>
      <c r="D241" t="inlineStr">
        <is>
          <t>30001087</t>
        </is>
      </c>
      <c r="E241" t="inlineStr">
        <is>
          <t>ussd_funeral_leads_altitude_20260619</t>
        </is>
      </c>
      <c r="J241" t="inlineStr">
        <is>
          <t>CU</t>
        </is>
      </c>
      <c r="K241" t="inlineStr">
        <is>
          <t>Client Hung Up</t>
        </is>
      </c>
      <c r="L241" t="n">
        <v>3</v>
      </c>
      <c r="M241" t="inlineStr">
        <is>
          <t>2026-06-24 07:36:05</t>
        </is>
      </c>
      <c r="N241" t="inlineStr">
        <is>
          <t>Vuyiswa Nxumalo</t>
        </is>
      </c>
      <c r="O241" t="inlineStr">
        <is>
          <t>2026-06-19 07:10:32</t>
        </is>
      </c>
      <c r="P241" t="inlineStr">
        <is>
          <t>2026-06-19 07:10:32</t>
        </is>
      </c>
      <c r="Y241" t="inlineStr">
        <is>
          <t>27647844777</t>
        </is>
      </c>
    </row>
    <row r="242">
      <c r="A242" t="inlineStr">
        <is>
          <t>14943304</t>
        </is>
      </c>
      <c r="B242" t="inlineStr">
        <is>
          <t>85226061-5737-4cee-b5cd-da5edaea7d76</t>
        </is>
      </c>
      <c r="D242" t="inlineStr">
        <is>
          <t>30001087</t>
        </is>
      </c>
      <c r="E242" t="inlineStr">
        <is>
          <t>ussd_funeral_leads_altitude_20260619</t>
        </is>
      </c>
      <c r="J242" t="inlineStr">
        <is>
          <t>AA</t>
        </is>
      </c>
      <c r="K242" t="inlineStr">
        <is>
          <t>Answering Machine Autodial</t>
        </is>
      </c>
      <c r="L242" t="n">
        <v>3</v>
      </c>
      <c r="M242" t="inlineStr">
        <is>
          <t>2026-06-24 07:36:04</t>
        </is>
      </c>
      <c r="N242" t="inlineStr">
        <is>
          <t>system</t>
        </is>
      </c>
      <c r="O242" t="inlineStr">
        <is>
          <t>2026-06-19 07:10:32</t>
        </is>
      </c>
      <c r="P242" t="inlineStr">
        <is>
          <t>2026-06-19 07:10:32</t>
        </is>
      </c>
      <c r="Y242" t="inlineStr">
        <is>
          <t>27673348844</t>
        </is>
      </c>
    </row>
    <row r="243">
      <c r="A243" t="inlineStr">
        <is>
          <t>14943305</t>
        </is>
      </c>
      <c r="B243" t="inlineStr">
        <is>
          <t>e17afcfa-b005-4d89-b853-2b8e24383087</t>
        </is>
      </c>
      <c r="D243" t="inlineStr">
        <is>
          <t>30001087</t>
        </is>
      </c>
      <c r="E243" t="inlineStr">
        <is>
          <t>ussd_funeral_leads_altitude_20260619</t>
        </is>
      </c>
      <c r="J243" t="inlineStr">
        <is>
          <t>ADC</t>
        </is>
      </c>
      <c r="K243" t="inlineStr">
        <is>
          <t>Auto Dial Disconnected</t>
        </is>
      </c>
      <c r="L243" t="n">
        <v>3</v>
      </c>
      <c r="M243" t="inlineStr">
        <is>
          <t>2026-06-24 07:36:04</t>
        </is>
      </c>
      <c r="N243" t="inlineStr">
        <is>
          <t>system</t>
        </is>
      </c>
      <c r="O243" t="inlineStr">
        <is>
          <t>2026-06-19 07:10:32</t>
        </is>
      </c>
      <c r="P243" t="inlineStr">
        <is>
          <t>2026-06-19 07:10:32</t>
        </is>
      </c>
      <c r="Y243" t="inlineStr">
        <is>
          <t>27823250372</t>
        </is>
      </c>
    </row>
    <row r="244">
      <c r="A244" t="inlineStr">
        <is>
          <t>14943306</t>
        </is>
      </c>
      <c r="B244" t="inlineStr">
        <is>
          <t>96dd01c2-f475-4684-80de-a748a0618742</t>
        </is>
      </c>
      <c r="D244" t="inlineStr">
        <is>
          <t>30001087</t>
        </is>
      </c>
      <c r="E244" t="inlineStr">
        <is>
          <t>ussd_funeral_leads_altitude_20260619</t>
        </is>
      </c>
      <c r="J244" t="inlineStr">
        <is>
          <t>CBACK</t>
        </is>
      </c>
      <c r="K244" t="inlineStr">
        <is>
          <t>Callback</t>
        </is>
      </c>
      <c r="L244" t="n">
        <v>3</v>
      </c>
      <c r="M244" t="inlineStr">
        <is>
          <t>2026-06-24 07:36:04</t>
        </is>
      </c>
      <c r="N244" t="inlineStr">
        <is>
          <t>Gontse Monageng</t>
        </is>
      </c>
      <c r="O244" t="inlineStr">
        <is>
          <t>2026-06-19 07:10:32</t>
        </is>
      </c>
      <c r="P244" t="inlineStr">
        <is>
          <t>2026-06-19 07:10:32</t>
        </is>
      </c>
      <c r="Y244" t="inlineStr">
        <is>
          <t>27825483117</t>
        </is>
      </c>
    </row>
    <row r="245">
      <c r="A245" t="inlineStr">
        <is>
          <t>14943307</t>
        </is>
      </c>
      <c r="B245" t="inlineStr">
        <is>
          <t>5011c908-cbb9-4dc5-8743-3f7dfbf46473</t>
        </is>
      </c>
      <c r="D245" t="inlineStr">
        <is>
          <t>30001087</t>
        </is>
      </c>
      <c r="E245" t="inlineStr">
        <is>
          <t>ussd_funeral_leads_altitude_20260619</t>
        </is>
      </c>
      <c r="J245" t="inlineStr">
        <is>
          <t>AA</t>
        </is>
      </c>
      <c r="K245" t="inlineStr">
        <is>
          <t>Answering Machine Autodial</t>
        </is>
      </c>
      <c r="L245" t="n">
        <v>3</v>
      </c>
      <c r="M245" t="inlineStr">
        <is>
          <t>2026-06-24 07:36:04</t>
        </is>
      </c>
      <c r="N245" t="inlineStr">
        <is>
          <t>system</t>
        </is>
      </c>
      <c r="O245" t="inlineStr">
        <is>
          <t>2026-06-19 07:10:32</t>
        </is>
      </c>
      <c r="P245" t="inlineStr">
        <is>
          <t>2026-06-19 07:10:32</t>
        </is>
      </c>
      <c r="Y245" t="inlineStr">
        <is>
          <t>27714447745</t>
        </is>
      </c>
    </row>
    <row r="246">
      <c r="A246" t="inlineStr">
        <is>
          <t>14943309</t>
        </is>
      </c>
      <c r="B246" t="inlineStr">
        <is>
          <t>f00120fd-78bd-493c-bf52-341550bf76eb</t>
        </is>
      </c>
      <c r="D246" t="inlineStr">
        <is>
          <t>30001087</t>
        </is>
      </c>
      <c r="E246" t="inlineStr">
        <is>
          <t>ussd_funeral_leads_altitude_20260619</t>
        </is>
      </c>
      <c r="J246" t="inlineStr">
        <is>
          <t>AA</t>
        </is>
      </c>
      <c r="K246" t="inlineStr">
        <is>
          <t>Answering Machine Autodial</t>
        </is>
      </c>
      <c r="L246" t="n">
        <v>3</v>
      </c>
      <c r="M246" t="inlineStr">
        <is>
          <t>2026-06-24 07:36:04</t>
        </is>
      </c>
      <c r="N246" t="inlineStr">
        <is>
          <t>system</t>
        </is>
      </c>
      <c r="O246" t="inlineStr">
        <is>
          <t>2026-06-19 07:10:32</t>
        </is>
      </c>
      <c r="P246" t="inlineStr">
        <is>
          <t>2026-06-19 07:10:32</t>
        </is>
      </c>
      <c r="Y246" t="inlineStr">
        <is>
          <t>27761765025</t>
        </is>
      </c>
    </row>
    <row r="247">
      <c r="A247" t="inlineStr">
        <is>
          <t>14943308</t>
        </is>
      </c>
      <c r="B247" t="inlineStr">
        <is>
          <t>170be264-dedb-4c4e-9ad1-017df872d75b</t>
        </is>
      </c>
      <c r="D247" t="inlineStr">
        <is>
          <t>30001087</t>
        </is>
      </c>
      <c r="E247" t="inlineStr">
        <is>
          <t>ussd_funeral_leads_altitude_20260619</t>
        </is>
      </c>
      <c r="J247" t="inlineStr">
        <is>
          <t>AA</t>
        </is>
      </c>
      <c r="K247" t="inlineStr">
        <is>
          <t>Answering Machine Autodial</t>
        </is>
      </c>
      <c r="L247" t="n">
        <v>3</v>
      </c>
      <c r="M247" t="inlineStr">
        <is>
          <t>2026-06-24 07:36:03</t>
        </is>
      </c>
      <c r="N247" t="inlineStr">
        <is>
          <t>system</t>
        </is>
      </c>
      <c r="O247" t="inlineStr">
        <is>
          <t>2026-06-19 07:10:32</t>
        </is>
      </c>
      <c r="P247" t="inlineStr">
        <is>
          <t>2026-06-19 07:10:32</t>
        </is>
      </c>
      <c r="Y247" t="inlineStr">
        <is>
          <t>27606554262</t>
        </is>
      </c>
    </row>
    <row r="248">
      <c r="A248" t="inlineStr">
        <is>
          <t>14943303</t>
        </is>
      </c>
      <c r="B248" t="inlineStr">
        <is>
          <t>40d776e2-54af-4141-b2a1-91e1135865c6</t>
        </is>
      </c>
      <c r="D248" t="inlineStr">
        <is>
          <t>30001087</t>
        </is>
      </c>
      <c r="E248" t="inlineStr">
        <is>
          <t>ussd_funeral_leads_altitude_20260619</t>
        </is>
      </c>
      <c r="J248" t="inlineStr">
        <is>
          <t>AA</t>
        </is>
      </c>
      <c r="K248" t="inlineStr">
        <is>
          <t>Answering Machine Autodial</t>
        </is>
      </c>
      <c r="L248" t="n">
        <v>3</v>
      </c>
      <c r="M248" t="inlineStr">
        <is>
          <t>2026-06-24 07:35:56</t>
        </is>
      </c>
      <c r="N248" t="inlineStr">
        <is>
          <t>system</t>
        </is>
      </c>
      <c r="O248" t="inlineStr">
        <is>
          <t>2026-06-19 07:10:32</t>
        </is>
      </c>
      <c r="P248" t="inlineStr">
        <is>
          <t>2026-06-19 07:10:32</t>
        </is>
      </c>
      <c r="Y248" t="inlineStr">
        <is>
          <t>27664074040</t>
        </is>
      </c>
    </row>
    <row r="249">
      <c r="A249" t="inlineStr">
        <is>
          <t>14943299</t>
        </is>
      </c>
      <c r="B249" t="inlineStr">
        <is>
          <t>463a20e1-589b-4746-bc23-6435c9292f3c</t>
        </is>
      </c>
      <c r="D249" t="inlineStr">
        <is>
          <t>30001087</t>
        </is>
      </c>
      <c r="E249" t="inlineStr">
        <is>
          <t>ussd_funeral_leads_altitude_20260619</t>
        </is>
      </c>
      <c r="J249" t="inlineStr">
        <is>
          <t>AA</t>
        </is>
      </c>
      <c r="K249" t="inlineStr">
        <is>
          <t>Answering Machine Autodial</t>
        </is>
      </c>
      <c r="L249" t="n">
        <v>3</v>
      </c>
      <c r="M249" t="inlineStr">
        <is>
          <t>2026-06-24 07:35:55</t>
        </is>
      </c>
      <c r="N249" t="inlineStr">
        <is>
          <t>system</t>
        </is>
      </c>
      <c r="O249" t="inlineStr">
        <is>
          <t>2026-06-19 07:10:32</t>
        </is>
      </c>
      <c r="P249" t="inlineStr">
        <is>
          <t>2026-06-19 07:10:32</t>
        </is>
      </c>
      <c r="Y249" t="inlineStr">
        <is>
          <t>27768790842</t>
        </is>
      </c>
    </row>
    <row r="250">
      <c r="A250" t="inlineStr">
        <is>
          <t>14943300</t>
        </is>
      </c>
      <c r="B250" t="inlineStr">
        <is>
          <t>f734d638-9553-4be4-b311-1cab4373da82</t>
        </is>
      </c>
      <c r="D250" t="inlineStr">
        <is>
          <t>30001087</t>
        </is>
      </c>
      <c r="E250" t="inlineStr">
        <is>
          <t>ussd_funeral_leads_altitude_20260619</t>
        </is>
      </c>
      <c r="J250" t="inlineStr">
        <is>
          <t>AA</t>
        </is>
      </c>
      <c r="K250" t="inlineStr">
        <is>
          <t>Answering Machine Autodial</t>
        </is>
      </c>
      <c r="L250" t="n">
        <v>3</v>
      </c>
      <c r="M250" t="inlineStr">
        <is>
          <t>2026-06-24 07:35:55</t>
        </is>
      </c>
      <c r="N250" t="inlineStr">
        <is>
          <t>system</t>
        </is>
      </c>
      <c r="O250" t="inlineStr">
        <is>
          <t>2026-06-19 07:10:32</t>
        </is>
      </c>
      <c r="P250" t="inlineStr">
        <is>
          <t>2026-06-19 07:10:32</t>
        </is>
      </c>
      <c r="Y250" t="inlineStr">
        <is>
          <t>27715316841</t>
        </is>
      </c>
    </row>
    <row r="251">
      <c r="A251" t="inlineStr">
        <is>
          <t>14943301</t>
        </is>
      </c>
      <c r="B251" t="inlineStr">
        <is>
          <t>502c5805-44c0-4195-819e-1760e646835f</t>
        </is>
      </c>
      <c r="D251" t="inlineStr">
        <is>
          <t>30001087</t>
        </is>
      </c>
      <c r="E251" t="inlineStr">
        <is>
          <t>ussd_funeral_leads_altitude_20260619</t>
        </is>
      </c>
      <c r="J251" t="inlineStr">
        <is>
          <t>AA</t>
        </is>
      </c>
      <c r="K251" t="inlineStr">
        <is>
          <t>Answering Machine Autodial</t>
        </is>
      </c>
      <c r="L251" t="n">
        <v>3</v>
      </c>
      <c r="M251" t="inlineStr">
        <is>
          <t>2026-06-24 07:35:55</t>
        </is>
      </c>
      <c r="N251" t="inlineStr">
        <is>
          <t>system</t>
        </is>
      </c>
      <c r="O251" t="inlineStr">
        <is>
          <t>2026-06-19 07:10:32</t>
        </is>
      </c>
      <c r="P251" t="inlineStr">
        <is>
          <t>2026-06-19 07:10:32</t>
        </is>
      </c>
      <c r="Y251" t="inlineStr">
        <is>
          <t>27763028559</t>
        </is>
      </c>
    </row>
    <row r="252">
      <c r="A252" t="inlineStr">
        <is>
          <t>14943292</t>
        </is>
      </c>
      <c r="B252" t="inlineStr">
        <is>
          <t>4fdc8775-a228-49e0-b516-bf5990dbed09</t>
        </is>
      </c>
      <c r="D252" t="inlineStr">
        <is>
          <t>30001087</t>
        </is>
      </c>
      <c r="E252" t="inlineStr">
        <is>
          <t>ussd_funeral_leads_altitude_20260619</t>
        </is>
      </c>
      <c r="J252" t="inlineStr">
        <is>
          <t>NA</t>
        </is>
      </c>
      <c r="K252" t="inlineStr">
        <is>
          <t>No Answer Autodial</t>
        </is>
      </c>
      <c r="L252" t="n">
        <v>3</v>
      </c>
      <c r="M252" t="inlineStr">
        <is>
          <t>2026-06-24 07:35:53</t>
        </is>
      </c>
      <c r="N252" t="inlineStr">
        <is>
          <t>system</t>
        </is>
      </c>
      <c r="O252" t="inlineStr">
        <is>
          <t>2026-06-19 07:10:32</t>
        </is>
      </c>
      <c r="P252" t="inlineStr">
        <is>
          <t>2026-06-19 07:10:32</t>
        </is>
      </c>
      <c r="Y252" t="inlineStr">
        <is>
          <t>27761840022</t>
        </is>
      </c>
    </row>
    <row r="253">
      <c r="A253" t="inlineStr">
        <is>
          <t>14943293</t>
        </is>
      </c>
      <c r="B253" t="inlineStr">
        <is>
          <t>53ab5589-af29-438d-bf33-5c9685169b09</t>
        </is>
      </c>
      <c r="D253" t="inlineStr">
        <is>
          <t>30001087</t>
        </is>
      </c>
      <c r="E253" t="inlineStr">
        <is>
          <t>ussd_funeral_leads_altitude_20260619</t>
        </is>
      </c>
      <c r="J253" t="inlineStr">
        <is>
          <t>AA</t>
        </is>
      </c>
      <c r="K253" t="inlineStr">
        <is>
          <t>Answering Machine Autodial</t>
        </is>
      </c>
      <c r="L253" t="n">
        <v>3</v>
      </c>
      <c r="M253" t="inlineStr">
        <is>
          <t>2026-06-24 07:35:53</t>
        </is>
      </c>
      <c r="N253" t="inlineStr">
        <is>
          <t>system</t>
        </is>
      </c>
      <c r="O253" t="inlineStr">
        <is>
          <t>2026-06-19 07:10:32</t>
        </is>
      </c>
      <c r="P253" t="inlineStr">
        <is>
          <t>2026-06-19 07:10:32</t>
        </is>
      </c>
      <c r="Y253" t="inlineStr">
        <is>
          <t>27818814514</t>
        </is>
      </c>
    </row>
    <row r="254">
      <c r="A254" t="inlineStr">
        <is>
          <t>14943297</t>
        </is>
      </c>
      <c r="B254" t="inlineStr">
        <is>
          <t>15e4b56a-c4ab-4312-9b2c-c097ccda1b60</t>
        </is>
      </c>
      <c r="D254" t="inlineStr">
        <is>
          <t>30001087</t>
        </is>
      </c>
      <c r="E254" t="inlineStr">
        <is>
          <t>ussd_funeral_leads_altitude_20260619</t>
        </is>
      </c>
      <c r="J254" t="inlineStr">
        <is>
          <t>AA</t>
        </is>
      </c>
      <c r="K254" t="inlineStr">
        <is>
          <t>Answering Machine Autodial</t>
        </is>
      </c>
      <c r="L254" t="n">
        <v>3</v>
      </c>
      <c r="M254" t="inlineStr">
        <is>
          <t>2026-06-24 07:35:53</t>
        </is>
      </c>
      <c r="N254" t="inlineStr">
        <is>
          <t>system</t>
        </is>
      </c>
      <c r="O254" t="inlineStr">
        <is>
          <t>2026-06-19 07:10:32</t>
        </is>
      </c>
      <c r="P254" t="inlineStr">
        <is>
          <t>2026-06-19 07:10:32</t>
        </is>
      </c>
      <c r="Y254" t="inlineStr">
        <is>
          <t>27798559280</t>
        </is>
      </c>
    </row>
    <row r="255">
      <c r="A255" t="inlineStr">
        <is>
          <t>14943294</t>
        </is>
      </c>
      <c r="B255" t="inlineStr">
        <is>
          <t>435476aa-eeed-4058-9a7e-dd52a3733329</t>
        </is>
      </c>
      <c r="D255" t="inlineStr">
        <is>
          <t>30001087</t>
        </is>
      </c>
      <c r="E255" t="inlineStr">
        <is>
          <t>ussd_funeral_leads_altitude_20260619</t>
        </is>
      </c>
      <c r="J255" t="inlineStr">
        <is>
          <t>ADC</t>
        </is>
      </c>
      <c r="K255" t="inlineStr">
        <is>
          <t>Auto Dial Disconnected</t>
        </is>
      </c>
      <c r="L255" t="n">
        <v>3</v>
      </c>
      <c r="M255" t="inlineStr">
        <is>
          <t>2026-06-24 07:35:52</t>
        </is>
      </c>
      <c r="N255" t="inlineStr">
        <is>
          <t>system</t>
        </is>
      </c>
      <c r="O255" t="inlineStr">
        <is>
          <t>2026-06-19 07:10:32</t>
        </is>
      </c>
      <c r="P255" t="inlineStr">
        <is>
          <t>2026-06-19 07:10:32</t>
        </is>
      </c>
      <c r="Y255" t="inlineStr">
        <is>
          <t>27662700127</t>
        </is>
      </c>
    </row>
    <row r="256">
      <c r="A256" t="inlineStr">
        <is>
          <t>14943295</t>
        </is>
      </c>
      <c r="B256" t="inlineStr">
        <is>
          <t>cc0945ed-bc48-444b-8802-46abe20fcb38</t>
        </is>
      </c>
      <c r="D256" t="inlineStr">
        <is>
          <t>30001087</t>
        </is>
      </c>
      <c r="E256" t="inlineStr">
        <is>
          <t>ussd_funeral_leads_altitude_20260619</t>
        </is>
      </c>
      <c r="J256" t="inlineStr">
        <is>
          <t>AA</t>
        </is>
      </c>
      <c r="K256" t="inlineStr">
        <is>
          <t>Answering Machine Autodial</t>
        </is>
      </c>
      <c r="L256" t="n">
        <v>3</v>
      </c>
      <c r="M256" t="inlineStr">
        <is>
          <t>2026-06-24 07:35:52</t>
        </is>
      </c>
      <c r="N256" t="inlineStr">
        <is>
          <t>system</t>
        </is>
      </c>
      <c r="O256" t="inlineStr">
        <is>
          <t>2026-06-19 07:10:32</t>
        </is>
      </c>
      <c r="P256" t="inlineStr">
        <is>
          <t>2026-06-19 07:10:32</t>
        </is>
      </c>
      <c r="Y256" t="inlineStr">
        <is>
          <t>27773635066</t>
        </is>
      </c>
    </row>
    <row r="257">
      <c r="A257" t="inlineStr">
        <is>
          <t>14943296</t>
        </is>
      </c>
      <c r="B257" t="inlineStr">
        <is>
          <t>60ef558a-ceae-41db-aabb-7cea846a394b</t>
        </is>
      </c>
      <c r="D257" t="inlineStr">
        <is>
          <t>30001087</t>
        </is>
      </c>
      <c r="E257" t="inlineStr">
        <is>
          <t>ussd_funeral_leads_altitude_20260619</t>
        </is>
      </c>
      <c r="J257" t="inlineStr">
        <is>
          <t>AA</t>
        </is>
      </c>
      <c r="K257" t="inlineStr">
        <is>
          <t>Answering Machine Autodial</t>
        </is>
      </c>
      <c r="L257" t="n">
        <v>3</v>
      </c>
      <c r="M257" t="inlineStr">
        <is>
          <t>2026-06-24 07:35:52</t>
        </is>
      </c>
      <c r="N257" t="inlineStr">
        <is>
          <t>system</t>
        </is>
      </c>
      <c r="O257" t="inlineStr">
        <is>
          <t>2026-06-19 07:10:32</t>
        </is>
      </c>
      <c r="P257" t="inlineStr">
        <is>
          <t>2026-06-19 07:10:32</t>
        </is>
      </c>
      <c r="Y257" t="inlineStr">
        <is>
          <t>27715355678</t>
        </is>
      </c>
    </row>
    <row r="258">
      <c r="A258" t="inlineStr">
        <is>
          <t>14943298</t>
        </is>
      </c>
      <c r="B258" t="inlineStr">
        <is>
          <t>88d65f81-0393-4901-a1dc-fb62d06e68f5</t>
        </is>
      </c>
      <c r="D258" t="inlineStr">
        <is>
          <t>30001087</t>
        </is>
      </c>
      <c r="E258" t="inlineStr">
        <is>
          <t>ussd_funeral_leads_altitude_20260619</t>
        </is>
      </c>
      <c r="J258" t="inlineStr">
        <is>
          <t>ADC</t>
        </is>
      </c>
      <c r="K258" t="inlineStr">
        <is>
          <t>Auto Dial Disconnected</t>
        </is>
      </c>
      <c r="L258" t="n">
        <v>3</v>
      </c>
      <c r="M258" t="inlineStr">
        <is>
          <t>2026-06-24 07:35:50</t>
        </is>
      </c>
      <c r="N258" t="inlineStr">
        <is>
          <t>system</t>
        </is>
      </c>
      <c r="O258" t="inlineStr">
        <is>
          <t>2026-06-19 07:10:32</t>
        </is>
      </c>
      <c r="P258" t="inlineStr">
        <is>
          <t>2026-06-19 07:10:32</t>
        </is>
      </c>
      <c r="Y258" t="inlineStr">
        <is>
          <t>27774746246</t>
        </is>
      </c>
    </row>
    <row r="259">
      <c r="A259" t="inlineStr">
        <is>
          <t>14943266</t>
        </is>
      </c>
      <c r="B259" t="inlineStr">
        <is>
          <t>54cad943-65e0-4e35-b6ca-5958a8e27753</t>
        </is>
      </c>
      <c r="D259" t="inlineStr">
        <is>
          <t>30001087</t>
        </is>
      </c>
      <c r="E259" t="inlineStr">
        <is>
          <t>ussd_funeral_leads_altitude_20260619</t>
        </is>
      </c>
      <c r="J259" t="inlineStr">
        <is>
          <t>AA</t>
        </is>
      </c>
      <c r="K259" t="inlineStr">
        <is>
          <t>Answering Machine Autodial</t>
        </is>
      </c>
      <c r="L259" t="n">
        <v>3</v>
      </c>
      <c r="M259" t="inlineStr">
        <is>
          <t>2026-06-24 07:35:47</t>
        </is>
      </c>
      <c r="N259" t="inlineStr">
        <is>
          <t>system</t>
        </is>
      </c>
      <c r="O259" t="inlineStr">
        <is>
          <t>2026-06-19 07:10:32</t>
        </is>
      </c>
      <c r="P259" t="inlineStr">
        <is>
          <t>2026-06-19 07:10:32</t>
        </is>
      </c>
      <c r="Y259" t="inlineStr">
        <is>
          <t>27727779887</t>
        </is>
      </c>
    </row>
    <row r="260">
      <c r="A260" t="inlineStr">
        <is>
          <t>14943283</t>
        </is>
      </c>
      <c r="B260" t="inlineStr">
        <is>
          <t>f626e078-3435-44e0-b9e4-51870a574830</t>
        </is>
      </c>
      <c r="D260" t="inlineStr">
        <is>
          <t>30001087</t>
        </is>
      </c>
      <c r="E260" t="inlineStr">
        <is>
          <t>ussd_funeral_leads_altitude_20260619</t>
        </is>
      </c>
      <c r="J260" t="inlineStr">
        <is>
          <t>AA</t>
        </is>
      </c>
      <c r="K260" t="inlineStr">
        <is>
          <t>Answering Machine Autodial</t>
        </is>
      </c>
      <c r="L260" t="n">
        <v>3</v>
      </c>
      <c r="M260" t="inlineStr">
        <is>
          <t>2026-06-24 07:35:47</t>
        </is>
      </c>
      <c r="N260" t="inlineStr">
        <is>
          <t>system</t>
        </is>
      </c>
      <c r="O260" t="inlineStr">
        <is>
          <t>2026-06-19 07:10:32</t>
        </is>
      </c>
      <c r="P260" t="inlineStr">
        <is>
          <t>2026-06-19 07:10:32</t>
        </is>
      </c>
      <c r="Y260" t="inlineStr">
        <is>
          <t>27761949558</t>
        </is>
      </c>
    </row>
    <row r="261">
      <c r="A261" t="inlineStr">
        <is>
          <t>14943261</t>
        </is>
      </c>
      <c r="B261" t="inlineStr">
        <is>
          <t>6349f854-c519-4aab-b706-ca572a1273c0</t>
        </is>
      </c>
      <c r="D261" t="inlineStr">
        <is>
          <t>30001087</t>
        </is>
      </c>
      <c r="E261" t="inlineStr">
        <is>
          <t>ussd_funeral_leads_altitude_20260619</t>
        </is>
      </c>
      <c r="J261" t="inlineStr">
        <is>
          <t>ADC</t>
        </is>
      </c>
      <c r="K261" t="inlineStr">
        <is>
          <t>Auto Dial Disconnected</t>
        </is>
      </c>
      <c r="L261" t="n">
        <v>3</v>
      </c>
      <c r="M261" t="inlineStr">
        <is>
          <t>2026-06-24 07:35:46</t>
        </is>
      </c>
      <c r="N261" t="inlineStr">
        <is>
          <t>system</t>
        </is>
      </c>
      <c r="O261" t="inlineStr">
        <is>
          <t>2026-06-19 07:10:32</t>
        </is>
      </c>
      <c r="P261" t="inlineStr">
        <is>
          <t>2026-06-19 07:10:32</t>
        </is>
      </c>
      <c r="Y261" t="inlineStr">
        <is>
          <t>27791278589</t>
        </is>
      </c>
    </row>
    <row r="262">
      <c r="A262" t="inlineStr">
        <is>
          <t>14943262</t>
        </is>
      </c>
      <c r="B262" t="inlineStr">
        <is>
          <t>80769a30-38a2-434e-bab8-edcca2a6d05e</t>
        </is>
      </c>
      <c r="D262" t="inlineStr">
        <is>
          <t>30001087</t>
        </is>
      </c>
      <c r="E262" t="inlineStr">
        <is>
          <t>ussd_funeral_leads_altitude_20260619</t>
        </is>
      </c>
      <c r="J262" t="inlineStr">
        <is>
          <t>AA</t>
        </is>
      </c>
      <c r="K262" t="inlineStr">
        <is>
          <t>Answering Machine Autodial</t>
        </is>
      </c>
      <c r="L262" t="n">
        <v>3</v>
      </c>
      <c r="M262" t="inlineStr">
        <is>
          <t>2026-06-24 07:35:46</t>
        </is>
      </c>
      <c r="N262" t="inlineStr">
        <is>
          <t>system</t>
        </is>
      </c>
      <c r="O262" t="inlineStr">
        <is>
          <t>2026-06-19 07:10:32</t>
        </is>
      </c>
      <c r="P262" t="inlineStr">
        <is>
          <t>2026-06-19 07:10:32</t>
        </is>
      </c>
      <c r="Y262" t="inlineStr">
        <is>
          <t>27768961553</t>
        </is>
      </c>
    </row>
    <row r="263">
      <c r="A263" t="inlineStr">
        <is>
          <t>14943263</t>
        </is>
      </c>
      <c r="B263" t="inlineStr">
        <is>
          <t>421dce48-bf99-4b0b-9201-4a3500b20ac8</t>
        </is>
      </c>
      <c r="D263" t="inlineStr">
        <is>
          <t>30001087</t>
        </is>
      </c>
      <c r="E263" t="inlineStr">
        <is>
          <t>ussd_funeral_leads_altitude_20260619</t>
        </is>
      </c>
      <c r="J263" t="inlineStr">
        <is>
          <t>NA</t>
        </is>
      </c>
      <c r="K263" t="inlineStr">
        <is>
          <t>No Answer Autodial</t>
        </is>
      </c>
      <c r="L263" t="n">
        <v>3</v>
      </c>
      <c r="M263" t="inlineStr">
        <is>
          <t>2026-06-24 07:35:46</t>
        </is>
      </c>
      <c r="N263" t="inlineStr">
        <is>
          <t>system</t>
        </is>
      </c>
      <c r="O263" t="inlineStr">
        <is>
          <t>2026-06-19 07:10:32</t>
        </is>
      </c>
      <c r="P263" t="inlineStr">
        <is>
          <t>2026-06-19 07:10:32</t>
        </is>
      </c>
      <c r="Y263" t="inlineStr">
        <is>
          <t>27637718027</t>
        </is>
      </c>
    </row>
    <row r="264">
      <c r="A264" t="inlineStr">
        <is>
          <t>14943264</t>
        </is>
      </c>
      <c r="B264" t="inlineStr">
        <is>
          <t>43782dce-d177-4426-b4a8-3d55a7fc3010</t>
        </is>
      </c>
      <c r="D264" t="inlineStr">
        <is>
          <t>30001087</t>
        </is>
      </c>
      <c r="E264" t="inlineStr">
        <is>
          <t>ussd_funeral_leads_altitude_20260619</t>
        </is>
      </c>
      <c r="J264" t="inlineStr">
        <is>
          <t>AA</t>
        </is>
      </c>
      <c r="K264" t="inlineStr">
        <is>
          <t>Answering Machine Autodial</t>
        </is>
      </c>
      <c r="L264" t="n">
        <v>3</v>
      </c>
      <c r="M264" t="inlineStr">
        <is>
          <t>2026-06-24 07:35:46</t>
        </is>
      </c>
      <c r="N264" t="inlineStr">
        <is>
          <t>system</t>
        </is>
      </c>
      <c r="O264" t="inlineStr">
        <is>
          <t>2026-06-19 07:10:32</t>
        </is>
      </c>
      <c r="P264" t="inlineStr">
        <is>
          <t>2026-06-19 07:10:32</t>
        </is>
      </c>
      <c r="Y264" t="inlineStr">
        <is>
          <t>27723436908</t>
        </is>
      </c>
    </row>
    <row r="265">
      <c r="A265" t="inlineStr">
        <is>
          <t>14943284</t>
        </is>
      </c>
      <c r="B265" t="inlineStr">
        <is>
          <t>38fbf5c3-8fc9-4f91-b806-784ed8a7b662</t>
        </is>
      </c>
      <c r="D265" t="inlineStr">
        <is>
          <t>30001087</t>
        </is>
      </c>
      <c r="E265" t="inlineStr">
        <is>
          <t>ussd_funeral_leads_altitude_20260619</t>
        </is>
      </c>
      <c r="J265" t="inlineStr">
        <is>
          <t>CU</t>
        </is>
      </c>
      <c r="K265" t="inlineStr">
        <is>
          <t>Client Hung Up</t>
        </is>
      </c>
      <c r="L265" t="n">
        <v>3</v>
      </c>
      <c r="M265" t="inlineStr">
        <is>
          <t>2026-06-24 07:35:45</t>
        </is>
      </c>
      <c r="N265" t="inlineStr">
        <is>
          <t>Vuyiswa Nxumalo</t>
        </is>
      </c>
      <c r="O265" t="inlineStr">
        <is>
          <t>2026-06-19 07:10:32</t>
        </is>
      </c>
      <c r="P265" t="inlineStr">
        <is>
          <t>2026-06-19 07:10:32</t>
        </is>
      </c>
      <c r="Y265" t="inlineStr">
        <is>
          <t>27729042484</t>
        </is>
      </c>
    </row>
    <row r="266">
      <c r="A266" t="inlineStr">
        <is>
          <t>14943285</t>
        </is>
      </c>
      <c r="B266" t="inlineStr">
        <is>
          <t>b55576d5-4d64-4fa2-85c5-156a7ea62ea9</t>
        </is>
      </c>
      <c r="D266" t="inlineStr">
        <is>
          <t>30001087</t>
        </is>
      </c>
      <c r="E266" t="inlineStr">
        <is>
          <t>ussd_funeral_leads_altitude_20260619</t>
        </is>
      </c>
      <c r="J266" t="inlineStr">
        <is>
          <t>TDN</t>
        </is>
      </c>
      <c r="K266" t="inlineStr">
        <is>
          <t>Temporary Disconnected Number</t>
        </is>
      </c>
      <c r="L266" t="n">
        <v>3</v>
      </c>
      <c r="M266" t="inlineStr">
        <is>
          <t>2026-06-24 07:35:45</t>
        </is>
      </c>
      <c r="N266" t="inlineStr">
        <is>
          <t>system</t>
        </is>
      </c>
      <c r="O266" t="inlineStr">
        <is>
          <t>2026-06-19 07:10:32</t>
        </is>
      </c>
      <c r="P266" t="inlineStr">
        <is>
          <t>2026-06-19 07:10:32</t>
        </is>
      </c>
      <c r="Y266" t="inlineStr">
        <is>
          <t>27665214882</t>
        </is>
      </c>
    </row>
    <row r="267">
      <c r="A267" t="inlineStr">
        <is>
          <t>14943286</t>
        </is>
      </c>
      <c r="B267" t="inlineStr">
        <is>
          <t>c7c8b5bb-003e-4c85-a556-a9f0fb0e033e</t>
        </is>
      </c>
      <c r="D267" t="inlineStr">
        <is>
          <t>30001087</t>
        </is>
      </c>
      <c r="E267" t="inlineStr">
        <is>
          <t>ussd_funeral_leads_altitude_20260619</t>
        </is>
      </c>
      <c r="J267" t="inlineStr">
        <is>
          <t>AE</t>
        </is>
      </c>
      <c r="K267" t="inlineStr">
        <is>
          <t>Auto Engaged</t>
        </is>
      </c>
      <c r="L267" t="n">
        <v>3</v>
      </c>
      <c r="M267" t="inlineStr">
        <is>
          <t>2026-06-24 07:35:45</t>
        </is>
      </c>
      <c r="N267" t="inlineStr">
        <is>
          <t>system</t>
        </is>
      </c>
      <c r="O267" t="inlineStr">
        <is>
          <t>2026-06-19 07:10:32</t>
        </is>
      </c>
      <c r="P267" t="inlineStr">
        <is>
          <t>2026-06-19 07:10:32</t>
        </is>
      </c>
      <c r="Y267" t="inlineStr">
        <is>
          <t>27794949491</t>
        </is>
      </c>
    </row>
    <row r="268">
      <c r="A268" t="inlineStr">
        <is>
          <t>14943287</t>
        </is>
      </c>
      <c r="B268" t="inlineStr">
        <is>
          <t>7db7dd50-bb84-43fa-8553-003656da4546</t>
        </is>
      </c>
      <c r="D268" t="inlineStr">
        <is>
          <t>30001087</t>
        </is>
      </c>
      <c r="E268" t="inlineStr">
        <is>
          <t>ussd_funeral_leads_altitude_20260619</t>
        </is>
      </c>
      <c r="J268" t="inlineStr">
        <is>
          <t>AA</t>
        </is>
      </c>
      <c r="K268" t="inlineStr">
        <is>
          <t>Answering Machine Autodial</t>
        </is>
      </c>
      <c r="L268" t="n">
        <v>3</v>
      </c>
      <c r="M268" t="inlineStr">
        <is>
          <t>2026-06-24 07:35:45</t>
        </is>
      </c>
      <c r="N268" t="inlineStr">
        <is>
          <t>system</t>
        </is>
      </c>
      <c r="O268" t="inlineStr">
        <is>
          <t>2026-06-19 07:10:32</t>
        </is>
      </c>
      <c r="P268" t="inlineStr">
        <is>
          <t>2026-06-19 07:10:32</t>
        </is>
      </c>
      <c r="Y268" t="inlineStr">
        <is>
          <t>27713853588</t>
        </is>
      </c>
    </row>
    <row r="269">
      <c r="A269" t="inlineStr">
        <is>
          <t>14943288</t>
        </is>
      </c>
      <c r="B269" t="inlineStr">
        <is>
          <t>af39ff64-eb82-4da9-b769-9e0245ab2588</t>
        </is>
      </c>
      <c r="D269" t="inlineStr">
        <is>
          <t>30001087</t>
        </is>
      </c>
      <c r="E269" t="inlineStr">
        <is>
          <t>ussd_funeral_leads_altitude_20260619</t>
        </is>
      </c>
      <c r="J269" t="inlineStr">
        <is>
          <t>NA</t>
        </is>
      </c>
      <c r="K269" t="inlineStr">
        <is>
          <t>No Answer Autodial</t>
        </is>
      </c>
      <c r="L269" t="n">
        <v>3</v>
      </c>
      <c r="M269" t="inlineStr">
        <is>
          <t>2026-06-24 07:35:45</t>
        </is>
      </c>
      <c r="N269" t="inlineStr">
        <is>
          <t>system</t>
        </is>
      </c>
      <c r="O269" t="inlineStr">
        <is>
          <t>2026-06-19 07:10:32</t>
        </is>
      </c>
      <c r="P269" t="inlineStr">
        <is>
          <t>2026-06-19 07:10:32</t>
        </is>
      </c>
      <c r="Y269" t="inlineStr">
        <is>
          <t>27766996516</t>
        </is>
      </c>
    </row>
    <row r="270">
      <c r="A270" t="inlineStr">
        <is>
          <t>14943289</t>
        </is>
      </c>
      <c r="B270" t="inlineStr">
        <is>
          <t>91a9aced-78a2-464e-bf30-f0ee25c3ec56</t>
        </is>
      </c>
      <c r="D270" t="inlineStr">
        <is>
          <t>30001087</t>
        </is>
      </c>
      <c r="E270" t="inlineStr">
        <is>
          <t>ussd_funeral_leads_altitude_20260619</t>
        </is>
      </c>
      <c r="J270" t="inlineStr">
        <is>
          <t>AA</t>
        </is>
      </c>
      <c r="K270" t="inlineStr">
        <is>
          <t>Answering Machine Autodial</t>
        </is>
      </c>
      <c r="L270" t="n">
        <v>3</v>
      </c>
      <c r="M270" t="inlineStr">
        <is>
          <t>2026-06-24 07:35:45</t>
        </is>
      </c>
      <c r="N270" t="inlineStr">
        <is>
          <t>system</t>
        </is>
      </c>
      <c r="O270" t="inlineStr">
        <is>
          <t>2026-06-19 07:10:32</t>
        </is>
      </c>
      <c r="P270" t="inlineStr">
        <is>
          <t>2026-06-19 07:10:32</t>
        </is>
      </c>
      <c r="Y270" t="inlineStr">
        <is>
          <t>27722876153</t>
        </is>
      </c>
    </row>
    <row r="271">
      <c r="A271" t="inlineStr">
        <is>
          <t>14943290</t>
        </is>
      </c>
      <c r="B271" t="inlineStr">
        <is>
          <t>162ed7b9-99eb-4c48-8f5d-e1cd298868b2</t>
        </is>
      </c>
      <c r="D271" t="inlineStr">
        <is>
          <t>30001087</t>
        </is>
      </c>
      <c r="E271" t="inlineStr">
        <is>
          <t>ussd_funeral_leads_altitude_20260619</t>
        </is>
      </c>
      <c r="J271" t="inlineStr">
        <is>
          <t>NA</t>
        </is>
      </c>
      <c r="K271" t="inlineStr">
        <is>
          <t>No Answer Autodial</t>
        </is>
      </c>
      <c r="L271" t="n">
        <v>3</v>
      </c>
      <c r="M271" t="inlineStr">
        <is>
          <t>2026-06-24 07:35:45</t>
        </is>
      </c>
      <c r="N271" t="inlineStr">
        <is>
          <t>system</t>
        </is>
      </c>
      <c r="O271" t="inlineStr">
        <is>
          <t>2026-06-19 07:10:32</t>
        </is>
      </c>
      <c r="P271" t="inlineStr">
        <is>
          <t>2026-06-19 07:10:32</t>
        </is>
      </c>
      <c r="Y271" t="inlineStr">
        <is>
          <t>27724797007</t>
        </is>
      </c>
    </row>
    <row r="272">
      <c r="A272" t="inlineStr">
        <is>
          <t>14943291</t>
        </is>
      </c>
      <c r="B272" t="inlineStr">
        <is>
          <t>c7cb38a3-5ebf-49ec-9331-dd474d176c41</t>
        </is>
      </c>
      <c r="D272" t="inlineStr">
        <is>
          <t>30001087</t>
        </is>
      </c>
      <c r="E272" t="inlineStr">
        <is>
          <t>ussd_funeral_leads_altitude_20260619</t>
        </is>
      </c>
      <c r="J272" t="inlineStr">
        <is>
          <t>AA</t>
        </is>
      </c>
      <c r="K272" t="inlineStr">
        <is>
          <t>Answering Machine Autodial</t>
        </is>
      </c>
      <c r="L272" t="n">
        <v>3</v>
      </c>
      <c r="M272" t="inlineStr">
        <is>
          <t>2026-06-24 07:35:45</t>
        </is>
      </c>
      <c r="N272" t="inlineStr">
        <is>
          <t>system</t>
        </is>
      </c>
      <c r="O272" t="inlineStr">
        <is>
          <t>2026-06-19 07:10:32</t>
        </is>
      </c>
      <c r="P272" t="inlineStr">
        <is>
          <t>2026-06-19 07:10:32</t>
        </is>
      </c>
      <c r="Y272" t="inlineStr">
        <is>
          <t>27795819098</t>
        </is>
      </c>
    </row>
    <row r="273">
      <c r="A273" t="inlineStr">
        <is>
          <t>14900000</t>
        </is>
      </c>
      <c r="B273" t="inlineStr">
        <is>
          <t>e7856f57-2ffd-488e-aa9e-6b587d13f2d4</t>
        </is>
      </c>
      <c r="D273" t="inlineStr">
        <is>
          <t>30001087</t>
        </is>
      </c>
      <c r="E273" t="inlineStr">
        <is>
          <t>ussd_funeral_leads_altitude_20260619</t>
        </is>
      </c>
      <c r="J273" t="inlineStr">
        <is>
          <t>AA</t>
        </is>
      </c>
      <c r="K273" t="inlineStr">
        <is>
          <t>Answering Machine Autodial</t>
        </is>
      </c>
      <c r="L273" t="n">
        <v>3</v>
      </c>
      <c r="M273" t="inlineStr">
        <is>
          <t>2026-06-24 07:35:40</t>
        </is>
      </c>
      <c r="N273" t="inlineStr">
        <is>
          <t>system</t>
        </is>
      </c>
      <c r="O273" t="inlineStr">
        <is>
          <t>2026-06-19 07:10:32</t>
        </is>
      </c>
      <c r="P273" t="inlineStr">
        <is>
          <t>2026-06-19 07:10:32</t>
        </is>
      </c>
      <c r="Y273" t="inlineStr">
        <is>
          <t>27793072223</t>
        </is>
      </c>
    </row>
    <row r="274">
      <c r="A274" t="inlineStr">
        <is>
          <t>14943260</t>
        </is>
      </c>
      <c r="B274" t="inlineStr">
        <is>
          <t>1c0c131c-68f4-450f-9606-66e1d3b2ceff</t>
        </is>
      </c>
      <c r="D274" t="inlineStr">
        <is>
          <t>30001087</t>
        </is>
      </c>
      <c r="E274" t="inlineStr">
        <is>
          <t>ussd_funeral_leads_altitude_20260619</t>
        </is>
      </c>
      <c r="J274" t="inlineStr">
        <is>
          <t>NA</t>
        </is>
      </c>
      <c r="K274" t="inlineStr">
        <is>
          <t>No Answer Autodial</t>
        </is>
      </c>
      <c r="L274" t="n">
        <v>3</v>
      </c>
      <c r="M274" t="inlineStr">
        <is>
          <t>2026-06-24 07:35:40</t>
        </is>
      </c>
      <c r="N274" t="inlineStr">
        <is>
          <t>system</t>
        </is>
      </c>
      <c r="O274" t="inlineStr">
        <is>
          <t>2026-06-19 07:10:32</t>
        </is>
      </c>
      <c r="P274" t="inlineStr">
        <is>
          <t>2026-06-19 07:10:32</t>
        </is>
      </c>
      <c r="Y274" t="inlineStr">
        <is>
          <t>27711293355</t>
        </is>
      </c>
    </row>
    <row r="275">
      <c r="A275" t="inlineStr">
        <is>
          <t>14943257</t>
        </is>
      </c>
      <c r="B275" t="inlineStr">
        <is>
          <t>b6d6842d-d8a3-4472-b34f-31c42c037940</t>
        </is>
      </c>
      <c r="D275" t="inlineStr">
        <is>
          <t>30001087</t>
        </is>
      </c>
      <c r="E275" t="inlineStr">
        <is>
          <t>ussd_funeral_leads_altitude_20260619</t>
        </is>
      </c>
      <c r="J275" t="inlineStr">
        <is>
          <t>AA</t>
        </is>
      </c>
      <c r="K275" t="inlineStr">
        <is>
          <t>Answering Machine Autodial</t>
        </is>
      </c>
      <c r="L275" t="n">
        <v>3</v>
      </c>
      <c r="M275" t="inlineStr">
        <is>
          <t>2026-06-24 07:35:39</t>
        </is>
      </c>
      <c r="N275" t="inlineStr">
        <is>
          <t>system</t>
        </is>
      </c>
      <c r="O275" t="inlineStr">
        <is>
          <t>2026-06-19 07:10:32</t>
        </is>
      </c>
      <c r="P275" t="inlineStr">
        <is>
          <t>2026-06-19 07:10:32</t>
        </is>
      </c>
      <c r="Y275" t="inlineStr">
        <is>
          <t>27767498218</t>
        </is>
      </c>
    </row>
    <row r="276">
      <c r="A276" t="inlineStr">
        <is>
          <t>14943258</t>
        </is>
      </c>
      <c r="B276" t="inlineStr">
        <is>
          <t>a76f2361-0beb-42cb-aa29-570585f0bab0</t>
        </is>
      </c>
      <c r="D276" t="inlineStr">
        <is>
          <t>30001087</t>
        </is>
      </c>
      <c r="E276" t="inlineStr">
        <is>
          <t>ussd_funeral_leads_altitude_20260619</t>
        </is>
      </c>
      <c r="J276" t="inlineStr">
        <is>
          <t>AA</t>
        </is>
      </c>
      <c r="K276" t="inlineStr">
        <is>
          <t>Answering Machine Autodial</t>
        </is>
      </c>
      <c r="L276" t="n">
        <v>3</v>
      </c>
      <c r="M276" t="inlineStr">
        <is>
          <t>2026-06-24 07:35:39</t>
        </is>
      </c>
      <c r="N276" t="inlineStr">
        <is>
          <t>system</t>
        </is>
      </c>
      <c r="O276" t="inlineStr">
        <is>
          <t>2026-06-19 07:10:32</t>
        </is>
      </c>
      <c r="P276" t="inlineStr">
        <is>
          <t>2026-06-19 07:10:32</t>
        </is>
      </c>
      <c r="Y276" t="inlineStr">
        <is>
          <t>27790918532</t>
        </is>
      </c>
    </row>
    <row r="277">
      <c r="A277" t="inlineStr">
        <is>
          <t>14943256</t>
        </is>
      </c>
      <c r="B277" t="inlineStr">
        <is>
          <t>7325bd98-bbad-4bf6-ac7f-a5d1a0cf43a0</t>
        </is>
      </c>
      <c r="D277" t="inlineStr">
        <is>
          <t>30001087</t>
        </is>
      </c>
      <c r="E277" t="inlineStr">
        <is>
          <t>ussd_funeral_leads_altitude_20260619</t>
        </is>
      </c>
      <c r="J277" t="inlineStr">
        <is>
          <t>NA</t>
        </is>
      </c>
      <c r="K277" t="inlineStr">
        <is>
          <t>No Answer Autodial</t>
        </is>
      </c>
      <c r="L277" t="n">
        <v>3</v>
      </c>
      <c r="M277" t="inlineStr">
        <is>
          <t>2026-06-24 07:35:36</t>
        </is>
      </c>
      <c r="N277" t="inlineStr">
        <is>
          <t>system</t>
        </is>
      </c>
      <c r="O277" t="inlineStr">
        <is>
          <t>2026-06-19 07:10:32</t>
        </is>
      </c>
      <c r="P277" t="inlineStr">
        <is>
          <t>2026-06-19 07:10:32</t>
        </is>
      </c>
      <c r="Y277" t="inlineStr">
        <is>
          <t>27647261691</t>
        </is>
      </c>
    </row>
    <row r="278">
      <c r="A278" t="inlineStr">
        <is>
          <t>14943255</t>
        </is>
      </c>
      <c r="B278" t="inlineStr">
        <is>
          <t>f8872d4c-065f-4d7b-b6d3-1c1fd26fcb13</t>
        </is>
      </c>
      <c r="D278" t="inlineStr">
        <is>
          <t>30001087</t>
        </is>
      </c>
      <c r="E278" t="inlineStr">
        <is>
          <t>ussd_funeral_leads_altitude_20260619</t>
        </is>
      </c>
      <c r="J278" t="inlineStr">
        <is>
          <t>AA</t>
        </is>
      </c>
      <c r="K278" t="inlineStr">
        <is>
          <t>Answering Machine Autodial</t>
        </is>
      </c>
      <c r="L278" t="n">
        <v>3</v>
      </c>
      <c r="M278" t="inlineStr">
        <is>
          <t>2026-06-24 07:35:35</t>
        </is>
      </c>
      <c r="N278" t="inlineStr">
        <is>
          <t>system</t>
        </is>
      </c>
      <c r="O278" t="inlineStr">
        <is>
          <t>2026-06-19 07:10:32</t>
        </is>
      </c>
      <c r="P278" t="inlineStr">
        <is>
          <t>2026-06-19 07:10:32</t>
        </is>
      </c>
      <c r="Y278" t="inlineStr">
        <is>
          <t>27797970586</t>
        </is>
      </c>
    </row>
    <row r="279">
      <c r="A279" t="inlineStr">
        <is>
          <t>14943253</t>
        </is>
      </c>
      <c r="B279" t="inlineStr">
        <is>
          <t>a0eb758d-6267-43a8-a0ae-434df5a6985b</t>
        </is>
      </c>
      <c r="D279" t="inlineStr">
        <is>
          <t>30001087</t>
        </is>
      </c>
      <c r="E279" t="inlineStr">
        <is>
          <t>ussd_funeral_leads_altitude_20260619</t>
        </is>
      </c>
      <c r="J279" t="inlineStr">
        <is>
          <t>AA</t>
        </is>
      </c>
      <c r="K279" t="inlineStr">
        <is>
          <t>Answering Machine Autodial</t>
        </is>
      </c>
      <c r="L279" t="n">
        <v>3</v>
      </c>
      <c r="M279" t="inlineStr">
        <is>
          <t>2026-06-24 07:35:32</t>
        </is>
      </c>
      <c r="N279" t="inlineStr">
        <is>
          <t>system</t>
        </is>
      </c>
      <c r="O279" t="inlineStr">
        <is>
          <t>2026-06-19 07:10:32</t>
        </is>
      </c>
      <c r="P279" t="inlineStr">
        <is>
          <t>2026-06-19 07:10:32</t>
        </is>
      </c>
      <c r="Y279" t="inlineStr">
        <is>
          <t>27661060299</t>
        </is>
      </c>
    </row>
    <row r="280">
      <c r="A280" t="inlineStr">
        <is>
          <t>14943254</t>
        </is>
      </c>
      <c r="B280" t="inlineStr">
        <is>
          <t>351dd92d-d1ac-4b07-9a6b-292b47f0a54b</t>
        </is>
      </c>
      <c r="D280" t="inlineStr">
        <is>
          <t>30001087</t>
        </is>
      </c>
      <c r="E280" t="inlineStr">
        <is>
          <t>ussd_funeral_leads_altitude_20260619</t>
        </is>
      </c>
      <c r="J280" t="inlineStr">
        <is>
          <t>AA</t>
        </is>
      </c>
      <c r="K280" t="inlineStr">
        <is>
          <t>Answering Machine Autodial</t>
        </is>
      </c>
      <c r="L280" t="n">
        <v>3</v>
      </c>
      <c r="M280" t="inlineStr">
        <is>
          <t>2026-06-24 07:35:32</t>
        </is>
      </c>
      <c r="N280" t="inlineStr">
        <is>
          <t>system</t>
        </is>
      </c>
      <c r="O280" t="inlineStr">
        <is>
          <t>2026-06-19 07:10:32</t>
        </is>
      </c>
      <c r="P280" t="inlineStr">
        <is>
          <t>2026-06-19 07:10:32</t>
        </is>
      </c>
      <c r="Y280" t="inlineStr">
        <is>
          <t>27791746612</t>
        </is>
      </c>
    </row>
    <row r="281">
      <c r="A281" t="inlineStr">
        <is>
          <t>14943249</t>
        </is>
      </c>
      <c r="B281" t="inlineStr">
        <is>
          <t>f758cb8e-4da7-4da4-bf44-f5da79161683</t>
        </is>
      </c>
      <c r="D281" t="inlineStr">
        <is>
          <t>30001087</t>
        </is>
      </c>
      <c r="E281" t="inlineStr">
        <is>
          <t>ussd_funeral_leads_altitude_20260619</t>
        </is>
      </c>
      <c r="J281" t="inlineStr">
        <is>
          <t>NA</t>
        </is>
      </c>
      <c r="K281" t="inlineStr">
        <is>
          <t>No Answer Autodial</t>
        </is>
      </c>
      <c r="L281" t="n">
        <v>3</v>
      </c>
      <c r="M281" t="inlineStr">
        <is>
          <t>2026-06-24 07:35:22</t>
        </is>
      </c>
      <c r="N281" t="inlineStr">
        <is>
          <t>system</t>
        </is>
      </c>
      <c r="O281" t="inlineStr">
        <is>
          <t>2026-06-19 07:10:32</t>
        </is>
      </c>
      <c r="P281" t="inlineStr">
        <is>
          <t>2026-06-19 07:10:32</t>
        </is>
      </c>
      <c r="Y281" t="inlineStr">
        <is>
          <t>27791361103</t>
        </is>
      </c>
    </row>
    <row r="282">
      <c r="A282" t="inlineStr">
        <is>
          <t>14943251</t>
        </is>
      </c>
      <c r="B282" t="inlineStr">
        <is>
          <t>188c17d2-6619-43c5-9dcc-9eff0766bd0c</t>
        </is>
      </c>
      <c r="D282" t="inlineStr">
        <is>
          <t>30001087</t>
        </is>
      </c>
      <c r="E282" t="inlineStr">
        <is>
          <t>ussd_funeral_leads_altitude_20260619</t>
        </is>
      </c>
      <c r="J282" t="inlineStr">
        <is>
          <t>ADC</t>
        </is>
      </c>
      <c r="K282" t="inlineStr">
        <is>
          <t>Auto Dial Disconnected</t>
        </is>
      </c>
      <c r="L282" t="n">
        <v>3</v>
      </c>
      <c r="M282" t="inlineStr">
        <is>
          <t>2026-06-24 07:35:22</t>
        </is>
      </c>
      <c r="N282" t="inlineStr">
        <is>
          <t>system</t>
        </is>
      </c>
      <c r="O282" t="inlineStr">
        <is>
          <t>2026-06-19 07:10:32</t>
        </is>
      </c>
      <c r="P282" t="inlineStr">
        <is>
          <t>2026-06-19 07:10:32</t>
        </is>
      </c>
      <c r="Y282" t="inlineStr">
        <is>
          <t>27799767631</t>
        </is>
      </c>
    </row>
    <row r="283">
      <c r="A283" t="inlineStr">
        <is>
          <t>14943252</t>
        </is>
      </c>
      <c r="B283" t="inlineStr">
        <is>
          <t>e10de6b7-5db7-4508-af8d-9952b48bf3da</t>
        </is>
      </c>
      <c r="D283" t="inlineStr">
        <is>
          <t>30001087</t>
        </is>
      </c>
      <c r="E283" t="inlineStr">
        <is>
          <t>ussd_funeral_leads_altitude_20260619</t>
        </is>
      </c>
      <c r="J283" t="inlineStr">
        <is>
          <t>AA</t>
        </is>
      </c>
      <c r="K283" t="inlineStr">
        <is>
          <t>Answering Machine Autodial</t>
        </is>
      </c>
      <c r="L283" t="n">
        <v>3</v>
      </c>
      <c r="M283" t="inlineStr">
        <is>
          <t>2026-06-24 07:35:22</t>
        </is>
      </c>
      <c r="N283" t="inlineStr">
        <is>
          <t>system</t>
        </is>
      </c>
      <c r="O283" t="inlineStr">
        <is>
          <t>2026-06-19 07:10:32</t>
        </is>
      </c>
      <c r="P283" t="inlineStr">
        <is>
          <t>2026-06-19 07:10:32</t>
        </is>
      </c>
      <c r="Y283" t="inlineStr">
        <is>
          <t>27827337198</t>
        </is>
      </c>
    </row>
    <row r="284">
      <c r="A284" t="inlineStr">
        <is>
          <t>14943281</t>
        </is>
      </c>
      <c r="B284" t="inlineStr">
        <is>
          <t>ef9a6afc-2fec-4c99-b08c-0e565b21ae54</t>
        </is>
      </c>
      <c r="D284" t="inlineStr">
        <is>
          <t>30001087</t>
        </is>
      </c>
      <c r="E284" t="inlineStr">
        <is>
          <t>ussd_funeral_leads_altitude_20260619</t>
        </is>
      </c>
      <c r="J284" t="inlineStr">
        <is>
          <t>AA</t>
        </is>
      </c>
      <c r="K284" t="inlineStr">
        <is>
          <t>Answering Machine Autodial</t>
        </is>
      </c>
      <c r="L284" t="n">
        <v>3</v>
      </c>
      <c r="M284" t="inlineStr">
        <is>
          <t>2026-06-24 07:35:11</t>
        </is>
      </c>
      <c r="N284" t="inlineStr">
        <is>
          <t>system</t>
        </is>
      </c>
      <c r="O284" t="inlineStr">
        <is>
          <t>2026-06-19 07:10:32</t>
        </is>
      </c>
      <c r="P284" t="inlineStr">
        <is>
          <t>2026-06-19 07:10:32</t>
        </is>
      </c>
      <c r="Y284" t="inlineStr">
        <is>
          <t>27660297913</t>
        </is>
      </c>
    </row>
    <row r="285">
      <c r="A285" t="inlineStr">
        <is>
          <t>14943282</t>
        </is>
      </c>
      <c r="B285" t="inlineStr">
        <is>
          <t>d75301b8-4721-4035-9a90-ad5276b22ad0</t>
        </is>
      </c>
      <c r="D285" t="inlineStr">
        <is>
          <t>30001087</t>
        </is>
      </c>
      <c r="E285" t="inlineStr">
        <is>
          <t>ussd_funeral_leads_altitude_20260619</t>
        </is>
      </c>
      <c r="J285" t="inlineStr">
        <is>
          <t>AA</t>
        </is>
      </c>
      <c r="K285" t="inlineStr">
        <is>
          <t>Answering Machine Autodial</t>
        </is>
      </c>
      <c r="L285" t="n">
        <v>3</v>
      </c>
      <c r="M285" t="inlineStr">
        <is>
          <t>2026-06-24 07:35:11</t>
        </is>
      </c>
      <c r="N285" t="inlineStr">
        <is>
          <t>system</t>
        </is>
      </c>
      <c r="O285" t="inlineStr">
        <is>
          <t>2026-06-19 07:10:32</t>
        </is>
      </c>
      <c r="P285" t="inlineStr">
        <is>
          <t>2026-06-19 07:10:32</t>
        </is>
      </c>
      <c r="Y285" t="inlineStr">
        <is>
          <t>27637572962</t>
        </is>
      </c>
    </row>
    <row r="286">
      <c r="A286" t="inlineStr">
        <is>
          <t>14943278</t>
        </is>
      </c>
      <c r="B286" t="inlineStr">
        <is>
          <t>96a083c1-93f6-4ca6-a866-a6b8cbbcf655</t>
        </is>
      </c>
      <c r="D286" t="inlineStr">
        <is>
          <t>30001087</t>
        </is>
      </c>
      <c r="E286" t="inlineStr">
        <is>
          <t>ussd_funeral_leads_altitude_20260619</t>
        </is>
      </c>
      <c r="J286" t="inlineStr">
        <is>
          <t>NA</t>
        </is>
      </c>
      <c r="K286" t="inlineStr">
        <is>
          <t>No Answer Autodial</t>
        </is>
      </c>
      <c r="L286" t="n">
        <v>3</v>
      </c>
      <c r="M286" t="inlineStr">
        <is>
          <t>2026-06-24 07:35:10</t>
        </is>
      </c>
      <c r="N286" t="inlineStr">
        <is>
          <t>system</t>
        </is>
      </c>
      <c r="O286" t="inlineStr">
        <is>
          <t>2026-06-19 07:10:32</t>
        </is>
      </c>
      <c r="P286" t="inlineStr">
        <is>
          <t>2026-06-19 07:10:32</t>
        </is>
      </c>
      <c r="Y286" t="inlineStr">
        <is>
          <t>27725592218</t>
        </is>
      </c>
    </row>
    <row r="287">
      <c r="A287" t="inlineStr">
        <is>
          <t>14943279</t>
        </is>
      </c>
      <c r="B287" t="inlineStr">
        <is>
          <t>37d6dd50-078c-43b1-b623-9288c36f5af0</t>
        </is>
      </c>
      <c r="D287" t="inlineStr">
        <is>
          <t>30001087</t>
        </is>
      </c>
      <c r="E287" t="inlineStr">
        <is>
          <t>ussd_funeral_leads_altitude_20260619</t>
        </is>
      </c>
      <c r="J287" t="inlineStr">
        <is>
          <t>AA</t>
        </is>
      </c>
      <c r="K287" t="inlineStr">
        <is>
          <t>Answering Machine Autodial</t>
        </is>
      </c>
      <c r="L287" t="n">
        <v>3</v>
      </c>
      <c r="M287" t="inlineStr">
        <is>
          <t>2026-06-24 07:35:10</t>
        </is>
      </c>
      <c r="N287" t="inlineStr">
        <is>
          <t>system</t>
        </is>
      </c>
      <c r="O287" t="inlineStr">
        <is>
          <t>2026-06-19 07:10:32</t>
        </is>
      </c>
      <c r="P287" t="inlineStr">
        <is>
          <t>2026-06-19 07:10:32</t>
        </is>
      </c>
      <c r="Y287" t="inlineStr">
        <is>
          <t>27608496764</t>
        </is>
      </c>
    </row>
    <row r="288">
      <c r="A288" t="inlineStr">
        <is>
          <t>14943280</t>
        </is>
      </c>
      <c r="B288" t="inlineStr">
        <is>
          <t>f0160358-f451-4e73-9ada-f37995d218f4</t>
        </is>
      </c>
      <c r="D288" t="inlineStr">
        <is>
          <t>30001087</t>
        </is>
      </c>
      <c r="E288" t="inlineStr">
        <is>
          <t>ussd_funeral_leads_altitude_20260619</t>
        </is>
      </c>
      <c r="J288" t="inlineStr">
        <is>
          <t>NA</t>
        </is>
      </c>
      <c r="K288" t="inlineStr">
        <is>
          <t>No Answer Autodial</t>
        </is>
      </c>
      <c r="L288" t="n">
        <v>3</v>
      </c>
      <c r="M288" t="inlineStr">
        <is>
          <t>2026-06-24 07:35:10</t>
        </is>
      </c>
      <c r="N288" t="inlineStr">
        <is>
          <t>system</t>
        </is>
      </c>
      <c r="O288" t="inlineStr">
        <is>
          <t>2026-06-19 07:10:32</t>
        </is>
      </c>
      <c r="P288" t="inlineStr">
        <is>
          <t>2026-06-19 07:10:32</t>
        </is>
      </c>
      <c r="Y288" t="inlineStr">
        <is>
          <t>27608316720</t>
        </is>
      </c>
    </row>
    <row r="289">
      <c r="A289" t="inlineStr">
        <is>
          <t>14943277</t>
        </is>
      </c>
      <c r="B289" t="inlineStr">
        <is>
          <t>157ef63e-acf0-4fe0-834c-f838ebaba433</t>
        </is>
      </c>
      <c r="D289" t="inlineStr">
        <is>
          <t>30001087</t>
        </is>
      </c>
      <c r="E289" t="inlineStr">
        <is>
          <t>ussd_funeral_leads_altitude_20260619</t>
        </is>
      </c>
      <c r="J289" t="inlineStr">
        <is>
          <t>NA</t>
        </is>
      </c>
      <c r="K289" t="inlineStr">
        <is>
          <t>No Answer Autodial</t>
        </is>
      </c>
      <c r="L289" t="n">
        <v>3</v>
      </c>
      <c r="M289" t="inlineStr">
        <is>
          <t>2026-06-24 07:35:07</t>
        </is>
      </c>
      <c r="N289" t="inlineStr">
        <is>
          <t>system</t>
        </is>
      </c>
      <c r="O289" t="inlineStr">
        <is>
          <t>2026-06-19 07:10:32</t>
        </is>
      </c>
      <c r="P289" t="inlineStr">
        <is>
          <t>2026-06-19 07:10:32</t>
        </is>
      </c>
      <c r="Y289" t="inlineStr">
        <is>
          <t>27762897482</t>
        </is>
      </c>
    </row>
    <row r="290">
      <c r="A290" t="inlineStr">
        <is>
          <t>14943276</t>
        </is>
      </c>
      <c r="B290" t="inlineStr">
        <is>
          <t>34472f8a-e5aa-47ad-b62b-268361e94a72</t>
        </is>
      </c>
      <c r="D290" t="inlineStr">
        <is>
          <t>30001087</t>
        </is>
      </c>
      <c r="E290" t="inlineStr">
        <is>
          <t>ussd_funeral_leads_altitude_20260619</t>
        </is>
      </c>
      <c r="J290" t="inlineStr">
        <is>
          <t>AA</t>
        </is>
      </c>
      <c r="K290" t="inlineStr">
        <is>
          <t>Answering Machine Autodial</t>
        </is>
      </c>
      <c r="L290" t="n">
        <v>3</v>
      </c>
      <c r="M290" t="inlineStr">
        <is>
          <t>2026-06-24 07:34:50</t>
        </is>
      </c>
      <c r="N290" t="inlineStr">
        <is>
          <t>system</t>
        </is>
      </c>
      <c r="O290" t="inlineStr">
        <is>
          <t>2026-06-19 07:10:32</t>
        </is>
      </c>
      <c r="P290" t="inlineStr">
        <is>
          <t>2026-06-19 07:10:32</t>
        </is>
      </c>
      <c r="Y290" t="inlineStr">
        <is>
          <t>27713045753</t>
        </is>
      </c>
    </row>
    <row r="291">
      <c r="A291" t="inlineStr">
        <is>
          <t>14943270</t>
        </is>
      </c>
      <c r="B291" t="inlineStr">
        <is>
          <t>b34fdd6c-76d3-4ebd-8fc7-640573dfe9f4</t>
        </is>
      </c>
      <c r="D291" t="inlineStr">
        <is>
          <t>30001087</t>
        </is>
      </c>
      <c r="E291" t="inlineStr">
        <is>
          <t>ussd_funeral_leads_altitude_20260619</t>
        </is>
      </c>
      <c r="J291" t="inlineStr">
        <is>
          <t>ADC</t>
        </is>
      </c>
      <c r="K291" t="inlineStr">
        <is>
          <t>Auto Dial Disconnected</t>
        </is>
      </c>
      <c r="L291" t="n">
        <v>3</v>
      </c>
      <c r="M291" t="inlineStr">
        <is>
          <t>2026-06-24 07:34:47</t>
        </is>
      </c>
      <c r="N291" t="inlineStr">
        <is>
          <t>system</t>
        </is>
      </c>
      <c r="O291" t="inlineStr">
        <is>
          <t>2026-06-19 07:10:32</t>
        </is>
      </c>
      <c r="P291" t="inlineStr">
        <is>
          <t>2026-06-19 07:10:32</t>
        </is>
      </c>
      <c r="Y291" t="inlineStr">
        <is>
          <t>27825196084</t>
        </is>
      </c>
    </row>
    <row r="292">
      <c r="A292" t="inlineStr">
        <is>
          <t>14943271</t>
        </is>
      </c>
      <c r="B292" t="inlineStr">
        <is>
          <t>1129f2b2-1b23-4574-89b5-284e3d4ac2d3</t>
        </is>
      </c>
      <c r="D292" t="inlineStr">
        <is>
          <t>30001087</t>
        </is>
      </c>
      <c r="E292" t="inlineStr">
        <is>
          <t>ussd_funeral_leads_altitude_20260619</t>
        </is>
      </c>
      <c r="J292" t="inlineStr">
        <is>
          <t>ADC</t>
        </is>
      </c>
      <c r="K292" t="inlineStr">
        <is>
          <t>Auto Dial Disconnected</t>
        </is>
      </c>
      <c r="L292" t="n">
        <v>3</v>
      </c>
      <c r="M292" t="inlineStr">
        <is>
          <t>2026-06-24 07:34:47</t>
        </is>
      </c>
      <c r="N292" t="inlineStr">
        <is>
          <t>system</t>
        </is>
      </c>
      <c r="O292" t="inlineStr">
        <is>
          <t>2026-06-19 07:10:32</t>
        </is>
      </c>
      <c r="P292" t="inlineStr">
        <is>
          <t>2026-06-19 07:10:32</t>
        </is>
      </c>
      <c r="Y292" t="inlineStr">
        <is>
          <t>27762769683</t>
        </is>
      </c>
    </row>
    <row r="293">
      <c r="A293" t="inlineStr">
        <is>
          <t>14943272</t>
        </is>
      </c>
      <c r="B293" t="inlineStr">
        <is>
          <t>fe1f6d46-ad45-4fed-9a4d-09132040352e</t>
        </is>
      </c>
      <c r="D293" t="inlineStr">
        <is>
          <t>30001087</t>
        </is>
      </c>
      <c r="E293" t="inlineStr">
        <is>
          <t>ussd_funeral_leads_altitude_20260619</t>
        </is>
      </c>
      <c r="J293" t="inlineStr">
        <is>
          <t>AA</t>
        </is>
      </c>
      <c r="K293" t="inlineStr">
        <is>
          <t>Answering Machine Autodial</t>
        </is>
      </c>
      <c r="L293" t="n">
        <v>3</v>
      </c>
      <c r="M293" t="inlineStr">
        <is>
          <t>2026-06-24 07:34:47</t>
        </is>
      </c>
      <c r="N293" t="inlineStr">
        <is>
          <t>system</t>
        </is>
      </c>
      <c r="O293" t="inlineStr">
        <is>
          <t>2026-06-19 07:10:32</t>
        </is>
      </c>
      <c r="P293" t="inlineStr">
        <is>
          <t>2026-06-19 07:10:32</t>
        </is>
      </c>
      <c r="Y293" t="inlineStr">
        <is>
          <t>27649255065</t>
        </is>
      </c>
    </row>
    <row r="294">
      <c r="A294" t="inlineStr">
        <is>
          <t>14943273</t>
        </is>
      </c>
      <c r="B294" t="inlineStr">
        <is>
          <t>79b3ee2c-636c-4616-8c2a-ae22ff03fbd6</t>
        </is>
      </c>
      <c r="D294" t="inlineStr">
        <is>
          <t>30001087</t>
        </is>
      </c>
      <c r="E294" t="inlineStr">
        <is>
          <t>ussd_funeral_leads_altitude_20260619</t>
        </is>
      </c>
      <c r="J294" t="inlineStr">
        <is>
          <t>ADC</t>
        </is>
      </c>
      <c r="K294" t="inlineStr">
        <is>
          <t>Auto Dial Disconnected</t>
        </is>
      </c>
      <c r="L294" t="n">
        <v>3</v>
      </c>
      <c r="M294" t="inlineStr">
        <is>
          <t>2026-06-24 07:34:47</t>
        </is>
      </c>
      <c r="N294" t="inlineStr">
        <is>
          <t>system</t>
        </is>
      </c>
      <c r="O294" t="inlineStr">
        <is>
          <t>2026-06-19 07:10:32</t>
        </is>
      </c>
      <c r="P294" t="inlineStr">
        <is>
          <t>2026-06-19 07:10:32</t>
        </is>
      </c>
      <c r="Y294" t="inlineStr">
        <is>
          <t>27763332085</t>
        </is>
      </c>
    </row>
    <row r="295">
      <c r="A295" t="inlineStr">
        <is>
          <t>14943274</t>
        </is>
      </c>
      <c r="B295" t="inlineStr">
        <is>
          <t>52fe8412-efed-4566-846a-34effcf58bc7</t>
        </is>
      </c>
      <c r="D295" t="inlineStr">
        <is>
          <t>30001087</t>
        </is>
      </c>
      <c r="E295" t="inlineStr">
        <is>
          <t>ussd_funeral_leads_altitude_20260619</t>
        </is>
      </c>
      <c r="J295" t="inlineStr">
        <is>
          <t>AA</t>
        </is>
      </c>
      <c r="K295" t="inlineStr">
        <is>
          <t>Answering Machine Autodial</t>
        </is>
      </c>
      <c r="L295" t="n">
        <v>3</v>
      </c>
      <c r="M295" t="inlineStr">
        <is>
          <t>2026-06-24 07:34:47</t>
        </is>
      </c>
      <c r="N295" t="inlineStr">
        <is>
          <t>system</t>
        </is>
      </c>
      <c r="O295" t="inlineStr">
        <is>
          <t>2026-06-19 07:10:32</t>
        </is>
      </c>
      <c r="P295" t="inlineStr">
        <is>
          <t>2026-06-19 07:10:32</t>
        </is>
      </c>
      <c r="Y295" t="inlineStr">
        <is>
          <t>27607240744</t>
        </is>
      </c>
    </row>
    <row r="296">
      <c r="A296" t="inlineStr">
        <is>
          <t>14943269</t>
        </is>
      </c>
      <c r="B296" t="inlineStr">
        <is>
          <t>3b000182-d3ee-4c38-83cd-39530055e3ff</t>
        </is>
      </c>
      <c r="D296" t="inlineStr">
        <is>
          <t>30001087</t>
        </is>
      </c>
      <c r="E296" t="inlineStr">
        <is>
          <t>ussd_funeral_leads_altitude_20260619</t>
        </is>
      </c>
      <c r="J296" t="inlineStr">
        <is>
          <t>ADC</t>
        </is>
      </c>
      <c r="K296" t="inlineStr">
        <is>
          <t>Auto Dial Disconnected</t>
        </is>
      </c>
      <c r="L296" t="n">
        <v>3</v>
      </c>
      <c r="M296" t="inlineStr">
        <is>
          <t>2026-06-24 07:34:43</t>
        </is>
      </c>
      <c r="N296" t="inlineStr">
        <is>
          <t>system</t>
        </is>
      </c>
      <c r="O296" t="inlineStr">
        <is>
          <t>2026-06-19 07:10:32</t>
        </is>
      </c>
      <c r="P296" t="inlineStr">
        <is>
          <t>2026-06-19 07:10:32</t>
        </is>
      </c>
      <c r="Y296" t="inlineStr">
        <is>
          <t>27818350109</t>
        </is>
      </c>
    </row>
    <row r="297">
      <c r="A297" t="inlineStr">
        <is>
          <t>14943268</t>
        </is>
      </c>
      <c r="B297" t="inlineStr">
        <is>
          <t>a492f601-e8bf-44f1-ac06-9c20f2e6eebd</t>
        </is>
      </c>
      <c r="D297" t="inlineStr">
        <is>
          <t>30001087</t>
        </is>
      </c>
      <c r="E297" t="inlineStr">
        <is>
          <t>ussd_funeral_leads_altitude_20260619</t>
        </is>
      </c>
      <c r="H297" t="inlineStr">
        <is>
          <t>27827093123</t>
        </is>
      </c>
      <c r="J297" t="inlineStr">
        <is>
          <t>NA</t>
        </is>
      </c>
      <c r="K297" t="inlineStr">
        <is>
          <t>No Answer Autodial</t>
        </is>
      </c>
      <c r="L297" t="n">
        <v>3</v>
      </c>
      <c r="M297" t="inlineStr">
        <is>
          <t>2026-06-24 07:34:41</t>
        </is>
      </c>
      <c r="N297" t="inlineStr">
        <is>
          <t>system</t>
        </is>
      </c>
      <c r="O297" t="inlineStr">
        <is>
          <t>2026-06-19 07:10:32</t>
        </is>
      </c>
      <c r="P297" t="inlineStr">
        <is>
          <t>2026-06-19 07:10:32</t>
        </is>
      </c>
      <c r="Y297" t="inlineStr">
        <is>
          <t>27827093123</t>
        </is>
      </c>
    </row>
    <row r="298">
      <c r="A298" t="inlineStr">
        <is>
          <t>14943265</t>
        </is>
      </c>
      <c r="B298" t="inlineStr">
        <is>
          <t>c9e96d69-31d0-4fd3-8ce9-4b021ff8f0ff</t>
        </is>
      </c>
      <c r="D298" t="inlineStr">
        <is>
          <t>30001087</t>
        </is>
      </c>
      <c r="E298" t="inlineStr">
        <is>
          <t>ussd_funeral_leads_altitude_20260619</t>
        </is>
      </c>
      <c r="J298" t="inlineStr">
        <is>
          <t>NA</t>
        </is>
      </c>
      <c r="K298" t="inlineStr">
        <is>
          <t>No Answer Autodial</t>
        </is>
      </c>
      <c r="L298" t="n">
        <v>3</v>
      </c>
      <c r="M298" t="inlineStr">
        <is>
          <t>2026-06-24 07:34:37</t>
        </is>
      </c>
      <c r="N298" t="inlineStr">
        <is>
          <t>system</t>
        </is>
      </c>
      <c r="O298" t="inlineStr">
        <is>
          <t>2026-06-19 07:10:32</t>
        </is>
      </c>
      <c r="P298" t="inlineStr">
        <is>
          <t>2026-06-19 07:10:32</t>
        </is>
      </c>
      <c r="Y298" t="inlineStr">
        <is>
          <t>27725937075</t>
        </is>
      </c>
    </row>
    <row r="299">
      <c r="A299" t="inlineStr">
        <is>
          <t>14943267</t>
        </is>
      </c>
      <c r="B299" t="inlineStr">
        <is>
          <t>a0a1b5fe-b6ff-4888-bbce-84c2ba06510d</t>
        </is>
      </c>
      <c r="D299" t="inlineStr">
        <is>
          <t>30001087</t>
        </is>
      </c>
      <c r="E299" t="inlineStr">
        <is>
          <t>ussd_funeral_leads_altitude_20260619</t>
        </is>
      </c>
      <c r="J299" t="inlineStr">
        <is>
          <t>AA</t>
        </is>
      </c>
      <c r="K299" t="inlineStr">
        <is>
          <t>Answering Machine Autodial</t>
        </is>
      </c>
      <c r="L299" t="n">
        <v>3</v>
      </c>
      <c r="M299" t="inlineStr">
        <is>
          <t>2026-06-24 07:34:37</t>
        </is>
      </c>
      <c r="N299" t="inlineStr">
        <is>
          <t>system</t>
        </is>
      </c>
      <c r="O299" t="inlineStr">
        <is>
          <t>2026-06-19 07:10:32</t>
        </is>
      </c>
      <c r="P299" t="inlineStr">
        <is>
          <t>2026-06-19 07:10:32</t>
        </is>
      </c>
      <c r="Y299" t="inlineStr">
        <is>
          <t>27763185774</t>
        </is>
      </c>
    </row>
    <row r="300">
      <c r="A300" t="inlineStr">
        <is>
          <t>14943399</t>
        </is>
      </c>
      <c r="B300" t="inlineStr">
        <is>
          <t>c9a87ed0-057a-472b-82c7-d1a652585ecd</t>
        </is>
      </c>
      <c r="D300" t="inlineStr">
        <is>
          <t>30001087</t>
        </is>
      </c>
      <c r="E300" t="inlineStr">
        <is>
          <t>ussd_funeral_leads_altitude_20260619</t>
        </is>
      </c>
      <c r="J300" t="inlineStr">
        <is>
          <t>NA</t>
        </is>
      </c>
      <c r="K300" t="inlineStr">
        <is>
          <t>No Answer Autodial</t>
        </is>
      </c>
      <c r="L300" t="n">
        <v>3</v>
      </c>
      <c r="M300" t="inlineStr">
        <is>
          <t>2026-06-24 07:34:12</t>
        </is>
      </c>
      <c r="N300" t="inlineStr">
        <is>
          <t>system</t>
        </is>
      </c>
      <c r="O300" t="inlineStr">
        <is>
          <t>2026-06-19 07:10:32</t>
        </is>
      </c>
      <c r="P300" t="inlineStr">
        <is>
          <t>2026-06-19 07:10:32</t>
        </is>
      </c>
      <c r="Y300" t="inlineStr">
        <is>
          <t>27793779875</t>
        </is>
      </c>
    </row>
    <row r="301">
      <c r="A301" t="inlineStr">
        <is>
          <t>14943401</t>
        </is>
      </c>
      <c r="B301" t="inlineStr">
        <is>
          <t>f811fa59-2853-4ceb-ba00-e1f266245166</t>
        </is>
      </c>
      <c r="D301" t="inlineStr">
        <is>
          <t>30001087</t>
        </is>
      </c>
      <c r="E301" t="inlineStr">
        <is>
          <t>ussd_funeral_leads_altitude_20260619</t>
        </is>
      </c>
      <c r="J301" t="inlineStr">
        <is>
          <t>AA</t>
        </is>
      </c>
      <c r="K301" t="inlineStr">
        <is>
          <t>Answering Machine Autodial</t>
        </is>
      </c>
      <c r="L301" t="n">
        <v>3</v>
      </c>
      <c r="M301" t="inlineStr">
        <is>
          <t>2026-06-24 07:34:12</t>
        </is>
      </c>
      <c r="N301" t="inlineStr">
        <is>
          <t>system</t>
        </is>
      </c>
      <c r="O301" t="inlineStr">
        <is>
          <t>2026-06-19 07:10:32</t>
        </is>
      </c>
      <c r="P301" t="inlineStr">
        <is>
          <t>2026-06-19 07:10:32</t>
        </is>
      </c>
      <c r="Y301" t="inlineStr">
        <is>
          <t>27763985220</t>
        </is>
      </c>
    </row>
    <row r="302">
      <c r="A302" t="inlineStr">
        <is>
          <t>14947609</t>
        </is>
      </c>
      <c r="B302" t="inlineStr">
        <is>
          <t>d430a8ac-8d68-4621-8e58-05b642c36435</t>
        </is>
      </c>
      <c r="D302" t="inlineStr">
        <is>
          <t>30001087</t>
        </is>
      </c>
      <c r="E302" t="inlineStr">
        <is>
          <t>ussd_funeral_leads_altitude_20260619</t>
        </is>
      </c>
      <c r="J302" t="inlineStr">
        <is>
          <t>NI</t>
        </is>
      </c>
      <c r="K302" t="inlineStr">
        <is>
          <t>Not Interested</t>
        </is>
      </c>
      <c r="L302" t="n">
        <v>3</v>
      </c>
      <c r="M302" t="inlineStr">
        <is>
          <t>2026-06-24 07:34:09</t>
        </is>
      </c>
      <c r="N302" t="inlineStr">
        <is>
          <t>Virginia Letsatsi</t>
        </is>
      </c>
      <c r="O302" t="inlineStr">
        <is>
          <t>2026-06-19 07:10:32</t>
        </is>
      </c>
      <c r="P302" t="inlineStr">
        <is>
          <t>2026-06-19 07:10:32</t>
        </is>
      </c>
      <c r="Y302" t="inlineStr">
        <is>
          <t>27763318480</t>
        </is>
      </c>
    </row>
    <row r="303">
      <c r="A303" t="inlineStr">
        <is>
          <t>14943355</t>
        </is>
      </c>
      <c r="B303" t="inlineStr">
        <is>
          <t>97a87bf3-3740-43a0-a41b-a978992d37e0</t>
        </is>
      </c>
      <c r="D303" t="inlineStr">
        <is>
          <t>30001087</t>
        </is>
      </c>
      <c r="E303" t="inlineStr">
        <is>
          <t>ussd_funeral_leads_altitude_20260619</t>
        </is>
      </c>
      <c r="J303" t="inlineStr">
        <is>
          <t>AA</t>
        </is>
      </c>
      <c r="K303" t="inlineStr">
        <is>
          <t>Answering Machine Autodial</t>
        </is>
      </c>
      <c r="L303" t="n">
        <v>3</v>
      </c>
      <c r="M303" t="inlineStr">
        <is>
          <t>2026-06-24 07:34:08</t>
        </is>
      </c>
      <c r="N303" t="inlineStr">
        <is>
          <t>system</t>
        </is>
      </c>
      <c r="O303" t="inlineStr">
        <is>
          <t>2026-06-19 07:10:32</t>
        </is>
      </c>
      <c r="P303" t="inlineStr">
        <is>
          <t>2026-06-19 07:10:32</t>
        </is>
      </c>
      <c r="Y303" t="inlineStr">
        <is>
          <t>27712343854</t>
        </is>
      </c>
    </row>
    <row r="304">
      <c r="A304" t="inlineStr">
        <is>
          <t>14943357</t>
        </is>
      </c>
      <c r="B304" t="inlineStr">
        <is>
          <t>562f6106-53b4-4795-a09d-ca4c2b381aaa</t>
        </is>
      </c>
      <c r="D304" t="inlineStr">
        <is>
          <t>30001087</t>
        </is>
      </c>
      <c r="E304" t="inlineStr">
        <is>
          <t>ussd_funeral_leads_altitude_20260619</t>
        </is>
      </c>
      <c r="J304" t="inlineStr">
        <is>
          <t>ADC</t>
        </is>
      </c>
      <c r="K304" t="inlineStr">
        <is>
          <t>Auto Dial Disconnected</t>
        </is>
      </c>
      <c r="L304" t="n">
        <v>3</v>
      </c>
      <c r="M304" t="inlineStr">
        <is>
          <t>2026-06-24 07:34:08</t>
        </is>
      </c>
      <c r="N304" t="inlineStr">
        <is>
          <t>system</t>
        </is>
      </c>
      <c r="O304" t="inlineStr">
        <is>
          <t>2026-06-19 07:10:32</t>
        </is>
      </c>
      <c r="P304" t="inlineStr">
        <is>
          <t>2026-06-19 07:10:32</t>
        </is>
      </c>
      <c r="Y304" t="inlineStr">
        <is>
          <t>27661402463</t>
        </is>
      </c>
    </row>
    <row r="305">
      <c r="A305" t="inlineStr">
        <is>
          <t>14943354</t>
        </is>
      </c>
      <c r="B305" t="inlineStr">
        <is>
          <t>caa8a0b1-6265-4496-8225-0d2cb235cf4d</t>
        </is>
      </c>
      <c r="D305" t="inlineStr">
        <is>
          <t>30001087</t>
        </is>
      </c>
      <c r="E305" t="inlineStr">
        <is>
          <t>ussd_funeral_leads_altitude_20260619</t>
        </is>
      </c>
      <c r="J305" t="inlineStr">
        <is>
          <t>NA</t>
        </is>
      </c>
      <c r="K305" t="inlineStr">
        <is>
          <t>No Answer Autodial</t>
        </is>
      </c>
      <c r="L305" t="n">
        <v>3</v>
      </c>
      <c r="M305" t="inlineStr">
        <is>
          <t>2026-06-24 07:34:07</t>
        </is>
      </c>
      <c r="N305" t="inlineStr">
        <is>
          <t>system</t>
        </is>
      </c>
      <c r="O305" t="inlineStr">
        <is>
          <t>2026-06-19 07:10:32</t>
        </is>
      </c>
      <c r="P305" t="inlineStr">
        <is>
          <t>2026-06-19 07:10:32</t>
        </is>
      </c>
      <c r="Y305" t="inlineStr">
        <is>
          <t>27660789370</t>
        </is>
      </c>
    </row>
    <row r="306">
      <c r="A306" t="inlineStr">
        <is>
          <t>14943350</t>
        </is>
      </c>
      <c r="B306" t="inlineStr">
        <is>
          <t>fc0fa244-8c33-4597-8c0f-6a7d37b107d5</t>
        </is>
      </c>
      <c r="D306" t="inlineStr">
        <is>
          <t>30001087</t>
        </is>
      </c>
      <c r="E306" t="inlineStr">
        <is>
          <t>ussd_funeral_leads_altitude_20260619</t>
        </is>
      </c>
      <c r="J306" t="inlineStr">
        <is>
          <t>NA</t>
        </is>
      </c>
      <c r="K306" t="inlineStr">
        <is>
          <t>No Answer Autodial</t>
        </is>
      </c>
      <c r="L306" t="n">
        <v>3</v>
      </c>
      <c r="M306" t="inlineStr">
        <is>
          <t>2026-06-24 07:34:02</t>
        </is>
      </c>
      <c r="N306" t="inlineStr">
        <is>
          <t>system</t>
        </is>
      </c>
      <c r="O306" t="inlineStr">
        <is>
          <t>2026-06-19 07:10:32</t>
        </is>
      </c>
      <c r="P306" t="inlineStr">
        <is>
          <t>2026-06-19 07:10:32</t>
        </is>
      </c>
      <c r="Y306" t="inlineStr">
        <is>
          <t>27795165291</t>
        </is>
      </c>
    </row>
    <row r="307">
      <c r="A307" t="inlineStr">
        <is>
          <t>14943351</t>
        </is>
      </c>
      <c r="B307" t="inlineStr">
        <is>
          <t>4e2c3c6b-e1bf-4c23-b272-a16ab180c0b4</t>
        </is>
      </c>
      <c r="D307" t="inlineStr">
        <is>
          <t>30001087</t>
        </is>
      </c>
      <c r="E307" t="inlineStr">
        <is>
          <t>ussd_funeral_leads_altitude_20260619</t>
        </is>
      </c>
      <c r="J307" t="inlineStr">
        <is>
          <t>AA</t>
        </is>
      </c>
      <c r="K307" t="inlineStr">
        <is>
          <t>Answering Machine Autodial</t>
        </is>
      </c>
      <c r="L307" t="n">
        <v>3</v>
      </c>
      <c r="M307" t="inlineStr">
        <is>
          <t>2026-06-24 07:34:02</t>
        </is>
      </c>
      <c r="N307" t="inlineStr">
        <is>
          <t>system</t>
        </is>
      </c>
      <c r="O307" t="inlineStr">
        <is>
          <t>2026-06-19 07:10:32</t>
        </is>
      </c>
      <c r="P307" t="inlineStr">
        <is>
          <t>2026-06-19 07:10:32</t>
        </is>
      </c>
      <c r="Y307" t="inlineStr">
        <is>
          <t>27793727443</t>
        </is>
      </c>
    </row>
    <row r="308">
      <c r="A308" t="inlineStr">
        <is>
          <t>14943352</t>
        </is>
      </c>
      <c r="B308" t="inlineStr">
        <is>
          <t>ffe5943a-2e93-4a9f-8679-2e1d5aec8028</t>
        </is>
      </c>
      <c r="D308" t="inlineStr">
        <is>
          <t>30001087</t>
        </is>
      </c>
      <c r="E308" t="inlineStr">
        <is>
          <t>ussd_funeral_leads_altitude_20260619</t>
        </is>
      </c>
      <c r="J308" t="inlineStr">
        <is>
          <t>CU</t>
        </is>
      </c>
      <c r="K308" t="inlineStr">
        <is>
          <t>Client Hung Up</t>
        </is>
      </c>
      <c r="L308" t="n">
        <v>3</v>
      </c>
      <c r="M308" t="inlineStr">
        <is>
          <t>2026-06-24 07:34:02</t>
        </is>
      </c>
      <c r="N308" t="inlineStr">
        <is>
          <t>Lebohang Mabotja</t>
        </is>
      </c>
      <c r="O308" t="inlineStr">
        <is>
          <t>2026-06-19 07:10:32</t>
        </is>
      </c>
      <c r="P308" t="inlineStr">
        <is>
          <t>2026-06-19 07:10:32</t>
        </is>
      </c>
      <c r="Y308" t="inlineStr">
        <is>
          <t>27609113182</t>
        </is>
      </c>
    </row>
    <row r="309">
      <c r="A309" t="inlineStr">
        <is>
          <t>14943353</t>
        </is>
      </c>
      <c r="B309" t="inlineStr">
        <is>
          <t>a0920e3d-d638-46b0-99f4-8ea36df0e44e</t>
        </is>
      </c>
      <c r="D309" t="inlineStr">
        <is>
          <t>30001087</t>
        </is>
      </c>
      <c r="E309" t="inlineStr">
        <is>
          <t>ussd_funeral_leads_altitude_20260619</t>
        </is>
      </c>
      <c r="J309" t="inlineStr">
        <is>
          <t>AA</t>
        </is>
      </c>
      <c r="K309" t="inlineStr">
        <is>
          <t>Answering Machine Autodial</t>
        </is>
      </c>
      <c r="L309" t="n">
        <v>3</v>
      </c>
      <c r="M309" t="inlineStr">
        <is>
          <t>2026-06-24 07:34:02</t>
        </is>
      </c>
      <c r="N309" t="inlineStr">
        <is>
          <t>system</t>
        </is>
      </c>
      <c r="O309" t="inlineStr">
        <is>
          <t>2026-06-19 07:10:32</t>
        </is>
      </c>
      <c r="P309" t="inlineStr">
        <is>
          <t>2026-06-19 07:10:32</t>
        </is>
      </c>
      <c r="Y309" t="inlineStr">
        <is>
          <t>27665577805</t>
        </is>
      </c>
    </row>
    <row r="310">
      <c r="A310" t="inlineStr">
        <is>
          <t>14943345</t>
        </is>
      </c>
      <c r="B310" t="inlineStr">
        <is>
          <t>d331a565-79d7-4a5a-8a96-1fe237939c54</t>
        </is>
      </c>
      <c r="D310" t="inlineStr">
        <is>
          <t>30001087</t>
        </is>
      </c>
      <c r="E310" t="inlineStr">
        <is>
          <t>ussd_funeral_leads_altitude_20260619</t>
        </is>
      </c>
      <c r="J310" t="inlineStr">
        <is>
          <t>DROP</t>
        </is>
      </c>
      <c r="K310" t="inlineStr">
        <is>
          <t>Dropped</t>
        </is>
      </c>
      <c r="L310" t="n">
        <v>3</v>
      </c>
      <c r="M310" t="inlineStr">
        <is>
          <t>2026-06-24 07:34:01</t>
        </is>
      </c>
      <c r="N310" t="inlineStr">
        <is>
          <t>system</t>
        </is>
      </c>
      <c r="O310" t="inlineStr">
        <is>
          <t>2026-06-19 07:10:32</t>
        </is>
      </c>
      <c r="P310" t="inlineStr">
        <is>
          <t>2026-06-19 07:10:32</t>
        </is>
      </c>
      <c r="Y310" t="inlineStr">
        <is>
          <t>27649211151</t>
        </is>
      </c>
    </row>
    <row r="311">
      <c r="A311" t="inlineStr">
        <is>
          <t>14943346</t>
        </is>
      </c>
      <c r="B311" t="inlineStr">
        <is>
          <t>a35c25ef-3efa-41d4-945e-cf7fa94d7b27</t>
        </is>
      </c>
      <c r="D311" t="inlineStr">
        <is>
          <t>30001087</t>
        </is>
      </c>
      <c r="E311" t="inlineStr">
        <is>
          <t>ussd_funeral_leads_altitude_20260619</t>
        </is>
      </c>
      <c r="J311" t="inlineStr">
        <is>
          <t>AA</t>
        </is>
      </c>
      <c r="K311" t="inlineStr">
        <is>
          <t>Answering Machine Autodial</t>
        </is>
      </c>
      <c r="L311" t="n">
        <v>3</v>
      </c>
      <c r="M311" t="inlineStr">
        <is>
          <t>2026-06-24 07:34:01</t>
        </is>
      </c>
      <c r="N311" t="inlineStr">
        <is>
          <t>system</t>
        </is>
      </c>
      <c r="O311" t="inlineStr">
        <is>
          <t>2026-06-19 07:10:32</t>
        </is>
      </c>
      <c r="P311" t="inlineStr">
        <is>
          <t>2026-06-19 07:10:32</t>
        </is>
      </c>
      <c r="Y311" t="inlineStr">
        <is>
          <t>27761294963</t>
        </is>
      </c>
    </row>
    <row r="312">
      <c r="A312" t="inlineStr">
        <is>
          <t>14943347</t>
        </is>
      </c>
      <c r="B312" t="inlineStr">
        <is>
          <t>238d35a9-d1e2-4533-a87b-576fb77a896c</t>
        </is>
      </c>
      <c r="D312" t="inlineStr">
        <is>
          <t>30001087</t>
        </is>
      </c>
      <c r="E312" t="inlineStr">
        <is>
          <t>ussd_funeral_leads_altitude_20260619</t>
        </is>
      </c>
      <c r="J312" t="inlineStr">
        <is>
          <t>TDN</t>
        </is>
      </c>
      <c r="K312" t="inlineStr">
        <is>
          <t>Temporary Disconnected Number</t>
        </is>
      </c>
      <c r="L312" t="n">
        <v>3</v>
      </c>
      <c r="M312" t="inlineStr">
        <is>
          <t>2026-06-24 07:34:01</t>
        </is>
      </c>
      <c r="N312" t="inlineStr">
        <is>
          <t>system</t>
        </is>
      </c>
      <c r="O312" t="inlineStr">
        <is>
          <t>2026-06-19 07:10:32</t>
        </is>
      </c>
      <c r="P312" t="inlineStr">
        <is>
          <t>2026-06-19 07:10:32</t>
        </is>
      </c>
      <c r="Y312" t="inlineStr">
        <is>
          <t>27794877089</t>
        </is>
      </c>
    </row>
    <row r="313">
      <c r="A313" t="inlineStr">
        <is>
          <t>14943348</t>
        </is>
      </c>
      <c r="B313" t="inlineStr">
        <is>
          <t>5c08c0ca-4dd8-4b17-9003-484ded275313</t>
        </is>
      </c>
      <c r="D313" t="inlineStr">
        <is>
          <t>30001087</t>
        </is>
      </c>
      <c r="E313" t="inlineStr">
        <is>
          <t>ussd_funeral_leads_altitude_20260619</t>
        </is>
      </c>
      <c r="J313" t="inlineStr">
        <is>
          <t>A</t>
        </is>
      </c>
      <c r="K313" t="inlineStr">
        <is>
          <t>Answering Machine</t>
        </is>
      </c>
      <c r="L313" t="n">
        <v>3</v>
      </c>
      <c r="M313" t="inlineStr">
        <is>
          <t>2026-06-24 07:34:01</t>
        </is>
      </c>
      <c r="N313" t="inlineStr">
        <is>
          <t>Lebohang Mabotja</t>
        </is>
      </c>
      <c r="O313" t="inlineStr">
        <is>
          <t>2026-06-19 07:10:32</t>
        </is>
      </c>
      <c r="P313" t="inlineStr">
        <is>
          <t>2026-06-19 07:10:32</t>
        </is>
      </c>
      <c r="Y313" t="inlineStr">
        <is>
          <t>27720712637</t>
        </is>
      </c>
    </row>
    <row r="314">
      <c r="A314" t="inlineStr">
        <is>
          <t>14943349</t>
        </is>
      </c>
      <c r="B314" t="inlineStr">
        <is>
          <t>075f6c89-bfb1-4178-8ae5-cd274265c810</t>
        </is>
      </c>
      <c r="D314" t="inlineStr">
        <is>
          <t>30001087</t>
        </is>
      </c>
      <c r="E314" t="inlineStr">
        <is>
          <t>ussd_funeral_leads_altitude_20260619</t>
        </is>
      </c>
      <c r="J314" t="inlineStr">
        <is>
          <t>AA</t>
        </is>
      </c>
      <c r="K314" t="inlineStr">
        <is>
          <t>Answering Machine Autodial</t>
        </is>
      </c>
      <c r="L314" t="n">
        <v>3</v>
      </c>
      <c r="M314" t="inlineStr">
        <is>
          <t>2026-06-24 07:34:01</t>
        </is>
      </c>
      <c r="N314" t="inlineStr">
        <is>
          <t>system</t>
        </is>
      </c>
      <c r="O314" t="inlineStr">
        <is>
          <t>2026-06-19 07:10:32</t>
        </is>
      </c>
      <c r="P314" t="inlineStr">
        <is>
          <t>2026-06-19 07:10:32</t>
        </is>
      </c>
      <c r="Y314" t="inlineStr">
        <is>
          <t>27766471904</t>
        </is>
      </c>
    </row>
    <row r="315">
      <c r="A315" t="inlineStr">
        <is>
          <t>14943343</t>
        </is>
      </c>
      <c r="B315" t="inlineStr">
        <is>
          <t>f4562cb1-12d3-49f5-afe7-c82eeb30c056</t>
        </is>
      </c>
      <c r="D315" t="inlineStr">
        <is>
          <t>30001087</t>
        </is>
      </c>
      <c r="E315" t="inlineStr">
        <is>
          <t>ussd_funeral_leads_altitude_20260619</t>
        </is>
      </c>
      <c r="J315" t="inlineStr">
        <is>
          <t>AA</t>
        </is>
      </c>
      <c r="K315" t="inlineStr">
        <is>
          <t>Answering Machine Autodial</t>
        </is>
      </c>
      <c r="L315" t="n">
        <v>3</v>
      </c>
      <c r="M315" t="inlineStr">
        <is>
          <t>2026-06-24 07:33:59</t>
        </is>
      </c>
      <c r="N315" t="inlineStr">
        <is>
          <t>system</t>
        </is>
      </c>
      <c r="O315" t="inlineStr">
        <is>
          <t>2026-06-19 07:10:32</t>
        </is>
      </c>
      <c r="P315" t="inlineStr">
        <is>
          <t>2026-06-19 07:10:32</t>
        </is>
      </c>
      <c r="Y315" t="inlineStr">
        <is>
          <t>27673298423</t>
        </is>
      </c>
    </row>
    <row r="316">
      <c r="A316" t="inlineStr">
        <is>
          <t>14943344</t>
        </is>
      </c>
      <c r="B316" t="inlineStr">
        <is>
          <t>c70db40d-5cb2-4cac-ab52-2ecc35858d65</t>
        </is>
      </c>
      <c r="D316" t="inlineStr">
        <is>
          <t>30001087</t>
        </is>
      </c>
      <c r="E316" t="inlineStr">
        <is>
          <t>ussd_funeral_leads_altitude_20260619</t>
        </is>
      </c>
      <c r="J316" t="inlineStr">
        <is>
          <t>AA</t>
        </is>
      </c>
      <c r="K316" t="inlineStr">
        <is>
          <t>Answering Machine Autodial</t>
        </is>
      </c>
      <c r="L316" t="n">
        <v>3</v>
      </c>
      <c r="M316" t="inlineStr">
        <is>
          <t>2026-06-24 07:33:59</t>
        </is>
      </c>
      <c r="N316" t="inlineStr">
        <is>
          <t>system</t>
        </is>
      </c>
      <c r="O316" t="inlineStr">
        <is>
          <t>2026-06-19 07:10:32</t>
        </is>
      </c>
      <c r="P316" t="inlineStr">
        <is>
          <t>2026-06-19 07:10:32</t>
        </is>
      </c>
      <c r="Y316" t="inlineStr">
        <is>
          <t>27675570266</t>
        </is>
      </c>
    </row>
    <row r="317">
      <c r="A317" t="inlineStr">
        <is>
          <t>14943342</t>
        </is>
      </c>
      <c r="B317" t="inlineStr">
        <is>
          <t>e9d712b9-e5ef-40dc-aa8c-cb2e453024f7</t>
        </is>
      </c>
      <c r="D317" t="inlineStr">
        <is>
          <t>30001087</t>
        </is>
      </c>
      <c r="E317" t="inlineStr">
        <is>
          <t>ussd_funeral_leads_altitude_20260619</t>
        </is>
      </c>
      <c r="J317" t="inlineStr">
        <is>
          <t>DROP</t>
        </is>
      </c>
      <c r="K317" t="inlineStr">
        <is>
          <t>Dropped</t>
        </is>
      </c>
      <c r="L317" t="n">
        <v>3</v>
      </c>
      <c r="M317" t="inlineStr">
        <is>
          <t>2026-06-24 07:33:54</t>
        </is>
      </c>
      <c r="N317" t="inlineStr">
        <is>
          <t>system</t>
        </is>
      </c>
      <c r="O317" t="inlineStr">
        <is>
          <t>2026-06-19 07:10:32</t>
        </is>
      </c>
      <c r="P317" t="inlineStr">
        <is>
          <t>2026-06-19 07:10:32</t>
        </is>
      </c>
      <c r="Y317" t="inlineStr">
        <is>
          <t>27772825811</t>
        </is>
      </c>
    </row>
    <row r="318">
      <c r="A318" t="inlineStr">
        <is>
          <t>14943340</t>
        </is>
      </c>
      <c r="B318" t="inlineStr">
        <is>
          <t>063a5e57-bfd4-43b5-ad5f-05d9eb3e407b</t>
        </is>
      </c>
      <c r="D318" t="inlineStr">
        <is>
          <t>30001087</t>
        </is>
      </c>
      <c r="E318" t="inlineStr">
        <is>
          <t>ussd_funeral_leads_altitude_20260619</t>
        </is>
      </c>
      <c r="J318" t="inlineStr">
        <is>
          <t>CU</t>
        </is>
      </c>
      <c r="K318" t="inlineStr">
        <is>
          <t>Client Hung Up</t>
        </is>
      </c>
      <c r="L318" t="n">
        <v>3</v>
      </c>
      <c r="M318" t="inlineStr">
        <is>
          <t>2026-06-24 07:33:49</t>
        </is>
      </c>
      <c r="N318" t="inlineStr">
        <is>
          <t>Goitsimang Mogwasa</t>
        </is>
      </c>
      <c r="O318" t="inlineStr">
        <is>
          <t>2026-06-19 07:10:32</t>
        </is>
      </c>
      <c r="P318" t="inlineStr">
        <is>
          <t>2026-06-19 07:10:32</t>
        </is>
      </c>
      <c r="Y318" t="inlineStr">
        <is>
          <t>27606020316</t>
        </is>
      </c>
    </row>
    <row r="319">
      <c r="A319" t="inlineStr">
        <is>
          <t>14943341</t>
        </is>
      </c>
      <c r="B319" t="inlineStr">
        <is>
          <t>64d99ea7-a0d9-43e6-ae95-1a9cb60103bc</t>
        </is>
      </c>
      <c r="D319" t="inlineStr">
        <is>
          <t>30001087</t>
        </is>
      </c>
      <c r="E319" t="inlineStr">
        <is>
          <t>ussd_funeral_leads_altitude_20260619</t>
        </is>
      </c>
      <c r="J319" t="inlineStr">
        <is>
          <t>TDN</t>
        </is>
      </c>
      <c r="K319" t="inlineStr">
        <is>
          <t>Temporary Disconnected Number</t>
        </is>
      </c>
      <c r="L319" t="n">
        <v>3</v>
      </c>
      <c r="M319" t="inlineStr">
        <is>
          <t>2026-06-24 07:33:48</t>
        </is>
      </c>
      <c r="N319" t="inlineStr">
        <is>
          <t>system</t>
        </is>
      </c>
      <c r="O319" t="inlineStr">
        <is>
          <t>2026-06-19 07:10:32</t>
        </is>
      </c>
      <c r="P319" t="inlineStr">
        <is>
          <t>2026-06-19 07:10:32</t>
        </is>
      </c>
      <c r="Y319" t="inlineStr">
        <is>
          <t>27661107942</t>
        </is>
      </c>
    </row>
    <row r="320">
      <c r="A320" t="inlineStr">
        <is>
          <t>14943339</t>
        </is>
      </c>
      <c r="B320" t="inlineStr">
        <is>
          <t>ffcd37da-e0dc-4b99-9f15-e304b172e655</t>
        </is>
      </c>
      <c r="D320" t="inlineStr">
        <is>
          <t>30001087</t>
        </is>
      </c>
      <c r="E320" t="inlineStr">
        <is>
          <t>ussd_funeral_leads_altitude_20260619</t>
        </is>
      </c>
      <c r="J320" t="inlineStr">
        <is>
          <t>AA</t>
        </is>
      </c>
      <c r="K320" t="inlineStr">
        <is>
          <t>Answering Machine Autodial</t>
        </is>
      </c>
      <c r="L320" t="n">
        <v>3</v>
      </c>
      <c r="M320" t="inlineStr">
        <is>
          <t>2026-06-24 07:33:47</t>
        </is>
      </c>
      <c r="N320" t="inlineStr">
        <is>
          <t>system</t>
        </is>
      </c>
      <c r="O320" t="inlineStr">
        <is>
          <t>2026-06-19 07:10:32</t>
        </is>
      </c>
      <c r="P320" t="inlineStr">
        <is>
          <t>2026-06-19 07:10:32</t>
        </is>
      </c>
      <c r="Y320" t="inlineStr">
        <is>
          <t>27660397584</t>
        </is>
      </c>
    </row>
    <row r="321">
      <c r="A321" t="inlineStr">
        <is>
          <t>14943338</t>
        </is>
      </c>
      <c r="B321" t="inlineStr">
        <is>
          <t>88b729b1-ea75-417e-ad76-253082edd2a7</t>
        </is>
      </c>
      <c r="D321" t="inlineStr">
        <is>
          <t>30001087</t>
        </is>
      </c>
      <c r="E321" t="inlineStr">
        <is>
          <t>ussd_funeral_leads_altitude_20260619</t>
        </is>
      </c>
      <c r="J321" t="inlineStr">
        <is>
          <t>CU</t>
        </is>
      </c>
      <c r="K321" t="inlineStr">
        <is>
          <t>Client Hung Up</t>
        </is>
      </c>
      <c r="L321" t="n">
        <v>3</v>
      </c>
      <c r="M321" t="inlineStr">
        <is>
          <t>2026-06-24 07:33:46</t>
        </is>
      </c>
      <c r="N321" t="inlineStr">
        <is>
          <t>Vuyiswa Nxumalo</t>
        </is>
      </c>
      <c r="O321" t="inlineStr">
        <is>
          <t>2026-06-19 07:10:32</t>
        </is>
      </c>
      <c r="P321" t="inlineStr">
        <is>
          <t>2026-06-19 07:10:32</t>
        </is>
      </c>
      <c r="Y321" t="inlineStr">
        <is>
          <t>27728832260</t>
        </is>
      </c>
    </row>
    <row r="322">
      <c r="A322" t="inlineStr">
        <is>
          <t>14943336</t>
        </is>
      </c>
      <c r="B322" t="inlineStr">
        <is>
          <t>455f2275-8156-436f-a2c1-4198f9ace9e7</t>
        </is>
      </c>
      <c r="D322" t="inlineStr">
        <is>
          <t>30001087</t>
        </is>
      </c>
      <c r="E322" t="inlineStr">
        <is>
          <t>ussd_funeral_leads_altitude_20260619</t>
        </is>
      </c>
      <c r="J322" t="inlineStr">
        <is>
          <t>TDN</t>
        </is>
      </c>
      <c r="K322" t="inlineStr">
        <is>
          <t>Temporary Disconnected Number</t>
        </is>
      </c>
      <c r="L322" t="n">
        <v>3</v>
      </c>
      <c r="M322" t="inlineStr">
        <is>
          <t>2026-06-24 07:33:43</t>
        </is>
      </c>
      <c r="N322" t="inlineStr">
        <is>
          <t>system</t>
        </is>
      </c>
      <c r="O322" t="inlineStr">
        <is>
          <t>2026-06-19 07:10:32</t>
        </is>
      </c>
      <c r="P322" t="inlineStr">
        <is>
          <t>2026-06-19 07:10:32</t>
        </is>
      </c>
      <c r="Y322" t="inlineStr">
        <is>
          <t>27606871425</t>
        </is>
      </c>
    </row>
    <row r="323">
      <c r="A323" t="inlineStr">
        <is>
          <t>14943337</t>
        </is>
      </c>
      <c r="B323" t="inlineStr">
        <is>
          <t>387849d6-ef0b-4cb2-aee3-4628d13ba71e</t>
        </is>
      </c>
      <c r="D323" t="inlineStr">
        <is>
          <t>30001087</t>
        </is>
      </c>
      <c r="E323" t="inlineStr">
        <is>
          <t>ussd_funeral_leads_altitude_20260619</t>
        </is>
      </c>
      <c r="J323" t="inlineStr">
        <is>
          <t>AA</t>
        </is>
      </c>
      <c r="K323" t="inlineStr">
        <is>
          <t>Answering Machine Autodial</t>
        </is>
      </c>
      <c r="L323" t="n">
        <v>3</v>
      </c>
      <c r="M323" t="inlineStr">
        <is>
          <t>2026-06-24 07:33:43</t>
        </is>
      </c>
      <c r="N323" t="inlineStr">
        <is>
          <t>system</t>
        </is>
      </c>
      <c r="O323" t="inlineStr">
        <is>
          <t>2026-06-19 07:10:32</t>
        </is>
      </c>
      <c r="P323" t="inlineStr">
        <is>
          <t>2026-06-19 07:10:32</t>
        </is>
      </c>
      <c r="Y323" t="inlineStr">
        <is>
          <t>27790657411</t>
        </is>
      </c>
    </row>
    <row r="324">
      <c r="A324" t="inlineStr">
        <is>
          <t>14943335</t>
        </is>
      </c>
      <c r="B324" t="inlineStr">
        <is>
          <t>c03a2e8a-2d19-40af-a331-91ce19e512b2</t>
        </is>
      </c>
      <c r="D324" t="inlineStr">
        <is>
          <t>30001087</t>
        </is>
      </c>
      <c r="E324" t="inlineStr">
        <is>
          <t>ussd_funeral_leads_altitude_20260619</t>
        </is>
      </c>
      <c r="J324" t="inlineStr">
        <is>
          <t>ADC</t>
        </is>
      </c>
      <c r="K324" t="inlineStr">
        <is>
          <t>Auto Dial Disconnected</t>
        </is>
      </c>
      <c r="L324" t="n">
        <v>3</v>
      </c>
      <c r="M324" t="inlineStr">
        <is>
          <t>2026-06-24 07:33:42</t>
        </is>
      </c>
      <c r="N324" t="inlineStr">
        <is>
          <t>system</t>
        </is>
      </c>
      <c r="O324" t="inlineStr">
        <is>
          <t>2026-06-19 07:10:32</t>
        </is>
      </c>
      <c r="P324" t="inlineStr">
        <is>
          <t>2026-06-19 07:10:32</t>
        </is>
      </c>
      <c r="Y324" t="inlineStr">
        <is>
          <t>27674549599</t>
        </is>
      </c>
    </row>
    <row r="325">
      <c r="A325" t="inlineStr">
        <is>
          <t>14943332</t>
        </is>
      </c>
      <c r="B325" t="inlineStr">
        <is>
          <t>7cd7fcb1-11b4-41d0-bd0b-96877e09b958</t>
        </is>
      </c>
      <c r="D325" t="inlineStr">
        <is>
          <t>30001087</t>
        </is>
      </c>
      <c r="E325" t="inlineStr">
        <is>
          <t>ussd_funeral_leads_altitude_20260619</t>
        </is>
      </c>
      <c r="J325" t="inlineStr">
        <is>
          <t>ADC</t>
        </is>
      </c>
      <c r="K325" t="inlineStr">
        <is>
          <t>Auto Dial Disconnected</t>
        </is>
      </c>
      <c r="L325" t="n">
        <v>3</v>
      </c>
      <c r="M325" t="inlineStr">
        <is>
          <t>2026-06-24 07:33:42</t>
        </is>
      </c>
      <c r="N325" t="inlineStr">
        <is>
          <t>system</t>
        </is>
      </c>
      <c r="O325" t="inlineStr">
        <is>
          <t>2026-06-19 07:10:32</t>
        </is>
      </c>
      <c r="P325" t="inlineStr">
        <is>
          <t>2026-06-19 07:10:32</t>
        </is>
      </c>
      <c r="Y325" t="inlineStr">
        <is>
          <t>27769379501</t>
        </is>
      </c>
    </row>
    <row r="326">
      <c r="A326" t="inlineStr">
        <is>
          <t>14943333</t>
        </is>
      </c>
      <c r="B326" t="inlineStr">
        <is>
          <t>5a9dee13-f8b5-4084-84c1-b809301f2b57</t>
        </is>
      </c>
      <c r="D326" t="inlineStr">
        <is>
          <t>30001087</t>
        </is>
      </c>
      <c r="E326" t="inlineStr">
        <is>
          <t>ussd_funeral_leads_altitude_20260619</t>
        </is>
      </c>
      <c r="J326" t="inlineStr">
        <is>
          <t>ADC</t>
        </is>
      </c>
      <c r="K326" t="inlineStr">
        <is>
          <t>Auto Dial Disconnected</t>
        </is>
      </c>
      <c r="L326" t="n">
        <v>3</v>
      </c>
      <c r="M326" t="inlineStr">
        <is>
          <t>2026-06-24 07:33:42</t>
        </is>
      </c>
      <c r="N326" t="inlineStr">
        <is>
          <t>system</t>
        </is>
      </c>
      <c r="O326" t="inlineStr">
        <is>
          <t>2026-06-19 07:10:32</t>
        </is>
      </c>
      <c r="P326" t="inlineStr">
        <is>
          <t>2026-06-19 07:10:32</t>
        </is>
      </c>
      <c r="Y326" t="inlineStr">
        <is>
          <t>27712160581</t>
        </is>
      </c>
    </row>
    <row r="327">
      <c r="A327" t="inlineStr">
        <is>
          <t>14943334</t>
        </is>
      </c>
      <c r="B327" t="inlineStr">
        <is>
          <t>29211815-dbec-4614-aec6-3b741427ff0d</t>
        </is>
      </c>
      <c r="D327" t="inlineStr">
        <is>
          <t>30001087</t>
        </is>
      </c>
      <c r="E327" t="inlineStr">
        <is>
          <t>ussd_funeral_leads_altitude_20260619</t>
        </is>
      </c>
      <c r="J327" t="inlineStr">
        <is>
          <t>AA</t>
        </is>
      </c>
      <c r="K327" t="inlineStr">
        <is>
          <t>Answering Machine Autodial</t>
        </is>
      </c>
      <c r="L327" t="n">
        <v>3</v>
      </c>
      <c r="M327" t="inlineStr">
        <is>
          <t>2026-06-24 07:33:42</t>
        </is>
      </c>
      <c r="N327" t="inlineStr">
        <is>
          <t>system</t>
        </is>
      </c>
      <c r="O327" t="inlineStr">
        <is>
          <t>2026-06-19 07:10:32</t>
        </is>
      </c>
      <c r="P327" t="inlineStr">
        <is>
          <t>2026-06-19 07:10:32</t>
        </is>
      </c>
      <c r="Y327" t="inlineStr">
        <is>
          <t>27660336096</t>
        </is>
      </c>
    </row>
    <row r="328">
      <c r="A328" t="inlineStr">
        <is>
          <t>14943331</t>
        </is>
      </c>
      <c r="B328" t="inlineStr">
        <is>
          <t>c298f54c-82ff-4f8f-aace-928eab06ce7f</t>
        </is>
      </c>
      <c r="D328" t="inlineStr">
        <is>
          <t>30001087</t>
        </is>
      </c>
      <c r="E328" t="inlineStr">
        <is>
          <t>ussd_funeral_leads_altitude_20260619</t>
        </is>
      </c>
      <c r="J328" t="inlineStr">
        <is>
          <t>ADC</t>
        </is>
      </c>
      <c r="K328" t="inlineStr">
        <is>
          <t>Auto Dial Disconnected</t>
        </is>
      </c>
      <c r="L328" t="n">
        <v>3</v>
      </c>
      <c r="M328" t="inlineStr">
        <is>
          <t>2026-06-24 07:33:38</t>
        </is>
      </c>
      <c r="N328" t="inlineStr">
        <is>
          <t>system</t>
        </is>
      </c>
      <c r="O328" t="inlineStr">
        <is>
          <t>2026-06-19 07:10:32</t>
        </is>
      </c>
      <c r="P328" t="inlineStr">
        <is>
          <t>2026-06-19 07:10:32</t>
        </is>
      </c>
      <c r="Y328" t="inlineStr">
        <is>
          <t>27661198597</t>
        </is>
      </c>
    </row>
    <row r="329">
      <c r="A329" t="inlineStr">
        <is>
          <t>14943330</t>
        </is>
      </c>
      <c r="B329" t="inlineStr">
        <is>
          <t>b2b66e4a-b1c0-421f-add3-2690e67ffb85</t>
        </is>
      </c>
      <c r="D329" t="inlineStr">
        <is>
          <t>30001087</t>
        </is>
      </c>
      <c r="E329" t="inlineStr">
        <is>
          <t>ussd_funeral_leads_altitude_20260619</t>
        </is>
      </c>
      <c r="J329" t="inlineStr">
        <is>
          <t>AA</t>
        </is>
      </c>
      <c r="K329" t="inlineStr">
        <is>
          <t>Answering Machine Autodial</t>
        </is>
      </c>
      <c r="L329" t="n">
        <v>3</v>
      </c>
      <c r="M329" t="inlineStr">
        <is>
          <t>2026-06-24 07:33:07</t>
        </is>
      </c>
      <c r="N329" t="inlineStr">
        <is>
          <t>system</t>
        </is>
      </c>
      <c r="O329" t="inlineStr">
        <is>
          <t>2026-06-19 07:10:32</t>
        </is>
      </c>
      <c r="P329" t="inlineStr">
        <is>
          <t>2026-06-19 07:10:32</t>
        </is>
      </c>
      <c r="Y329" t="inlineStr">
        <is>
          <t>27827159823</t>
        </is>
      </c>
    </row>
    <row r="330">
      <c r="A330" t="inlineStr">
        <is>
          <t>14943329</t>
        </is>
      </c>
      <c r="B330" t="inlineStr">
        <is>
          <t>320489de-e12f-4552-9cef-47e50f1de2e5</t>
        </is>
      </c>
      <c r="D330" t="inlineStr">
        <is>
          <t>30001087</t>
        </is>
      </c>
      <c r="E330" t="inlineStr">
        <is>
          <t>ussd_funeral_leads_altitude_20260619</t>
        </is>
      </c>
      <c r="J330" t="inlineStr">
        <is>
          <t>AA</t>
        </is>
      </c>
      <c r="K330" t="inlineStr">
        <is>
          <t>Answering Machine Autodial</t>
        </is>
      </c>
      <c r="L330" t="n">
        <v>3</v>
      </c>
      <c r="M330" t="inlineStr">
        <is>
          <t>2026-06-24 07:33:04</t>
        </is>
      </c>
      <c r="N330" t="inlineStr">
        <is>
          <t>system</t>
        </is>
      </c>
      <c r="O330" t="inlineStr">
        <is>
          <t>2026-06-19 07:10:32</t>
        </is>
      </c>
      <c r="P330" t="inlineStr">
        <is>
          <t>2026-06-19 07:10:32</t>
        </is>
      </c>
      <c r="Y330" t="inlineStr">
        <is>
          <t>27607338499</t>
        </is>
      </c>
    </row>
    <row r="331">
      <c r="A331" t="inlineStr">
        <is>
          <t>14943328</t>
        </is>
      </c>
      <c r="B331" t="inlineStr">
        <is>
          <t>e7b747da-5bbd-4988-9efc-c737cacd0db7</t>
        </is>
      </c>
      <c r="D331" t="inlineStr">
        <is>
          <t>30001087</t>
        </is>
      </c>
      <c r="E331" t="inlineStr">
        <is>
          <t>ussd_funeral_leads_altitude_20260619</t>
        </is>
      </c>
      <c r="J331" t="inlineStr">
        <is>
          <t>AA</t>
        </is>
      </c>
      <c r="K331" t="inlineStr">
        <is>
          <t>Answering Machine Autodial</t>
        </is>
      </c>
      <c r="L331" t="n">
        <v>3</v>
      </c>
      <c r="M331" t="inlineStr">
        <is>
          <t>2026-06-24 07:33:00</t>
        </is>
      </c>
      <c r="N331" t="inlineStr">
        <is>
          <t>system</t>
        </is>
      </c>
      <c r="O331" t="inlineStr">
        <is>
          <t>2026-06-19 07:10:32</t>
        </is>
      </c>
      <c r="P331" t="inlineStr">
        <is>
          <t>2026-06-19 07:10:32</t>
        </is>
      </c>
      <c r="Y331" t="inlineStr">
        <is>
          <t>27790907104</t>
        </is>
      </c>
    </row>
    <row r="332">
      <c r="A332" t="inlineStr">
        <is>
          <t>14943326</t>
        </is>
      </c>
      <c r="B332" t="inlineStr">
        <is>
          <t>9f01d6a6-66f9-4f61-985e-7dae3c2f9086</t>
        </is>
      </c>
      <c r="D332" t="inlineStr">
        <is>
          <t>30001087</t>
        </is>
      </c>
      <c r="E332" t="inlineStr">
        <is>
          <t>ussd_funeral_leads_altitude_20260619</t>
        </is>
      </c>
      <c r="J332" t="inlineStr">
        <is>
          <t>NA</t>
        </is>
      </c>
      <c r="K332" t="inlineStr">
        <is>
          <t>No Answer Autodial</t>
        </is>
      </c>
      <c r="L332" t="n">
        <v>3</v>
      </c>
      <c r="M332" t="inlineStr">
        <is>
          <t>2026-06-24 07:32:58</t>
        </is>
      </c>
      <c r="N332" t="inlineStr">
        <is>
          <t>system</t>
        </is>
      </c>
      <c r="O332" t="inlineStr">
        <is>
          <t>2026-06-19 07:10:32</t>
        </is>
      </c>
      <c r="P332" t="inlineStr">
        <is>
          <t>2026-06-19 07:10:32</t>
        </is>
      </c>
      <c r="Y332" t="inlineStr">
        <is>
          <t>27765237098</t>
        </is>
      </c>
    </row>
    <row r="333">
      <c r="A333" t="inlineStr">
        <is>
          <t>14943327</t>
        </is>
      </c>
      <c r="B333" t="inlineStr">
        <is>
          <t>8f806617-b7f8-418d-8a05-c1498daa3b1e</t>
        </is>
      </c>
      <c r="D333" t="inlineStr">
        <is>
          <t>30001087</t>
        </is>
      </c>
      <c r="E333" t="inlineStr">
        <is>
          <t>ussd_funeral_leads_altitude_20260619</t>
        </is>
      </c>
      <c r="J333" t="inlineStr">
        <is>
          <t>AA</t>
        </is>
      </c>
      <c r="K333" t="inlineStr">
        <is>
          <t>Answering Machine Autodial</t>
        </is>
      </c>
      <c r="L333" t="n">
        <v>3</v>
      </c>
      <c r="M333" t="inlineStr">
        <is>
          <t>2026-06-24 07:32:58</t>
        </is>
      </c>
      <c r="N333" t="inlineStr">
        <is>
          <t>system</t>
        </is>
      </c>
      <c r="O333" t="inlineStr">
        <is>
          <t>2026-06-19 07:10:32</t>
        </is>
      </c>
      <c r="P333" t="inlineStr">
        <is>
          <t>2026-06-19 07:10:32</t>
        </is>
      </c>
      <c r="Y333" t="inlineStr">
        <is>
          <t>27727663270</t>
        </is>
      </c>
    </row>
    <row r="334">
      <c r="A334" t="inlineStr">
        <is>
          <t>14900000</t>
        </is>
      </c>
      <c r="B334" t="inlineStr">
        <is>
          <t>972e3081-0e12-4c31-9e52-5dbd40a0d574</t>
        </is>
      </c>
      <c r="D334" t="inlineStr">
        <is>
          <t>30001087</t>
        </is>
      </c>
      <c r="E334" t="inlineStr">
        <is>
          <t>ussd_funeral_leads_altitude_20260619</t>
        </is>
      </c>
      <c r="J334" t="inlineStr">
        <is>
          <t>AA</t>
        </is>
      </c>
      <c r="K334" t="inlineStr">
        <is>
          <t>Answering Machine Autodial</t>
        </is>
      </c>
      <c r="L334" t="n">
        <v>3</v>
      </c>
      <c r="M334" t="inlineStr">
        <is>
          <t>2026-06-24 07:32:54</t>
        </is>
      </c>
      <c r="N334" t="inlineStr">
        <is>
          <t>system</t>
        </is>
      </c>
      <c r="O334" t="inlineStr">
        <is>
          <t>2026-06-19 07:10:32</t>
        </is>
      </c>
      <c r="P334" t="inlineStr">
        <is>
          <t>2026-06-19 07:10:32</t>
        </is>
      </c>
      <c r="Y334" t="inlineStr">
        <is>
          <t>27826419008</t>
        </is>
      </c>
    </row>
    <row r="335">
      <c r="A335" t="inlineStr">
        <is>
          <t>14943321</t>
        </is>
      </c>
      <c r="B335" t="inlineStr">
        <is>
          <t>b20e6959-cbb8-4d30-8535-d4c143819fd6</t>
        </is>
      </c>
      <c r="D335" t="inlineStr">
        <is>
          <t>30001087</t>
        </is>
      </c>
      <c r="E335" t="inlineStr">
        <is>
          <t>ussd_funeral_leads_altitude_20260619</t>
        </is>
      </c>
      <c r="J335" t="inlineStr">
        <is>
          <t>TDN</t>
        </is>
      </c>
      <c r="K335" t="inlineStr">
        <is>
          <t>Temporary Disconnected Number</t>
        </is>
      </c>
      <c r="L335" t="n">
        <v>3</v>
      </c>
      <c r="M335" t="inlineStr">
        <is>
          <t>2026-06-24 07:32:54</t>
        </is>
      </c>
      <c r="N335" t="inlineStr">
        <is>
          <t>system</t>
        </is>
      </c>
      <c r="O335" t="inlineStr">
        <is>
          <t>2026-06-19 07:10:32</t>
        </is>
      </c>
      <c r="P335" t="inlineStr">
        <is>
          <t>2026-06-19 07:10:32</t>
        </is>
      </c>
      <c r="Y335" t="inlineStr">
        <is>
          <t>27764426524</t>
        </is>
      </c>
    </row>
    <row r="336">
      <c r="A336" t="inlineStr">
        <is>
          <t>14943322</t>
        </is>
      </c>
      <c r="B336" t="inlineStr">
        <is>
          <t>5655324a-7db6-411d-8901-e93c2a5ce8b5</t>
        </is>
      </c>
      <c r="D336" t="inlineStr">
        <is>
          <t>30001087</t>
        </is>
      </c>
      <c r="E336" t="inlineStr">
        <is>
          <t>ussd_funeral_leads_altitude_20260619</t>
        </is>
      </c>
      <c r="J336" t="inlineStr">
        <is>
          <t>NA</t>
        </is>
      </c>
      <c r="K336" t="inlineStr">
        <is>
          <t>No Answer Autodial</t>
        </is>
      </c>
      <c r="L336" t="n">
        <v>3</v>
      </c>
      <c r="M336" t="inlineStr">
        <is>
          <t>2026-06-24 07:32:54</t>
        </is>
      </c>
      <c r="N336" t="inlineStr">
        <is>
          <t>system</t>
        </is>
      </c>
      <c r="O336" t="inlineStr">
        <is>
          <t>2026-06-19 07:10:32</t>
        </is>
      </c>
      <c r="P336" t="inlineStr">
        <is>
          <t>2026-06-19 07:10:32</t>
        </is>
      </c>
      <c r="Y336" t="inlineStr">
        <is>
          <t>27799286297</t>
        </is>
      </c>
    </row>
    <row r="337">
      <c r="A337" t="inlineStr">
        <is>
          <t>14943323</t>
        </is>
      </c>
      <c r="B337" t="inlineStr">
        <is>
          <t>6ef6379a-e86e-4653-b7cf-a0ab2bca1ee6</t>
        </is>
      </c>
      <c r="D337" t="inlineStr">
        <is>
          <t>30001087</t>
        </is>
      </c>
      <c r="E337" t="inlineStr">
        <is>
          <t>ussd_funeral_leads_altitude_20260619</t>
        </is>
      </c>
      <c r="J337" t="inlineStr">
        <is>
          <t>TDN</t>
        </is>
      </c>
      <c r="K337" t="inlineStr">
        <is>
          <t>Temporary Disconnected Number</t>
        </is>
      </c>
      <c r="L337" t="n">
        <v>3</v>
      </c>
      <c r="M337" t="inlineStr">
        <is>
          <t>2026-06-24 07:32:54</t>
        </is>
      </c>
      <c r="N337" t="inlineStr">
        <is>
          <t>system</t>
        </is>
      </c>
      <c r="O337" t="inlineStr">
        <is>
          <t>2026-06-19 07:10:32</t>
        </is>
      </c>
      <c r="P337" t="inlineStr">
        <is>
          <t>2026-06-19 07:10:32</t>
        </is>
      </c>
      <c r="Y337" t="inlineStr">
        <is>
          <t>27829457216</t>
        </is>
      </c>
    </row>
    <row r="338">
      <c r="A338" t="inlineStr">
        <is>
          <t>14943324</t>
        </is>
      </c>
      <c r="B338" t="inlineStr">
        <is>
          <t>137ee474-68d0-49b2-85a2-4f7f94e8b96d</t>
        </is>
      </c>
      <c r="D338" t="inlineStr">
        <is>
          <t>30001087</t>
        </is>
      </c>
      <c r="E338" t="inlineStr">
        <is>
          <t>ussd_funeral_leads_altitude_20260619</t>
        </is>
      </c>
      <c r="J338" t="inlineStr">
        <is>
          <t>AE</t>
        </is>
      </c>
      <c r="K338" t="inlineStr">
        <is>
          <t>Auto Engaged</t>
        </is>
      </c>
      <c r="L338" t="n">
        <v>3</v>
      </c>
      <c r="M338" t="inlineStr">
        <is>
          <t>2026-06-24 07:32:54</t>
        </is>
      </c>
      <c r="N338" t="inlineStr">
        <is>
          <t>system</t>
        </is>
      </c>
      <c r="O338" t="inlineStr">
        <is>
          <t>2026-06-19 07:10:32</t>
        </is>
      </c>
      <c r="P338" t="inlineStr">
        <is>
          <t>2026-06-19 07:10:32</t>
        </is>
      </c>
      <c r="Y338" t="inlineStr">
        <is>
          <t>27720861588</t>
        </is>
      </c>
    </row>
    <row r="339">
      <c r="A339" t="inlineStr">
        <is>
          <t>14943325</t>
        </is>
      </c>
      <c r="B339" t="inlineStr">
        <is>
          <t>6a3fd0f0-10e3-4c80-a28e-de54ab43b1f0</t>
        </is>
      </c>
      <c r="D339" t="inlineStr">
        <is>
          <t>30001087</t>
        </is>
      </c>
      <c r="E339" t="inlineStr">
        <is>
          <t>ussd_funeral_leads_altitude_20260619</t>
        </is>
      </c>
      <c r="J339" t="inlineStr">
        <is>
          <t>CU</t>
        </is>
      </c>
      <c r="K339" t="inlineStr">
        <is>
          <t>Client Hung Up</t>
        </is>
      </c>
      <c r="L339" t="n">
        <v>3</v>
      </c>
      <c r="M339" t="inlineStr">
        <is>
          <t>2026-06-24 07:32:54</t>
        </is>
      </c>
      <c r="N339" t="inlineStr">
        <is>
          <t>Vuyiswa Nxumalo</t>
        </is>
      </c>
      <c r="O339" t="inlineStr">
        <is>
          <t>2026-06-19 07:10:32</t>
        </is>
      </c>
      <c r="P339" t="inlineStr">
        <is>
          <t>2026-06-19 07:10:32</t>
        </is>
      </c>
      <c r="Y339" t="inlineStr">
        <is>
          <t>27609013521</t>
        </is>
      </c>
    </row>
    <row r="340">
      <c r="A340" t="inlineStr">
        <is>
          <t>14943319</t>
        </is>
      </c>
      <c r="B340" t="inlineStr">
        <is>
          <t>876f6f3a-7aa6-426c-85a5-897d1156ebdc</t>
        </is>
      </c>
      <c r="D340" t="inlineStr">
        <is>
          <t>30001087</t>
        </is>
      </c>
      <c r="E340" t="inlineStr">
        <is>
          <t>ussd_funeral_leads_altitude_20260619</t>
        </is>
      </c>
      <c r="J340" t="inlineStr">
        <is>
          <t>NI</t>
        </is>
      </c>
      <c r="K340" t="inlineStr">
        <is>
          <t>Not Interested</t>
        </is>
      </c>
      <c r="L340" t="n">
        <v>3</v>
      </c>
      <c r="M340" t="inlineStr">
        <is>
          <t>2026-06-24 07:32:46</t>
        </is>
      </c>
      <c r="N340" t="inlineStr">
        <is>
          <t>Goitsimang Mogwasa</t>
        </is>
      </c>
      <c r="O340" t="inlineStr">
        <is>
          <t>2026-06-19 07:10:32</t>
        </is>
      </c>
      <c r="P340" t="inlineStr">
        <is>
          <t>2026-06-19 07:10:32</t>
        </is>
      </c>
      <c r="Y340" t="inlineStr">
        <is>
          <t>27720345510</t>
        </is>
      </c>
    </row>
    <row r="341">
      <c r="A341" t="inlineStr">
        <is>
          <t>14943318</t>
        </is>
      </c>
      <c r="B341" t="inlineStr">
        <is>
          <t>b1a5a096-26c0-4689-bef9-4c38e7944493</t>
        </is>
      </c>
      <c r="D341" t="inlineStr">
        <is>
          <t>30001087</t>
        </is>
      </c>
      <c r="E341" t="inlineStr">
        <is>
          <t>ussd_funeral_leads_altitude_20260619</t>
        </is>
      </c>
      <c r="J341" t="inlineStr">
        <is>
          <t>NA</t>
        </is>
      </c>
      <c r="K341" t="inlineStr">
        <is>
          <t>No Answer Autodial</t>
        </is>
      </c>
      <c r="L341" t="n">
        <v>3</v>
      </c>
      <c r="M341" t="inlineStr">
        <is>
          <t>2026-06-24 07:32:34</t>
        </is>
      </c>
      <c r="N341" t="inlineStr">
        <is>
          <t>system</t>
        </is>
      </c>
      <c r="O341" t="inlineStr">
        <is>
          <t>2026-06-19 07:10:32</t>
        </is>
      </c>
      <c r="P341" t="inlineStr">
        <is>
          <t>2026-06-19 07:10:32</t>
        </is>
      </c>
      <c r="Y341" t="inlineStr">
        <is>
          <t>27607255806</t>
        </is>
      </c>
    </row>
    <row r="342">
      <c r="A342" t="inlineStr">
        <is>
          <t>14943317</t>
        </is>
      </c>
      <c r="B342" t="inlineStr">
        <is>
          <t>0b3eb493-e0a4-4004-8175-2b8944208ceb</t>
        </is>
      </c>
      <c r="D342" t="inlineStr">
        <is>
          <t>30001087</t>
        </is>
      </c>
      <c r="E342" t="inlineStr">
        <is>
          <t>ussd_funeral_leads_altitude_20260619</t>
        </is>
      </c>
      <c r="J342" t="inlineStr">
        <is>
          <t>NA</t>
        </is>
      </c>
      <c r="K342" t="inlineStr">
        <is>
          <t>No Answer Autodial</t>
        </is>
      </c>
      <c r="L342" t="n">
        <v>3</v>
      </c>
      <c r="M342" t="inlineStr">
        <is>
          <t>2026-06-24 07:32:31</t>
        </is>
      </c>
      <c r="N342" t="inlineStr">
        <is>
          <t>system</t>
        </is>
      </c>
      <c r="O342" t="inlineStr">
        <is>
          <t>2026-06-19 07:10:32</t>
        </is>
      </c>
      <c r="P342" t="inlineStr">
        <is>
          <t>2026-06-19 07:10:32</t>
        </is>
      </c>
      <c r="Y342" t="inlineStr">
        <is>
          <t>27818914375</t>
        </is>
      </c>
    </row>
    <row r="343">
      <c r="A343" t="inlineStr">
        <is>
          <t>14943315</t>
        </is>
      </c>
      <c r="B343" t="inlineStr">
        <is>
          <t>0ecfde3d-b2cd-47d7-976c-5436014e1040</t>
        </is>
      </c>
      <c r="D343" t="inlineStr">
        <is>
          <t>30001087</t>
        </is>
      </c>
      <c r="E343" t="inlineStr">
        <is>
          <t>ussd_funeral_leads_altitude_20260619</t>
        </is>
      </c>
      <c r="J343" t="inlineStr">
        <is>
          <t>AE</t>
        </is>
      </c>
      <c r="K343" t="inlineStr">
        <is>
          <t>Auto Engaged</t>
        </is>
      </c>
      <c r="L343" t="n">
        <v>3</v>
      </c>
      <c r="M343" t="inlineStr">
        <is>
          <t>2026-06-24 07:32:27</t>
        </is>
      </c>
      <c r="N343" t="inlineStr">
        <is>
          <t>system</t>
        </is>
      </c>
      <c r="O343" t="inlineStr">
        <is>
          <t>2026-06-19 07:10:32</t>
        </is>
      </c>
      <c r="P343" t="inlineStr">
        <is>
          <t>2026-06-19 07:10:32</t>
        </is>
      </c>
      <c r="Y343" t="inlineStr">
        <is>
          <t>27711336135</t>
        </is>
      </c>
    </row>
    <row r="344">
      <c r="A344" t="inlineStr">
        <is>
          <t>14943316</t>
        </is>
      </c>
      <c r="B344" t="inlineStr">
        <is>
          <t>f04e23c0-c0bb-4008-9903-b84b73a53346</t>
        </is>
      </c>
      <c r="D344" t="inlineStr">
        <is>
          <t>30001087</t>
        </is>
      </c>
      <c r="E344" t="inlineStr">
        <is>
          <t>ussd_funeral_leads_altitude_20260619</t>
        </is>
      </c>
      <c r="J344" t="inlineStr">
        <is>
          <t>TDN</t>
        </is>
      </c>
      <c r="K344" t="inlineStr">
        <is>
          <t>Temporary Disconnected Number</t>
        </is>
      </c>
      <c r="L344" t="n">
        <v>3</v>
      </c>
      <c r="M344" t="inlineStr">
        <is>
          <t>2026-06-24 07:32:27</t>
        </is>
      </c>
      <c r="N344" t="inlineStr">
        <is>
          <t>system</t>
        </is>
      </c>
      <c r="O344" t="inlineStr">
        <is>
          <t>2026-06-19 07:10:32</t>
        </is>
      </c>
      <c r="P344" t="inlineStr">
        <is>
          <t>2026-06-19 07:10:32</t>
        </is>
      </c>
      <c r="Y344" t="inlineStr">
        <is>
          <t>27760402638</t>
        </is>
      </c>
    </row>
    <row r="345">
      <c r="A345" t="inlineStr">
        <is>
          <t>14943313</t>
        </is>
      </c>
      <c r="B345" t="inlineStr">
        <is>
          <t>d8a32b51-1686-4bd5-83f2-dbeb7af927f6</t>
        </is>
      </c>
      <c r="D345" t="inlineStr">
        <is>
          <t>30001087</t>
        </is>
      </c>
      <c r="E345" t="inlineStr">
        <is>
          <t>ussd_funeral_leads_altitude_20260619</t>
        </is>
      </c>
      <c r="J345" t="inlineStr">
        <is>
          <t>ADC</t>
        </is>
      </c>
      <c r="K345" t="inlineStr">
        <is>
          <t>Auto Dial Disconnected</t>
        </is>
      </c>
      <c r="L345" t="n">
        <v>3</v>
      </c>
      <c r="M345" t="inlineStr">
        <is>
          <t>2026-06-24 07:32:26</t>
        </is>
      </c>
      <c r="N345" t="inlineStr">
        <is>
          <t>system</t>
        </is>
      </c>
      <c r="O345" t="inlineStr">
        <is>
          <t>2026-06-19 07:10:32</t>
        </is>
      </c>
      <c r="P345" t="inlineStr">
        <is>
          <t>2026-06-19 07:10:32</t>
        </is>
      </c>
      <c r="Y345" t="inlineStr">
        <is>
          <t>27796321579</t>
        </is>
      </c>
    </row>
    <row r="346">
      <c r="A346" t="inlineStr">
        <is>
          <t>14943398</t>
        </is>
      </c>
      <c r="B346" t="inlineStr">
        <is>
          <t>959d052f-dde9-4760-a849-5837650efc4a</t>
        </is>
      </c>
      <c r="D346" t="inlineStr">
        <is>
          <t>30001087</t>
        </is>
      </c>
      <c r="E346" t="inlineStr">
        <is>
          <t>ussd_funeral_leads_altitude_20260619</t>
        </is>
      </c>
      <c r="J346" t="inlineStr">
        <is>
          <t>AA</t>
        </is>
      </c>
      <c r="K346" t="inlineStr">
        <is>
          <t>Answering Machine Autodial</t>
        </is>
      </c>
      <c r="L346" t="n">
        <v>3</v>
      </c>
      <c r="M346" t="inlineStr">
        <is>
          <t>2026-06-24 07:32:21</t>
        </is>
      </c>
      <c r="N346" t="inlineStr">
        <is>
          <t>system</t>
        </is>
      </c>
      <c r="O346" t="inlineStr">
        <is>
          <t>2026-06-19 07:10:32</t>
        </is>
      </c>
      <c r="P346" t="inlineStr">
        <is>
          <t>2026-06-19 07:10:32</t>
        </is>
      </c>
      <c r="Y346" t="inlineStr">
        <is>
          <t>27766606480</t>
        </is>
      </c>
    </row>
    <row r="347">
      <c r="A347" t="inlineStr">
        <is>
          <t>14943395</t>
        </is>
      </c>
      <c r="B347" t="inlineStr">
        <is>
          <t>eb5d2d43-0501-4086-91be-6a743f2b796a</t>
        </is>
      </c>
      <c r="D347" t="inlineStr">
        <is>
          <t>30001087</t>
        </is>
      </c>
      <c r="E347" t="inlineStr">
        <is>
          <t>ussd_funeral_leads_altitude_20260619</t>
        </is>
      </c>
      <c r="J347" t="inlineStr">
        <is>
          <t>ADC</t>
        </is>
      </c>
      <c r="K347" t="inlineStr">
        <is>
          <t>Auto Dial Disconnected</t>
        </is>
      </c>
      <c r="L347" t="n">
        <v>3</v>
      </c>
      <c r="M347" t="inlineStr">
        <is>
          <t>2026-06-24 07:32:20</t>
        </is>
      </c>
      <c r="N347" t="inlineStr">
        <is>
          <t>system</t>
        </is>
      </c>
      <c r="O347" t="inlineStr">
        <is>
          <t>2026-06-19 07:10:32</t>
        </is>
      </c>
      <c r="P347" t="inlineStr">
        <is>
          <t>2026-06-19 07:10:32</t>
        </is>
      </c>
      <c r="Y347" t="inlineStr">
        <is>
          <t>27822671659</t>
        </is>
      </c>
    </row>
    <row r="348">
      <c r="A348" t="inlineStr">
        <is>
          <t>14943396</t>
        </is>
      </c>
      <c r="B348" t="inlineStr">
        <is>
          <t>17e8b71c-6401-4cfa-bd02-f9bea6de89c3</t>
        </is>
      </c>
      <c r="D348" t="inlineStr">
        <is>
          <t>30001087</t>
        </is>
      </c>
      <c r="E348" t="inlineStr">
        <is>
          <t>ussd_funeral_leads_altitude_20260619</t>
        </is>
      </c>
      <c r="J348" t="inlineStr">
        <is>
          <t>AA</t>
        </is>
      </c>
      <c r="K348" t="inlineStr">
        <is>
          <t>Answering Machine Autodial</t>
        </is>
      </c>
      <c r="L348" t="n">
        <v>3</v>
      </c>
      <c r="M348" t="inlineStr">
        <is>
          <t>2026-06-24 07:32:20</t>
        </is>
      </c>
      <c r="N348" t="inlineStr">
        <is>
          <t>system</t>
        </is>
      </c>
      <c r="O348" t="inlineStr">
        <is>
          <t>2026-06-19 07:10:32</t>
        </is>
      </c>
      <c r="P348" t="inlineStr">
        <is>
          <t>2026-06-19 07:10:32</t>
        </is>
      </c>
      <c r="Y348" t="inlineStr">
        <is>
          <t>27798111352</t>
        </is>
      </c>
    </row>
    <row r="349">
      <c r="A349" t="inlineStr">
        <is>
          <t>14943397</t>
        </is>
      </c>
      <c r="B349" t="inlineStr">
        <is>
          <t>1852fd8d-4daf-4dad-8d41-5000a8ca71b7</t>
        </is>
      </c>
      <c r="D349" t="inlineStr">
        <is>
          <t>30001087</t>
        </is>
      </c>
      <c r="E349" t="inlineStr">
        <is>
          <t>ussd_funeral_leads_altitude_20260619</t>
        </is>
      </c>
      <c r="J349" t="inlineStr">
        <is>
          <t>NA</t>
        </is>
      </c>
      <c r="K349" t="inlineStr">
        <is>
          <t>No Answer Autodial</t>
        </is>
      </c>
      <c r="L349" t="n">
        <v>3</v>
      </c>
      <c r="M349" t="inlineStr">
        <is>
          <t>2026-06-24 07:32:20</t>
        </is>
      </c>
      <c r="N349" t="inlineStr">
        <is>
          <t>system</t>
        </is>
      </c>
      <c r="O349" t="inlineStr">
        <is>
          <t>2026-06-19 07:10:32</t>
        </is>
      </c>
      <c r="P349" t="inlineStr">
        <is>
          <t>2026-06-19 07:10:32</t>
        </is>
      </c>
      <c r="Y349" t="inlineStr">
        <is>
          <t>27726527685</t>
        </is>
      </c>
    </row>
    <row r="350">
      <c r="A350" t="inlineStr">
        <is>
          <t>14943394</t>
        </is>
      </c>
      <c r="B350" t="inlineStr">
        <is>
          <t>984be821-0daa-4235-bbfc-f8d3813d110e</t>
        </is>
      </c>
      <c r="D350" t="inlineStr">
        <is>
          <t>30001087</t>
        </is>
      </c>
      <c r="E350" t="inlineStr">
        <is>
          <t>ussd_funeral_leads_altitude_20260619</t>
        </is>
      </c>
      <c r="J350" t="inlineStr">
        <is>
          <t>AA</t>
        </is>
      </c>
      <c r="K350" t="inlineStr">
        <is>
          <t>Answering Machine Autodial</t>
        </is>
      </c>
      <c r="L350" t="n">
        <v>3</v>
      </c>
      <c r="M350" t="inlineStr">
        <is>
          <t>2026-06-24 07:31:41</t>
        </is>
      </c>
      <c r="N350" t="inlineStr">
        <is>
          <t>system</t>
        </is>
      </c>
      <c r="O350" t="inlineStr">
        <is>
          <t>2026-06-19 07:10:32</t>
        </is>
      </c>
      <c r="P350" t="inlineStr">
        <is>
          <t>2026-06-19 07:10:32</t>
        </is>
      </c>
      <c r="Y350" t="inlineStr">
        <is>
          <t>27716646544</t>
        </is>
      </c>
    </row>
    <row r="351">
      <c r="A351" t="inlineStr">
        <is>
          <t>14943393</t>
        </is>
      </c>
      <c r="B351" t="inlineStr">
        <is>
          <t>0b250bee-dc7c-4ee7-b625-0049c67377f6</t>
        </is>
      </c>
      <c r="D351" t="inlineStr">
        <is>
          <t>30001087</t>
        </is>
      </c>
      <c r="E351" t="inlineStr">
        <is>
          <t>ussd_funeral_leads_altitude_20260619</t>
        </is>
      </c>
      <c r="J351" t="inlineStr">
        <is>
          <t>AA</t>
        </is>
      </c>
      <c r="K351" t="inlineStr">
        <is>
          <t>Answering Machine Autodial</t>
        </is>
      </c>
      <c r="L351" t="n">
        <v>3</v>
      </c>
      <c r="M351" t="inlineStr">
        <is>
          <t>2026-06-24 07:31:40</t>
        </is>
      </c>
      <c r="N351" t="inlineStr">
        <is>
          <t>system</t>
        </is>
      </c>
      <c r="O351" t="inlineStr">
        <is>
          <t>2026-06-19 07:10:32</t>
        </is>
      </c>
      <c r="P351" t="inlineStr">
        <is>
          <t>2026-06-19 07:10:32</t>
        </is>
      </c>
      <c r="Y351" t="inlineStr">
        <is>
          <t>27827936619</t>
        </is>
      </c>
    </row>
    <row r="352">
      <c r="A352" t="inlineStr">
        <is>
          <t>14946997</t>
        </is>
      </c>
      <c r="B352" t="inlineStr">
        <is>
          <t>6d04190b-2095-43a5-acd7-71ea2044d5d5</t>
        </is>
      </c>
      <c r="D352" t="inlineStr">
        <is>
          <t>30001087</t>
        </is>
      </c>
      <c r="E352" t="inlineStr">
        <is>
          <t>ussd_funeral_leads_altitude_20260619</t>
        </is>
      </c>
      <c r="J352" t="inlineStr">
        <is>
          <t>CU</t>
        </is>
      </c>
      <c r="K352" t="inlineStr">
        <is>
          <t>Client Hung Up</t>
        </is>
      </c>
      <c r="L352" t="n">
        <v>4</v>
      </c>
      <c r="M352" t="inlineStr">
        <is>
          <t>2026-06-24 07:31:35</t>
        </is>
      </c>
      <c r="N352" t="inlineStr">
        <is>
          <t>Virginia Letsatsi</t>
        </is>
      </c>
      <c r="O352" t="inlineStr">
        <is>
          <t>2026-06-19 07:10:32</t>
        </is>
      </c>
      <c r="P352" t="inlineStr">
        <is>
          <t>2026-06-19 07:10:32</t>
        </is>
      </c>
      <c r="Y352" t="inlineStr">
        <is>
          <t>27762358283</t>
        </is>
      </c>
    </row>
    <row r="353">
      <c r="A353" t="inlineStr">
        <is>
          <t>14943390</t>
        </is>
      </c>
      <c r="B353" t="inlineStr">
        <is>
          <t>d7964ff5-f518-4efe-ac43-f2b74bdfbbf4</t>
        </is>
      </c>
      <c r="D353" t="inlineStr">
        <is>
          <t>30001087</t>
        </is>
      </c>
      <c r="E353" t="inlineStr">
        <is>
          <t>ussd_funeral_leads_altitude_20260619</t>
        </is>
      </c>
      <c r="J353" t="inlineStr">
        <is>
          <t>AA</t>
        </is>
      </c>
      <c r="K353" t="inlineStr">
        <is>
          <t>Answering Machine Autodial</t>
        </is>
      </c>
      <c r="L353" t="n">
        <v>3</v>
      </c>
      <c r="M353" t="inlineStr">
        <is>
          <t>2026-06-24 07:31:34</t>
        </is>
      </c>
      <c r="N353" t="inlineStr">
        <is>
          <t>system</t>
        </is>
      </c>
      <c r="O353" t="inlineStr">
        <is>
          <t>2026-06-19 07:10:32</t>
        </is>
      </c>
      <c r="P353" t="inlineStr">
        <is>
          <t>2026-06-19 07:10:32</t>
        </is>
      </c>
      <c r="Y353" t="inlineStr">
        <is>
          <t>27763696127</t>
        </is>
      </c>
    </row>
    <row r="354">
      <c r="A354" t="inlineStr">
        <is>
          <t>14943391</t>
        </is>
      </c>
      <c r="B354" t="inlineStr">
        <is>
          <t>24015a70-6e37-44be-93f4-d2eb7b204752</t>
        </is>
      </c>
      <c r="D354" t="inlineStr">
        <is>
          <t>30001087</t>
        </is>
      </c>
      <c r="E354" t="inlineStr">
        <is>
          <t>ussd_funeral_leads_altitude_20260619</t>
        </is>
      </c>
      <c r="J354" t="inlineStr">
        <is>
          <t>AA</t>
        </is>
      </c>
      <c r="K354" t="inlineStr">
        <is>
          <t>Answering Machine Autodial</t>
        </is>
      </c>
      <c r="L354" t="n">
        <v>3</v>
      </c>
      <c r="M354" t="inlineStr">
        <is>
          <t>2026-06-24 07:31:34</t>
        </is>
      </c>
      <c r="N354" t="inlineStr">
        <is>
          <t>system</t>
        </is>
      </c>
      <c r="O354" t="inlineStr">
        <is>
          <t>2026-06-19 07:10:32</t>
        </is>
      </c>
      <c r="P354" t="inlineStr">
        <is>
          <t>2026-06-19 07:10:32</t>
        </is>
      </c>
      <c r="Y354" t="inlineStr">
        <is>
          <t>27663593602</t>
        </is>
      </c>
    </row>
    <row r="355">
      <c r="A355" t="inlineStr">
        <is>
          <t>14943392</t>
        </is>
      </c>
      <c r="B355" t="inlineStr">
        <is>
          <t>2b77f5bf-7e14-4add-9e9e-0ac58309bb53</t>
        </is>
      </c>
      <c r="D355" t="inlineStr">
        <is>
          <t>30001087</t>
        </is>
      </c>
      <c r="E355" t="inlineStr">
        <is>
          <t>ussd_funeral_leads_altitude_20260619</t>
        </is>
      </c>
      <c r="J355" t="inlineStr">
        <is>
          <t>AA</t>
        </is>
      </c>
      <c r="K355" t="inlineStr">
        <is>
          <t>Answering Machine Autodial</t>
        </is>
      </c>
      <c r="L355" t="n">
        <v>3</v>
      </c>
      <c r="M355" t="inlineStr">
        <is>
          <t>2026-06-24 07:31:34</t>
        </is>
      </c>
      <c r="N355" t="inlineStr">
        <is>
          <t>system</t>
        </is>
      </c>
      <c r="O355" t="inlineStr">
        <is>
          <t>2026-06-19 07:10:32</t>
        </is>
      </c>
      <c r="P355" t="inlineStr">
        <is>
          <t>2026-06-19 07:10:32</t>
        </is>
      </c>
      <c r="Y355" t="inlineStr">
        <is>
          <t>27713867326</t>
        </is>
      </c>
    </row>
    <row r="356">
      <c r="A356" t="inlineStr">
        <is>
          <t>14943389</t>
        </is>
      </c>
      <c r="B356" t="inlineStr">
        <is>
          <t>ddb20d9e-4e16-4da2-84f5-c06837f2e9ad</t>
        </is>
      </c>
      <c r="D356" t="inlineStr">
        <is>
          <t>30001087</t>
        </is>
      </c>
      <c r="E356" t="inlineStr">
        <is>
          <t>ussd_funeral_leads_altitude_20260619</t>
        </is>
      </c>
      <c r="J356" t="inlineStr">
        <is>
          <t>AE</t>
        </is>
      </c>
      <c r="K356" t="inlineStr">
        <is>
          <t>Auto Engaged</t>
        </is>
      </c>
      <c r="L356" t="n">
        <v>3</v>
      </c>
      <c r="M356" t="inlineStr">
        <is>
          <t>2026-06-24 07:31:33</t>
        </is>
      </c>
      <c r="N356" t="inlineStr">
        <is>
          <t>system</t>
        </is>
      </c>
      <c r="O356" t="inlineStr">
        <is>
          <t>2026-06-19 07:10:32</t>
        </is>
      </c>
      <c r="P356" t="inlineStr">
        <is>
          <t>2026-06-19 07:10:32</t>
        </is>
      </c>
      <c r="Y356" t="inlineStr">
        <is>
          <t>27818782351</t>
        </is>
      </c>
    </row>
    <row r="357">
      <c r="A357" t="inlineStr">
        <is>
          <t>14943385</t>
        </is>
      </c>
      <c r="B357" t="inlineStr">
        <is>
          <t>7a29090a-4ca4-4d24-9352-0cdc557d87c5</t>
        </is>
      </c>
      <c r="D357" t="inlineStr">
        <is>
          <t>30001087</t>
        </is>
      </c>
      <c r="E357" t="inlineStr">
        <is>
          <t>ussd_funeral_leads_altitude_20260619</t>
        </is>
      </c>
      <c r="J357" t="inlineStr">
        <is>
          <t>TDN</t>
        </is>
      </c>
      <c r="K357" t="inlineStr">
        <is>
          <t>Temporary Disconnected Number</t>
        </is>
      </c>
      <c r="L357" t="n">
        <v>3</v>
      </c>
      <c r="M357" t="inlineStr">
        <is>
          <t>2026-06-24 07:31:32</t>
        </is>
      </c>
      <c r="N357" t="inlineStr">
        <is>
          <t>system</t>
        </is>
      </c>
      <c r="O357" t="inlineStr">
        <is>
          <t>2026-06-19 07:10:32</t>
        </is>
      </c>
      <c r="P357" t="inlineStr">
        <is>
          <t>2026-06-19 07:10:32</t>
        </is>
      </c>
      <c r="Y357" t="inlineStr">
        <is>
          <t>27714568454</t>
        </is>
      </c>
    </row>
    <row r="358">
      <c r="A358" t="inlineStr">
        <is>
          <t>14943386</t>
        </is>
      </c>
      <c r="B358" t="inlineStr">
        <is>
          <t>e7f8955c-3408-45d5-b188-bf6e4e0c9948</t>
        </is>
      </c>
      <c r="D358" t="inlineStr">
        <is>
          <t>30001087</t>
        </is>
      </c>
      <c r="E358" t="inlineStr">
        <is>
          <t>ussd_funeral_leads_altitude_20260619</t>
        </is>
      </c>
      <c r="J358" t="inlineStr">
        <is>
          <t>AA</t>
        </is>
      </c>
      <c r="K358" t="inlineStr">
        <is>
          <t>Answering Machine Autodial</t>
        </is>
      </c>
      <c r="L358" t="n">
        <v>3</v>
      </c>
      <c r="M358" t="inlineStr">
        <is>
          <t>2026-06-24 07:31:32</t>
        </is>
      </c>
      <c r="N358" t="inlineStr">
        <is>
          <t>system</t>
        </is>
      </c>
      <c r="O358" t="inlineStr">
        <is>
          <t>2026-06-19 07:10:32</t>
        </is>
      </c>
      <c r="P358" t="inlineStr">
        <is>
          <t>2026-06-19 07:10:32</t>
        </is>
      </c>
      <c r="Y358" t="inlineStr">
        <is>
          <t>27762097989</t>
        </is>
      </c>
    </row>
    <row r="359">
      <c r="A359" t="inlineStr">
        <is>
          <t>14943387</t>
        </is>
      </c>
      <c r="B359" t="inlineStr">
        <is>
          <t>9a236108-f07e-4e6d-b6fb-988c6328662d</t>
        </is>
      </c>
      <c r="D359" t="inlineStr">
        <is>
          <t>30001087</t>
        </is>
      </c>
      <c r="E359" t="inlineStr">
        <is>
          <t>ussd_funeral_leads_altitude_20260619</t>
        </is>
      </c>
      <c r="J359" t="inlineStr">
        <is>
          <t>AA</t>
        </is>
      </c>
      <c r="K359" t="inlineStr">
        <is>
          <t>Answering Machine Autodial</t>
        </is>
      </c>
      <c r="L359" t="n">
        <v>3</v>
      </c>
      <c r="M359" t="inlineStr">
        <is>
          <t>2026-06-24 07:31:32</t>
        </is>
      </c>
      <c r="N359" t="inlineStr">
        <is>
          <t>system</t>
        </is>
      </c>
      <c r="O359" t="inlineStr">
        <is>
          <t>2026-06-19 07:10:32</t>
        </is>
      </c>
      <c r="P359" t="inlineStr">
        <is>
          <t>2026-06-19 07:10:32</t>
        </is>
      </c>
      <c r="Y359" t="inlineStr">
        <is>
          <t>27674353916</t>
        </is>
      </c>
    </row>
    <row r="360">
      <c r="A360" t="inlineStr">
        <is>
          <t>14943388</t>
        </is>
      </c>
      <c r="B360" t="inlineStr">
        <is>
          <t>d80cbb73-e63d-4192-ae1c-b7ecc15f1151</t>
        </is>
      </c>
      <c r="D360" t="inlineStr">
        <is>
          <t>30001087</t>
        </is>
      </c>
      <c r="E360" t="inlineStr">
        <is>
          <t>ussd_funeral_leads_altitude_20260619</t>
        </is>
      </c>
      <c r="J360" t="inlineStr">
        <is>
          <t>AA</t>
        </is>
      </c>
      <c r="K360" t="inlineStr">
        <is>
          <t>Answering Machine Autodial</t>
        </is>
      </c>
      <c r="L360" t="n">
        <v>3</v>
      </c>
      <c r="M360" t="inlineStr">
        <is>
          <t>2026-06-24 07:31:32</t>
        </is>
      </c>
      <c r="N360" t="inlineStr">
        <is>
          <t>system</t>
        </is>
      </c>
      <c r="O360" t="inlineStr">
        <is>
          <t>2026-06-19 07:10:32</t>
        </is>
      </c>
      <c r="P360" t="inlineStr">
        <is>
          <t>2026-06-19 07:10:32</t>
        </is>
      </c>
      <c r="Y360" t="inlineStr">
        <is>
          <t>27674747397</t>
        </is>
      </c>
    </row>
    <row r="361">
      <c r="A361" t="inlineStr">
        <is>
          <t>14943382</t>
        </is>
      </c>
      <c r="B361" t="inlineStr">
        <is>
          <t>661c18e1-fbc4-4ce5-ac12-a506851a672e</t>
        </is>
      </c>
      <c r="D361" t="inlineStr">
        <is>
          <t>30001087</t>
        </is>
      </c>
      <c r="E361" t="inlineStr">
        <is>
          <t>ussd_funeral_leads_altitude_20260619</t>
        </is>
      </c>
      <c r="J361" t="inlineStr">
        <is>
          <t>NA</t>
        </is>
      </c>
      <c r="K361" t="inlineStr">
        <is>
          <t>No Answer Autodial</t>
        </is>
      </c>
      <c r="L361" t="n">
        <v>3</v>
      </c>
      <c r="M361" t="inlineStr">
        <is>
          <t>2026-06-24 07:31:30</t>
        </is>
      </c>
      <c r="N361" t="inlineStr">
        <is>
          <t>system</t>
        </is>
      </c>
      <c r="O361" t="inlineStr">
        <is>
          <t>2026-06-19 07:10:32</t>
        </is>
      </c>
      <c r="P361" t="inlineStr">
        <is>
          <t>2026-06-19 07:10:32</t>
        </is>
      </c>
      <c r="Y361" t="inlineStr">
        <is>
          <t>27795973004</t>
        </is>
      </c>
    </row>
    <row r="362">
      <c r="A362" t="inlineStr">
        <is>
          <t>14943383</t>
        </is>
      </c>
      <c r="B362" t="inlineStr">
        <is>
          <t>242c443d-da02-4d4f-b0dd-575637217042</t>
        </is>
      </c>
      <c r="D362" t="inlineStr">
        <is>
          <t>30001087</t>
        </is>
      </c>
      <c r="E362" t="inlineStr">
        <is>
          <t>ussd_funeral_leads_altitude_20260619</t>
        </is>
      </c>
      <c r="J362" t="inlineStr">
        <is>
          <t>DROP</t>
        </is>
      </c>
      <c r="K362" t="inlineStr">
        <is>
          <t>Dropped</t>
        </is>
      </c>
      <c r="L362" t="n">
        <v>3</v>
      </c>
      <c r="M362" t="inlineStr">
        <is>
          <t>2026-06-24 07:31:30</t>
        </is>
      </c>
      <c r="N362" t="inlineStr">
        <is>
          <t>system</t>
        </is>
      </c>
      <c r="O362" t="inlineStr">
        <is>
          <t>2026-06-19 07:10:32</t>
        </is>
      </c>
      <c r="P362" t="inlineStr">
        <is>
          <t>2026-06-19 07:10:32</t>
        </is>
      </c>
      <c r="Y362" t="inlineStr">
        <is>
          <t>27774465926</t>
        </is>
      </c>
    </row>
    <row r="363">
      <c r="A363" t="inlineStr">
        <is>
          <t>14943384</t>
        </is>
      </c>
      <c r="B363" t="inlineStr">
        <is>
          <t>94fbdfce-092e-4b43-bc2a-3f9c48431c67</t>
        </is>
      </c>
      <c r="D363" t="inlineStr">
        <is>
          <t>30001087</t>
        </is>
      </c>
      <c r="E363" t="inlineStr">
        <is>
          <t>ussd_funeral_leads_altitude_20260619</t>
        </is>
      </c>
      <c r="J363" t="inlineStr">
        <is>
          <t>DROP</t>
        </is>
      </c>
      <c r="K363" t="inlineStr">
        <is>
          <t>Dropped</t>
        </is>
      </c>
      <c r="L363" t="n">
        <v>3</v>
      </c>
      <c r="M363" t="inlineStr">
        <is>
          <t>2026-06-24 07:31:30</t>
        </is>
      </c>
      <c r="N363" t="inlineStr">
        <is>
          <t>system</t>
        </is>
      </c>
      <c r="O363" t="inlineStr">
        <is>
          <t>2026-06-19 07:10:32</t>
        </is>
      </c>
      <c r="P363" t="inlineStr">
        <is>
          <t>2026-06-19 07:10:32</t>
        </is>
      </c>
      <c r="Y363" t="inlineStr">
        <is>
          <t>27761900410</t>
        </is>
      </c>
    </row>
    <row r="364">
      <c r="A364" t="inlineStr">
        <is>
          <t>14943378</t>
        </is>
      </c>
      <c r="B364" t="inlineStr">
        <is>
          <t>3c960ff8-f81d-4ecc-b859-4f3f2eaca891</t>
        </is>
      </c>
      <c r="D364" t="inlineStr">
        <is>
          <t>30001087</t>
        </is>
      </c>
      <c r="E364" t="inlineStr">
        <is>
          <t>ussd_funeral_leads_altitude_20260619</t>
        </is>
      </c>
      <c r="J364" t="inlineStr">
        <is>
          <t>NA</t>
        </is>
      </c>
      <c r="K364" t="inlineStr">
        <is>
          <t>No Answer Autodial</t>
        </is>
      </c>
      <c r="L364" t="n">
        <v>3</v>
      </c>
      <c r="M364" t="inlineStr">
        <is>
          <t>2026-06-24 07:31:27</t>
        </is>
      </c>
      <c r="N364" t="inlineStr">
        <is>
          <t>system</t>
        </is>
      </c>
      <c r="O364" t="inlineStr">
        <is>
          <t>2026-06-19 07:10:32</t>
        </is>
      </c>
      <c r="P364" t="inlineStr">
        <is>
          <t>2026-06-19 07:10:32</t>
        </is>
      </c>
      <c r="Y364" t="inlineStr">
        <is>
          <t>27790578273</t>
        </is>
      </c>
    </row>
    <row r="365">
      <c r="A365" t="inlineStr">
        <is>
          <t>14943379</t>
        </is>
      </c>
      <c r="B365" t="inlineStr">
        <is>
          <t>99a44cea-c508-4d26-befb-9ce2c43ef699</t>
        </is>
      </c>
      <c r="D365" t="inlineStr">
        <is>
          <t>30001087</t>
        </is>
      </c>
      <c r="E365" t="inlineStr">
        <is>
          <t>ussd_funeral_leads_altitude_20260619</t>
        </is>
      </c>
      <c r="J365" t="inlineStr">
        <is>
          <t>AA</t>
        </is>
      </c>
      <c r="K365" t="inlineStr">
        <is>
          <t>Answering Machine Autodial</t>
        </is>
      </c>
      <c r="L365" t="n">
        <v>3</v>
      </c>
      <c r="M365" t="inlineStr">
        <is>
          <t>2026-06-24 07:31:27</t>
        </is>
      </c>
      <c r="N365" t="inlineStr">
        <is>
          <t>system</t>
        </is>
      </c>
      <c r="O365" t="inlineStr">
        <is>
          <t>2026-06-19 07:10:32</t>
        </is>
      </c>
      <c r="P365" t="inlineStr">
        <is>
          <t>2026-06-19 07:10:32</t>
        </is>
      </c>
      <c r="Y365" t="inlineStr">
        <is>
          <t>27767849441</t>
        </is>
      </c>
    </row>
    <row r="366">
      <c r="A366" t="inlineStr">
        <is>
          <t>14943380</t>
        </is>
      </c>
      <c r="B366" t="inlineStr">
        <is>
          <t>24c76850-fcd8-4f44-b8f4-3ba277d65f41</t>
        </is>
      </c>
      <c r="D366" t="inlineStr">
        <is>
          <t>30001087</t>
        </is>
      </c>
      <c r="E366" t="inlineStr">
        <is>
          <t>ussd_funeral_leads_altitude_20260619</t>
        </is>
      </c>
      <c r="J366" t="inlineStr">
        <is>
          <t>AA</t>
        </is>
      </c>
      <c r="K366" t="inlineStr">
        <is>
          <t>Answering Machine Autodial</t>
        </is>
      </c>
      <c r="L366" t="n">
        <v>3</v>
      </c>
      <c r="M366" t="inlineStr">
        <is>
          <t>2026-06-24 07:31:27</t>
        </is>
      </c>
      <c r="N366" t="inlineStr">
        <is>
          <t>system</t>
        </is>
      </c>
      <c r="O366" t="inlineStr">
        <is>
          <t>2026-06-19 07:10:32</t>
        </is>
      </c>
      <c r="P366" t="inlineStr">
        <is>
          <t>2026-06-19 07:10:32</t>
        </is>
      </c>
      <c r="Y366" t="inlineStr">
        <is>
          <t>27823746993</t>
        </is>
      </c>
    </row>
    <row r="367">
      <c r="A367" t="inlineStr">
        <is>
          <t>14943375</t>
        </is>
      </c>
      <c r="B367" t="inlineStr">
        <is>
          <t>d7768fb3-7aa0-45e6-adfe-0ce35183cc6e</t>
        </is>
      </c>
      <c r="D367" t="inlineStr">
        <is>
          <t>30001087</t>
        </is>
      </c>
      <c r="E367" t="inlineStr">
        <is>
          <t>ussd_funeral_leads_altitude_20260619</t>
        </is>
      </c>
      <c r="J367" t="inlineStr">
        <is>
          <t>AA</t>
        </is>
      </c>
      <c r="K367" t="inlineStr">
        <is>
          <t>Answering Machine Autodial</t>
        </is>
      </c>
      <c r="L367" t="n">
        <v>3</v>
      </c>
      <c r="M367" t="inlineStr">
        <is>
          <t>2026-06-24 07:31:26</t>
        </is>
      </c>
      <c r="N367" t="inlineStr">
        <is>
          <t>system</t>
        </is>
      </c>
      <c r="O367" t="inlineStr">
        <is>
          <t>2026-06-19 07:10:32</t>
        </is>
      </c>
      <c r="P367" t="inlineStr">
        <is>
          <t>2026-06-19 07:10:32</t>
        </is>
      </c>
      <c r="Y367" t="inlineStr">
        <is>
          <t>27662544709</t>
        </is>
      </c>
    </row>
    <row r="368">
      <c r="A368" t="inlineStr">
        <is>
          <t>14943376</t>
        </is>
      </c>
      <c r="B368" t="inlineStr">
        <is>
          <t>3729ab42-dbba-42b6-bd3b-b65dafd1bf35</t>
        </is>
      </c>
      <c r="D368" t="inlineStr">
        <is>
          <t>30001087</t>
        </is>
      </c>
      <c r="E368" t="inlineStr">
        <is>
          <t>ussd_funeral_leads_altitude_20260619</t>
        </is>
      </c>
      <c r="J368" t="inlineStr">
        <is>
          <t>AA</t>
        </is>
      </c>
      <c r="K368" t="inlineStr">
        <is>
          <t>Answering Machine Autodial</t>
        </is>
      </c>
      <c r="L368" t="n">
        <v>3</v>
      </c>
      <c r="M368" t="inlineStr">
        <is>
          <t>2026-06-24 07:31:26</t>
        </is>
      </c>
      <c r="N368" t="inlineStr">
        <is>
          <t>system</t>
        </is>
      </c>
      <c r="O368" t="inlineStr">
        <is>
          <t>2026-06-19 07:10:32</t>
        </is>
      </c>
      <c r="P368" t="inlineStr">
        <is>
          <t>2026-06-19 07:10:32</t>
        </is>
      </c>
      <c r="Y368" t="inlineStr">
        <is>
          <t>27675403367</t>
        </is>
      </c>
    </row>
    <row r="369">
      <c r="A369" t="inlineStr">
        <is>
          <t>14943377</t>
        </is>
      </c>
      <c r="B369" t="inlineStr">
        <is>
          <t>f5d89477-70d1-4d60-850e-7f5bcd29a427</t>
        </is>
      </c>
      <c r="D369" t="inlineStr">
        <is>
          <t>30001087</t>
        </is>
      </c>
      <c r="E369" t="inlineStr">
        <is>
          <t>ussd_funeral_leads_altitude_20260619</t>
        </is>
      </c>
      <c r="J369" t="inlineStr">
        <is>
          <t>DROP</t>
        </is>
      </c>
      <c r="K369" t="inlineStr">
        <is>
          <t>Dropped</t>
        </is>
      </c>
      <c r="L369" t="n">
        <v>3</v>
      </c>
      <c r="M369" t="inlineStr">
        <is>
          <t>2026-06-24 07:31:26</t>
        </is>
      </c>
      <c r="N369" t="inlineStr">
        <is>
          <t>system</t>
        </is>
      </c>
      <c r="O369" t="inlineStr">
        <is>
          <t>2026-06-19 07:10:32</t>
        </is>
      </c>
      <c r="P369" t="inlineStr">
        <is>
          <t>2026-06-19 07:10:32</t>
        </is>
      </c>
      <c r="Y369" t="inlineStr">
        <is>
          <t>27766594138</t>
        </is>
      </c>
    </row>
    <row r="370">
      <c r="A370" t="inlineStr">
        <is>
          <t>14943371</t>
        </is>
      </c>
      <c r="B370" t="inlineStr">
        <is>
          <t>f96a2120-6ceb-4927-953f-94ec17791121</t>
        </is>
      </c>
      <c r="D370" t="inlineStr">
        <is>
          <t>30001087</t>
        </is>
      </c>
      <c r="E370" t="inlineStr">
        <is>
          <t>ussd_funeral_leads_altitude_20260619</t>
        </is>
      </c>
      <c r="J370" t="inlineStr">
        <is>
          <t>AA</t>
        </is>
      </c>
      <c r="K370" t="inlineStr">
        <is>
          <t>Answering Machine Autodial</t>
        </is>
      </c>
      <c r="L370" t="n">
        <v>3</v>
      </c>
      <c r="M370" t="inlineStr">
        <is>
          <t>2026-06-24 07:31:25</t>
        </is>
      </c>
      <c r="N370" t="inlineStr">
        <is>
          <t>system</t>
        </is>
      </c>
      <c r="O370" t="inlineStr">
        <is>
          <t>2026-06-19 07:10:32</t>
        </is>
      </c>
      <c r="P370" t="inlineStr">
        <is>
          <t>2026-06-19 07:10:32</t>
        </is>
      </c>
      <c r="Y370" t="inlineStr">
        <is>
          <t>27609565942</t>
        </is>
      </c>
    </row>
    <row r="371">
      <c r="A371" t="inlineStr">
        <is>
          <t>14943372</t>
        </is>
      </c>
      <c r="B371" t="inlineStr">
        <is>
          <t>88fdda97-b7bc-4d04-98b6-543789309ff2</t>
        </is>
      </c>
      <c r="D371" t="inlineStr">
        <is>
          <t>30001087</t>
        </is>
      </c>
      <c r="E371" t="inlineStr">
        <is>
          <t>ussd_funeral_leads_altitude_20260619</t>
        </is>
      </c>
      <c r="J371" t="inlineStr">
        <is>
          <t>AA</t>
        </is>
      </c>
      <c r="K371" t="inlineStr">
        <is>
          <t>Answering Machine Autodial</t>
        </is>
      </c>
      <c r="L371" t="n">
        <v>3</v>
      </c>
      <c r="M371" t="inlineStr">
        <is>
          <t>2026-06-24 07:31:25</t>
        </is>
      </c>
      <c r="N371" t="inlineStr">
        <is>
          <t>system</t>
        </is>
      </c>
      <c r="O371" t="inlineStr">
        <is>
          <t>2026-06-19 07:10:32</t>
        </is>
      </c>
      <c r="P371" t="inlineStr">
        <is>
          <t>2026-06-19 07:10:32</t>
        </is>
      </c>
      <c r="Y371" t="inlineStr">
        <is>
          <t>27606650102</t>
        </is>
      </c>
    </row>
    <row r="372">
      <c r="A372" t="inlineStr">
        <is>
          <t>14943373</t>
        </is>
      </c>
      <c r="B372" t="inlineStr">
        <is>
          <t>45cebe2c-451f-4430-8f89-641df6589372</t>
        </is>
      </c>
      <c r="D372" t="inlineStr">
        <is>
          <t>30001087</t>
        </is>
      </c>
      <c r="E372" t="inlineStr">
        <is>
          <t>ussd_funeral_leads_altitude_20260619</t>
        </is>
      </c>
      <c r="J372" t="inlineStr">
        <is>
          <t>AA</t>
        </is>
      </c>
      <c r="K372" t="inlineStr">
        <is>
          <t>Answering Machine Autodial</t>
        </is>
      </c>
      <c r="L372" t="n">
        <v>3</v>
      </c>
      <c r="M372" t="inlineStr">
        <is>
          <t>2026-06-24 07:31:25</t>
        </is>
      </c>
      <c r="N372" t="inlineStr">
        <is>
          <t>system</t>
        </is>
      </c>
      <c r="O372" t="inlineStr">
        <is>
          <t>2026-06-19 07:10:32</t>
        </is>
      </c>
      <c r="P372" t="inlineStr">
        <is>
          <t>2026-06-19 07:10:32</t>
        </is>
      </c>
      <c r="Y372" t="inlineStr">
        <is>
          <t>27818607874</t>
        </is>
      </c>
    </row>
    <row r="373">
      <c r="A373" t="inlineStr">
        <is>
          <t>14943381</t>
        </is>
      </c>
      <c r="B373" t="inlineStr">
        <is>
          <t>9b6bdf7f-d1eb-47cf-bea4-e68498afbd16</t>
        </is>
      </c>
      <c r="D373" t="inlineStr">
        <is>
          <t>30001087</t>
        </is>
      </c>
      <c r="E373" t="inlineStr">
        <is>
          <t>ussd_funeral_leads_altitude_20260619</t>
        </is>
      </c>
      <c r="J373" t="inlineStr">
        <is>
          <t>AA</t>
        </is>
      </c>
      <c r="K373" t="inlineStr">
        <is>
          <t>Answering Machine Autodial</t>
        </is>
      </c>
      <c r="L373" t="n">
        <v>3</v>
      </c>
      <c r="M373" t="inlineStr">
        <is>
          <t>2026-06-24 07:31:25</t>
        </is>
      </c>
      <c r="N373" t="inlineStr">
        <is>
          <t>system</t>
        </is>
      </c>
      <c r="O373" t="inlineStr">
        <is>
          <t>2026-06-19 07:10:32</t>
        </is>
      </c>
      <c r="P373" t="inlineStr">
        <is>
          <t>2026-06-19 07:10:32</t>
        </is>
      </c>
      <c r="Y373" t="inlineStr">
        <is>
          <t>27637410513</t>
        </is>
      </c>
    </row>
    <row r="374">
      <c r="A374" t="inlineStr">
        <is>
          <t>14943368</t>
        </is>
      </c>
      <c r="B374" t="inlineStr">
        <is>
          <t>a78f3402-a68b-4a86-96da-831a632b7633</t>
        </is>
      </c>
      <c r="D374" t="inlineStr">
        <is>
          <t>30001087</t>
        </is>
      </c>
      <c r="E374" t="inlineStr">
        <is>
          <t>ussd_funeral_leads_altitude_20260619</t>
        </is>
      </c>
      <c r="J374" t="inlineStr">
        <is>
          <t>DC</t>
        </is>
      </c>
      <c r="K374" t="inlineStr">
        <is>
          <t>Disconnected</t>
        </is>
      </c>
      <c r="L374" t="n">
        <v>3</v>
      </c>
      <c r="M374" t="inlineStr">
        <is>
          <t>2026-06-24 07:31:24</t>
        </is>
      </c>
      <c r="N374" t="inlineStr">
        <is>
          <t>Goitsimang Mogwasa</t>
        </is>
      </c>
      <c r="O374" t="inlineStr">
        <is>
          <t>2026-06-19 07:10:32</t>
        </is>
      </c>
      <c r="P374" t="inlineStr">
        <is>
          <t>2026-06-19 07:10:32</t>
        </is>
      </c>
      <c r="Y374" t="inlineStr">
        <is>
          <t>27729990282</t>
        </is>
      </c>
    </row>
    <row r="375">
      <c r="A375" t="inlineStr">
        <is>
          <t>14943369</t>
        </is>
      </c>
      <c r="B375" t="inlineStr">
        <is>
          <t>35523530-b79e-4d51-a035-aca92822b353</t>
        </is>
      </c>
      <c r="D375" t="inlineStr">
        <is>
          <t>30001087</t>
        </is>
      </c>
      <c r="E375" t="inlineStr">
        <is>
          <t>ussd_funeral_leads_altitude_20260619</t>
        </is>
      </c>
      <c r="J375" t="inlineStr">
        <is>
          <t>CBACK</t>
        </is>
      </c>
      <c r="K375" t="inlineStr">
        <is>
          <t>Callback</t>
        </is>
      </c>
      <c r="L375" t="n">
        <v>3</v>
      </c>
      <c r="M375" t="inlineStr">
        <is>
          <t>2026-06-24 07:31:24</t>
        </is>
      </c>
      <c r="N375" t="inlineStr">
        <is>
          <t>Bongiwe Precious Cele</t>
        </is>
      </c>
      <c r="O375" t="inlineStr">
        <is>
          <t>2026-06-19 07:10:32</t>
        </is>
      </c>
      <c r="P375" t="inlineStr">
        <is>
          <t>2026-06-19 07:10:32</t>
        </is>
      </c>
      <c r="Y375" t="inlineStr">
        <is>
          <t>27648698488</t>
        </is>
      </c>
    </row>
    <row r="376">
      <c r="A376" t="inlineStr">
        <is>
          <t>14943370</t>
        </is>
      </c>
      <c r="B376" t="inlineStr">
        <is>
          <t>46f19012-ab7c-487e-9260-de8c8753e8ef</t>
        </is>
      </c>
      <c r="D376" t="inlineStr">
        <is>
          <t>30001087</t>
        </is>
      </c>
      <c r="E376" t="inlineStr">
        <is>
          <t>ussd_funeral_leads_altitude_20260619</t>
        </is>
      </c>
      <c r="J376" t="inlineStr">
        <is>
          <t>ADC</t>
        </is>
      </c>
      <c r="K376" t="inlineStr">
        <is>
          <t>Auto Dial Disconnected</t>
        </is>
      </c>
      <c r="L376" t="n">
        <v>3</v>
      </c>
      <c r="M376" t="inlineStr">
        <is>
          <t>2026-06-24 07:31:24</t>
        </is>
      </c>
      <c r="N376" t="inlineStr">
        <is>
          <t>system</t>
        </is>
      </c>
      <c r="O376" t="inlineStr">
        <is>
          <t>2026-06-19 07:10:32</t>
        </is>
      </c>
      <c r="P376" t="inlineStr">
        <is>
          <t>2026-06-19 07:10:32</t>
        </is>
      </c>
      <c r="Y376" t="inlineStr">
        <is>
          <t>27725299018</t>
        </is>
      </c>
    </row>
    <row r="377">
      <c r="A377" t="inlineStr">
        <is>
          <t>14943374</t>
        </is>
      </c>
      <c r="B377" t="inlineStr">
        <is>
          <t>8a75852b-bc46-425b-a100-88dea177443e</t>
        </is>
      </c>
      <c r="D377" t="inlineStr">
        <is>
          <t>30001087</t>
        </is>
      </c>
      <c r="E377" t="inlineStr">
        <is>
          <t>ussd_funeral_leads_altitude_20260619</t>
        </is>
      </c>
      <c r="J377" t="inlineStr">
        <is>
          <t>AA</t>
        </is>
      </c>
      <c r="K377" t="inlineStr">
        <is>
          <t>Answering Machine Autodial</t>
        </is>
      </c>
      <c r="L377" t="n">
        <v>3</v>
      </c>
      <c r="M377" t="inlineStr">
        <is>
          <t>2026-06-24 07:31:23</t>
        </is>
      </c>
      <c r="N377" t="inlineStr">
        <is>
          <t>system</t>
        </is>
      </c>
      <c r="O377" t="inlineStr">
        <is>
          <t>2026-06-19 07:10:32</t>
        </is>
      </c>
      <c r="P377" t="inlineStr">
        <is>
          <t>2026-06-19 07:10:32</t>
        </is>
      </c>
      <c r="Y377" t="inlineStr">
        <is>
          <t>27637117815</t>
        </is>
      </c>
    </row>
    <row r="378">
      <c r="A378" t="inlineStr">
        <is>
          <t>14943366</t>
        </is>
      </c>
      <c r="B378" t="inlineStr">
        <is>
          <t>94f9c4c1-1226-4249-a109-0613c225815f</t>
        </is>
      </c>
      <c r="D378" t="inlineStr">
        <is>
          <t>30001087</t>
        </is>
      </c>
      <c r="E378" t="inlineStr">
        <is>
          <t>ussd_funeral_leads_altitude_20260619</t>
        </is>
      </c>
      <c r="J378" t="inlineStr">
        <is>
          <t>ADC</t>
        </is>
      </c>
      <c r="K378" t="inlineStr">
        <is>
          <t>Auto Dial Disconnected</t>
        </is>
      </c>
      <c r="L378" t="n">
        <v>3</v>
      </c>
      <c r="M378" t="inlineStr">
        <is>
          <t>2026-06-24 07:31:19</t>
        </is>
      </c>
      <c r="N378" t="inlineStr">
        <is>
          <t>system</t>
        </is>
      </c>
      <c r="O378" t="inlineStr">
        <is>
          <t>2026-06-19 07:10:32</t>
        </is>
      </c>
      <c r="P378" t="inlineStr">
        <is>
          <t>2026-06-19 07:10:32</t>
        </is>
      </c>
      <c r="Y378" t="inlineStr">
        <is>
          <t>27665032711</t>
        </is>
      </c>
    </row>
    <row r="379">
      <c r="A379" t="inlineStr">
        <is>
          <t>14943367</t>
        </is>
      </c>
      <c r="B379" t="inlineStr">
        <is>
          <t>0ecdebe2-8617-4be9-9c2a-af6b51c5e3b5</t>
        </is>
      </c>
      <c r="D379" t="inlineStr">
        <is>
          <t>30001087</t>
        </is>
      </c>
      <c r="E379" t="inlineStr">
        <is>
          <t>ussd_funeral_leads_altitude_20260619</t>
        </is>
      </c>
      <c r="J379" t="inlineStr">
        <is>
          <t>TDN</t>
        </is>
      </c>
      <c r="K379" t="inlineStr">
        <is>
          <t>Temporary Disconnected Number</t>
        </is>
      </c>
      <c r="L379" t="n">
        <v>3</v>
      </c>
      <c r="M379" t="inlineStr">
        <is>
          <t>2026-06-24 07:31:18</t>
        </is>
      </c>
      <c r="N379" t="inlineStr">
        <is>
          <t>system</t>
        </is>
      </c>
      <c r="O379" t="inlineStr">
        <is>
          <t>2026-06-19 07:10:32</t>
        </is>
      </c>
      <c r="P379" t="inlineStr">
        <is>
          <t>2026-06-19 07:10:32</t>
        </is>
      </c>
      <c r="Y379" t="inlineStr">
        <is>
          <t>27723998369</t>
        </is>
      </c>
    </row>
    <row r="380">
      <c r="A380" t="inlineStr">
        <is>
          <t>14943363</t>
        </is>
      </c>
      <c r="B380" t="inlineStr">
        <is>
          <t>c0ffd59c-37b6-4a6c-8ad0-210b29802dc4</t>
        </is>
      </c>
      <c r="D380" t="inlineStr">
        <is>
          <t>30001087</t>
        </is>
      </c>
      <c r="E380" t="inlineStr">
        <is>
          <t>ussd_funeral_leads_altitude_20260619</t>
        </is>
      </c>
      <c r="J380" t="inlineStr">
        <is>
          <t>AA</t>
        </is>
      </c>
      <c r="K380" t="inlineStr">
        <is>
          <t>Answering Machine Autodial</t>
        </is>
      </c>
      <c r="L380" t="n">
        <v>3</v>
      </c>
      <c r="M380" t="inlineStr">
        <is>
          <t>2026-06-24 07:31:13</t>
        </is>
      </c>
      <c r="N380" t="inlineStr">
        <is>
          <t>system</t>
        </is>
      </c>
      <c r="O380" t="inlineStr">
        <is>
          <t>2026-06-19 07:10:32</t>
        </is>
      </c>
      <c r="P380" t="inlineStr">
        <is>
          <t>2026-06-19 07:10:32</t>
        </is>
      </c>
      <c r="Y380" t="inlineStr">
        <is>
          <t>27724876179</t>
        </is>
      </c>
    </row>
    <row r="381">
      <c r="A381" t="inlineStr">
        <is>
          <t>14943364</t>
        </is>
      </c>
      <c r="B381" t="inlineStr">
        <is>
          <t>30f4162f-fb05-4229-834a-325415ac3dc6</t>
        </is>
      </c>
      <c r="D381" t="inlineStr">
        <is>
          <t>30001087</t>
        </is>
      </c>
      <c r="E381" t="inlineStr">
        <is>
          <t>ussd_funeral_leads_altitude_20260619</t>
        </is>
      </c>
      <c r="J381" t="inlineStr">
        <is>
          <t>AA</t>
        </is>
      </c>
      <c r="K381" t="inlineStr">
        <is>
          <t>Answering Machine Autodial</t>
        </is>
      </c>
      <c r="L381" t="n">
        <v>3</v>
      </c>
      <c r="M381" t="inlineStr">
        <is>
          <t>2026-06-24 07:31:13</t>
        </is>
      </c>
      <c r="N381" t="inlineStr">
        <is>
          <t>system</t>
        </is>
      </c>
      <c r="O381" t="inlineStr">
        <is>
          <t>2026-06-19 07:10:32</t>
        </is>
      </c>
      <c r="P381" t="inlineStr">
        <is>
          <t>2026-06-19 07:10:32</t>
        </is>
      </c>
      <c r="Y381" t="inlineStr">
        <is>
          <t>27637094014</t>
        </is>
      </c>
    </row>
    <row r="382">
      <c r="A382" t="inlineStr">
        <is>
          <t>14943365</t>
        </is>
      </c>
      <c r="B382" t="inlineStr">
        <is>
          <t>a03ecf54-d827-4c70-8f05-98f767532b70</t>
        </is>
      </c>
      <c r="D382" t="inlineStr">
        <is>
          <t>30001087</t>
        </is>
      </c>
      <c r="E382" t="inlineStr">
        <is>
          <t>ussd_funeral_leads_altitude_20260619</t>
        </is>
      </c>
      <c r="J382" t="inlineStr">
        <is>
          <t>AA</t>
        </is>
      </c>
      <c r="K382" t="inlineStr">
        <is>
          <t>Answering Machine Autodial</t>
        </is>
      </c>
      <c r="L382" t="n">
        <v>3</v>
      </c>
      <c r="M382" t="inlineStr">
        <is>
          <t>2026-06-24 07:31:13</t>
        </is>
      </c>
      <c r="N382" t="inlineStr">
        <is>
          <t>system</t>
        </is>
      </c>
      <c r="O382" t="inlineStr">
        <is>
          <t>2026-06-19 07:10:32</t>
        </is>
      </c>
      <c r="P382" t="inlineStr">
        <is>
          <t>2026-06-19 07:10:32</t>
        </is>
      </c>
      <c r="Y382" t="inlineStr">
        <is>
          <t>27798158915</t>
        </is>
      </c>
    </row>
    <row r="383">
      <c r="A383" t="inlineStr">
        <is>
          <t>14943362</t>
        </is>
      </c>
      <c r="B383" t="inlineStr">
        <is>
          <t>dd81626e-b2bf-4ef6-b8de-dbe1a3585fc0</t>
        </is>
      </c>
      <c r="D383" t="inlineStr">
        <is>
          <t>30001087</t>
        </is>
      </c>
      <c r="E383" t="inlineStr">
        <is>
          <t>ussd_funeral_leads_altitude_20260619</t>
        </is>
      </c>
      <c r="J383" t="inlineStr">
        <is>
          <t>AA</t>
        </is>
      </c>
      <c r="K383" t="inlineStr">
        <is>
          <t>Answering Machine Autodial</t>
        </is>
      </c>
      <c r="L383" t="n">
        <v>3</v>
      </c>
      <c r="M383" t="inlineStr">
        <is>
          <t>2026-06-24 07:31:03</t>
        </is>
      </c>
      <c r="N383" t="inlineStr">
        <is>
          <t>system</t>
        </is>
      </c>
      <c r="O383" t="inlineStr">
        <is>
          <t>2026-06-19 07:10:32</t>
        </is>
      </c>
      <c r="P383" t="inlineStr">
        <is>
          <t>2026-06-19 07:10:32</t>
        </is>
      </c>
      <c r="Y383" t="inlineStr">
        <is>
          <t>27607464413</t>
        </is>
      </c>
    </row>
    <row r="384">
      <c r="A384" t="inlineStr">
        <is>
          <t>14943361</t>
        </is>
      </c>
      <c r="B384" t="inlineStr">
        <is>
          <t>9db30a99-070a-438f-80ee-fb58c45e9983</t>
        </is>
      </c>
      <c r="D384" t="inlineStr">
        <is>
          <t>30001087</t>
        </is>
      </c>
      <c r="E384" t="inlineStr">
        <is>
          <t>ussd_funeral_leads_altitude_20260619</t>
        </is>
      </c>
      <c r="J384" t="inlineStr">
        <is>
          <t>AA</t>
        </is>
      </c>
      <c r="K384" t="inlineStr">
        <is>
          <t>Answering Machine Autodial</t>
        </is>
      </c>
      <c r="L384" t="n">
        <v>3</v>
      </c>
      <c r="M384" t="inlineStr">
        <is>
          <t>2026-06-24 07:31:01</t>
        </is>
      </c>
      <c r="N384" t="inlineStr">
        <is>
          <t>system</t>
        </is>
      </c>
      <c r="O384" t="inlineStr">
        <is>
          <t>2026-06-19 07:10:32</t>
        </is>
      </c>
      <c r="P384" t="inlineStr">
        <is>
          <t>2026-06-19 07:10:32</t>
        </is>
      </c>
      <c r="Y384" t="inlineStr">
        <is>
          <t>27649282469</t>
        </is>
      </c>
    </row>
    <row r="385">
      <c r="A385" t="inlineStr">
        <is>
          <t>14943359</t>
        </is>
      </c>
      <c r="B385" t="inlineStr">
        <is>
          <t>959be4dc-eb6f-438c-a8d8-1a3cde139810</t>
        </is>
      </c>
      <c r="D385" t="inlineStr">
        <is>
          <t>30001087</t>
        </is>
      </c>
      <c r="E385" t="inlineStr">
        <is>
          <t>ussd_funeral_leads_altitude_20260619</t>
        </is>
      </c>
      <c r="J385" t="inlineStr">
        <is>
          <t>ADC</t>
        </is>
      </c>
      <c r="K385" t="inlineStr">
        <is>
          <t>Auto Dial Disconnected</t>
        </is>
      </c>
      <c r="L385" t="n">
        <v>3</v>
      </c>
      <c r="M385" t="inlineStr">
        <is>
          <t>2026-06-24 07:31:00</t>
        </is>
      </c>
      <c r="N385" t="inlineStr">
        <is>
          <t>system</t>
        </is>
      </c>
      <c r="O385" t="inlineStr">
        <is>
          <t>2026-06-19 07:10:32</t>
        </is>
      </c>
      <c r="P385" t="inlineStr">
        <is>
          <t>2026-06-19 07:10:32</t>
        </is>
      </c>
      <c r="Y385" t="inlineStr">
        <is>
          <t>27674788441</t>
        </is>
      </c>
    </row>
    <row r="386">
      <c r="A386" t="inlineStr">
        <is>
          <t>14943360</t>
        </is>
      </c>
      <c r="B386" t="inlineStr">
        <is>
          <t>3964ce10-8f8b-4d89-a8d6-2911a7324898</t>
        </is>
      </c>
      <c r="D386" t="inlineStr">
        <is>
          <t>30001087</t>
        </is>
      </c>
      <c r="E386" t="inlineStr">
        <is>
          <t>ussd_funeral_leads_altitude_20260619</t>
        </is>
      </c>
      <c r="J386" t="inlineStr">
        <is>
          <t>AA</t>
        </is>
      </c>
      <c r="K386" t="inlineStr">
        <is>
          <t>Answering Machine Autodial</t>
        </is>
      </c>
      <c r="L386" t="n">
        <v>3</v>
      </c>
      <c r="M386" t="inlineStr">
        <is>
          <t>2026-06-24 07:31:00</t>
        </is>
      </c>
      <c r="N386" t="inlineStr">
        <is>
          <t>system</t>
        </is>
      </c>
      <c r="O386" t="inlineStr">
        <is>
          <t>2026-06-19 07:10:32</t>
        </is>
      </c>
      <c r="P386" t="inlineStr">
        <is>
          <t>2026-06-19 07:10:32</t>
        </is>
      </c>
      <c r="Y386" t="inlineStr">
        <is>
          <t>27722847206</t>
        </is>
      </c>
    </row>
    <row r="387">
      <c r="A387" t="inlineStr">
        <is>
          <t>14943358</t>
        </is>
      </c>
      <c r="B387" t="inlineStr">
        <is>
          <t>90d58ff2-6fa6-4e7f-9526-f479d12348a9</t>
        </is>
      </c>
      <c r="D387" t="inlineStr">
        <is>
          <t>30001087</t>
        </is>
      </c>
      <c r="E387" t="inlineStr">
        <is>
          <t>ussd_funeral_leads_altitude_20260619</t>
        </is>
      </c>
      <c r="J387" t="inlineStr">
        <is>
          <t>AE</t>
        </is>
      </c>
      <c r="K387" t="inlineStr">
        <is>
          <t>Auto Engaged</t>
        </is>
      </c>
      <c r="L387" t="n">
        <v>3</v>
      </c>
      <c r="M387" t="inlineStr">
        <is>
          <t>2026-06-24 07:30:59</t>
        </is>
      </c>
      <c r="N387" t="inlineStr">
        <is>
          <t>system</t>
        </is>
      </c>
      <c r="O387" t="inlineStr">
        <is>
          <t>2026-06-19 07:10:32</t>
        </is>
      </c>
      <c r="P387" t="inlineStr">
        <is>
          <t>2026-06-19 07:10:32</t>
        </is>
      </c>
      <c r="Y387" t="inlineStr">
        <is>
          <t>27649873616</t>
        </is>
      </c>
    </row>
    <row r="388">
      <c r="A388" t="inlineStr">
        <is>
          <t>14943356</t>
        </is>
      </c>
      <c r="B388" t="inlineStr">
        <is>
          <t>3159ace5-f15c-4b8d-8b8e-3222e0bb9295</t>
        </is>
      </c>
      <c r="D388" t="inlineStr">
        <is>
          <t>30001087</t>
        </is>
      </c>
      <c r="E388" t="inlineStr">
        <is>
          <t>ussd_funeral_leads_altitude_20260619</t>
        </is>
      </c>
      <c r="J388" t="inlineStr">
        <is>
          <t>AA</t>
        </is>
      </c>
      <c r="K388" t="inlineStr">
        <is>
          <t>Answering Machine Autodial</t>
        </is>
      </c>
      <c r="L388" t="n">
        <v>3</v>
      </c>
      <c r="M388" t="inlineStr">
        <is>
          <t>2026-06-24 07:30:27</t>
        </is>
      </c>
      <c r="N388" t="inlineStr">
        <is>
          <t>system</t>
        </is>
      </c>
      <c r="O388" t="inlineStr">
        <is>
          <t>2026-06-19 07:10:32</t>
        </is>
      </c>
      <c r="P388" t="inlineStr">
        <is>
          <t>2026-06-19 07:10:32</t>
        </is>
      </c>
      <c r="Y388" t="inlineStr">
        <is>
          <t>27790730806</t>
        </is>
      </c>
    </row>
    <row r="389">
      <c r="A389" t="inlineStr">
        <is>
          <t>14947605</t>
        </is>
      </c>
      <c r="B389" t="inlineStr">
        <is>
          <t>4b96d456-dfc2-4682-9474-f41dbd8fae11</t>
        </is>
      </c>
      <c r="D389" t="inlineStr">
        <is>
          <t>30001087</t>
        </is>
      </c>
      <c r="E389" t="inlineStr">
        <is>
          <t>ussd_funeral_leads_altitude_20260619</t>
        </is>
      </c>
      <c r="J389" t="inlineStr">
        <is>
          <t>DROP</t>
        </is>
      </c>
      <c r="K389" t="inlineStr">
        <is>
          <t>Dropped</t>
        </is>
      </c>
      <c r="L389" t="n">
        <v>3</v>
      </c>
      <c r="M389" t="inlineStr">
        <is>
          <t>2026-06-24 07:30:25</t>
        </is>
      </c>
      <c r="N389" t="inlineStr">
        <is>
          <t>system</t>
        </is>
      </c>
      <c r="O389" t="inlineStr">
        <is>
          <t>2026-06-19 07:10:32</t>
        </is>
      </c>
      <c r="P389" t="inlineStr">
        <is>
          <t>2026-06-19 07:10:32</t>
        </is>
      </c>
      <c r="Y389" t="inlineStr">
        <is>
          <t>27664049089</t>
        </is>
      </c>
    </row>
    <row r="390">
      <c r="A390" t="inlineStr">
        <is>
          <t>14943471</t>
        </is>
      </c>
      <c r="B390" t="inlineStr">
        <is>
          <t>79371e40-30e5-4d6f-ad31-c80285137dab</t>
        </is>
      </c>
      <c r="D390" t="inlineStr">
        <is>
          <t>30001087</t>
        </is>
      </c>
      <c r="E390" t="inlineStr">
        <is>
          <t>ussd_funeral_leads_altitude_20260619</t>
        </is>
      </c>
      <c r="J390" t="inlineStr">
        <is>
          <t>AA</t>
        </is>
      </c>
      <c r="K390" t="inlineStr">
        <is>
          <t>Answering Machine Autodial</t>
        </is>
      </c>
      <c r="L390" t="n">
        <v>3</v>
      </c>
      <c r="M390" t="inlineStr">
        <is>
          <t>2026-06-24 07:30:22</t>
        </is>
      </c>
      <c r="N390" t="inlineStr">
        <is>
          <t>system</t>
        </is>
      </c>
      <c r="O390" t="inlineStr">
        <is>
          <t>2026-06-19 07:10:32</t>
        </is>
      </c>
      <c r="P390" t="inlineStr">
        <is>
          <t>2026-06-19 07:10:32</t>
        </is>
      </c>
      <c r="Y390" t="inlineStr">
        <is>
          <t>27609329068</t>
        </is>
      </c>
    </row>
    <row r="391">
      <c r="A391" t="inlineStr">
        <is>
          <t>14943472</t>
        </is>
      </c>
      <c r="B391" t="inlineStr">
        <is>
          <t>3124662d-5075-4543-8f70-ba2d42512e7b</t>
        </is>
      </c>
      <c r="D391" t="inlineStr">
        <is>
          <t>30001087</t>
        </is>
      </c>
      <c r="E391" t="inlineStr">
        <is>
          <t>ussd_funeral_leads_altitude_20260619</t>
        </is>
      </c>
      <c r="J391" t="inlineStr">
        <is>
          <t>ADC</t>
        </is>
      </c>
      <c r="K391" t="inlineStr">
        <is>
          <t>Auto Dial Disconnected</t>
        </is>
      </c>
      <c r="L391" t="n">
        <v>3</v>
      </c>
      <c r="M391" t="inlineStr">
        <is>
          <t>2026-06-24 07:30:22</t>
        </is>
      </c>
      <c r="N391" t="inlineStr">
        <is>
          <t>system</t>
        </is>
      </c>
      <c r="O391" t="inlineStr">
        <is>
          <t>2026-06-19 07:10:32</t>
        </is>
      </c>
      <c r="P391" t="inlineStr">
        <is>
          <t>2026-06-19 07:10:32</t>
        </is>
      </c>
      <c r="Y391" t="inlineStr">
        <is>
          <t>27773712542</t>
        </is>
      </c>
    </row>
    <row r="392">
      <c r="A392" t="inlineStr">
        <is>
          <t>14943469</t>
        </is>
      </c>
      <c r="B392" t="inlineStr">
        <is>
          <t>19e3d85d-1518-45fb-bcee-c31a01955f1b</t>
        </is>
      </c>
      <c r="D392" t="inlineStr">
        <is>
          <t>30001087</t>
        </is>
      </c>
      <c r="E392" t="inlineStr">
        <is>
          <t>ussd_funeral_leads_altitude_20260619</t>
        </is>
      </c>
      <c r="J392" t="inlineStr">
        <is>
          <t>AA</t>
        </is>
      </c>
      <c r="K392" t="inlineStr">
        <is>
          <t>Answering Machine Autodial</t>
        </is>
      </c>
      <c r="L392" t="n">
        <v>3</v>
      </c>
      <c r="M392" t="inlineStr">
        <is>
          <t>2026-06-24 07:30:17</t>
        </is>
      </c>
      <c r="N392" t="inlineStr">
        <is>
          <t>system</t>
        </is>
      </c>
      <c r="O392" t="inlineStr">
        <is>
          <t>2026-06-19 07:10:32</t>
        </is>
      </c>
      <c r="P392" t="inlineStr">
        <is>
          <t>2026-06-19 07:10:32</t>
        </is>
      </c>
      <c r="Y392" t="inlineStr">
        <is>
          <t>27727578354</t>
        </is>
      </c>
    </row>
    <row r="393">
      <c r="A393" t="inlineStr">
        <is>
          <t>14943468</t>
        </is>
      </c>
      <c r="B393" t="inlineStr">
        <is>
          <t>02092e88-41f0-4d06-a63a-97c8a97933de</t>
        </is>
      </c>
      <c r="D393" t="inlineStr">
        <is>
          <t>30001087</t>
        </is>
      </c>
      <c r="E393" t="inlineStr">
        <is>
          <t>ussd_funeral_leads_altitude_20260619</t>
        </is>
      </c>
      <c r="H393" t="inlineStr">
        <is>
          <t>27727977172</t>
        </is>
      </c>
      <c r="J393" t="inlineStr">
        <is>
          <t>NA</t>
        </is>
      </c>
      <c r="K393" t="inlineStr">
        <is>
          <t>No Answer Autodial</t>
        </is>
      </c>
      <c r="L393" t="n">
        <v>3</v>
      </c>
      <c r="M393" t="inlineStr">
        <is>
          <t>2026-06-24 07:30:13</t>
        </is>
      </c>
      <c r="N393" t="inlineStr">
        <is>
          <t>system</t>
        </is>
      </c>
      <c r="O393" t="inlineStr">
        <is>
          <t>2026-06-19 07:10:32</t>
        </is>
      </c>
      <c r="P393" t="inlineStr">
        <is>
          <t>2026-06-19 07:10:32</t>
        </is>
      </c>
      <c r="Y393" t="inlineStr">
        <is>
          <t>27727977172</t>
        </is>
      </c>
    </row>
    <row r="394">
      <c r="A394" t="inlineStr">
        <is>
          <t>14943464</t>
        </is>
      </c>
      <c r="B394" t="inlineStr">
        <is>
          <t>ec7d8345-8bc6-4993-8699-84227547b9d0</t>
        </is>
      </c>
      <c r="D394" t="inlineStr">
        <is>
          <t>30001087</t>
        </is>
      </c>
      <c r="E394" t="inlineStr">
        <is>
          <t>ussd_funeral_leads_altitude_20260619</t>
        </is>
      </c>
      <c r="J394" t="inlineStr">
        <is>
          <t>TDN</t>
        </is>
      </c>
      <c r="K394" t="inlineStr">
        <is>
          <t>Temporary Disconnected Number</t>
        </is>
      </c>
      <c r="L394" t="n">
        <v>3</v>
      </c>
      <c r="M394" t="inlineStr">
        <is>
          <t>2026-06-24 07:30:11</t>
        </is>
      </c>
      <c r="N394" t="inlineStr">
        <is>
          <t>system</t>
        </is>
      </c>
      <c r="O394" t="inlineStr">
        <is>
          <t>2026-06-19 07:10:32</t>
        </is>
      </c>
      <c r="P394" t="inlineStr">
        <is>
          <t>2026-06-19 07:10:32</t>
        </is>
      </c>
      <c r="Y394" t="inlineStr">
        <is>
          <t>27791775254</t>
        </is>
      </c>
    </row>
    <row r="395">
      <c r="A395" t="inlineStr">
        <is>
          <t>14943466</t>
        </is>
      </c>
      <c r="B395" t="inlineStr">
        <is>
          <t>b20be578-f9bf-4f63-a84b-02b7c3b91624</t>
        </is>
      </c>
      <c r="D395" t="inlineStr">
        <is>
          <t>30001087</t>
        </is>
      </c>
      <c r="E395" t="inlineStr">
        <is>
          <t>ussd_funeral_leads_altitude_20260619</t>
        </is>
      </c>
      <c r="J395" t="inlineStr">
        <is>
          <t>TDN</t>
        </is>
      </c>
      <c r="K395" t="inlineStr">
        <is>
          <t>Temporary Disconnected Number</t>
        </is>
      </c>
      <c r="L395" t="n">
        <v>3</v>
      </c>
      <c r="M395" t="inlineStr">
        <is>
          <t>2026-06-24 07:30:11</t>
        </is>
      </c>
      <c r="N395" t="inlineStr">
        <is>
          <t>system</t>
        </is>
      </c>
      <c r="O395" t="inlineStr">
        <is>
          <t>2026-06-19 07:10:32</t>
        </is>
      </c>
      <c r="P395" t="inlineStr">
        <is>
          <t>2026-06-19 07:10:32</t>
        </is>
      </c>
      <c r="Y395" t="inlineStr">
        <is>
          <t>27648056328</t>
        </is>
      </c>
    </row>
    <row r="396">
      <c r="A396" t="inlineStr">
        <is>
          <t>14943467</t>
        </is>
      </c>
      <c r="B396" t="inlineStr">
        <is>
          <t>3c6a5ef5-8fbd-4fb8-b50a-1ea2f70b3305</t>
        </is>
      </c>
      <c r="D396" t="inlineStr">
        <is>
          <t>30001087</t>
        </is>
      </c>
      <c r="E396" t="inlineStr">
        <is>
          <t>ussd_funeral_leads_altitude_20260619</t>
        </is>
      </c>
      <c r="J396" t="inlineStr">
        <is>
          <t>CU</t>
        </is>
      </c>
      <c r="K396" t="inlineStr">
        <is>
          <t>Client Hung Up</t>
        </is>
      </c>
      <c r="L396" t="n">
        <v>3</v>
      </c>
      <c r="M396" t="inlineStr">
        <is>
          <t>2026-06-24 07:30:10</t>
        </is>
      </c>
      <c r="N396" t="inlineStr">
        <is>
          <t>Vuyiswa Nxumalo</t>
        </is>
      </c>
      <c r="O396" t="inlineStr">
        <is>
          <t>2026-06-19 07:10:32</t>
        </is>
      </c>
      <c r="P396" t="inlineStr">
        <is>
          <t>2026-06-19 07:10:32</t>
        </is>
      </c>
      <c r="Y396" t="inlineStr">
        <is>
          <t>27725485875</t>
        </is>
      </c>
    </row>
    <row r="397">
      <c r="A397" t="inlineStr">
        <is>
          <t>14943461</t>
        </is>
      </c>
      <c r="B397" t="inlineStr">
        <is>
          <t>861efa6c-51e9-44ba-9182-b23831c8ee0a</t>
        </is>
      </c>
      <c r="D397" t="inlineStr">
        <is>
          <t>30001087</t>
        </is>
      </c>
      <c r="E397" t="inlineStr">
        <is>
          <t>ussd_funeral_leads_altitude_20260619</t>
        </is>
      </c>
      <c r="J397" t="inlineStr">
        <is>
          <t>ADC</t>
        </is>
      </c>
      <c r="K397" t="inlineStr">
        <is>
          <t>Auto Dial Disconnected</t>
        </is>
      </c>
      <c r="L397" t="n">
        <v>3</v>
      </c>
      <c r="M397" t="inlineStr">
        <is>
          <t>2026-06-24 07:30:09</t>
        </is>
      </c>
      <c r="N397" t="inlineStr">
        <is>
          <t>system</t>
        </is>
      </c>
      <c r="O397" t="inlineStr">
        <is>
          <t>2026-06-19 07:10:32</t>
        </is>
      </c>
      <c r="P397" t="inlineStr">
        <is>
          <t>2026-06-19 07:10:32</t>
        </is>
      </c>
      <c r="Y397" t="inlineStr">
        <is>
          <t>27826906012</t>
        </is>
      </c>
    </row>
    <row r="398">
      <c r="A398" t="inlineStr">
        <is>
          <t>14943463</t>
        </is>
      </c>
      <c r="B398" t="inlineStr">
        <is>
          <t>9495c02d-dd75-4fb1-9101-78ad9c02ceda</t>
        </is>
      </c>
      <c r="D398" t="inlineStr">
        <is>
          <t>30001087</t>
        </is>
      </c>
      <c r="E398" t="inlineStr">
        <is>
          <t>ussd_funeral_leads_altitude_20260619</t>
        </is>
      </c>
      <c r="J398" t="inlineStr">
        <is>
          <t>CU</t>
        </is>
      </c>
      <c r="K398" t="inlineStr">
        <is>
          <t>Client Hung Up</t>
        </is>
      </c>
      <c r="L398" t="n">
        <v>3</v>
      </c>
      <c r="M398" t="inlineStr">
        <is>
          <t>2026-06-24 07:30:09</t>
        </is>
      </c>
      <c r="N398" t="inlineStr">
        <is>
          <t>Virginia Letsatsi</t>
        </is>
      </c>
      <c r="O398" t="inlineStr">
        <is>
          <t>2026-06-19 07:10:32</t>
        </is>
      </c>
      <c r="P398" t="inlineStr">
        <is>
          <t>2026-06-19 07:10:32</t>
        </is>
      </c>
      <c r="Y398" t="inlineStr">
        <is>
          <t>27765691375</t>
        </is>
      </c>
    </row>
    <row r="399">
      <c r="A399" t="inlineStr">
        <is>
          <t>14943459</t>
        </is>
      </c>
      <c r="B399" t="inlineStr">
        <is>
          <t>193e13ff-11fc-48d9-a93f-18cc48910ddc</t>
        </is>
      </c>
      <c r="D399" t="inlineStr">
        <is>
          <t>30001087</t>
        </is>
      </c>
      <c r="E399" t="inlineStr">
        <is>
          <t>ussd_funeral_leads_altitude_20260619</t>
        </is>
      </c>
      <c r="J399" t="inlineStr">
        <is>
          <t>AA</t>
        </is>
      </c>
      <c r="K399" t="inlineStr">
        <is>
          <t>Answering Machine Autodial</t>
        </is>
      </c>
      <c r="L399" t="n">
        <v>3</v>
      </c>
      <c r="M399" t="inlineStr">
        <is>
          <t>2026-06-24 07:30:03</t>
        </is>
      </c>
      <c r="N399" t="inlineStr">
        <is>
          <t>system</t>
        </is>
      </c>
      <c r="O399" t="inlineStr">
        <is>
          <t>2026-06-19 07:10:32</t>
        </is>
      </c>
      <c r="P399" t="inlineStr">
        <is>
          <t>2026-06-19 07:10:32</t>
        </is>
      </c>
      <c r="Y399" t="inlineStr">
        <is>
          <t>27768473784</t>
        </is>
      </c>
    </row>
    <row r="400">
      <c r="A400" t="inlineStr">
        <is>
          <t>14943460</t>
        </is>
      </c>
      <c r="B400" t="inlineStr">
        <is>
          <t>8b853487-229c-4056-825b-4f9a587f9838</t>
        </is>
      </c>
      <c r="D400" t="inlineStr">
        <is>
          <t>30001087</t>
        </is>
      </c>
      <c r="E400" t="inlineStr">
        <is>
          <t>ussd_funeral_leads_altitude_20260619</t>
        </is>
      </c>
      <c r="J400" t="inlineStr">
        <is>
          <t>AA</t>
        </is>
      </c>
      <c r="K400" t="inlineStr">
        <is>
          <t>Answering Machine Autodial</t>
        </is>
      </c>
      <c r="L400" t="n">
        <v>3</v>
      </c>
      <c r="M400" t="inlineStr">
        <is>
          <t>2026-06-24 07:30:03</t>
        </is>
      </c>
      <c r="N400" t="inlineStr">
        <is>
          <t>system</t>
        </is>
      </c>
      <c r="O400" t="inlineStr">
        <is>
          <t>2026-06-19 07:10:32</t>
        </is>
      </c>
      <c r="P400" t="inlineStr">
        <is>
          <t>2026-06-19 07:10:32</t>
        </is>
      </c>
      <c r="Y400" t="inlineStr">
        <is>
          <t>27663441311</t>
        </is>
      </c>
    </row>
    <row r="401">
      <c r="A401" t="inlineStr">
        <is>
          <t>14943455</t>
        </is>
      </c>
      <c r="B401" t="inlineStr">
        <is>
          <t>fcfe941a-4b19-4485-851c-93bedc819b7f</t>
        </is>
      </c>
      <c r="D401" t="inlineStr">
        <is>
          <t>30001087</t>
        </is>
      </c>
      <c r="E401" t="inlineStr">
        <is>
          <t>ussd_funeral_leads_altitude_20260619</t>
        </is>
      </c>
      <c r="J401" t="inlineStr">
        <is>
          <t>CU</t>
        </is>
      </c>
      <c r="K401" t="inlineStr">
        <is>
          <t>Client Hung Up</t>
        </is>
      </c>
      <c r="L401" t="n">
        <v>3</v>
      </c>
      <c r="M401" t="inlineStr">
        <is>
          <t>2026-06-24 07:30:02</t>
        </is>
      </c>
      <c r="N401" t="inlineStr">
        <is>
          <t>Goitsimang Mogwasa</t>
        </is>
      </c>
      <c r="O401" t="inlineStr">
        <is>
          <t>2026-06-19 07:10:32</t>
        </is>
      </c>
      <c r="P401" t="inlineStr">
        <is>
          <t>2026-06-19 07:10:32</t>
        </is>
      </c>
      <c r="Y401" t="inlineStr">
        <is>
          <t>27673734685</t>
        </is>
      </c>
    </row>
    <row r="402">
      <c r="A402" t="inlineStr">
        <is>
          <t>14943456</t>
        </is>
      </c>
      <c r="B402" t="inlineStr">
        <is>
          <t>62ec7b9a-7cc5-4777-9e96-603b458be956</t>
        </is>
      </c>
      <c r="D402" t="inlineStr">
        <is>
          <t>30001087</t>
        </is>
      </c>
      <c r="E402" t="inlineStr">
        <is>
          <t>ussd_funeral_leads_altitude_20260619</t>
        </is>
      </c>
      <c r="J402" t="inlineStr">
        <is>
          <t>AA</t>
        </is>
      </c>
      <c r="K402" t="inlineStr">
        <is>
          <t>Answering Machine Autodial</t>
        </is>
      </c>
      <c r="L402" t="n">
        <v>3</v>
      </c>
      <c r="M402" t="inlineStr">
        <is>
          <t>2026-06-24 07:30:02</t>
        </is>
      </c>
      <c r="N402" t="inlineStr">
        <is>
          <t>system</t>
        </is>
      </c>
      <c r="O402" t="inlineStr">
        <is>
          <t>2026-06-19 07:10:32</t>
        </is>
      </c>
      <c r="P402" t="inlineStr">
        <is>
          <t>2026-06-19 07:10:32</t>
        </is>
      </c>
      <c r="Y402" t="inlineStr">
        <is>
          <t>27607665501</t>
        </is>
      </c>
    </row>
    <row r="403">
      <c r="A403" t="inlineStr">
        <is>
          <t>14943457</t>
        </is>
      </c>
      <c r="B403" t="inlineStr">
        <is>
          <t>392f0c36-d91a-49c6-869a-e58d209f6af6</t>
        </is>
      </c>
      <c r="D403" t="inlineStr">
        <is>
          <t>30001087</t>
        </is>
      </c>
      <c r="E403" t="inlineStr">
        <is>
          <t>ussd_funeral_leads_altitude_20260619</t>
        </is>
      </c>
      <c r="J403" t="inlineStr">
        <is>
          <t>AA</t>
        </is>
      </c>
      <c r="K403" t="inlineStr">
        <is>
          <t>Answering Machine Autodial</t>
        </is>
      </c>
      <c r="L403" t="n">
        <v>3</v>
      </c>
      <c r="M403" t="inlineStr">
        <is>
          <t>2026-06-24 07:30:02</t>
        </is>
      </c>
      <c r="N403" t="inlineStr">
        <is>
          <t>system</t>
        </is>
      </c>
      <c r="O403" t="inlineStr">
        <is>
          <t>2026-06-19 07:10:32</t>
        </is>
      </c>
      <c r="P403" t="inlineStr">
        <is>
          <t>2026-06-19 07:10:32</t>
        </is>
      </c>
      <c r="Y403" t="inlineStr">
        <is>
          <t>27726550894</t>
        </is>
      </c>
    </row>
    <row r="404">
      <c r="A404" t="inlineStr">
        <is>
          <t>14900000</t>
        </is>
      </c>
      <c r="B404" t="inlineStr">
        <is>
          <t>e405b70a-e942-4fb6-a755-bae87bec444d</t>
        </is>
      </c>
      <c r="D404" t="inlineStr">
        <is>
          <t>30001087</t>
        </is>
      </c>
      <c r="E404" t="inlineStr">
        <is>
          <t>ussd_funeral_leads_altitude_20260619</t>
        </is>
      </c>
      <c r="J404" t="inlineStr">
        <is>
          <t>NA</t>
        </is>
      </c>
      <c r="K404" t="inlineStr">
        <is>
          <t>No Answer Autodial</t>
        </is>
      </c>
      <c r="L404" t="n">
        <v>3</v>
      </c>
      <c r="M404" t="inlineStr">
        <is>
          <t>2026-06-24 07:30:02</t>
        </is>
      </c>
      <c r="N404" t="inlineStr">
        <is>
          <t>system</t>
        </is>
      </c>
      <c r="O404" t="inlineStr">
        <is>
          <t>2026-06-19 07:10:32</t>
        </is>
      </c>
      <c r="P404" t="inlineStr">
        <is>
          <t>2026-06-19 07:10:32</t>
        </is>
      </c>
      <c r="Y404" t="inlineStr">
        <is>
          <t>27712446720</t>
        </is>
      </c>
    </row>
    <row r="405">
      <c r="A405" t="inlineStr">
        <is>
          <t>14943454</t>
        </is>
      </c>
      <c r="B405" t="inlineStr">
        <is>
          <t>38a57dc2-3819-4703-a1bf-84ac48aacfdc</t>
        </is>
      </c>
      <c r="D405" t="inlineStr">
        <is>
          <t>30001087</t>
        </is>
      </c>
      <c r="E405" t="inlineStr">
        <is>
          <t>ussd_funeral_leads_altitude_20260619</t>
        </is>
      </c>
      <c r="J405" t="inlineStr">
        <is>
          <t>AA</t>
        </is>
      </c>
      <c r="K405" t="inlineStr">
        <is>
          <t>Answering Machine Autodial</t>
        </is>
      </c>
      <c r="L405" t="n">
        <v>3</v>
      </c>
      <c r="M405" t="inlineStr">
        <is>
          <t>2026-06-24 07:29:56</t>
        </is>
      </c>
      <c r="N405" t="inlineStr">
        <is>
          <t>system</t>
        </is>
      </c>
      <c r="O405" t="inlineStr">
        <is>
          <t>2026-06-19 07:10:32</t>
        </is>
      </c>
      <c r="P405" t="inlineStr">
        <is>
          <t>2026-06-19 07:10:32</t>
        </is>
      </c>
      <c r="Y405" t="inlineStr">
        <is>
          <t>27713473731</t>
        </is>
      </c>
    </row>
    <row r="406">
      <c r="A406" t="inlineStr">
        <is>
          <t>14943452</t>
        </is>
      </c>
      <c r="B406" t="inlineStr">
        <is>
          <t>50d5ab64-a5db-4eee-934f-ebb691c9ed02</t>
        </is>
      </c>
      <c r="D406" t="inlineStr">
        <is>
          <t>30001087</t>
        </is>
      </c>
      <c r="E406" t="inlineStr">
        <is>
          <t>ussd_funeral_leads_altitude_20260619</t>
        </is>
      </c>
      <c r="J406" t="inlineStr">
        <is>
          <t>AA</t>
        </is>
      </c>
      <c r="K406" t="inlineStr">
        <is>
          <t>Answering Machine Autodial</t>
        </is>
      </c>
      <c r="L406" t="n">
        <v>3</v>
      </c>
      <c r="M406" t="inlineStr">
        <is>
          <t>2026-06-24 07:29:50</t>
        </is>
      </c>
      <c r="N406" t="inlineStr">
        <is>
          <t>system</t>
        </is>
      </c>
      <c r="O406" t="inlineStr">
        <is>
          <t>2026-06-19 07:10:32</t>
        </is>
      </c>
      <c r="P406" t="inlineStr">
        <is>
          <t>2026-06-19 07:10:32</t>
        </is>
      </c>
      <c r="Y406" t="inlineStr">
        <is>
          <t>27649946924</t>
        </is>
      </c>
    </row>
    <row r="407">
      <c r="A407" t="inlineStr">
        <is>
          <t>14943453</t>
        </is>
      </c>
      <c r="B407" t="inlineStr">
        <is>
          <t>a0537553-56ee-43e4-a797-b957fbd1f284</t>
        </is>
      </c>
      <c r="D407" t="inlineStr">
        <is>
          <t>30001087</t>
        </is>
      </c>
      <c r="E407" t="inlineStr">
        <is>
          <t>ussd_funeral_leads_altitude_20260619</t>
        </is>
      </c>
      <c r="J407" t="inlineStr">
        <is>
          <t>AA</t>
        </is>
      </c>
      <c r="K407" t="inlineStr">
        <is>
          <t>Answering Machine Autodial</t>
        </is>
      </c>
      <c r="L407" t="n">
        <v>3</v>
      </c>
      <c r="M407" t="inlineStr">
        <is>
          <t>2026-06-24 07:29:50</t>
        </is>
      </c>
      <c r="N407" t="inlineStr">
        <is>
          <t>system</t>
        </is>
      </c>
      <c r="O407" t="inlineStr">
        <is>
          <t>2026-06-19 07:10:32</t>
        </is>
      </c>
      <c r="P407" t="inlineStr">
        <is>
          <t>2026-06-19 07:10:32</t>
        </is>
      </c>
      <c r="Y407" t="inlineStr">
        <is>
          <t>27608309616</t>
        </is>
      </c>
    </row>
    <row r="408">
      <c r="A408" t="inlineStr">
        <is>
          <t>14943451</t>
        </is>
      </c>
      <c r="B408" t="inlineStr">
        <is>
          <t>bb20bf4a-1feb-4454-826c-78ea0ba300d7</t>
        </is>
      </c>
      <c r="D408" t="inlineStr">
        <is>
          <t>30001087</t>
        </is>
      </c>
      <c r="E408" t="inlineStr">
        <is>
          <t>ussd_funeral_leads_altitude_20260619</t>
        </is>
      </c>
      <c r="J408" t="inlineStr">
        <is>
          <t>NA</t>
        </is>
      </c>
      <c r="K408" t="inlineStr">
        <is>
          <t>No Answer Autodial</t>
        </is>
      </c>
      <c r="L408" t="n">
        <v>3</v>
      </c>
      <c r="M408" t="inlineStr">
        <is>
          <t>2026-06-24 07:29:46</t>
        </is>
      </c>
      <c r="N408" t="inlineStr">
        <is>
          <t>system</t>
        </is>
      </c>
      <c r="O408" t="inlineStr">
        <is>
          <t>2026-06-19 07:10:32</t>
        </is>
      </c>
      <c r="P408" t="inlineStr">
        <is>
          <t>2026-06-19 07:10:32</t>
        </is>
      </c>
      <c r="Y408" t="inlineStr">
        <is>
          <t>27664002224</t>
        </is>
      </c>
    </row>
    <row r="409">
      <c r="A409" t="inlineStr">
        <is>
          <t>14943450</t>
        </is>
      </c>
      <c r="B409" t="inlineStr">
        <is>
          <t>bdfcd533-ea27-4309-8c3b-2a7567e5cb9c</t>
        </is>
      </c>
      <c r="D409" t="inlineStr">
        <is>
          <t>30001087</t>
        </is>
      </c>
      <c r="E409" t="inlineStr">
        <is>
          <t>ussd_funeral_leads_altitude_20260619</t>
        </is>
      </c>
      <c r="J409" t="inlineStr">
        <is>
          <t>AA</t>
        </is>
      </c>
      <c r="K409" t="inlineStr">
        <is>
          <t>Answering Machine Autodial</t>
        </is>
      </c>
      <c r="L409" t="n">
        <v>3</v>
      </c>
      <c r="M409" t="inlineStr">
        <is>
          <t>2026-06-24 07:29:41</t>
        </is>
      </c>
      <c r="N409" t="inlineStr">
        <is>
          <t>system</t>
        </is>
      </c>
      <c r="O409" t="inlineStr">
        <is>
          <t>2026-06-19 07:10:32</t>
        </is>
      </c>
      <c r="P409" t="inlineStr">
        <is>
          <t>2026-06-19 07:10:32</t>
        </is>
      </c>
      <c r="Y409" t="inlineStr">
        <is>
          <t>27607250525</t>
        </is>
      </c>
    </row>
    <row r="410">
      <c r="A410" t="inlineStr">
        <is>
          <t>14943448</t>
        </is>
      </c>
      <c r="B410" t="inlineStr">
        <is>
          <t>e4b37123-d827-4c0d-a47b-073dcb518201</t>
        </is>
      </c>
      <c r="D410" t="inlineStr">
        <is>
          <t>30001087</t>
        </is>
      </c>
      <c r="E410" t="inlineStr">
        <is>
          <t>ussd_funeral_leads_altitude_20260619</t>
        </is>
      </c>
      <c r="J410" t="inlineStr">
        <is>
          <t>TDN</t>
        </is>
      </c>
      <c r="K410" t="inlineStr">
        <is>
          <t>Temporary Disconnected Number</t>
        </is>
      </c>
      <c r="L410" t="n">
        <v>3</v>
      </c>
      <c r="M410" t="inlineStr">
        <is>
          <t>2026-06-24 07:29:32</t>
        </is>
      </c>
      <c r="N410" t="inlineStr">
        <is>
          <t>system</t>
        </is>
      </c>
      <c r="O410" t="inlineStr">
        <is>
          <t>2026-06-19 07:10:32</t>
        </is>
      </c>
      <c r="P410" t="inlineStr">
        <is>
          <t>2026-06-19 07:10:32</t>
        </is>
      </c>
      <c r="Y410" t="inlineStr">
        <is>
          <t>27673784719</t>
        </is>
      </c>
    </row>
    <row r="411">
      <c r="A411" t="inlineStr">
        <is>
          <t>14900000</t>
        </is>
      </c>
      <c r="B411" t="inlineStr">
        <is>
          <t>e744c3a0-6c35-4fe6-b7b6-3dba4a953c9e</t>
        </is>
      </c>
      <c r="D411" t="inlineStr">
        <is>
          <t>30001087</t>
        </is>
      </c>
      <c r="E411" t="inlineStr">
        <is>
          <t>ussd_funeral_leads_altitude_20260619</t>
        </is>
      </c>
      <c r="J411" t="inlineStr">
        <is>
          <t>AA</t>
        </is>
      </c>
      <c r="K411" t="inlineStr">
        <is>
          <t>Answering Machine Autodial</t>
        </is>
      </c>
      <c r="L411" t="n">
        <v>3</v>
      </c>
      <c r="M411" t="inlineStr">
        <is>
          <t>2026-06-24 07:29:32</t>
        </is>
      </c>
      <c r="N411" t="inlineStr">
        <is>
          <t>system</t>
        </is>
      </c>
      <c r="O411" t="inlineStr">
        <is>
          <t>2026-06-19 07:10:32</t>
        </is>
      </c>
      <c r="P411" t="inlineStr">
        <is>
          <t>2026-06-19 07:10:32</t>
        </is>
      </c>
      <c r="Y411" t="inlineStr">
        <is>
          <t>27646462779</t>
        </is>
      </c>
    </row>
    <row r="412">
      <c r="A412" t="inlineStr">
        <is>
          <t>14947606</t>
        </is>
      </c>
      <c r="B412" t="inlineStr">
        <is>
          <t>01372b1b-e3f2-4287-abb8-997c97d1a46c</t>
        </is>
      </c>
      <c r="D412" t="inlineStr">
        <is>
          <t>30001087</t>
        </is>
      </c>
      <c r="E412" t="inlineStr">
        <is>
          <t>ussd_funeral_leads_altitude_20260619</t>
        </is>
      </c>
      <c r="J412" t="inlineStr">
        <is>
          <t>ADC</t>
        </is>
      </c>
      <c r="K412" t="inlineStr">
        <is>
          <t>Auto Dial Disconnected</t>
        </is>
      </c>
      <c r="L412" t="n">
        <v>3</v>
      </c>
      <c r="M412" t="inlineStr">
        <is>
          <t>2026-06-24 07:29:32</t>
        </is>
      </c>
      <c r="N412" t="inlineStr">
        <is>
          <t>system</t>
        </is>
      </c>
      <c r="O412" t="inlineStr">
        <is>
          <t>2026-06-19 07:10:32</t>
        </is>
      </c>
      <c r="P412" t="inlineStr">
        <is>
          <t>2026-06-19 07:10:32</t>
        </is>
      </c>
      <c r="Y412" t="inlineStr">
        <is>
          <t>27608930880</t>
        </is>
      </c>
    </row>
    <row r="413">
      <c r="A413" t="inlineStr">
        <is>
          <t>14943424</t>
        </is>
      </c>
      <c r="B413" t="inlineStr">
        <is>
          <t>733d03d6-9f23-4b8e-bce9-b40c524bb50b</t>
        </is>
      </c>
      <c r="D413" t="inlineStr">
        <is>
          <t>30001087</t>
        </is>
      </c>
      <c r="E413" t="inlineStr">
        <is>
          <t>ussd_funeral_leads_altitude_20260619</t>
        </is>
      </c>
      <c r="H413" t="inlineStr">
        <is>
          <t>27769105057</t>
        </is>
      </c>
      <c r="J413" t="inlineStr">
        <is>
          <t>DROP</t>
        </is>
      </c>
      <c r="K413" t="inlineStr">
        <is>
          <t>Dropped</t>
        </is>
      </c>
      <c r="L413" t="n">
        <v>3</v>
      </c>
      <c r="M413" t="inlineStr">
        <is>
          <t>2026-06-24 07:29:05</t>
        </is>
      </c>
      <c r="N413" t="inlineStr">
        <is>
          <t>system</t>
        </is>
      </c>
      <c r="O413" t="inlineStr">
        <is>
          <t>2026-06-19 07:10:32</t>
        </is>
      </c>
      <c r="P413" t="inlineStr">
        <is>
          <t>2026-06-19 07:10:32</t>
        </is>
      </c>
      <c r="Y413" t="inlineStr">
        <is>
          <t>27769105057</t>
        </is>
      </c>
    </row>
    <row r="414">
      <c r="A414" t="inlineStr">
        <is>
          <t>14943421</t>
        </is>
      </c>
      <c r="B414" t="inlineStr">
        <is>
          <t>5722edc3-beb3-4774-9de4-e73517ba06a3</t>
        </is>
      </c>
      <c r="D414" t="inlineStr">
        <is>
          <t>30001087</t>
        </is>
      </c>
      <c r="E414" t="inlineStr">
        <is>
          <t>ussd_funeral_leads_altitude_20260619</t>
        </is>
      </c>
      <c r="J414" t="inlineStr">
        <is>
          <t>AA</t>
        </is>
      </c>
      <c r="K414" t="inlineStr">
        <is>
          <t>Answering Machine Autodial</t>
        </is>
      </c>
      <c r="L414" t="n">
        <v>3</v>
      </c>
      <c r="M414" t="inlineStr">
        <is>
          <t>2026-06-24 07:29:02</t>
        </is>
      </c>
      <c r="N414" t="inlineStr">
        <is>
          <t>system</t>
        </is>
      </c>
      <c r="O414" t="inlineStr">
        <is>
          <t>2026-06-19 07:10:32</t>
        </is>
      </c>
      <c r="P414" t="inlineStr">
        <is>
          <t>2026-06-19 07:10:32</t>
        </is>
      </c>
      <c r="Y414" t="inlineStr">
        <is>
          <t>27795888674</t>
        </is>
      </c>
    </row>
    <row r="415">
      <c r="A415" t="inlineStr">
        <is>
          <t>14943420</t>
        </is>
      </c>
      <c r="B415" t="inlineStr">
        <is>
          <t>57ea57d6-f414-46df-aa20-6c7e3abf99e7</t>
        </is>
      </c>
      <c r="D415" t="inlineStr">
        <is>
          <t>30001087</t>
        </is>
      </c>
      <c r="E415" t="inlineStr">
        <is>
          <t>ussd_funeral_leads_altitude_20260619</t>
        </is>
      </c>
      <c r="J415" t="inlineStr">
        <is>
          <t>NA</t>
        </is>
      </c>
      <c r="K415" t="inlineStr">
        <is>
          <t>No Answer Autodial</t>
        </is>
      </c>
      <c r="L415" t="n">
        <v>3</v>
      </c>
      <c r="M415" t="inlineStr">
        <is>
          <t>2026-06-24 07:29:01</t>
        </is>
      </c>
      <c r="N415" t="inlineStr">
        <is>
          <t>system</t>
        </is>
      </c>
      <c r="O415" t="inlineStr">
        <is>
          <t>2026-06-19 07:10:32</t>
        </is>
      </c>
      <c r="P415" t="inlineStr">
        <is>
          <t>2026-06-19 07:10:32</t>
        </is>
      </c>
      <c r="Y415" t="inlineStr">
        <is>
          <t>27825341228</t>
        </is>
      </c>
    </row>
    <row r="416">
      <c r="A416" t="inlineStr">
        <is>
          <t>14943419</t>
        </is>
      </c>
      <c r="B416" t="inlineStr">
        <is>
          <t>0491db49-6385-4748-b893-59ea21ce94f6</t>
        </is>
      </c>
      <c r="D416" t="inlineStr">
        <is>
          <t>30001087</t>
        </is>
      </c>
      <c r="E416" t="inlineStr">
        <is>
          <t>ussd_funeral_leads_altitude_20260619</t>
        </is>
      </c>
      <c r="J416" t="inlineStr">
        <is>
          <t>NA</t>
        </is>
      </c>
      <c r="K416" t="inlineStr">
        <is>
          <t>No Answer Autodial</t>
        </is>
      </c>
      <c r="L416" t="n">
        <v>3</v>
      </c>
      <c r="M416" t="inlineStr">
        <is>
          <t>2026-06-24 07:28:59</t>
        </is>
      </c>
      <c r="N416" t="inlineStr">
        <is>
          <t>system</t>
        </is>
      </c>
      <c r="O416" t="inlineStr">
        <is>
          <t>2026-06-19 07:10:32</t>
        </is>
      </c>
      <c r="P416" t="inlineStr">
        <is>
          <t>2026-06-19 07:10:32</t>
        </is>
      </c>
      <c r="Y416" t="inlineStr">
        <is>
          <t>27774053639</t>
        </is>
      </c>
    </row>
    <row r="417">
      <c r="A417" t="inlineStr">
        <is>
          <t>14943418</t>
        </is>
      </c>
      <c r="B417" t="inlineStr">
        <is>
          <t>6fb9e765-42f0-4643-8035-418a42347085</t>
        </is>
      </c>
      <c r="D417" t="inlineStr">
        <is>
          <t>30001087</t>
        </is>
      </c>
      <c r="E417" t="inlineStr">
        <is>
          <t>ussd_funeral_leads_altitude_20260619</t>
        </is>
      </c>
      <c r="J417" t="inlineStr">
        <is>
          <t>AA</t>
        </is>
      </c>
      <c r="K417" t="inlineStr">
        <is>
          <t>Answering Machine Autodial</t>
        </is>
      </c>
      <c r="L417" t="n">
        <v>3</v>
      </c>
      <c r="M417" t="inlineStr">
        <is>
          <t>2026-06-24 07:28:55</t>
        </is>
      </c>
      <c r="N417" t="inlineStr">
        <is>
          <t>system</t>
        </is>
      </c>
      <c r="O417" t="inlineStr">
        <is>
          <t>2026-06-19 07:10:32</t>
        </is>
      </c>
      <c r="P417" t="inlineStr">
        <is>
          <t>2026-06-19 07:10:32</t>
        </is>
      </c>
      <c r="Y417" t="inlineStr">
        <is>
          <t>27608038328</t>
        </is>
      </c>
    </row>
    <row r="418">
      <c r="A418" t="inlineStr">
        <is>
          <t>14943415</t>
        </is>
      </c>
      <c r="B418" t="inlineStr">
        <is>
          <t>920a0632-519f-4e29-a978-51bf8d2a6192</t>
        </is>
      </c>
      <c r="D418" t="inlineStr">
        <is>
          <t>30001087</t>
        </is>
      </c>
      <c r="E418" t="inlineStr">
        <is>
          <t>ussd_funeral_leads_altitude_20260619</t>
        </is>
      </c>
      <c r="J418" t="inlineStr">
        <is>
          <t>ADC</t>
        </is>
      </c>
      <c r="K418" t="inlineStr">
        <is>
          <t>Auto Dial Disconnected</t>
        </is>
      </c>
      <c r="L418" t="n">
        <v>3</v>
      </c>
      <c r="M418" t="inlineStr">
        <is>
          <t>2026-06-24 07:28:52</t>
        </is>
      </c>
      <c r="N418" t="inlineStr">
        <is>
          <t>system</t>
        </is>
      </c>
      <c r="O418" t="inlineStr">
        <is>
          <t>2026-06-19 07:10:32</t>
        </is>
      </c>
      <c r="P418" t="inlineStr">
        <is>
          <t>2026-06-19 07:10:32</t>
        </is>
      </c>
      <c r="Y418" t="inlineStr">
        <is>
          <t>27637643438</t>
        </is>
      </c>
    </row>
    <row r="419">
      <c r="A419" t="inlineStr">
        <is>
          <t>14943416</t>
        </is>
      </c>
      <c r="B419" t="inlineStr">
        <is>
          <t>625a56c1-7282-467a-882e-7ff2d0fb8892</t>
        </is>
      </c>
      <c r="D419" t="inlineStr">
        <is>
          <t>30001087</t>
        </is>
      </c>
      <c r="E419" t="inlineStr">
        <is>
          <t>ussd_funeral_leads_altitude_20260619</t>
        </is>
      </c>
      <c r="J419" t="inlineStr">
        <is>
          <t>CU</t>
        </is>
      </c>
      <c r="K419" t="inlineStr">
        <is>
          <t>Client Hung Up</t>
        </is>
      </c>
      <c r="L419" t="n">
        <v>3</v>
      </c>
      <c r="M419" t="inlineStr">
        <is>
          <t>2026-06-24 07:28:52</t>
        </is>
      </c>
      <c r="N419" t="inlineStr">
        <is>
          <t>Goitsimang Mogwasa</t>
        </is>
      </c>
      <c r="O419" t="inlineStr">
        <is>
          <t>2026-06-19 07:10:32</t>
        </is>
      </c>
      <c r="P419" t="inlineStr">
        <is>
          <t>2026-06-19 07:10:32</t>
        </is>
      </c>
      <c r="Y419" t="inlineStr">
        <is>
          <t>27833447603</t>
        </is>
      </c>
    </row>
    <row r="420">
      <c r="A420" t="inlineStr">
        <is>
          <t>14900000</t>
        </is>
      </c>
      <c r="B420" t="inlineStr">
        <is>
          <t>e721156c-ed8f-4961-9e7a-5b548863eb05</t>
        </is>
      </c>
      <c r="D420" t="inlineStr">
        <is>
          <t>30001087</t>
        </is>
      </c>
      <c r="E420" t="inlineStr">
        <is>
          <t>ussd_funeral_leads_altitude_20260619</t>
        </is>
      </c>
      <c r="J420" t="inlineStr">
        <is>
          <t>AA</t>
        </is>
      </c>
      <c r="K420" t="inlineStr">
        <is>
          <t>Answering Machine Autodial</t>
        </is>
      </c>
      <c r="L420" t="n">
        <v>3</v>
      </c>
      <c r="M420" t="inlineStr">
        <is>
          <t>2026-06-24 07:28:52</t>
        </is>
      </c>
      <c r="N420" t="inlineStr">
        <is>
          <t>system</t>
        </is>
      </c>
      <c r="O420" t="inlineStr">
        <is>
          <t>2026-06-19 07:10:32</t>
        </is>
      </c>
      <c r="P420" t="inlineStr">
        <is>
          <t>2026-06-19 07:10:32</t>
        </is>
      </c>
      <c r="Y420" t="inlineStr">
        <is>
          <t>27762221005</t>
        </is>
      </c>
    </row>
    <row r="421">
      <c r="A421" t="inlineStr">
        <is>
          <t>14943410</t>
        </is>
      </c>
      <c r="B421" t="inlineStr">
        <is>
          <t>974ad67b-4c09-477e-8ebe-32c9432e9b3f</t>
        </is>
      </c>
      <c r="D421" t="inlineStr">
        <is>
          <t>30001087</t>
        </is>
      </c>
      <c r="E421" t="inlineStr">
        <is>
          <t>ussd_funeral_leads_altitude_20260619</t>
        </is>
      </c>
      <c r="J421" t="inlineStr">
        <is>
          <t>ADC</t>
        </is>
      </c>
      <c r="K421" t="inlineStr">
        <is>
          <t>Auto Dial Disconnected</t>
        </is>
      </c>
      <c r="L421" t="n">
        <v>3</v>
      </c>
      <c r="M421" t="inlineStr">
        <is>
          <t>2026-06-24 07:28:43</t>
        </is>
      </c>
      <c r="N421" t="inlineStr">
        <is>
          <t>system</t>
        </is>
      </c>
      <c r="O421" t="inlineStr">
        <is>
          <t>2026-06-19 07:10:32</t>
        </is>
      </c>
      <c r="P421" t="inlineStr">
        <is>
          <t>2026-06-19 07:10:32</t>
        </is>
      </c>
      <c r="Y421" t="inlineStr">
        <is>
          <t>27791239761</t>
        </is>
      </c>
    </row>
    <row r="422">
      <c r="A422" t="inlineStr">
        <is>
          <t>14943412</t>
        </is>
      </c>
      <c r="B422" t="inlineStr">
        <is>
          <t>cee7386b-11ac-4078-bf47-f99004ac6eac</t>
        </is>
      </c>
      <c r="D422" t="inlineStr">
        <is>
          <t>30001087</t>
        </is>
      </c>
      <c r="E422" t="inlineStr">
        <is>
          <t>ussd_funeral_leads_altitude_20260619</t>
        </is>
      </c>
      <c r="J422" t="inlineStr">
        <is>
          <t>ADC</t>
        </is>
      </c>
      <c r="K422" t="inlineStr">
        <is>
          <t>Auto Dial Disconnected</t>
        </is>
      </c>
      <c r="L422" t="n">
        <v>3</v>
      </c>
      <c r="M422" t="inlineStr">
        <is>
          <t>2026-06-24 07:28:43</t>
        </is>
      </c>
      <c r="N422" t="inlineStr">
        <is>
          <t>system</t>
        </is>
      </c>
      <c r="O422" t="inlineStr">
        <is>
          <t>2026-06-19 07:10:32</t>
        </is>
      </c>
      <c r="P422" t="inlineStr">
        <is>
          <t>2026-06-19 07:10:32</t>
        </is>
      </c>
      <c r="Y422" t="inlineStr">
        <is>
          <t>27674419527</t>
        </is>
      </c>
    </row>
    <row r="423">
      <c r="A423" t="inlineStr">
        <is>
          <t>14943414</t>
        </is>
      </c>
      <c r="B423" t="inlineStr">
        <is>
          <t>796b031b-e55b-4c70-958a-aca27ca78c26</t>
        </is>
      </c>
      <c r="D423" t="inlineStr">
        <is>
          <t>30001087</t>
        </is>
      </c>
      <c r="E423" t="inlineStr">
        <is>
          <t>ussd_funeral_leads_altitude_20260619</t>
        </is>
      </c>
      <c r="J423" t="inlineStr">
        <is>
          <t>NA</t>
        </is>
      </c>
      <c r="K423" t="inlineStr">
        <is>
          <t>No Answer Autodial</t>
        </is>
      </c>
      <c r="L423" t="n">
        <v>3</v>
      </c>
      <c r="M423" t="inlineStr">
        <is>
          <t>2026-06-24 07:28:43</t>
        </is>
      </c>
      <c r="N423" t="inlineStr">
        <is>
          <t>system</t>
        </is>
      </c>
      <c r="O423" t="inlineStr">
        <is>
          <t>2026-06-19 07:10:32</t>
        </is>
      </c>
      <c r="P423" t="inlineStr">
        <is>
          <t>2026-06-19 07:10:32</t>
        </is>
      </c>
      <c r="Y423" t="inlineStr">
        <is>
          <t>27716343173</t>
        </is>
      </c>
    </row>
    <row r="424">
      <c r="A424" t="inlineStr">
        <is>
          <t>14943413</t>
        </is>
      </c>
      <c r="B424" t="inlineStr">
        <is>
          <t>1a852cd5-9271-4e5a-af28-43598f17c050</t>
        </is>
      </c>
      <c r="D424" t="inlineStr">
        <is>
          <t>30001087</t>
        </is>
      </c>
      <c r="E424" t="inlineStr">
        <is>
          <t>ussd_funeral_leads_altitude_20260619</t>
        </is>
      </c>
      <c r="J424" t="inlineStr">
        <is>
          <t>ADC</t>
        </is>
      </c>
      <c r="K424" t="inlineStr">
        <is>
          <t>Auto Dial Disconnected</t>
        </is>
      </c>
      <c r="L424" t="n">
        <v>3</v>
      </c>
      <c r="M424" t="inlineStr">
        <is>
          <t>2026-06-24 07:28:42</t>
        </is>
      </c>
      <c r="N424" t="inlineStr">
        <is>
          <t>system</t>
        </is>
      </c>
      <c r="O424" t="inlineStr">
        <is>
          <t>2026-06-19 07:10:32</t>
        </is>
      </c>
      <c r="P424" t="inlineStr">
        <is>
          <t>2026-06-19 07:10:32</t>
        </is>
      </c>
      <c r="Y424" t="inlineStr">
        <is>
          <t>27725071617</t>
        </is>
      </c>
    </row>
    <row r="425">
      <c r="A425" t="inlineStr">
        <is>
          <t>14943409</t>
        </is>
      </c>
      <c r="B425" t="inlineStr">
        <is>
          <t>f4f1112e-f8da-4f00-88f8-f959d3912f80</t>
        </is>
      </c>
      <c r="D425" t="inlineStr">
        <is>
          <t>30001087</t>
        </is>
      </c>
      <c r="E425" t="inlineStr">
        <is>
          <t>ussd_funeral_leads_altitude_20260619</t>
        </is>
      </c>
      <c r="J425" t="inlineStr">
        <is>
          <t>ADC</t>
        </is>
      </c>
      <c r="K425" t="inlineStr">
        <is>
          <t>Auto Dial Disconnected</t>
        </is>
      </c>
      <c r="L425" t="n">
        <v>3</v>
      </c>
      <c r="M425" t="inlineStr">
        <is>
          <t>2026-06-24 07:28:40</t>
        </is>
      </c>
      <c r="N425" t="inlineStr">
        <is>
          <t>system</t>
        </is>
      </c>
      <c r="O425" t="inlineStr">
        <is>
          <t>2026-06-19 07:10:32</t>
        </is>
      </c>
      <c r="P425" t="inlineStr">
        <is>
          <t>2026-06-19 07:10:32</t>
        </is>
      </c>
      <c r="Y425" t="inlineStr">
        <is>
          <t>27820413391</t>
        </is>
      </c>
    </row>
    <row r="426">
      <c r="A426" t="inlineStr">
        <is>
          <t>14943408</t>
        </is>
      </c>
      <c r="B426" t="inlineStr">
        <is>
          <t>211d6d33-635e-4cc7-be64-6cdc36eca270</t>
        </is>
      </c>
      <c r="D426" t="inlineStr">
        <is>
          <t>30001087</t>
        </is>
      </c>
      <c r="E426" t="inlineStr">
        <is>
          <t>ussd_funeral_leads_altitude_20260619</t>
        </is>
      </c>
      <c r="J426" t="inlineStr">
        <is>
          <t>AA</t>
        </is>
      </c>
      <c r="K426" t="inlineStr">
        <is>
          <t>Answering Machine Autodial</t>
        </is>
      </c>
      <c r="L426" t="n">
        <v>3</v>
      </c>
      <c r="M426" t="inlineStr">
        <is>
          <t>2026-06-24 07:28:35</t>
        </is>
      </c>
      <c r="N426" t="inlineStr">
        <is>
          <t>system</t>
        </is>
      </c>
      <c r="O426" t="inlineStr">
        <is>
          <t>2026-06-19 07:10:32</t>
        </is>
      </c>
      <c r="P426" t="inlineStr">
        <is>
          <t>2026-06-19 07:10:32</t>
        </is>
      </c>
      <c r="Y426" t="inlineStr">
        <is>
          <t>27609552209</t>
        </is>
      </c>
    </row>
    <row r="427">
      <c r="A427" t="inlineStr">
        <is>
          <t>14943407</t>
        </is>
      </c>
      <c r="B427" t="inlineStr">
        <is>
          <t>ff0d357d-0487-490d-b431-b66d46bce1db</t>
        </is>
      </c>
      <c r="D427" t="inlineStr">
        <is>
          <t>30001087</t>
        </is>
      </c>
      <c r="E427" t="inlineStr">
        <is>
          <t>ussd_funeral_leads_altitude_20260619</t>
        </is>
      </c>
      <c r="J427" t="inlineStr">
        <is>
          <t>AA</t>
        </is>
      </c>
      <c r="K427" t="inlineStr">
        <is>
          <t>Answering Machine Autodial</t>
        </is>
      </c>
      <c r="L427" t="n">
        <v>3</v>
      </c>
      <c r="M427" t="inlineStr">
        <is>
          <t>2026-06-24 07:28:34</t>
        </is>
      </c>
      <c r="N427" t="inlineStr">
        <is>
          <t>system</t>
        </is>
      </c>
      <c r="O427" t="inlineStr">
        <is>
          <t>2026-06-19 07:10:32</t>
        </is>
      </c>
      <c r="P427" t="inlineStr">
        <is>
          <t>2026-06-19 07:10:32</t>
        </is>
      </c>
      <c r="Y427" t="inlineStr">
        <is>
          <t>27729029264</t>
        </is>
      </c>
    </row>
    <row r="428">
      <c r="A428" t="inlineStr">
        <is>
          <t>14943406</t>
        </is>
      </c>
      <c r="B428" t="inlineStr">
        <is>
          <t>7175ceb6-5d38-4e7e-be22-9bc6ac8a2a67</t>
        </is>
      </c>
      <c r="D428" t="inlineStr">
        <is>
          <t>30001087</t>
        </is>
      </c>
      <c r="E428" t="inlineStr">
        <is>
          <t>ussd_funeral_leads_altitude_20260619</t>
        </is>
      </c>
      <c r="J428" t="inlineStr">
        <is>
          <t>ADC</t>
        </is>
      </c>
      <c r="K428" t="inlineStr">
        <is>
          <t>Auto Dial Disconnected</t>
        </is>
      </c>
      <c r="L428" t="n">
        <v>3</v>
      </c>
      <c r="M428" t="inlineStr">
        <is>
          <t>2026-06-24 07:28:33</t>
        </is>
      </c>
      <c r="N428" t="inlineStr">
        <is>
          <t>system</t>
        </is>
      </c>
      <c r="O428" t="inlineStr">
        <is>
          <t>2026-06-19 07:10:32</t>
        </is>
      </c>
      <c r="P428" t="inlineStr">
        <is>
          <t>2026-06-19 07:10:32</t>
        </is>
      </c>
      <c r="Y428" t="inlineStr">
        <is>
          <t>27795186654</t>
        </is>
      </c>
    </row>
    <row r="429">
      <c r="A429" t="inlineStr">
        <is>
          <t>14943403</t>
        </is>
      </c>
      <c r="B429" t="inlineStr">
        <is>
          <t>ef0bde8e-a4e5-4fbe-b55c-5ed9993d5271</t>
        </is>
      </c>
      <c r="D429" t="inlineStr">
        <is>
          <t>30001087</t>
        </is>
      </c>
      <c r="E429" t="inlineStr">
        <is>
          <t>ussd_funeral_leads_altitude_20260619</t>
        </is>
      </c>
      <c r="J429" t="inlineStr">
        <is>
          <t>ADC</t>
        </is>
      </c>
      <c r="K429" t="inlineStr">
        <is>
          <t>Auto Dial Disconnected</t>
        </is>
      </c>
      <c r="L429" t="n">
        <v>3</v>
      </c>
      <c r="M429" t="inlineStr">
        <is>
          <t>2026-06-24 07:28:27</t>
        </is>
      </c>
      <c r="N429" t="inlineStr">
        <is>
          <t>system</t>
        </is>
      </c>
      <c r="O429" t="inlineStr">
        <is>
          <t>2026-06-19 07:10:32</t>
        </is>
      </c>
      <c r="P429" t="inlineStr">
        <is>
          <t>2026-06-19 07:10:32</t>
        </is>
      </c>
      <c r="Y429" t="inlineStr">
        <is>
          <t>27607398849</t>
        </is>
      </c>
    </row>
    <row r="430">
      <c r="A430" t="inlineStr">
        <is>
          <t>14943404</t>
        </is>
      </c>
      <c r="B430" t="inlineStr">
        <is>
          <t>3b79568d-f76e-4e48-99b0-a2728c877771</t>
        </is>
      </c>
      <c r="D430" t="inlineStr">
        <is>
          <t>30001087</t>
        </is>
      </c>
      <c r="E430" t="inlineStr">
        <is>
          <t>ussd_funeral_leads_altitude_20260619</t>
        </is>
      </c>
      <c r="J430" t="inlineStr">
        <is>
          <t>AA</t>
        </is>
      </c>
      <c r="K430" t="inlineStr">
        <is>
          <t>Answering Machine Autodial</t>
        </is>
      </c>
      <c r="L430" t="n">
        <v>3</v>
      </c>
      <c r="M430" t="inlineStr">
        <is>
          <t>2026-06-24 07:28:27</t>
        </is>
      </c>
      <c r="N430" t="inlineStr">
        <is>
          <t>system</t>
        </is>
      </c>
      <c r="O430" t="inlineStr">
        <is>
          <t>2026-06-19 07:10:32</t>
        </is>
      </c>
      <c r="P430" t="inlineStr">
        <is>
          <t>2026-06-19 07:10:32</t>
        </is>
      </c>
      <c r="Y430" t="inlineStr">
        <is>
          <t>27761455338</t>
        </is>
      </c>
    </row>
    <row r="431">
      <c r="A431" t="inlineStr">
        <is>
          <t>14943405</t>
        </is>
      </c>
      <c r="B431" t="inlineStr">
        <is>
          <t>e8daa286-1a91-402c-b355-83c1eab670d6</t>
        </is>
      </c>
      <c r="D431" t="inlineStr">
        <is>
          <t>30001087</t>
        </is>
      </c>
      <c r="E431" t="inlineStr">
        <is>
          <t>ussd_funeral_leads_altitude_20260619</t>
        </is>
      </c>
      <c r="J431" t="inlineStr">
        <is>
          <t>AA</t>
        </is>
      </c>
      <c r="K431" t="inlineStr">
        <is>
          <t>Answering Machine Autodial</t>
        </is>
      </c>
      <c r="L431" t="n">
        <v>3</v>
      </c>
      <c r="M431" t="inlineStr">
        <is>
          <t>2026-06-24 07:28:27</t>
        </is>
      </c>
      <c r="N431" t="inlineStr">
        <is>
          <t>system</t>
        </is>
      </c>
      <c r="O431" t="inlineStr">
        <is>
          <t>2026-06-19 07:10:32</t>
        </is>
      </c>
      <c r="P431" t="inlineStr">
        <is>
          <t>2026-06-19 07:10:32</t>
        </is>
      </c>
      <c r="Y431" t="inlineStr">
        <is>
          <t>27793164364</t>
        </is>
      </c>
    </row>
    <row r="432">
      <c r="A432" t="inlineStr">
        <is>
          <t>14943402</t>
        </is>
      </c>
      <c r="B432" t="inlineStr">
        <is>
          <t>c0c5005d-fb66-4eee-b104-4820d32b4883</t>
        </is>
      </c>
      <c r="D432" t="inlineStr">
        <is>
          <t>30001087</t>
        </is>
      </c>
      <c r="E432" t="inlineStr">
        <is>
          <t>ussd_funeral_leads_altitude_20260619</t>
        </is>
      </c>
      <c r="J432" t="inlineStr">
        <is>
          <t>ADC</t>
        </is>
      </c>
      <c r="K432" t="inlineStr">
        <is>
          <t>Auto Dial Disconnected</t>
        </is>
      </c>
      <c r="L432" t="n">
        <v>3</v>
      </c>
      <c r="M432" t="inlineStr">
        <is>
          <t>2026-06-24 07:28:26</t>
        </is>
      </c>
      <c r="N432" t="inlineStr">
        <is>
          <t>system</t>
        </is>
      </c>
      <c r="O432" t="inlineStr">
        <is>
          <t>2026-06-19 07:10:32</t>
        </is>
      </c>
      <c r="P432" t="inlineStr">
        <is>
          <t>2026-06-19 07:10:32</t>
        </is>
      </c>
      <c r="Y432" t="inlineStr">
        <is>
          <t>27607803810</t>
        </is>
      </c>
    </row>
    <row r="433">
      <c r="A433" t="inlineStr">
        <is>
          <t>14943447</t>
        </is>
      </c>
      <c r="B433" t="inlineStr">
        <is>
          <t>359aaba4-daa5-4707-9a38-877a40dc28f2</t>
        </is>
      </c>
      <c r="D433" t="inlineStr">
        <is>
          <t>30001087</t>
        </is>
      </c>
      <c r="E433" t="inlineStr">
        <is>
          <t>ussd_funeral_leads_altitude_20260619</t>
        </is>
      </c>
      <c r="J433" t="inlineStr">
        <is>
          <t>NA</t>
        </is>
      </c>
      <c r="K433" t="inlineStr">
        <is>
          <t>No Answer Autodial</t>
        </is>
      </c>
      <c r="L433" t="n">
        <v>3</v>
      </c>
      <c r="M433" t="inlineStr">
        <is>
          <t>2026-06-24 07:27:06</t>
        </is>
      </c>
      <c r="N433" t="inlineStr">
        <is>
          <t>system</t>
        </is>
      </c>
      <c r="O433" t="inlineStr">
        <is>
          <t>2026-06-19 07:10:32</t>
        </is>
      </c>
      <c r="P433" t="inlineStr">
        <is>
          <t>2026-06-19 07:10:32</t>
        </is>
      </c>
      <c r="Y433" t="inlineStr">
        <is>
          <t>27792537745</t>
        </is>
      </c>
    </row>
    <row r="434">
      <c r="A434" t="inlineStr">
        <is>
          <t>14943445</t>
        </is>
      </c>
      <c r="B434" t="inlineStr">
        <is>
          <t>2b3ffd4a-53d3-4129-842f-7c8138119f2a</t>
        </is>
      </c>
      <c r="D434" t="inlineStr">
        <is>
          <t>30001087</t>
        </is>
      </c>
      <c r="E434" t="inlineStr">
        <is>
          <t>ussd_funeral_leads_altitude_20260619</t>
        </is>
      </c>
      <c r="J434" t="inlineStr">
        <is>
          <t>NA</t>
        </is>
      </c>
      <c r="K434" t="inlineStr">
        <is>
          <t>No Answer Autodial</t>
        </is>
      </c>
      <c r="L434" t="n">
        <v>3</v>
      </c>
      <c r="M434" t="inlineStr">
        <is>
          <t>2026-06-24 07:26:58</t>
        </is>
      </c>
      <c r="N434" t="inlineStr">
        <is>
          <t>system</t>
        </is>
      </c>
      <c r="O434" t="inlineStr">
        <is>
          <t>2026-06-19 07:10:32</t>
        </is>
      </c>
      <c r="P434" t="inlineStr">
        <is>
          <t>2026-06-19 07:10:32</t>
        </is>
      </c>
      <c r="Y434" t="inlineStr">
        <is>
          <t>27714610836</t>
        </is>
      </c>
    </row>
    <row r="435">
      <c r="A435" t="inlineStr">
        <is>
          <t>14943446</t>
        </is>
      </c>
      <c r="B435" t="inlineStr">
        <is>
          <t>9b3ce2a1-e3a8-4b17-b53d-413e44af12be</t>
        </is>
      </c>
      <c r="D435" t="inlineStr">
        <is>
          <t>30001087</t>
        </is>
      </c>
      <c r="E435" t="inlineStr">
        <is>
          <t>ussd_funeral_leads_altitude_20260619</t>
        </is>
      </c>
      <c r="J435" t="inlineStr">
        <is>
          <t>AA</t>
        </is>
      </c>
      <c r="K435" t="inlineStr">
        <is>
          <t>Answering Machine Autodial</t>
        </is>
      </c>
      <c r="L435" t="n">
        <v>3</v>
      </c>
      <c r="M435" t="inlineStr">
        <is>
          <t>2026-06-24 07:26:58</t>
        </is>
      </c>
      <c r="N435" t="inlineStr">
        <is>
          <t>system</t>
        </is>
      </c>
      <c r="O435" t="inlineStr">
        <is>
          <t>2026-06-19 07:10:32</t>
        </is>
      </c>
      <c r="P435" t="inlineStr">
        <is>
          <t>2026-06-19 07:10:32</t>
        </is>
      </c>
      <c r="Y435" t="inlineStr">
        <is>
          <t>27798429169</t>
        </is>
      </c>
    </row>
    <row r="436">
      <c r="A436" t="inlineStr">
        <is>
          <t>14943443</t>
        </is>
      </c>
      <c r="B436" t="inlineStr">
        <is>
          <t>a7619d7d-bb4f-4a43-afcb-08e55a7ae2e3</t>
        </is>
      </c>
      <c r="D436" t="inlineStr">
        <is>
          <t>30001087</t>
        </is>
      </c>
      <c r="E436" t="inlineStr">
        <is>
          <t>ussd_funeral_leads_altitude_20260619</t>
        </is>
      </c>
      <c r="J436" t="inlineStr">
        <is>
          <t>AA</t>
        </is>
      </c>
      <c r="K436" t="inlineStr">
        <is>
          <t>Answering Machine Autodial</t>
        </is>
      </c>
      <c r="L436" t="n">
        <v>3</v>
      </c>
      <c r="M436" t="inlineStr">
        <is>
          <t>2026-06-24 07:26:52</t>
        </is>
      </c>
      <c r="N436" t="inlineStr">
        <is>
          <t>system</t>
        </is>
      </c>
      <c r="O436" t="inlineStr">
        <is>
          <t>2026-06-19 07:10:32</t>
        </is>
      </c>
      <c r="P436" t="inlineStr">
        <is>
          <t>2026-06-19 07:10:32</t>
        </is>
      </c>
      <c r="Y436" t="inlineStr">
        <is>
          <t>27648693547</t>
        </is>
      </c>
    </row>
    <row r="437">
      <c r="A437" t="inlineStr">
        <is>
          <t>14943442</t>
        </is>
      </c>
      <c r="B437" t="inlineStr">
        <is>
          <t>a64deb2b-037d-4343-9b3a-fa5a7fd56bf6</t>
        </is>
      </c>
      <c r="D437" t="inlineStr">
        <is>
          <t>30001087</t>
        </is>
      </c>
      <c r="E437" t="inlineStr">
        <is>
          <t>ussd_funeral_leads_altitude_20260619</t>
        </is>
      </c>
      <c r="J437" t="inlineStr">
        <is>
          <t>ADC</t>
        </is>
      </c>
      <c r="K437" t="inlineStr">
        <is>
          <t>Auto Dial Disconnected</t>
        </is>
      </c>
      <c r="L437" t="n">
        <v>3</v>
      </c>
      <c r="M437" t="inlineStr">
        <is>
          <t>2026-06-24 07:26:39</t>
        </is>
      </c>
      <c r="N437" t="inlineStr">
        <is>
          <t>system</t>
        </is>
      </c>
      <c r="O437" t="inlineStr">
        <is>
          <t>2026-06-19 07:10:32</t>
        </is>
      </c>
      <c r="P437" t="inlineStr">
        <is>
          <t>2026-06-19 07:10:32</t>
        </is>
      </c>
      <c r="Y437" t="inlineStr">
        <is>
          <t>27720245193</t>
        </is>
      </c>
    </row>
    <row r="438">
      <c r="A438" t="inlineStr">
        <is>
          <t>14947608</t>
        </is>
      </c>
      <c r="B438" t="inlineStr">
        <is>
          <t>7c1f6b4c-2c62-4740-8ba1-c5c58b13ac9a</t>
        </is>
      </c>
      <c r="D438" t="inlineStr">
        <is>
          <t>30001087</t>
        </is>
      </c>
      <c r="E438" t="inlineStr">
        <is>
          <t>ussd_funeral_leads_altitude_20260619</t>
        </is>
      </c>
      <c r="J438" t="inlineStr">
        <is>
          <t>AA</t>
        </is>
      </c>
      <c r="K438" t="inlineStr">
        <is>
          <t>Answering Machine Autodial</t>
        </is>
      </c>
      <c r="L438" t="n">
        <v>3</v>
      </c>
      <c r="M438" t="inlineStr">
        <is>
          <t>2026-06-24 07:26:34</t>
        </is>
      </c>
      <c r="N438" t="inlineStr">
        <is>
          <t>system</t>
        </is>
      </c>
      <c r="O438" t="inlineStr">
        <is>
          <t>2026-06-19 07:10:32</t>
        </is>
      </c>
      <c r="P438" t="inlineStr">
        <is>
          <t>2026-06-19 07:10:32</t>
        </is>
      </c>
      <c r="Y438" t="inlineStr">
        <is>
          <t>27726246179</t>
        </is>
      </c>
    </row>
    <row r="439">
      <c r="A439" t="inlineStr">
        <is>
          <t>14943440</t>
        </is>
      </c>
      <c r="B439" t="inlineStr">
        <is>
          <t>bd585687-1e00-44da-9380-ae34e6ad177b</t>
        </is>
      </c>
      <c r="D439" t="inlineStr">
        <is>
          <t>30001087</t>
        </is>
      </c>
      <c r="E439" t="inlineStr">
        <is>
          <t>ussd_funeral_leads_altitude_20260619</t>
        </is>
      </c>
      <c r="J439" t="inlineStr">
        <is>
          <t>AA</t>
        </is>
      </c>
      <c r="K439" t="inlineStr">
        <is>
          <t>Answering Machine Autodial</t>
        </is>
      </c>
      <c r="L439" t="n">
        <v>3</v>
      </c>
      <c r="M439" t="inlineStr">
        <is>
          <t>2026-06-24 07:26:28</t>
        </is>
      </c>
      <c r="N439" t="inlineStr">
        <is>
          <t>system</t>
        </is>
      </c>
      <c r="O439" t="inlineStr">
        <is>
          <t>2026-06-19 07:10:32</t>
        </is>
      </c>
      <c r="P439" t="inlineStr">
        <is>
          <t>2026-06-19 07:10:32</t>
        </is>
      </c>
      <c r="Y439" t="inlineStr">
        <is>
          <t>27799245172</t>
        </is>
      </c>
    </row>
    <row r="440">
      <c r="A440" t="inlineStr">
        <is>
          <t>14943438</t>
        </is>
      </c>
      <c r="B440" t="inlineStr">
        <is>
          <t>4e5ffa4c-512e-456b-8f44-84a7e7397e58</t>
        </is>
      </c>
      <c r="D440" t="inlineStr">
        <is>
          <t>30001087</t>
        </is>
      </c>
      <c r="E440" t="inlineStr">
        <is>
          <t>ussd_funeral_leads_altitude_20260619</t>
        </is>
      </c>
      <c r="J440" t="inlineStr">
        <is>
          <t>NA</t>
        </is>
      </c>
      <c r="K440" t="inlineStr">
        <is>
          <t>No Answer Autodial</t>
        </is>
      </c>
      <c r="L440" t="n">
        <v>3</v>
      </c>
      <c r="M440" t="inlineStr">
        <is>
          <t>2026-06-24 07:26:10</t>
        </is>
      </c>
      <c r="N440" t="inlineStr">
        <is>
          <t>system</t>
        </is>
      </c>
      <c r="O440" t="inlineStr">
        <is>
          <t>2026-06-19 07:10:32</t>
        </is>
      </c>
      <c r="P440" t="inlineStr">
        <is>
          <t>2026-06-19 07:10:32</t>
        </is>
      </c>
      <c r="Y440" t="inlineStr">
        <is>
          <t>27636973777</t>
        </is>
      </c>
    </row>
    <row r="441">
      <c r="A441" t="inlineStr">
        <is>
          <t>14943437</t>
        </is>
      </c>
      <c r="B441" t="inlineStr">
        <is>
          <t>08fc35f1-7b48-4849-9f9d-ba4088bd506a</t>
        </is>
      </c>
      <c r="D441" t="inlineStr">
        <is>
          <t>30001087</t>
        </is>
      </c>
      <c r="E441" t="inlineStr">
        <is>
          <t>ussd_funeral_leads_altitude_20260619</t>
        </is>
      </c>
      <c r="J441" t="inlineStr">
        <is>
          <t>ADC</t>
        </is>
      </c>
      <c r="K441" t="inlineStr">
        <is>
          <t>Auto Dial Disconnected</t>
        </is>
      </c>
      <c r="L441" t="n">
        <v>3</v>
      </c>
      <c r="M441" t="inlineStr">
        <is>
          <t>2026-06-24 07:26:09</t>
        </is>
      </c>
      <c r="N441" t="inlineStr">
        <is>
          <t>system</t>
        </is>
      </c>
      <c r="O441" t="inlineStr">
        <is>
          <t>2026-06-19 07:10:32</t>
        </is>
      </c>
      <c r="P441" t="inlineStr">
        <is>
          <t>2026-06-19 07:10:32</t>
        </is>
      </c>
      <c r="Y441" t="inlineStr">
        <is>
          <t>27607801909</t>
        </is>
      </c>
    </row>
    <row r="442">
      <c r="A442" t="inlineStr">
        <is>
          <t>14943436</t>
        </is>
      </c>
      <c r="B442" t="inlineStr">
        <is>
          <t>d806da3d-62f8-4997-8cff-d446e7aebcb6</t>
        </is>
      </c>
      <c r="D442" t="inlineStr">
        <is>
          <t>30001087</t>
        </is>
      </c>
      <c r="E442" t="inlineStr">
        <is>
          <t>ussd_funeral_leads_altitude_20260619</t>
        </is>
      </c>
      <c r="J442" t="inlineStr">
        <is>
          <t>AA</t>
        </is>
      </c>
      <c r="K442" t="inlineStr">
        <is>
          <t>Answering Machine Autodial</t>
        </is>
      </c>
      <c r="L442" t="n">
        <v>3</v>
      </c>
      <c r="M442" t="inlineStr">
        <is>
          <t>2026-06-24 07:26:03</t>
        </is>
      </c>
      <c r="N442" t="inlineStr">
        <is>
          <t>system</t>
        </is>
      </c>
      <c r="O442" t="inlineStr">
        <is>
          <t>2026-06-19 07:10:32</t>
        </is>
      </c>
      <c r="P442" t="inlineStr">
        <is>
          <t>2026-06-19 07:10:32</t>
        </is>
      </c>
      <c r="Y442" t="inlineStr">
        <is>
          <t>27767009633</t>
        </is>
      </c>
    </row>
    <row r="443">
      <c r="A443" t="inlineStr">
        <is>
          <t>14943435</t>
        </is>
      </c>
      <c r="B443" t="inlineStr">
        <is>
          <t>b0b40e62-53da-4cb1-9146-e2830e14a1c9</t>
        </is>
      </c>
      <c r="D443" t="inlineStr">
        <is>
          <t>30001087</t>
        </is>
      </c>
      <c r="E443" t="inlineStr">
        <is>
          <t>ussd_funeral_leads_altitude_20260619</t>
        </is>
      </c>
      <c r="J443" t="inlineStr">
        <is>
          <t>NA</t>
        </is>
      </c>
      <c r="K443" t="inlineStr">
        <is>
          <t>No Answer Autodial</t>
        </is>
      </c>
      <c r="L443" t="n">
        <v>3</v>
      </c>
      <c r="M443" t="inlineStr">
        <is>
          <t>2026-06-24 07:26:01</t>
        </is>
      </c>
      <c r="N443" t="inlineStr">
        <is>
          <t>system</t>
        </is>
      </c>
      <c r="O443" t="inlineStr">
        <is>
          <t>2026-06-19 07:10:32</t>
        </is>
      </c>
      <c r="P443" t="inlineStr">
        <is>
          <t>2026-06-19 07:10:32</t>
        </is>
      </c>
      <c r="Y443" t="inlineStr">
        <is>
          <t>27607099248</t>
        </is>
      </c>
    </row>
    <row r="444">
      <c r="A444" t="inlineStr">
        <is>
          <t>14943434</t>
        </is>
      </c>
      <c r="B444" t="inlineStr">
        <is>
          <t>d2e5c9c8-59cb-4ab8-8cbc-61d8383e4d5c</t>
        </is>
      </c>
      <c r="D444" t="inlineStr">
        <is>
          <t>30001087</t>
        </is>
      </c>
      <c r="E444" t="inlineStr">
        <is>
          <t>ussd_funeral_leads_altitude_20260619</t>
        </is>
      </c>
      <c r="J444" t="inlineStr">
        <is>
          <t>AA</t>
        </is>
      </c>
      <c r="K444" t="inlineStr">
        <is>
          <t>Answering Machine Autodial</t>
        </is>
      </c>
      <c r="L444" t="n">
        <v>3</v>
      </c>
      <c r="M444" t="inlineStr">
        <is>
          <t>2026-06-24 07:25:58</t>
        </is>
      </c>
      <c r="N444" t="inlineStr">
        <is>
          <t>system</t>
        </is>
      </c>
      <c r="O444" t="inlineStr">
        <is>
          <t>2026-06-19 07:10:32</t>
        </is>
      </c>
      <c r="P444" t="inlineStr">
        <is>
          <t>2026-06-19 07:10:32</t>
        </is>
      </c>
      <c r="Y444" t="inlineStr">
        <is>
          <t>27728050382</t>
        </is>
      </c>
    </row>
    <row r="445">
      <c r="A445" t="inlineStr">
        <is>
          <t>14943432</t>
        </is>
      </c>
      <c r="B445" t="inlineStr">
        <is>
          <t>f694c91f-9daa-42c0-8b70-6cbc33ed055c</t>
        </is>
      </c>
      <c r="D445" t="inlineStr">
        <is>
          <t>30001087</t>
        </is>
      </c>
      <c r="E445" t="inlineStr">
        <is>
          <t>ussd_funeral_leads_altitude_20260619</t>
        </is>
      </c>
      <c r="J445" t="inlineStr">
        <is>
          <t>AA</t>
        </is>
      </c>
      <c r="K445" t="inlineStr">
        <is>
          <t>Answering Machine Autodial</t>
        </is>
      </c>
      <c r="L445" t="n">
        <v>3</v>
      </c>
      <c r="M445" t="inlineStr">
        <is>
          <t>2026-06-24 07:25:52</t>
        </is>
      </c>
      <c r="N445" t="inlineStr">
        <is>
          <t>system</t>
        </is>
      </c>
      <c r="O445" t="inlineStr">
        <is>
          <t>2026-06-19 07:10:32</t>
        </is>
      </c>
      <c r="P445" t="inlineStr">
        <is>
          <t>2026-06-19 07:10:32</t>
        </is>
      </c>
      <c r="Y445" t="inlineStr">
        <is>
          <t>27664025753</t>
        </is>
      </c>
    </row>
    <row r="446">
      <c r="A446" t="inlineStr">
        <is>
          <t>14943433</t>
        </is>
      </c>
      <c r="B446" t="inlineStr">
        <is>
          <t>3f6d4403-39ff-4b2b-b0b2-6aba7f275835</t>
        </is>
      </c>
      <c r="D446" t="inlineStr">
        <is>
          <t>30001087</t>
        </is>
      </c>
      <c r="E446" t="inlineStr">
        <is>
          <t>ussd_funeral_leads_altitude_20260619</t>
        </is>
      </c>
      <c r="J446" t="inlineStr">
        <is>
          <t>NA</t>
        </is>
      </c>
      <c r="K446" t="inlineStr">
        <is>
          <t>No Answer Autodial</t>
        </is>
      </c>
      <c r="L446" t="n">
        <v>3</v>
      </c>
      <c r="M446" t="inlineStr">
        <is>
          <t>2026-06-24 07:25:52</t>
        </is>
      </c>
      <c r="N446" t="inlineStr">
        <is>
          <t>system</t>
        </is>
      </c>
      <c r="O446" t="inlineStr">
        <is>
          <t>2026-06-19 07:10:32</t>
        </is>
      </c>
      <c r="P446" t="inlineStr">
        <is>
          <t>2026-06-19 07:10:32</t>
        </is>
      </c>
      <c r="Y446" t="inlineStr">
        <is>
          <t>27825029040</t>
        </is>
      </c>
    </row>
    <row r="447">
      <c r="A447" t="inlineStr">
        <is>
          <t>14943430</t>
        </is>
      </c>
      <c r="B447" t="inlineStr">
        <is>
          <t>02e4dd1d-03df-488e-99ac-87e0932a7a3d</t>
        </is>
      </c>
      <c r="D447" t="inlineStr">
        <is>
          <t>30001087</t>
        </is>
      </c>
      <c r="E447" t="inlineStr">
        <is>
          <t>ussd_funeral_leads_altitude_20260619</t>
        </is>
      </c>
      <c r="J447" t="inlineStr">
        <is>
          <t>AA</t>
        </is>
      </c>
      <c r="K447" t="inlineStr">
        <is>
          <t>Answering Machine Autodial</t>
        </is>
      </c>
      <c r="L447" t="n">
        <v>3</v>
      </c>
      <c r="M447" t="inlineStr">
        <is>
          <t>2026-06-24 07:25:46</t>
        </is>
      </c>
      <c r="N447" t="inlineStr">
        <is>
          <t>system</t>
        </is>
      </c>
      <c r="O447" t="inlineStr">
        <is>
          <t>2026-06-19 07:10:32</t>
        </is>
      </c>
      <c r="P447" t="inlineStr">
        <is>
          <t>2026-06-19 07:10:32</t>
        </is>
      </c>
      <c r="Y447" t="inlineStr">
        <is>
          <t>27766165039</t>
        </is>
      </c>
    </row>
    <row r="448">
      <c r="A448" t="inlineStr">
        <is>
          <t>14943431</t>
        </is>
      </c>
      <c r="B448" t="inlineStr">
        <is>
          <t>80ac7505-f2d4-44fa-adf0-f923db5d2a1b</t>
        </is>
      </c>
      <c r="D448" t="inlineStr">
        <is>
          <t>30001087</t>
        </is>
      </c>
      <c r="E448" t="inlineStr">
        <is>
          <t>ussd_funeral_leads_altitude_20260619</t>
        </is>
      </c>
      <c r="J448" t="inlineStr">
        <is>
          <t>AA</t>
        </is>
      </c>
      <c r="K448" t="inlineStr">
        <is>
          <t>Answering Machine Autodial</t>
        </is>
      </c>
      <c r="L448" t="n">
        <v>3</v>
      </c>
      <c r="M448" t="inlineStr">
        <is>
          <t>2026-06-24 07:25:46</t>
        </is>
      </c>
      <c r="N448" t="inlineStr">
        <is>
          <t>system</t>
        </is>
      </c>
      <c r="O448" t="inlineStr">
        <is>
          <t>2026-06-19 07:10:32</t>
        </is>
      </c>
      <c r="P448" t="inlineStr">
        <is>
          <t>2026-06-19 07:10:32</t>
        </is>
      </c>
      <c r="Y448" t="inlineStr">
        <is>
          <t>27796507943</t>
        </is>
      </c>
    </row>
    <row r="449">
      <c r="A449" t="inlineStr">
        <is>
          <t>14943426</t>
        </is>
      </c>
      <c r="B449" t="inlineStr">
        <is>
          <t>e2a1d8a4-57e3-44d0-8714-7f15e66e0b8f</t>
        </is>
      </c>
      <c r="D449" t="inlineStr">
        <is>
          <t>30001087</t>
        </is>
      </c>
      <c r="E449" t="inlineStr">
        <is>
          <t>ussd_funeral_leads_altitude_20260619</t>
        </is>
      </c>
      <c r="J449" t="inlineStr">
        <is>
          <t>NA</t>
        </is>
      </c>
      <c r="K449" t="inlineStr">
        <is>
          <t>No Answer Autodial</t>
        </is>
      </c>
      <c r="L449" t="n">
        <v>3</v>
      </c>
      <c r="M449" t="inlineStr">
        <is>
          <t>2026-06-24 07:25:29</t>
        </is>
      </c>
      <c r="N449" t="inlineStr">
        <is>
          <t>system</t>
        </is>
      </c>
      <c r="O449" t="inlineStr">
        <is>
          <t>2026-06-19 07:10:32</t>
        </is>
      </c>
      <c r="P449" t="inlineStr">
        <is>
          <t>2026-06-19 07:10:32</t>
        </is>
      </c>
      <c r="Y449" t="inlineStr">
        <is>
          <t>27606920003</t>
        </is>
      </c>
    </row>
    <row r="450">
      <c r="A450" t="inlineStr">
        <is>
          <t>14943428</t>
        </is>
      </c>
      <c r="B450" t="inlineStr">
        <is>
          <t>225b4fa8-a585-496c-a89c-48f4a5dd8141</t>
        </is>
      </c>
      <c r="D450" t="inlineStr">
        <is>
          <t>30001087</t>
        </is>
      </c>
      <c r="E450" t="inlineStr">
        <is>
          <t>ussd_funeral_leads_altitude_20260619</t>
        </is>
      </c>
      <c r="J450" t="inlineStr">
        <is>
          <t>AA</t>
        </is>
      </c>
      <c r="K450" t="inlineStr">
        <is>
          <t>Answering Machine Autodial</t>
        </is>
      </c>
      <c r="L450" t="n">
        <v>3</v>
      </c>
      <c r="M450" t="inlineStr">
        <is>
          <t>2026-06-24 07:25:29</t>
        </is>
      </c>
      <c r="N450" t="inlineStr">
        <is>
          <t>system</t>
        </is>
      </c>
      <c r="O450" t="inlineStr">
        <is>
          <t>2026-06-19 07:10:32</t>
        </is>
      </c>
      <c r="P450" t="inlineStr">
        <is>
          <t>2026-06-19 07:10:32</t>
        </is>
      </c>
      <c r="Y450" t="inlineStr">
        <is>
          <t>27674559847</t>
        </is>
      </c>
    </row>
    <row r="451">
      <c r="A451" t="inlineStr">
        <is>
          <t>14943429</t>
        </is>
      </c>
      <c r="B451" t="inlineStr">
        <is>
          <t>2ff1e6e9-cb49-4f39-ab59-f07805eae027</t>
        </is>
      </c>
      <c r="D451" t="inlineStr">
        <is>
          <t>30001087</t>
        </is>
      </c>
      <c r="E451" t="inlineStr">
        <is>
          <t>ussd_funeral_leads_altitude_20260619</t>
        </is>
      </c>
      <c r="J451" t="inlineStr">
        <is>
          <t>TDN</t>
        </is>
      </c>
      <c r="K451" t="inlineStr">
        <is>
          <t>Temporary Disconnected Number</t>
        </is>
      </c>
      <c r="L451" t="n">
        <v>3</v>
      </c>
      <c r="M451" t="inlineStr">
        <is>
          <t>2026-06-24 07:25:29</t>
        </is>
      </c>
      <c r="N451" t="inlineStr">
        <is>
          <t>system</t>
        </is>
      </c>
      <c r="O451" t="inlineStr">
        <is>
          <t>2026-06-19 07:10:32</t>
        </is>
      </c>
      <c r="P451" t="inlineStr">
        <is>
          <t>2026-06-19 07:10:32</t>
        </is>
      </c>
      <c r="Y451" t="inlineStr">
        <is>
          <t>27648773077</t>
        </is>
      </c>
    </row>
    <row r="452">
      <c r="A452" t="inlineStr">
        <is>
          <t>14943423</t>
        </is>
      </c>
      <c r="B452" t="inlineStr">
        <is>
          <t>9da16242-376c-487f-8abb-3b6d0ab21856</t>
        </is>
      </c>
      <c r="D452" t="inlineStr">
        <is>
          <t>30001087</t>
        </is>
      </c>
      <c r="E452" t="inlineStr">
        <is>
          <t>ussd_funeral_leads_altitude_20260619</t>
        </is>
      </c>
      <c r="J452" t="inlineStr">
        <is>
          <t>TDN</t>
        </is>
      </c>
      <c r="K452" t="inlineStr">
        <is>
          <t>Temporary Disconnected Number</t>
        </is>
      </c>
      <c r="L452" t="n">
        <v>3</v>
      </c>
      <c r="M452" t="inlineStr">
        <is>
          <t>2026-06-24 07:25:29</t>
        </is>
      </c>
      <c r="N452" t="inlineStr">
        <is>
          <t>system</t>
        </is>
      </c>
      <c r="O452" t="inlineStr">
        <is>
          <t>2026-06-19 07:10:32</t>
        </is>
      </c>
      <c r="P452" t="inlineStr">
        <is>
          <t>2026-06-19 07:10:32</t>
        </is>
      </c>
      <c r="Y452" t="inlineStr">
        <is>
          <t>27790730209</t>
        </is>
      </c>
    </row>
    <row r="453">
      <c r="A453" t="inlineStr">
        <is>
          <t>14943425</t>
        </is>
      </c>
      <c r="B453" t="inlineStr">
        <is>
          <t>d0627eb9-6d39-4e05-bcda-2930b77da46c</t>
        </is>
      </c>
      <c r="D453" t="inlineStr">
        <is>
          <t>30001087</t>
        </is>
      </c>
      <c r="E453" t="inlineStr">
        <is>
          <t>ussd_funeral_leads_altitude_20260619</t>
        </is>
      </c>
      <c r="J453" t="inlineStr">
        <is>
          <t>AA</t>
        </is>
      </c>
      <c r="K453" t="inlineStr">
        <is>
          <t>Answering Machine Autodial</t>
        </is>
      </c>
      <c r="L453" t="n">
        <v>3</v>
      </c>
      <c r="M453" t="inlineStr">
        <is>
          <t>2026-06-24 07:25:29</t>
        </is>
      </c>
      <c r="N453" t="inlineStr">
        <is>
          <t>system</t>
        </is>
      </c>
      <c r="O453" t="inlineStr">
        <is>
          <t>2026-06-19 07:10:32</t>
        </is>
      </c>
      <c r="P453" t="inlineStr">
        <is>
          <t>2026-06-19 07:10:32</t>
        </is>
      </c>
      <c r="Y453" t="inlineStr">
        <is>
          <t>27713080484</t>
        </is>
      </c>
    </row>
    <row r="454">
      <c r="A454" t="inlineStr">
        <is>
          <t>14943515</t>
        </is>
      </c>
      <c r="B454" t="inlineStr">
        <is>
          <t>f5f386cb-f653-4b67-b295-3df299ec4993</t>
        </is>
      </c>
      <c r="D454" t="inlineStr">
        <is>
          <t>30001087</t>
        </is>
      </c>
      <c r="E454" t="inlineStr">
        <is>
          <t>ussd_funeral_leads_altitude_20260619</t>
        </is>
      </c>
      <c r="J454" t="inlineStr">
        <is>
          <t>AA</t>
        </is>
      </c>
      <c r="K454" t="inlineStr">
        <is>
          <t>Answering Machine Autodial</t>
        </is>
      </c>
      <c r="L454" t="n">
        <v>3</v>
      </c>
      <c r="M454" t="inlineStr">
        <is>
          <t>2026-06-24 07:25:19</t>
        </is>
      </c>
      <c r="N454" t="inlineStr">
        <is>
          <t>system</t>
        </is>
      </c>
      <c r="O454" t="inlineStr">
        <is>
          <t>2026-06-19 07:10:32</t>
        </is>
      </c>
      <c r="P454" t="inlineStr">
        <is>
          <t>2026-06-19 07:10:32</t>
        </is>
      </c>
      <c r="Y454" t="inlineStr">
        <is>
          <t>27764120550</t>
        </is>
      </c>
    </row>
    <row r="455">
      <c r="A455" t="inlineStr">
        <is>
          <t>14943516</t>
        </is>
      </c>
      <c r="B455" t="inlineStr">
        <is>
          <t>8203e3e6-d1c4-499b-bc6e-aceac62d4c11</t>
        </is>
      </c>
      <c r="D455" t="inlineStr">
        <is>
          <t>30001087</t>
        </is>
      </c>
      <c r="E455" t="inlineStr">
        <is>
          <t>ussd_funeral_leads_altitude_20260619</t>
        </is>
      </c>
      <c r="J455" t="inlineStr">
        <is>
          <t>ADC</t>
        </is>
      </c>
      <c r="K455" t="inlineStr">
        <is>
          <t>Auto Dial Disconnected</t>
        </is>
      </c>
      <c r="L455" t="n">
        <v>3</v>
      </c>
      <c r="M455" t="inlineStr">
        <is>
          <t>2026-06-24 07:25:19</t>
        </is>
      </c>
      <c r="N455" t="inlineStr">
        <is>
          <t>system</t>
        </is>
      </c>
      <c r="O455" t="inlineStr">
        <is>
          <t>2026-06-19 07:10:32</t>
        </is>
      </c>
      <c r="P455" t="inlineStr">
        <is>
          <t>2026-06-19 07:10:32</t>
        </is>
      </c>
      <c r="Y455" t="inlineStr">
        <is>
          <t>27607450272</t>
        </is>
      </c>
    </row>
    <row r="456">
      <c r="A456" t="inlineStr">
        <is>
          <t>14943514</t>
        </is>
      </c>
      <c r="B456" t="inlineStr">
        <is>
          <t>54ad005e-4b34-4102-98b9-2e64ce3beb6e</t>
        </is>
      </c>
      <c r="D456" t="inlineStr">
        <is>
          <t>30001087</t>
        </is>
      </c>
      <c r="E456" t="inlineStr">
        <is>
          <t>ussd_funeral_leads_altitude_20260619</t>
        </is>
      </c>
      <c r="J456" t="inlineStr">
        <is>
          <t>CU</t>
        </is>
      </c>
      <c r="K456" t="inlineStr">
        <is>
          <t>Client Hung Up</t>
        </is>
      </c>
      <c r="L456" t="n">
        <v>3</v>
      </c>
      <c r="M456" t="inlineStr">
        <is>
          <t>2026-06-24 07:24:50</t>
        </is>
      </c>
      <c r="N456" t="inlineStr">
        <is>
          <t>Vuyiswa Nxumalo</t>
        </is>
      </c>
      <c r="O456" t="inlineStr">
        <is>
          <t>2026-06-19 07:10:32</t>
        </is>
      </c>
      <c r="P456" t="inlineStr">
        <is>
          <t>2026-06-19 07:10:32</t>
        </is>
      </c>
      <c r="Y456" t="inlineStr">
        <is>
          <t>27818030848</t>
        </is>
      </c>
    </row>
    <row r="457">
      <c r="A457" t="inlineStr">
        <is>
          <t>14943513</t>
        </is>
      </c>
      <c r="B457" t="inlineStr">
        <is>
          <t>fe9a1ddd-b42c-4f4e-a657-99fb439782f1</t>
        </is>
      </c>
      <c r="D457" t="inlineStr">
        <is>
          <t>30001087</t>
        </is>
      </c>
      <c r="E457" t="inlineStr">
        <is>
          <t>ussd_funeral_leads_altitude_20260619</t>
        </is>
      </c>
      <c r="J457" t="inlineStr">
        <is>
          <t>DROP</t>
        </is>
      </c>
      <c r="K457" t="inlineStr">
        <is>
          <t>Dropped</t>
        </is>
      </c>
      <c r="L457" t="n">
        <v>3</v>
      </c>
      <c r="M457" t="inlineStr">
        <is>
          <t>2026-06-24 07:24:47</t>
        </is>
      </c>
      <c r="N457" t="inlineStr">
        <is>
          <t>system</t>
        </is>
      </c>
      <c r="O457" t="inlineStr">
        <is>
          <t>2026-06-19 07:10:32</t>
        </is>
      </c>
      <c r="P457" t="inlineStr">
        <is>
          <t>2026-06-19 07:10:32</t>
        </is>
      </c>
      <c r="Y457" t="inlineStr">
        <is>
          <t>27762108630</t>
        </is>
      </c>
    </row>
    <row r="458">
      <c r="A458" t="inlineStr">
        <is>
          <t>14943511</t>
        </is>
      </c>
      <c r="B458" t="inlineStr">
        <is>
          <t>986cf09f-281f-4e65-abb0-a9803748776b</t>
        </is>
      </c>
      <c r="D458" t="inlineStr">
        <is>
          <t>30001087</t>
        </is>
      </c>
      <c r="E458" t="inlineStr">
        <is>
          <t>ussd_funeral_leads_altitude_20260619</t>
        </is>
      </c>
      <c r="J458" t="inlineStr">
        <is>
          <t>AA</t>
        </is>
      </c>
      <c r="K458" t="inlineStr">
        <is>
          <t>Answering Machine Autodial</t>
        </is>
      </c>
      <c r="L458" t="n">
        <v>3</v>
      </c>
      <c r="M458" t="inlineStr">
        <is>
          <t>2026-06-24 07:24:45</t>
        </is>
      </c>
      <c r="N458" t="inlineStr">
        <is>
          <t>system</t>
        </is>
      </c>
      <c r="O458" t="inlineStr">
        <is>
          <t>2026-06-19 07:10:32</t>
        </is>
      </c>
      <c r="P458" t="inlineStr">
        <is>
          <t>2026-06-19 07:10:32</t>
        </is>
      </c>
      <c r="Y458" t="inlineStr">
        <is>
          <t>27773706046</t>
        </is>
      </c>
    </row>
    <row r="459">
      <c r="A459" t="inlineStr">
        <is>
          <t>14943512</t>
        </is>
      </c>
      <c r="B459" t="inlineStr">
        <is>
          <t>419e3b65-190e-415e-8ad8-4a902754f313</t>
        </is>
      </c>
      <c r="D459" t="inlineStr">
        <is>
          <t>30001087</t>
        </is>
      </c>
      <c r="E459" t="inlineStr">
        <is>
          <t>ussd_funeral_leads_altitude_20260619</t>
        </is>
      </c>
      <c r="J459" t="inlineStr">
        <is>
          <t>AA</t>
        </is>
      </c>
      <c r="K459" t="inlineStr">
        <is>
          <t>Answering Machine Autodial</t>
        </is>
      </c>
      <c r="L459" t="n">
        <v>3</v>
      </c>
      <c r="M459" t="inlineStr">
        <is>
          <t>2026-06-24 07:24:45</t>
        </is>
      </c>
      <c r="N459" t="inlineStr">
        <is>
          <t>system</t>
        </is>
      </c>
      <c r="O459" t="inlineStr">
        <is>
          <t>2026-06-19 07:10:32</t>
        </is>
      </c>
      <c r="P459" t="inlineStr">
        <is>
          <t>2026-06-19 07:10:32</t>
        </is>
      </c>
      <c r="Y459" t="inlineStr">
        <is>
          <t>27608769166</t>
        </is>
      </c>
    </row>
    <row r="460">
      <c r="A460" t="inlineStr">
        <is>
          <t>14943509</t>
        </is>
      </c>
      <c r="B460" t="inlineStr">
        <is>
          <t>7d7ab690-9585-47f0-8a72-badc2f5f60bf</t>
        </is>
      </c>
      <c r="D460" t="inlineStr">
        <is>
          <t>30001087</t>
        </is>
      </c>
      <c r="E460" t="inlineStr">
        <is>
          <t>ussd_funeral_leads_altitude_20260619</t>
        </is>
      </c>
      <c r="J460" t="inlineStr">
        <is>
          <t>TDN</t>
        </is>
      </c>
      <c r="K460" t="inlineStr">
        <is>
          <t>Temporary Disconnected Number</t>
        </is>
      </c>
      <c r="L460" t="n">
        <v>3</v>
      </c>
      <c r="M460" t="inlineStr">
        <is>
          <t>2026-06-24 07:24:44</t>
        </is>
      </c>
      <c r="N460" t="inlineStr">
        <is>
          <t>system</t>
        </is>
      </c>
      <c r="O460" t="inlineStr">
        <is>
          <t>2026-06-19 07:10:32</t>
        </is>
      </c>
      <c r="P460" t="inlineStr">
        <is>
          <t>2026-06-19 07:10:32</t>
        </is>
      </c>
      <c r="Y460" t="inlineStr">
        <is>
          <t>27767350818</t>
        </is>
      </c>
    </row>
    <row r="461">
      <c r="A461" t="inlineStr">
        <is>
          <t>14943510</t>
        </is>
      </c>
      <c r="B461" t="inlineStr">
        <is>
          <t>e3b03c56-4de3-4f27-a176-1bfda955ad24</t>
        </is>
      </c>
      <c r="D461" t="inlineStr">
        <is>
          <t>30001087</t>
        </is>
      </c>
      <c r="E461" t="inlineStr">
        <is>
          <t>ussd_funeral_leads_altitude_20260619</t>
        </is>
      </c>
      <c r="J461" t="inlineStr">
        <is>
          <t>AA</t>
        </is>
      </c>
      <c r="K461" t="inlineStr">
        <is>
          <t>Answering Machine Autodial</t>
        </is>
      </c>
      <c r="L461" t="n">
        <v>3</v>
      </c>
      <c r="M461" t="inlineStr">
        <is>
          <t>2026-06-24 07:24:44</t>
        </is>
      </c>
      <c r="N461" t="inlineStr">
        <is>
          <t>system</t>
        </is>
      </c>
      <c r="O461" t="inlineStr">
        <is>
          <t>2026-06-19 07:10:32</t>
        </is>
      </c>
      <c r="P461" t="inlineStr">
        <is>
          <t>2026-06-19 07:10:32</t>
        </is>
      </c>
      <c r="Y461" t="inlineStr">
        <is>
          <t>27795418203</t>
        </is>
      </c>
    </row>
    <row r="462">
      <c r="A462" t="inlineStr">
        <is>
          <t>14943506</t>
        </is>
      </c>
      <c r="B462" t="inlineStr">
        <is>
          <t>23aa4dd3-3828-476f-b4ca-2c951d1b810a</t>
        </is>
      </c>
      <c r="D462" t="inlineStr">
        <is>
          <t>30001087</t>
        </is>
      </c>
      <c r="E462" t="inlineStr">
        <is>
          <t>ussd_funeral_leads_altitude_20260619</t>
        </is>
      </c>
      <c r="J462" t="inlineStr">
        <is>
          <t>NA</t>
        </is>
      </c>
      <c r="K462" t="inlineStr">
        <is>
          <t>No Answer Autodial</t>
        </is>
      </c>
      <c r="L462" t="n">
        <v>3</v>
      </c>
      <c r="M462" t="inlineStr">
        <is>
          <t>2026-06-24 07:24:43</t>
        </is>
      </c>
      <c r="N462" t="inlineStr">
        <is>
          <t>system</t>
        </is>
      </c>
      <c r="O462" t="inlineStr">
        <is>
          <t>2026-06-19 07:10:32</t>
        </is>
      </c>
      <c r="P462" t="inlineStr">
        <is>
          <t>2026-06-19 07:10:32</t>
        </is>
      </c>
      <c r="Y462" t="inlineStr">
        <is>
          <t>27796099341</t>
        </is>
      </c>
    </row>
    <row r="463">
      <c r="A463" t="inlineStr">
        <is>
          <t>14943507</t>
        </is>
      </c>
      <c r="B463" t="inlineStr">
        <is>
          <t>7de07c98-b165-4942-9e43-2676a6a58328</t>
        </is>
      </c>
      <c r="D463" t="inlineStr">
        <is>
          <t>30001087</t>
        </is>
      </c>
      <c r="E463" t="inlineStr">
        <is>
          <t>ussd_funeral_leads_altitude_20260619</t>
        </is>
      </c>
      <c r="J463" t="inlineStr">
        <is>
          <t>DROP</t>
        </is>
      </c>
      <c r="K463" t="inlineStr">
        <is>
          <t>Dropped</t>
        </is>
      </c>
      <c r="L463" t="n">
        <v>3</v>
      </c>
      <c r="M463" t="inlineStr">
        <is>
          <t>2026-06-24 07:24:43</t>
        </is>
      </c>
      <c r="N463" t="inlineStr">
        <is>
          <t>system</t>
        </is>
      </c>
      <c r="O463" t="inlineStr">
        <is>
          <t>2026-06-19 07:10:32</t>
        </is>
      </c>
      <c r="P463" t="inlineStr">
        <is>
          <t>2026-06-19 07:10:32</t>
        </is>
      </c>
      <c r="Y463" t="inlineStr">
        <is>
          <t>27711521701</t>
        </is>
      </c>
    </row>
    <row r="464">
      <c r="A464" t="inlineStr">
        <is>
          <t>14900000</t>
        </is>
      </c>
      <c r="B464" t="inlineStr">
        <is>
          <t>42e1958a-4171-4f9d-93ae-eb1970213049</t>
        </is>
      </c>
      <c r="D464" t="inlineStr">
        <is>
          <t>30001087</t>
        </is>
      </c>
      <c r="E464" t="inlineStr">
        <is>
          <t>ussd_funeral_leads_altitude_20260619</t>
        </is>
      </c>
      <c r="J464" t="inlineStr">
        <is>
          <t>TDN</t>
        </is>
      </c>
      <c r="K464" t="inlineStr">
        <is>
          <t>Temporary Disconnected Number</t>
        </is>
      </c>
      <c r="L464" t="n">
        <v>3</v>
      </c>
      <c r="M464" t="inlineStr">
        <is>
          <t>2026-06-24 07:24:43</t>
        </is>
      </c>
      <c r="N464" t="inlineStr">
        <is>
          <t>system</t>
        </is>
      </c>
      <c r="O464" t="inlineStr">
        <is>
          <t>2026-06-19 07:10:32</t>
        </is>
      </c>
      <c r="P464" t="inlineStr">
        <is>
          <t>2026-06-19 07:10:32</t>
        </is>
      </c>
      <c r="Y464" t="inlineStr">
        <is>
          <t>27790915602</t>
        </is>
      </c>
    </row>
    <row r="465">
      <c r="A465" t="inlineStr">
        <is>
          <t>14943505</t>
        </is>
      </c>
      <c r="B465" t="inlineStr">
        <is>
          <t>5de69abc-f1cb-4120-9e06-581121b2cf08</t>
        </is>
      </c>
      <c r="D465" t="inlineStr">
        <is>
          <t>30001087</t>
        </is>
      </c>
      <c r="E465" t="inlineStr">
        <is>
          <t>ussd_funeral_leads_altitude_20260619</t>
        </is>
      </c>
      <c r="J465" t="inlineStr">
        <is>
          <t>CU</t>
        </is>
      </c>
      <c r="K465" t="inlineStr">
        <is>
          <t>Client Hung Up</t>
        </is>
      </c>
      <c r="L465" t="n">
        <v>3</v>
      </c>
      <c r="M465" t="inlineStr">
        <is>
          <t>2026-06-24 07:24:42</t>
        </is>
      </c>
      <c r="N465" t="inlineStr">
        <is>
          <t>Gontse Monageng</t>
        </is>
      </c>
      <c r="O465" t="inlineStr">
        <is>
          <t>2026-06-19 07:10:32</t>
        </is>
      </c>
      <c r="P465" t="inlineStr">
        <is>
          <t>2026-06-19 07:10:32</t>
        </is>
      </c>
      <c r="Y465" t="inlineStr">
        <is>
          <t>27799347653</t>
        </is>
      </c>
    </row>
    <row r="466">
      <c r="A466" t="inlineStr">
        <is>
          <t>14943504</t>
        </is>
      </c>
      <c r="B466" t="inlineStr">
        <is>
          <t>1867cbb3-f1a2-413b-bcf6-c9bbed360751</t>
        </is>
      </c>
      <c r="D466" t="inlineStr">
        <is>
          <t>30001087</t>
        </is>
      </c>
      <c r="E466" t="inlineStr">
        <is>
          <t>ussd_funeral_leads_altitude_20260619</t>
        </is>
      </c>
      <c r="J466" t="inlineStr">
        <is>
          <t>NA</t>
        </is>
      </c>
      <c r="K466" t="inlineStr">
        <is>
          <t>No Answer Autodial</t>
        </is>
      </c>
      <c r="L466" t="n">
        <v>3</v>
      </c>
      <c r="M466" t="inlineStr">
        <is>
          <t>2026-06-24 07:24:34</t>
        </is>
      </c>
      <c r="N466" t="inlineStr">
        <is>
          <t>system</t>
        </is>
      </c>
      <c r="O466" t="inlineStr">
        <is>
          <t>2026-06-19 07:10:32</t>
        </is>
      </c>
      <c r="P466" t="inlineStr">
        <is>
          <t>2026-06-19 07:10:32</t>
        </is>
      </c>
      <c r="Y466" t="inlineStr">
        <is>
          <t>27637757912</t>
        </is>
      </c>
    </row>
    <row r="467">
      <c r="A467" t="inlineStr">
        <is>
          <t>14943503</t>
        </is>
      </c>
      <c r="B467" t="inlineStr">
        <is>
          <t>4fb3c89b-887d-4ebe-a6c6-d8c492befbfc</t>
        </is>
      </c>
      <c r="D467" t="inlineStr">
        <is>
          <t>30001087</t>
        </is>
      </c>
      <c r="E467" t="inlineStr">
        <is>
          <t>ussd_funeral_leads_altitude_20260619</t>
        </is>
      </c>
      <c r="J467" t="inlineStr">
        <is>
          <t>TDN</t>
        </is>
      </c>
      <c r="K467" t="inlineStr">
        <is>
          <t>Temporary Disconnected Number</t>
        </is>
      </c>
      <c r="L467" t="n">
        <v>3</v>
      </c>
      <c r="M467" t="inlineStr">
        <is>
          <t>2026-06-24 07:24:31</t>
        </is>
      </c>
      <c r="N467" t="inlineStr">
        <is>
          <t>system</t>
        </is>
      </c>
      <c r="O467" t="inlineStr">
        <is>
          <t>2026-06-19 07:10:32</t>
        </is>
      </c>
      <c r="P467" t="inlineStr">
        <is>
          <t>2026-06-19 07:10:32</t>
        </is>
      </c>
      <c r="Y467" t="inlineStr">
        <is>
          <t>27636291885</t>
        </is>
      </c>
    </row>
    <row r="468">
      <c r="A468" t="inlineStr">
        <is>
          <t>14943502</t>
        </is>
      </c>
      <c r="B468" t="inlineStr">
        <is>
          <t>ede9d3a3-154f-465b-bd58-517bd3925fb8</t>
        </is>
      </c>
      <c r="D468" t="inlineStr">
        <is>
          <t>30001087</t>
        </is>
      </c>
      <c r="E468" t="inlineStr">
        <is>
          <t>ussd_funeral_leads_altitude_20260619</t>
        </is>
      </c>
      <c r="J468" t="inlineStr">
        <is>
          <t>TDN</t>
        </is>
      </c>
      <c r="K468" t="inlineStr">
        <is>
          <t>Temporary Disconnected Number</t>
        </is>
      </c>
      <c r="L468" t="n">
        <v>3</v>
      </c>
      <c r="M468" t="inlineStr">
        <is>
          <t>2026-06-24 07:24:24</t>
        </is>
      </c>
      <c r="N468" t="inlineStr">
        <is>
          <t>system</t>
        </is>
      </c>
      <c r="O468" t="inlineStr">
        <is>
          <t>2026-06-19 07:10:32</t>
        </is>
      </c>
      <c r="P468" t="inlineStr">
        <is>
          <t>2026-06-19 07:10:32</t>
        </is>
      </c>
      <c r="Y468" t="inlineStr">
        <is>
          <t>27822948418</t>
        </is>
      </c>
    </row>
    <row r="469">
      <c r="A469" t="inlineStr">
        <is>
          <t>14943500</t>
        </is>
      </c>
      <c r="B469" t="inlineStr">
        <is>
          <t>1570fdbc-b66f-4418-a0fc-52766a1e31d6</t>
        </is>
      </c>
      <c r="D469" t="inlineStr">
        <is>
          <t>30001087</t>
        </is>
      </c>
      <c r="E469" t="inlineStr">
        <is>
          <t>ussd_funeral_leads_altitude_20260619</t>
        </is>
      </c>
      <c r="J469" t="inlineStr">
        <is>
          <t>AA</t>
        </is>
      </c>
      <c r="K469" t="inlineStr">
        <is>
          <t>Answering Machine Autodial</t>
        </is>
      </c>
      <c r="L469" t="n">
        <v>3</v>
      </c>
      <c r="M469" t="inlineStr">
        <is>
          <t>2026-06-24 07:24:18</t>
        </is>
      </c>
      <c r="N469" t="inlineStr">
        <is>
          <t>system</t>
        </is>
      </c>
      <c r="O469" t="inlineStr">
        <is>
          <t>2026-06-19 07:10:32</t>
        </is>
      </c>
      <c r="P469" t="inlineStr">
        <is>
          <t>2026-06-19 07:10:32</t>
        </is>
      </c>
      <c r="Y469" t="inlineStr">
        <is>
          <t>27722864655</t>
        </is>
      </c>
    </row>
    <row r="470">
      <c r="A470" t="inlineStr">
        <is>
          <t>14943501</t>
        </is>
      </c>
      <c r="B470" t="inlineStr">
        <is>
          <t>6cfe2c31-8785-4efe-b2c9-ebee0e056ba4</t>
        </is>
      </c>
      <c r="D470" t="inlineStr">
        <is>
          <t>30001087</t>
        </is>
      </c>
      <c r="E470" t="inlineStr">
        <is>
          <t>ussd_funeral_leads_altitude_20260619</t>
        </is>
      </c>
      <c r="J470" t="inlineStr">
        <is>
          <t>AA</t>
        </is>
      </c>
      <c r="K470" t="inlineStr">
        <is>
          <t>Answering Machine Autodial</t>
        </is>
      </c>
      <c r="L470" t="n">
        <v>3</v>
      </c>
      <c r="M470" t="inlineStr">
        <is>
          <t>2026-06-24 07:24:18</t>
        </is>
      </c>
      <c r="N470" t="inlineStr">
        <is>
          <t>system</t>
        </is>
      </c>
      <c r="O470" t="inlineStr">
        <is>
          <t>2026-06-19 07:10:32</t>
        </is>
      </c>
      <c r="P470" t="inlineStr">
        <is>
          <t>2026-06-19 07:10:32</t>
        </is>
      </c>
      <c r="Y470" t="inlineStr">
        <is>
          <t>27715210461</t>
        </is>
      </c>
    </row>
    <row r="471">
      <c r="A471" t="inlineStr">
        <is>
          <t>14943499</t>
        </is>
      </c>
      <c r="B471" t="inlineStr">
        <is>
          <t>5d0ff8dc-e88c-48d0-83f3-2b43ca6f9175</t>
        </is>
      </c>
      <c r="D471" t="inlineStr">
        <is>
          <t>30001087</t>
        </is>
      </c>
      <c r="E471" t="inlineStr">
        <is>
          <t>ussd_funeral_leads_altitude_20260619</t>
        </is>
      </c>
      <c r="J471" t="inlineStr">
        <is>
          <t>AA</t>
        </is>
      </c>
      <c r="K471" t="inlineStr">
        <is>
          <t>Answering Machine Autodial</t>
        </is>
      </c>
      <c r="L471" t="n">
        <v>3</v>
      </c>
      <c r="M471" t="inlineStr">
        <is>
          <t>2026-06-24 07:24:11</t>
        </is>
      </c>
      <c r="N471" t="inlineStr">
        <is>
          <t>system</t>
        </is>
      </c>
      <c r="O471" t="inlineStr">
        <is>
          <t>2026-06-19 07:10:32</t>
        </is>
      </c>
      <c r="P471" t="inlineStr">
        <is>
          <t>2026-06-19 07:10:32</t>
        </is>
      </c>
      <c r="Y471" t="inlineStr">
        <is>
          <t>27725268629</t>
        </is>
      </c>
    </row>
    <row r="472">
      <c r="A472" t="inlineStr">
        <is>
          <t>14943494</t>
        </is>
      </c>
      <c r="B472" t="inlineStr">
        <is>
          <t>485faaca-4f32-472c-aac1-0b20b4f7ad71</t>
        </is>
      </c>
      <c r="D472" t="inlineStr">
        <is>
          <t>30001087</t>
        </is>
      </c>
      <c r="E472" t="inlineStr">
        <is>
          <t>ussd_funeral_leads_altitude_20260619</t>
        </is>
      </c>
      <c r="J472" t="inlineStr">
        <is>
          <t>AA</t>
        </is>
      </c>
      <c r="K472" t="inlineStr">
        <is>
          <t>Answering Machine Autodial</t>
        </is>
      </c>
      <c r="L472" t="n">
        <v>3</v>
      </c>
      <c r="M472" t="inlineStr">
        <is>
          <t>2026-06-24 07:24:09</t>
        </is>
      </c>
      <c r="N472" t="inlineStr">
        <is>
          <t>system</t>
        </is>
      </c>
      <c r="O472" t="inlineStr">
        <is>
          <t>2026-06-19 07:10:32</t>
        </is>
      </c>
      <c r="P472" t="inlineStr">
        <is>
          <t>2026-06-19 07:10:32</t>
        </is>
      </c>
      <c r="Y472" t="inlineStr">
        <is>
          <t>27673065777</t>
        </is>
      </c>
    </row>
    <row r="473">
      <c r="A473" t="inlineStr">
        <is>
          <t>14943496</t>
        </is>
      </c>
      <c r="B473" t="inlineStr">
        <is>
          <t>4ecd9366-61d5-4320-b968-c8384603775f</t>
        </is>
      </c>
      <c r="D473" t="inlineStr">
        <is>
          <t>30001087</t>
        </is>
      </c>
      <c r="E473" t="inlineStr">
        <is>
          <t>ussd_funeral_leads_altitude_20260619</t>
        </is>
      </c>
      <c r="J473" t="inlineStr">
        <is>
          <t>AA</t>
        </is>
      </c>
      <c r="K473" t="inlineStr">
        <is>
          <t>Answering Machine Autodial</t>
        </is>
      </c>
      <c r="L473" t="n">
        <v>3</v>
      </c>
      <c r="M473" t="inlineStr">
        <is>
          <t>2026-06-24 07:24:09</t>
        </is>
      </c>
      <c r="N473" t="inlineStr">
        <is>
          <t>system</t>
        </is>
      </c>
      <c r="O473" t="inlineStr">
        <is>
          <t>2026-06-19 07:10:32</t>
        </is>
      </c>
      <c r="P473" t="inlineStr">
        <is>
          <t>2026-06-19 07:10:32</t>
        </is>
      </c>
      <c r="Y473" t="inlineStr">
        <is>
          <t>27661890183</t>
        </is>
      </c>
    </row>
    <row r="474">
      <c r="A474" t="inlineStr">
        <is>
          <t>14943498</t>
        </is>
      </c>
      <c r="B474" t="inlineStr">
        <is>
          <t>ab4d45ba-6c7b-466a-9efb-5de97e9156ec</t>
        </is>
      </c>
      <c r="D474" t="inlineStr">
        <is>
          <t>30001087</t>
        </is>
      </c>
      <c r="E474" t="inlineStr">
        <is>
          <t>ussd_funeral_leads_altitude_20260619</t>
        </is>
      </c>
      <c r="J474" t="inlineStr">
        <is>
          <t>NA</t>
        </is>
      </c>
      <c r="K474" t="inlineStr">
        <is>
          <t>No Answer Autodial</t>
        </is>
      </c>
      <c r="L474" t="n">
        <v>3</v>
      </c>
      <c r="M474" t="inlineStr">
        <is>
          <t>2026-06-24 07:24:09</t>
        </is>
      </c>
      <c r="N474" t="inlineStr">
        <is>
          <t>system</t>
        </is>
      </c>
      <c r="O474" t="inlineStr">
        <is>
          <t>2026-06-19 07:10:32</t>
        </is>
      </c>
      <c r="P474" t="inlineStr">
        <is>
          <t>2026-06-19 07:10:32</t>
        </is>
      </c>
      <c r="Y474" t="inlineStr">
        <is>
          <t>27795765323</t>
        </is>
      </c>
    </row>
    <row r="475">
      <c r="A475" t="inlineStr">
        <is>
          <t>14943491</t>
        </is>
      </c>
      <c r="B475" t="inlineStr">
        <is>
          <t>fef89a8b-bc5c-400f-a4a4-d4a6d40c2c0d</t>
        </is>
      </c>
      <c r="D475" t="inlineStr">
        <is>
          <t>30001087</t>
        </is>
      </c>
      <c r="E475" t="inlineStr">
        <is>
          <t>ussd_funeral_leads_altitude_20260619</t>
        </is>
      </c>
      <c r="J475" t="inlineStr">
        <is>
          <t>AA</t>
        </is>
      </c>
      <c r="K475" t="inlineStr">
        <is>
          <t>Answering Machine Autodial</t>
        </is>
      </c>
      <c r="L475" t="n">
        <v>3</v>
      </c>
      <c r="M475" t="inlineStr">
        <is>
          <t>2026-06-24 07:23:54</t>
        </is>
      </c>
      <c r="N475" t="inlineStr">
        <is>
          <t>system</t>
        </is>
      </c>
      <c r="O475" t="inlineStr">
        <is>
          <t>2026-06-19 07:10:32</t>
        </is>
      </c>
      <c r="P475" t="inlineStr">
        <is>
          <t>2026-06-19 07:10:32</t>
        </is>
      </c>
      <c r="Y475" t="inlineStr">
        <is>
          <t>27663573731</t>
        </is>
      </c>
    </row>
    <row r="476">
      <c r="A476" t="inlineStr">
        <is>
          <t>14943492</t>
        </is>
      </c>
      <c r="B476" t="inlineStr">
        <is>
          <t>6bf3e2e8-841c-473c-a2d7-2ae10d417a0b</t>
        </is>
      </c>
      <c r="D476" t="inlineStr">
        <is>
          <t>30001087</t>
        </is>
      </c>
      <c r="E476" t="inlineStr">
        <is>
          <t>ussd_funeral_leads_altitude_20260619</t>
        </is>
      </c>
      <c r="J476" t="inlineStr">
        <is>
          <t>AA</t>
        </is>
      </c>
      <c r="K476" t="inlineStr">
        <is>
          <t>Answering Machine Autodial</t>
        </is>
      </c>
      <c r="L476" t="n">
        <v>3</v>
      </c>
      <c r="M476" t="inlineStr">
        <is>
          <t>2026-06-24 07:23:54</t>
        </is>
      </c>
      <c r="N476" t="inlineStr">
        <is>
          <t>system</t>
        </is>
      </c>
      <c r="O476" t="inlineStr">
        <is>
          <t>2026-06-19 07:10:32</t>
        </is>
      </c>
      <c r="P476" t="inlineStr">
        <is>
          <t>2026-06-19 07:10:32</t>
        </is>
      </c>
      <c r="Y476" t="inlineStr">
        <is>
          <t>27607452831</t>
        </is>
      </c>
    </row>
    <row r="477">
      <c r="A477" t="inlineStr">
        <is>
          <t>14943493</t>
        </is>
      </c>
      <c r="B477" t="inlineStr">
        <is>
          <t>cf04a2bc-d89e-4c06-9497-bccc1bcc1691</t>
        </is>
      </c>
      <c r="D477" t="inlineStr">
        <is>
          <t>30001087</t>
        </is>
      </c>
      <c r="E477" t="inlineStr">
        <is>
          <t>ussd_funeral_leads_altitude_20260619</t>
        </is>
      </c>
      <c r="J477" t="inlineStr">
        <is>
          <t>AA</t>
        </is>
      </c>
      <c r="K477" t="inlineStr">
        <is>
          <t>Answering Machine Autodial</t>
        </is>
      </c>
      <c r="L477" t="n">
        <v>3</v>
      </c>
      <c r="M477" t="inlineStr">
        <is>
          <t>2026-06-24 07:23:54</t>
        </is>
      </c>
      <c r="N477" t="inlineStr">
        <is>
          <t>system</t>
        </is>
      </c>
      <c r="O477" t="inlineStr">
        <is>
          <t>2026-06-19 07:10:32</t>
        </is>
      </c>
      <c r="P477" t="inlineStr">
        <is>
          <t>2026-06-19 07:10:32</t>
        </is>
      </c>
      <c r="Y477" t="inlineStr">
        <is>
          <t>27609187496</t>
        </is>
      </c>
    </row>
    <row r="478">
      <c r="A478" t="inlineStr">
        <is>
          <t>14943490</t>
        </is>
      </c>
      <c r="B478" t="inlineStr">
        <is>
          <t>00590a98-fe61-4934-9ca7-30d7d93205fe</t>
        </is>
      </c>
      <c r="D478" t="inlineStr">
        <is>
          <t>30001087</t>
        </is>
      </c>
      <c r="E478" t="inlineStr">
        <is>
          <t>ussd_funeral_leads_altitude_20260619</t>
        </is>
      </c>
      <c r="J478" t="inlineStr">
        <is>
          <t>AA</t>
        </is>
      </c>
      <c r="K478" t="inlineStr">
        <is>
          <t>Answering Machine Autodial</t>
        </is>
      </c>
      <c r="L478" t="n">
        <v>3</v>
      </c>
      <c r="M478" t="inlineStr">
        <is>
          <t>2026-06-24 07:23:52</t>
        </is>
      </c>
      <c r="N478" t="inlineStr">
        <is>
          <t>system</t>
        </is>
      </c>
      <c r="O478" t="inlineStr">
        <is>
          <t>2026-06-19 07:10:32</t>
        </is>
      </c>
      <c r="P478" t="inlineStr">
        <is>
          <t>2026-06-19 07:10:32</t>
        </is>
      </c>
      <c r="Y478" t="inlineStr">
        <is>
          <t>27646397472</t>
        </is>
      </c>
    </row>
    <row r="479">
      <c r="A479" t="inlineStr">
        <is>
          <t>14947607</t>
        </is>
      </c>
      <c r="B479" t="inlineStr">
        <is>
          <t>3758b7c0-5e26-4365-8644-50c79c067bbb</t>
        </is>
      </c>
      <c r="D479" t="inlineStr">
        <is>
          <t>30001087</t>
        </is>
      </c>
      <c r="E479" t="inlineStr">
        <is>
          <t>ussd_funeral_leads_altitude_20260619</t>
        </is>
      </c>
      <c r="J479" t="inlineStr">
        <is>
          <t>AA</t>
        </is>
      </c>
      <c r="K479" t="inlineStr">
        <is>
          <t>Answering Machine Autodial</t>
        </is>
      </c>
      <c r="L479" t="n">
        <v>3</v>
      </c>
      <c r="M479" t="inlineStr">
        <is>
          <t>2026-06-24 07:23:51</t>
        </is>
      </c>
      <c r="N479" t="inlineStr">
        <is>
          <t>system</t>
        </is>
      </c>
      <c r="O479" t="inlineStr">
        <is>
          <t>2026-06-19 07:10:32</t>
        </is>
      </c>
      <c r="P479" t="inlineStr">
        <is>
          <t>2026-06-19 07:10:32</t>
        </is>
      </c>
      <c r="Y479" t="inlineStr">
        <is>
          <t>27637014560</t>
        </is>
      </c>
    </row>
    <row r="480">
      <c r="A480" t="inlineStr">
        <is>
          <t>14943486</t>
        </is>
      </c>
      <c r="B480" t="inlineStr">
        <is>
          <t>12230343-5510-425f-9f09-57688c8bbbf4</t>
        </is>
      </c>
      <c r="D480" t="inlineStr">
        <is>
          <t>30001087</t>
        </is>
      </c>
      <c r="E480" t="inlineStr">
        <is>
          <t>ussd_funeral_leads_altitude_20260619</t>
        </is>
      </c>
      <c r="J480" t="inlineStr">
        <is>
          <t>AA</t>
        </is>
      </c>
      <c r="K480" t="inlineStr">
        <is>
          <t>Answering Machine Autodial</t>
        </is>
      </c>
      <c r="L480" t="n">
        <v>3</v>
      </c>
      <c r="M480" t="inlineStr">
        <is>
          <t>2026-06-24 07:23:49</t>
        </is>
      </c>
      <c r="N480" t="inlineStr">
        <is>
          <t>system</t>
        </is>
      </c>
      <c r="O480" t="inlineStr">
        <is>
          <t>2026-06-19 07:10:32</t>
        </is>
      </c>
      <c r="P480" t="inlineStr">
        <is>
          <t>2026-06-19 07:10:32</t>
        </is>
      </c>
      <c r="Y480" t="inlineStr">
        <is>
          <t>27648722862</t>
        </is>
      </c>
    </row>
    <row r="481">
      <c r="A481" t="inlineStr">
        <is>
          <t>14943487</t>
        </is>
      </c>
      <c r="B481" t="inlineStr">
        <is>
          <t>84e9e22c-fc8b-48c5-a188-0a7d46af080a</t>
        </is>
      </c>
      <c r="D481" t="inlineStr">
        <is>
          <t>30001087</t>
        </is>
      </c>
      <c r="E481" t="inlineStr">
        <is>
          <t>ussd_funeral_leads_altitude_20260619</t>
        </is>
      </c>
      <c r="J481" t="inlineStr">
        <is>
          <t>AA</t>
        </is>
      </c>
      <c r="K481" t="inlineStr">
        <is>
          <t>Answering Machine Autodial</t>
        </is>
      </c>
      <c r="L481" t="n">
        <v>3</v>
      </c>
      <c r="M481" t="inlineStr">
        <is>
          <t>2026-06-24 07:23:49</t>
        </is>
      </c>
      <c r="N481" t="inlineStr">
        <is>
          <t>system</t>
        </is>
      </c>
      <c r="O481" t="inlineStr">
        <is>
          <t>2026-06-19 07:10:32</t>
        </is>
      </c>
      <c r="P481" t="inlineStr">
        <is>
          <t>2026-06-19 07:10:32</t>
        </is>
      </c>
      <c r="Y481" t="inlineStr">
        <is>
          <t>27609499799</t>
        </is>
      </c>
    </row>
    <row r="482">
      <c r="A482" t="inlineStr">
        <is>
          <t>14900000</t>
        </is>
      </c>
      <c r="B482" t="inlineStr">
        <is>
          <t>e660040e-4983-45cf-9fe9-5dce0a597088</t>
        </is>
      </c>
      <c r="D482" t="inlineStr">
        <is>
          <t>30001087</t>
        </is>
      </c>
      <c r="E482" t="inlineStr">
        <is>
          <t>ussd_funeral_leads_altitude_20260619</t>
        </is>
      </c>
      <c r="J482" t="inlineStr">
        <is>
          <t>AA</t>
        </is>
      </c>
      <c r="K482" t="inlineStr">
        <is>
          <t>Answering Machine Autodial</t>
        </is>
      </c>
      <c r="L482" t="n">
        <v>3</v>
      </c>
      <c r="M482" t="inlineStr">
        <is>
          <t>2026-06-24 07:23:46</t>
        </is>
      </c>
      <c r="N482" t="inlineStr">
        <is>
          <t>system</t>
        </is>
      </c>
      <c r="O482" t="inlineStr">
        <is>
          <t>2026-06-19 07:10:32</t>
        </is>
      </c>
      <c r="P482" t="inlineStr">
        <is>
          <t>2026-06-19 07:10:32</t>
        </is>
      </c>
      <c r="Y482" t="inlineStr">
        <is>
          <t>27607858395</t>
        </is>
      </c>
    </row>
    <row r="483">
      <c r="A483" t="inlineStr">
        <is>
          <t>14943484</t>
        </is>
      </c>
      <c r="B483" t="inlineStr">
        <is>
          <t>b891eaba-2c38-4609-bc6f-ec450bbef7b2</t>
        </is>
      </c>
      <c r="D483" t="inlineStr">
        <is>
          <t>30001087</t>
        </is>
      </c>
      <c r="E483" t="inlineStr">
        <is>
          <t>ussd_funeral_leads_altitude_20260619</t>
        </is>
      </c>
      <c r="J483" t="inlineStr">
        <is>
          <t>TDN</t>
        </is>
      </c>
      <c r="K483" t="inlineStr">
        <is>
          <t>Temporary Disconnected Number</t>
        </is>
      </c>
      <c r="L483" t="n">
        <v>3</v>
      </c>
      <c r="M483" t="inlineStr">
        <is>
          <t>2026-06-24 07:23:46</t>
        </is>
      </c>
      <c r="N483" t="inlineStr">
        <is>
          <t>system</t>
        </is>
      </c>
      <c r="O483" t="inlineStr">
        <is>
          <t>2026-06-19 07:10:32</t>
        </is>
      </c>
      <c r="P483" t="inlineStr">
        <is>
          <t>2026-06-19 07:10:32</t>
        </is>
      </c>
      <c r="Y483" t="inlineStr">
        <is>
          <t>27609120931</t>
        </is>
      </c>
    </row>
    <row r="484">
      <c r="A484" t="inlineStr">
        <is>
          <t>14943485</t>
        </is>
      </c>
      <c r="B484" t="inlineStr">
        <is>
          <t>d9b1c476-4c4e-4720-8bc2-a14e5bd7c46a</t>
        </is>
      </c>
      <c r="D484" t="inlineStr">
        <is>
          <t>30001087</t>
        </is>
      </c>
      <c r="E484" t="inlineStr">
        <is>
          <t>ussd_funeral_leads_altitude_20260619</t>
        </is>
      </c>
      <c r="J484" t="inlineStr">
        <is>
          <t>AA</t>
        </is>
      </c>
      <c r="K484" t="inlineStr">
        <is>
          <t>Answering Machine Autodial</t>
        </is>
      </c>
      <c r="L484" t="n">
        <v>3</v>
      </c>
      <c r="M484" t="inlineStr">
        <is>
          <t>2026-06-24 07:23:46</t>
        </is>
      </c>
      <c r="N484" t="inlineStr">
        <is>
          <t>system</t>
        </is>
      </c>
      <c r="O484" t="inlineStr">
        <is>
          <t>2026-06-19 07:10:32</t>
        </is>
      </c>
      <c r="P484" t="inlineStr">
        <is>
          <t>2026-06-19 07:10:32</t>
        </is>
      </c>
      <c r="Y484" t="inlineStr">
        <is>
          <t>27764100279</t>
        </is>
      </c>
    </row>
    <row r="485">
      <c r="A485" t="inlineStr">
        <is>
          <t>14943482</t>
        </is>
      </c>
      <c r="B485" t="inlineStr">
        <is>
          <t>05098ecf-b5ec-46da-b07d-a9402c2589be</t>
        </is>
      </c>
      <c r="D485" t="inlineStr">
        <is>
          <t>30001087</t>
        </is>
      </c>
      <c r="E485" t="inlineStr">
        <is>
          <t>ussd_funeral_leads_altitude_20260619</t>
        </is>
      </c>
      <c r="J485" t="inlineStr">
        <is>
          <t>ADC</t>
        </is>
      </c>
      <c r="K485" t="inlineStr">
        <is>
          <t>Auto Dial Disconnected</t>
        </is>
      </c>
      <c r="L485" t="n">
        <v>3</v>
      </c>
      <c r="M485" t="inlineStr">
        <is>
          <t>2026-06-24 07:23:44</t>
        </is>
      </c>
      <c r="N485" t="inlineStr">
        <is>
          <t>system</t>
        </is>
      </c>
      <c r="O485" t="inlineStr">
        <is>
          <t>2026-06-19 07:10:32</t>
        </is>
      </c>
      <c r="P485" t="inlineStr">
        <is>
          <t>2026-06-19 07:10:32</t>
        </is>
      </c>
      <c r="Y485" t="inlineStr">
        <is>
          <t>27790250623</t>
        </is>
      </c>
    </row>
    <row r="486">
      <c r="A486" t="inlineStr">
        <is>
          <t>14943481</t>
        </is>
      </c>
      <c r="B486" t="inlineStr">
        <is>
          <t>6d899c50-f509-40be-b9f7-7546af46f5c8</t>
        </is>
      </c>
      <c r="D486" t="inlineStr">
        <is>
          <t>30001087</t>
        </is>
      </c>
      <c r="E486" t="inlineStr">
        <is>
          <t>ussd_funeral_leads_altitude_20260619</t>
        </is>
      </c>
      <c r="J486" t="inlineStr">
        <is>
          <t>AA</t>
        </is>
      </c>
      <c r="K486" t="inlineStr">
        <is>
          <t>Answering Machine Autodial</t>
        </is>
      </c>
      <c r="L486" t="n">
        <v>3</v>
      </c>
      <c r="M486" t="inlineStr">
        <is>
          <t>2026-06-24 07:23:43</t>
        </is>
      </c>
      <c r="N486" t="inlineStr">
        <is>
          <t>system</t>
        </is>
      </c>
      <c r="O486" t="inlineStr">
        <is>
          <t>2026-06-19 07:10:32</t>
        </is>
      </c>
      <c r="P486" t="inlineStr">
        <is>
          <t>2026-06-19 07:10:32</t>
        </is>
      </c>
      <c r="Y486" t="inlineStr">
        <is>
          <t>27760486654</t>
        </is>
      </c>
    </row>
    <row r="487">
      <c r="A487" t="inlineStr">
        <is>
          <t>14943479</t>
        </is>
      </c>
      <c r="B487" t="inlineStr">
        <is>
          <t>24f605aa-f079-4f50-934f-39c802117e62</t>
        </is>
      </c>
      <c r="D487" t="inlineStr">
        <is>
          <t>30001087</t>
        </is>
      </c>
      <c r="E487" t="inlineStr">
        <is>
          <t>ussd_funeral_leads_altitude_20260619</t>
        </is>
      </c>
      <c r="J487" t="inlineStr">
        <is>
          <t>AA</t>
        </is>
      </c>
      <c r="K487" t="inlineStr">
        <is>
          <t>Answering Machine Autodial</t>
        </is>
      </c>
      <c r="L487" t="n">
        <v>3</v>
      </c>
      <c r="M487" t="inlineStr">
        <is>
          <t>2026-06-24 07:23:40</t>
        </is>
      </c>
      <c r="N487" t="inlineStr">
        <is>
          <t>system</t>
        </is>
      </c>
      <c r="O487" t="inlineStr">
        <is>
          <t>2026-06-19 07:10:32</t>
        </is>
      </c>
      <c r="P487" t="inlineStr">
        <is>
          <t>2026-06-19 07:10:32</t>
        </is>
      </c>
      <c r="Y487" t="inlineStr">
        <is>
          <t>27674240927</t>
        </is>
      </c>
    </row>
    <row r="488">
      <c r="A488" t="inlineStr">
        <is>
          <t>14943480</t>
        </is>
      </c>
      <c r="B488" t="inlineStr">
        <is>
          <t>285fdc95-3d87-4f97-92c5-864d399f459f</t>
        </is>
      </c>
      <c r="D488" t="inlineStr">
        <is>
          <t>30001087</t>
        </is>
      </c>
      <c r="E488" t="inlineStr">
        <is>
          <t>ussd_funeral_leads_altitude_20260619</t>
        </is>
      </c>
      <c r="J488" t="inlineStr">
        <is>
          <t>AA</t>
        </is>
      </c>
      <c r="K488" t="inlineStr">
        <is>
          <t>Answering Machine Autodial</t>
        </is>
      </c>
      <c r="L488" t="n">
        <v>3</v>
      </c>
      <c r="M488" t="inlineStr">
        <is>
          <t>2026-06-24 07:23:40</t>
        </is>
      </c>
      <c r="N488" t="inlineStr">
        <is>
          <t>system</t>
        </is>
      </c>
      <c r="O488" t="inlineStr">
        <is>
          <t>2026-06-19 07:10:32</t>
        </is>
      </c>
      <c r="P488" t="inlineStr">
        <is>
          <t>2026-06-19 07:10:32</t>
        </is>
      </c>
      <c r="Y488" t="inlineStr">
        <is>
          <t>27761429471</t>
        </is>
      </c>
    </row>
    <row r="489">
      <c r="A489" t="inlineStr">
        <is>
          <t>14943477</t>
        </is>
      </c>
      <c r="B489" t="inlineStr">
        <is>
          <t>a7c3f61d-59f2-4fcc-8bfe-c1b6b99e23fd</t>
        </is>
      </c>
      <c r="D489" t="inlineStr">
        <is>
          <t>30001087</t>
        </is>
      </c>
      <c r="E489" t="inlineStr">
        <is>
          <t>ussd_funeral_leads_altitude_20260619</t>
        </is>
      </c>
      <c r="J489" t="inlineStr">
        <is>
          <t>TDN</t>
        </is>
      </c>
      <c r="K489" t="inlineStr">
        <is>
          <t>Temporary Disconnected Number</t>
        </is>
      </c>
      <c r="L489" t="n">
        <v>3</v>
      </c>
      <c r="M489" t="inlineStr">
        <is>
          <t>2026-06-24 07:23:39</t>
        </is>
      </c>
      <c r="N489" t="inlineStr">
        <is>
          <t>system</t>
        </is>
      </c>
      <c r="O489" t="inlineStr">
        <is>
          <t>2026-06-19 07:10:32</t>
        </is>
      </c>
      <c r="P489" t="inlineStr">
        <is>
          <t>2026-06-19 07:10:32</t>
        </is>
      </c>
      <c r="Y489" t="inlineStr">
        <is>
          <t>27663786800</t>
        </is>
      </c>
    </row>
    <row r="490">
      <c r="A490" t="inlineStr">
        <is>
          <t>14943478</t>
        </is>
      </c>
      <c r="B490" t="inlineStr">
        <is>
          <t>ed1bb268-457c-4274-bdf4-7197021d484f</t>
        </is>
      </c>
      <c r="D490" t="inlineStr">
        <is>
          <t>30001087</t>
        </is>
      </c>
      <c r="E490" t="inlineStr">
        <is>
          <t>ussd_funeral_leads_altitude_20260619</t>
        </is>
      </c>
      <c r="J490" t="inlineStr">
        <is>
          <t>AA</t>
        </is>
      </c>
      <c r="K490" t="inlineStr">
        <is>
          <t>Answering Machine Autodial</t>
        </is>
      </c>
      <c r="L490" t="n">
        <v>3</v>
      </c>
      <c r="M490" t="inlineStr">
        <is>
          <t>2026-06-24 07:23:39</t>
        </is>
      </c>
      <c r="N490" t="inlineStr">
        <is>
          <t>system</t>
        </is>
      </c>
      <c r="O490" t="inlineStr">
        <is>
          <t>2026-06-19 07:10:32</t>
        </is>
      </c>
      <c r="P490" t="inlineStr">
        <is>
          <t>2026-06-19 07:10:32</t>
        </is>
      </c>
      <c r="Y490" t="inlineStr">
        <is>
          <t>27795393193</t>
        </is>
      </c>
    </row>
    <row r="491">
      <c r="A491" t="inlineStr">
        <is>
          <t>14943476</t>
        </is>
      </c>
      <c r="B491" t="inlineStr">
        <is>
          <t>ae426517-3782-4b8c-9d5b-7c444d9228dd</t>
        </is>
      </c>
      <c r="D491" t="inlineStr">
        <is>
          <t>30001087</t>
        </is>
      </c>
      <c r="E491" t="inlineStr">
        <is>
          <t>ussd_funeral_leads_altitude_20260619</t>
        </is>
      </c>
      <c r="J491" t="inlineStr">
        <is>
          <t>TDN</t>
        </is>
      </c>
      <c r="K491" t="inlineStr">
        <is>
          <t>Temporary Disconnected Number</t>
        </is>
      </c>
      <c r="L491" t="n">
        <v>3</v>
      </c>
      <c r="M491" t="inlineStr">
        <is>
          <t>2026-06-24 07:23:37</t>
        </is>
      </c>
      <c r="N491" t="inlineStr">
        <is>
          <t>system</t>
        </is>
      </c>
      <c r="O491" t="inlineStr">
        <is>
          <t>2026-06-19 07:10:32</t>
        </is>
      </c>
      <c r="P491" t="inlineStr">
        <is>
          <t>2026-06-19 07:10:32</t>
        </is>
      </c>
      <c r="Y491" t="inlineStr">
        <is>
          <t>27761448808</t>
        </is>
      </c>
    </row>
    <row r="492">
      <c r="A492" t="inlineStr">
        <is>
          <t>14943475</t>
        </is>
      </c>
      <c r="B492" t="inlineStr">
        <is>
          <t>d7e273a7-29cd-4f0c-b437-b102a69507c5</t>
        </is>
      </c>
      <c r="D492" t="inlineStr">
        <is>
          <t>30001087</t>
        </is>
      </c>
      <c r="E492" t="inlineStr">
        <is>
          <t>ussd_funeral_leads_altitude_20260619</t>
        </is>
      </c>
      <c r="J492" t="inlineStr">
        <is>
          <t>ADC</t>
        </is>
      </c>
      <c r="K492" t="inlineStr">
        <is>
          <t>Auto Dial Disconnected</t>
        </is>
      </c>
      <c r="L492" t="n">
        <v>3</v>
      </c>
      <c r="M492" t="inlineStr">
        <is>
          <t>2026-06-24 07:23:36</t>
        </is>
      </c>
      <c r="N492" t="inlineStr">
        <is>
          <t>system</t>
        </is>
      </c>
      <c r="O492" t="inlineStr">
        <is>
          <t>2026-06-19 07:10:32</t>
        </is>
      </c>
      <c r="P492" t="inlineStr">
        <is>
          <t>2026-06-19 07:10:32</t>
        </is>
      </c>
      <c r="Y492" t="inlineStr">
        <is>
          <t>27764388263</t>
        </is>
      </c>
    </row>
    <row r="493">
      <c r="A493" t="inlineStr">
        <is>
          <t>14943473</t>
        </is>
      </c>
      <c r="B493" t="inlineStr">
        <is>
          <t>a105fb28-fc6d-45fc-b553-6ea4507ea398</t>
        </is>
      </c>
      <c r="D493" t="inlineStr">
        <is>
          <t>30001087</t>
        </is>
      </c>
      <c r="E493" t="inlineStr">
        <is>
          <t>ussd_funeral_leads_altitude_20260619</t>
        </is>
      </c>
      <c r="J493" t="inlineStr">
        <is>
          <t>AA</t>
        </is>
      </c>
      <c r="K493" t="inlineStr">
        <is>
          <t>Answering Machine Autodial</t>
        </is>
      </c>
      <c r="L493" t="n">
        <v>3</v>
      </c>
      <c r="M493" t="inlineStr">
        <is>
          <t>2026-06-24 07:23:35</t>
        </is>
      </c>
      <c r="N493" t="inlineStr">
        <is>
          <t>system</t>
        </is>
      </c>
      <c r="O493" t="inlineStr">
        <is>
          <t>2026-06-19 07:10:32</t>
        </is>
      </c>
      <c r="P493" t="inlineStr">
        <is>
          <t>2026-06-19 07:10:32</t>
        </is>
      </c>
      <c r="Y493" t="inlineStr">
        <is>
          <t>27721123915</t>
        </is>
      </c>
    </row>
    <row r="494">
      <c r="A494" t="inlineStr">
        <is>
          <t>14943474</t>
        </is>
      </c>
      <c r="B494" t="inlineStr">
        <is>
          <t>d2f89f78-8d54-4f27-859d-655962d43adf</t>
        </is>
      </c>
      <c r="D494" t="inlineStr">
        <is>
          <t>30001087</t>
        </is>
      </c>
      <c r="E494" t="inlineStr">
        <is>
          <t>ussd_funeral_leads_altitude_20260619</t>
        </is>
      </c>
      <c r="J494" t="inlineStr">
        <is>
          <t>ADC</t>
        </is>
      </c>
      <c r="K494" t="inlineStr">
        <is>
          <t>Auto Dial Disconnected</t>
        </is>
      </c>
      <c r="L494" t="n">
        <v>3</v>
      </c>
      <c r="M494" t="inlineStr">
        <is>
          <t>2026-06-24 07:23:35</t>
        </is>
      </c>
      <c r="N494" t="inlineStr">
        <is>
          <t>system</t>
        </is>
      </c>
      <c r="O494" t="inlineStr">
        <is>
          <t>2026-06-19 07:10:32</t>
        </is>
      </c>
      <c r="P494" t="inlineStr">
        <is>
          <t>2026-06-19 07:10:32</t>
        </is>
      </c>
      <c r="Y494" t="inlineStr">
        <is>
          <t>27646691398</t>
        </is>
      </c>
    </row>
    <row r="495">
      <c r="A495" t="inlineStr">
        <is>
          <t>14947374</t>
        </is>
      </c>
      <c r="B495" t="inlineStr">
        <is>
          <t>08070ae5-3350-4a1a-981e-d2feefe70773</t>
        </is>
      </c>
      <c r="D495" t="inlineStr">
        <is>
          <t>30001087</t>
        </is>
      </c>
      <c r="E495" t="inlineStr">
        <is>
          <t>ussd_funeral_leads_altitude_20260619</t>
        </is>
      </c>
      <c r="H495" t="inlineStr">
        <is>
          <t>27637039480</t>
        </is>
      </c>
      <c r="J495" t="inlineStr">
        <is>
          <t>CU</t>
        </is>
      </c>
      <c r="K495" t="inlineStr">
        <is>
          <t>Client Hung Up</t>
        </is>
      </c>
      <c r="L495" t="n">
        <v>2</v>
      </c>
      <c r="M495" t="inlineStr">
        <is>
          <t>2026-06-24 07:08:31</t>
        </is>
      </c>
      <c r="N495" t="inlineStr">
        <is>
          <t>Vuyiswa Nxumalo</t>
        </is>
      </c>
      <c r="O495" t="inlineStr">
        <is>
          <t>2026-06-19 07:10:32</t>
        </is>
      </c>
      <c r="P495" t="inlineStr">
        <is>
          <t>2026-06-19 07:10:32</t>
        </is>
      </c>
      <c r="Y495" t="inlineStr">
        <is>
          <t>27637039480</t>
        </is>
      </c>
    </row>
    <row r="496">
      <c r="A496" t="inlineStr">
        <is>
          <t>14947089</t>
        </is>
      </c>
      <c r="B496" t="inlineStr">
        <is>
          <t>62c52741-f234-457e-bf4d-623110c055ae</t>
        </is>
      </c>
      <c r="D496" t="inlineStr">
        <is>
          <t>30001087</t>
        </is>
      </c>
      <c r="E496" t="inlineStr">
        <is>
          <t>ussd_funeral_leads_altitude_20260619</t>
        </is>
      </c>
      <c r="J496" t="inlineStr">
        <is>
          <t>CU</t>
        </is>
      </c>
      <c r="K496" t="inlineStr">
        <is>
          <t>Client Hung Up</t>
        </is>
      </c>
      <c r="L496" t="n">
        <v>4</v>
      </c>
      <c r="M496" t="inlineStr">
        <is>
          <t>2026-06-24 06:46:15</t>
        </is>
      </c>
      <c r="N496" t="inlineStr">
        <is>
          <t>Virginia Letsatsi</t>
        </is>
      </c>
      <c r="O496" t="inlineStr">
        <is>
          <t>2026-06-19 07:10:32</t>
        </is>
      </c>
      <c r="P496" t="inlineStr">
        <is>
          <t>2026-06-19 07:10:32</t>
        </is>
      </c>
      <c r="Y496" t="inlineStr">
        <is>
          <t>27772813266</t>
        </is>
      </c>
    </row>
    <row r="497">
      <c r="A497" t="inlineStr">
        <is>
          <t>14948027</t>
        </is>
      </c>
      <c r="B497" t="inlineStr">
        <is>
          <t>67568ecd-a405-41aa-9e66-94e47993bce3</t>
        </is>
      </c>
      <c r="D497" t="inlineStr">
        <is>
          <t>30001087</t>
        </is>
      </c>
      <c r="E497" t="inlineStr">
        <is>
          <t>ussd_funeral_leads_altitude_20260619</t>
        </is>
      </c>
      <c r="H497" t="inlineStr">
        <is>
          <t>27636016749</t>
        </is>
      </c>
      <c r="J497" t="inlineStr">
        <is>
          <t>A</t>
        </is>
      </c>
      <c r="K497" t="inlineStr">
        <is>
          <t>Answering Machine</t>
        </is>
      </c>
      <c r="L497" t="n">
        <v>4</v>
      </c>
      <c r="M497" t="inlineStr">
        <is>
          <t>2026-06-24 06:44:47</t>
        </is>
      </c>
      <c r="N497" t="inlineStr">
        <is>
          <t>Virginia Letsatsi</t>
        </is>
      </c>
      <c r="O497" t="inlineStr">
        <is>
          <t>2026-06-19 07:10:32</t>
        </is>
      </c>
      <c r="P497" t="inlineStr">
        <is>
          <t>2026-06-19 07:10:32</t>
        </is>
      </c>
      <c r="Y497" t="inlineStr">
        <is>
          <t>27636016749</t>
        </is>
      </c>
    </row>
    <row r="498">
      <c r="A498" t="inlineStr">
        <is>
          <t>14944553</t>
        </is>
      </c>
      <c r="B498" t="inlineStr">
        <is>
          <t>bd9935ea-e117-435c-8e7e-9309365d704c</t>
        </is>
      </c>
      <c r="D498" t="inlineStr">
        <is>
          <t>30001087</t>
        </is>
      </c>
      <c r="E498" t="inlineStr">
        <is>
          <t>ussd_funeral_leads_altitude_20260619</t>
        </is>
      </c>
      <c r="J498" t="inlineStr">
        <is>
          <t>N</t>
        </is>
      </c>
      <c r="K498" t="inlineStr">
        <is>
          <t>No Answer</t>
        </is>
      </c>
      <c r="L498" t="n">
        <v>4</v>
      </c>
      <c r="M498" t="inlineStr">
        <is>
          <t>2026-06-24 06:24:14</t>
        </is>
      </c>
      <c r="N498" t="inlineStr">
        <is>
          <t>Lebohang Mabotja</t>
        </is>
      </c>
      <c r="O498" t="inlineStr">
        <is>
          <t>2026-06-19 07:10:32</t>
        </is>
      </c>
      <c r="P498" t="inlineStr">
        <is>
          <t>2026-06-19 07:10:32</t>
        </is>
      </c>
      <c r="Y498" t="inlineStr">
        <is>
          <t>27647036914</t>
        </is>
      </c>
    </row>
    <row r="499">
      <c r="A499" t="inlineStr">
        <is>
          <t>14946013</t>
        </is>
      </c>
      <c r="B499" t="inlineStr">
        <is>
          <t>379548e1-67b2-495b-8b9e-3b766af0c111</t>
        </is>
      </c>
      <c r="D499" t="inlineStr">
        <is>
          <t>30001087</t>
        </is>
      </c>
      <c r="E499" t="inlineStr">
        <is>
          <t>ussd_funeral_leads_altitude_20260619</t>
        </is>
      </c>
      <c r="J499" t="inlineStr">
        <is>
          <t>N</t>
        </is>
      </c>
      <c r="K499" t="inlineStr">
        <is>
          <t>No Answer</t>
        </is>
      </c>
      <c r="L499" t="n">
        <v>4</v>
      </c>
      <c r="M499" t="inlineStr">
        <is>
          <t>2026-06-24 06:22:28</t>
        </is>
      </c>
      <c r="N499" t="inlineStr">
        <is>
          <t>Lebohang Mabotja</t>
        </is>
      </c>
      <c r="O499" t="inlineStr">
        <is>
          <t>2026-06-19 07:10:32</t>
        </is>
      </c>
      <c r="P499" t="inlineStr">
        <is>
          <t>2026-06-19 07:10:32</t>
        </is>
      </c>
      <c r="Y499" t="inlineStr">
        <is>
          <t>27766021322</t>
        </is>
      </c>
    </row>
    <row r="500">
      <c r="A500" t="inlineStr">
        <is>
          <t>14946425</t>
        </is>
      </c>
      <c r="B500" t="inlineStr">
        <is>
          <t>126e4e65-1101-412b-b110-3e5747890c19</t>
        </is>
      </c>
      <c r="D500" t="inlineStr">
        <is>
          <t>30001087</t>
        </is>
      </c>
      <c r="E500" t="inlineStr">
        <is>
          <t>ussd_funeral_leads_altitude_20260619</t>
        </is>
      </c>
      <c r="J500" t="inlineStr">
        <is>
          <t>GTTB</t>
        </is>
      </c>
      <c r="K500" t="inlineStr">
        <is>
          <t>Go To The Branch</t>
        </is>
      </c>
      <c r="L500" t="n">
        <v>4</v>
      </c>
      <c r="M500" t="inlineStr">
        <is>
          <t>2026-06-24 06:20:35</t>
        </is>
      </c>
      <c r="N500" t="inlineStr">
        <is>
          <t>Vuyiswa Nxumalo</t>
        </is>
      </c>
      <c r="O500" t="inlineStr">
        <is>
          <t>2026-06-19 07:10:32</t>
        </is>
      </c>
      <c r="P500" t="inlineStr">
        <is>
          <t>2026-06-19 07:10:32</t>
        </is>
      </c>
      <c r="Y500" t="inlineStr">
        <is>
          <t>27761593876</t>
        </is>
      </c>
    </row>
    <row r="501">
      <c r="A501" t="inlineStr">
        <is>
          <t>14942602</t>
        </is>
      </c>
      <c r="B501" t="inlineStr">
        <is>
          <t>539cf2ae-b0bf-4a35-bb7e-c5a8f4b0d8d3</t>
        </is>
      </c>
      <c r="D501" t="inlineStr">
        <is>
          <t>30001087</t>
        </is>
      </c>
      <c r="E501" t="inlineStr">
        <is>
          <t>ussd_funeral_leads_altitude_20260619</t>
        </is>
      </c>
      <c r="H501" t="inlineStr">
        <is>
          <t>27820808308</t>
        </is>
      </c>
      <c r="J501" t="inlineStr">
        <is>
          <t>AFTHRS</t>
        </is>
      </c>
      <c r="K501" t="inlineStr">
        <is>
          <t>Inbound After Hours Drop</t>
        </is>
      </c>
      <c r="L501" t="n">
        <v>3</v>
      </c>
      <c r="M501" t="inlineStr">
        <is>
          <t>2026-06-24 04:51:11</t>
        </is>
      </c>
      <c r="N501" t="inlineStr">
        <is>
          <t>system</t>
        </is>
      </c>
      <c r="O501" t="inlineStr">
        <is>
          <t>2026-06-19 07:10:32</t>
        </is>
      </c>
      <c r="P501" t="inlineStr">
        <is>
          <t>2026-06-19 07:10:32</t>
        </is>
      </c>
      <c r="Y501" t="inlineStr">
        <is>
          <t>27820808308</t>
        </is>
      </c>
    </row>
    <row r="502">
      <c r="A502" t="inlineStr">
        <is>
          <t>14947304</t>
        </is>
      </c>
      <c r="B502" t="inlineStr">
        <is>
          <t>1355dab1-d0d6-4899-95e0-7819b8b9c5c3</t>
        </is>
      </c>
      <c r="D502" t="inlineStr">
        <is>
          <t>30001087</t>
        </is>
      </c>
      <c r="E502" t="inlineStr">
        <is>
          <t>ussd_funeral_leads_altitude_20260619</t>
        </is>
      </c>
      <c r="H502" t="inlineStr">
        <is>
          <t>27825859445</t>
        </is>
      </c>
      <c r="J502" t="inlineStr">
        <is>
          <t>AFTHRS</t>
        </is>
      </c>
      <c r="K502" t="inlineStr">
        <is>
          <t>Inbound After Hours Drop</t>
        </is>
      </c>
      <c r="L502" t="n">
        <v>3</v>
      </c>
      <c r="M502" t="inlineStr">
        <is>
          <t>2026-06-23 20:06:31</t>
        </is>
      </c>
      <c r="N502" t="inlineStr">
        <is>
          <t>system</t>
        </is>
      </c>
      <c r="O502" t="inlineStr">
        <is>
          <t>2026-06-19 07:10:32</t>
        </is>
      </c>
      <c r="P502" t="inlineStr">
        <is>
          <t>2026-06-19 07:10:32</t>
        </is>
      </c>
      <c r="Y502" t="inlineStr">
        <is>
          <t>27825859445</t>
        </is>
      </c>
    </row>
    <row r="503">
      <c r="A503" t="inlineStr">
        <is>
          <t>14942712</t>
        </is>
      </c>
      <c r="B503" t="inlineStr">
        <is>
          <t>1444e40e-28d8-4fef-b38c-83310404cf4a</t>
        </is>
      </c>
      <c r="D503" t="inlineStr">
        <is>
          <t>30001087</t>
        </is>
      </c>
      <c r="E503" t="inlineStr">
        <is>
          <t>ussd_funeral_leads_altitude_20260619</t>
        </is>
      </c>
      <c r="H503" t="inlineStr">
        <is>
          <t>27606814228</t>
        </is>
      </c>
      <c r="J503" t="inlineStr">
        <is>
          <t>AFTHRS</t>
        </is>
      </c>
      <c r="K503" t="inlineStr">
        <is>
          <t>Inbound After Hours Drop</t>
        </is>
      </c>
      <c r="L503" t="n">
        <v>3</v>
      </c>
      <c r="M503" t="inlineStr">
        <is>
          <t>2026-06-23 18:04:03</t>
        </is>
      </c>
      <c r="N503" t="inlineStr">
        <is>
          <t>system</t>
        </is>
      </c>
      <c r="O503" t="inlineStr">
        <is>
          <t>2026-06-19 07:10:32</t>
        </is>
      </c>
      <c r="P503" t="inlineStr">
        <is>
          <t>2026-06-19 07:10:32</t>
        </is>
      </c>
      <c r="Y503" t="inlineStr">
        <is>
          <t>27606814228</t>
        </is>
      </c>
    </row>
    <row r="504">
      <c r="A504" t="inlineStr">
        <is>
          <t>14945977</t>
        </is>
      </c>
      <c r="B504" t="inlineStr">
        <is>
          <t>1829955c-e103-4811-b577-fdb295214183</t>
        </is>
      </c>
      <c r="D504" t="inlineStr">
        <is>
          <t>30001087</t>
        </is>
      </c>
      <c r="E504" t="inlineStr">
        <is>
          <t>ussd_funeral_leads_altitude_20260619</t>
        </is>
      </c>
      <c r="H504" t="inlineStr">
        <is>
          <t>27637388259</t>
        </is>
      </c>
      <c r="J504" t="inlineStr">
        <is>
          <t>IABDN</t>
        </is>
      </c>
      <c r="K504" t="inlineStr">
        <is>
          <t>Inbound Abandon</t>
        </is>
      </c>
      <c r="L504" t="n">
        <v>3</v>
      </c>
      <c r="M504" t="inlineStr">
        <is>
          <t>2026-06-23 16:05:15</t>
        </is>
      </c>
      <c r="N504" t="inlineStr">
        <is>
          <t>system</t>
        </is>
      </c>
      <c r="O504" t="inlineStr">
        <is>
          <t>2026-06-19 07:10:32</t>
        </is>
      </c>
      <c r="P504" t="inlineStr">
        <is>
          <t>2026-06-19 07:10:32</t>
        </is>
      </c>
      <c r="Y504" t="inlineStr">
        <is>
          <t>27637388259</t>
        </is>
      </c>
    </row>
    <row r="505">
      <c r="A505" t="inlineStr">
        <is>
          <t>14947075</t>
        </is>
      </c>
      <c r="B505" t="inlineStr">
        <is>
          <t>536d5b78-c3b7-4cbe-8a78-438c0e34bb21</t>
        </is>
      </c>
      <c r="D505" t="inlineStr">
        <is>
          <t>30001087</t>
        </is>
      </c>
      <c r="E505" t="inlineStr">
        <is>
          <t>ussd_funeral_leads_altitude_20260619</t>
        </is>
      </c>
      <c r="H505" t="inlineStr">
        <is>
          <t>27609364704</t>
        </is>
      </c>
      <c r="J505" t="inlineStr">
        <is>
          <t>IABDN</t>
        </is>
      </c>
      <c r="K505" t="inlineStr">
        <is>
          <t>Inbound Abandon</t>
        </is>
      </c>
      <c r="L505" t="n">
        <v>3</v>
      </c>
      <c r="M505" t="inlineStr">
        <is>
          <t>2026-06-23 16:02:52</t>
        </is>
      </c>
      <c r="N505" t="inlineStr">
        <is>
          <t>system</t>
        </is>
      </c>
      <c r="O505" t="inlineStr">
        <is>
          <t>2026-06-19 07:10:32</t>
        </is>
      </c>
      <c r="P505" t="inlineStr">
        <is>
          <t>2026-06-19 07:10:32</t>
        </is>
      </c>
      <c r="Y505" t="inlineStr">
        <is>
          <t>27609364704</t>
        </is>
      </c>
    </row>
    <row r="506">
      <c r="A506" t="inlineStr">
        <is>
          <t>14946517</t>
        </is>
      </c>
      <c r="B506" t="inlineStr">
        <is>
          <t>365a9839-5f4f-4b66-9725-1f97e1397f02</t>
        </is>
      </c>
      <c r="D506" t="inlineStr">
        <is>
          <t>30001087</t>
        </is>
      </c>
      <c r="E506" t="inlineStr">
        <is>
          <t>ussd_funeral_leads_altitude_20260619</t>
        </is>
      </c>
      <c r="H506" t="inlineStr">
        <is>
          <t>27766212020</t>
        </is>
      </c>
      <c r="J506" t="inlineStr">
        <is>
          <t>IABDN</t>
        </is>
      </c>
      <c r="K506" t="inlineStr">
        <is>
          <t>Inbound Abandon</t>
        </is>
      </c>
      <c r="L506" t="n">
        <v>3</v>
      </c>
      <c r="M506" t="inlineStr">
        <is>
          <t>2026-06-23 15:39:10</t>
        </is>
      </c>
      <c r="N506" t="inlineStr">
        <is>
          <t>system</t>
        </is>
      </c>
      <c r="O506" t="inlineStr">
        <is>
          <t>2026-06-19 07:10:32</t>
        </is>
      </c>
      <c r="P506" t="inlineStr">
        <is>
          <t>2026-06-19 07:10:32</t>
        </is>
      </c>
      <c r="Y506" t="inlineStr">
        <is>
          <t>27766212020</t>
        </is>
      </c>
    </row>
    <row r="507">
      <c r="A507" t="inlineStr">
        <is>
          <t>14947630</t>
        </is>
      </c>
      <c r="B507" t="inlineStr">
        <is>
          <t>bf7f52aa-2eb9-4fbc-943e-66ebbbc1313f</t>
        </is>
      </c>
      <c r="D507" t="inlineStr">
        <is>
          <t>30001087</t>
        </is>
      </c>
      <c r="E507" t="inlineStr">
        <is>
          <t>ussd_funeral_leads_altitude_20260619</t>
        </is>
      </c>
      <c r="J507" t="inlineStr">
        <is>
          <t>ADC</t>
        </is>
      </c>
      <c r="K507" t="inlineStr">
        <is>
          <t>Auto Dial Disconnected</t>
        </is>
      </c>
      <c r="L507" t="n">
        <v>3</v>
      </c>
      <c r="M507" t="inlineStr">
        <is>
          <t>2026-06-23 15:12:35</t>
        </is>
      </c>
      <c r="N507" t="inlineStr">
        <is>
          <t>system</t>
        </is>
      </c>
      <c r="O507" t="inlineStr">
        <is>
          <t>2026-06-19 07:10:32</t>
        </is>
      </c>
      <c r="P507" t="inlineStr">
        <is>
          <t>2026-06-19 07:10:32</t>
        </is>
      </c>
      <c r="Y507" t="inlineStr">
        <is>
          <t>27723812616</t>
        </is>
      </c>
    </row>
    <row r="508">
      <c r="A508" t="inlineStr">
        <is>
          <t>14947631</t>
        </is>
      </c>
      <c r="B508" t="inlineStr">
        <is>
          <t>36281133-3f2b-4fd4-883e-dfcaf82dd227</t>
        </is>
      </c>
      <c r="D508" t="inlineStr">
        <is>
          <t>30001087</t>
        </is>
      </c>
      <c r="E508" t="inlineStr">
        <is>
          <t>ussd_funeral_leads_altitude_20260619</t>
        </is>
      </c>
      <c r="J508" t="inlineStr">
        <is>
          <t>CU</t>
        </is>
      </c>
      <c r="K508" t="inlineStr">
        <is>
          <t>Client Hung Up</t>
        </is>
      </c>
      <c r="L508" t="n">
        <v>3</v>
      </c>
      <c r="M508" t="inlineStr">
        <is>
          <t>2026-06-23 15:12:29</t>
        </is>
      </c>
      <c r="N508" t="inlineStr">
        <is>
          <t>Goitsimang Mogwasa</t>
        </is>
      </c>
      <c r="O508" t="inlineStr">
        <is>
          <t>2026-06-19 07:10:32</t>
        </is>
      </c>
      <c r="P508" t="inlineStr">
        <is>
          <t>2026-06-19 07:10:32</t>
        </is>
      </c>
      <c r="Y508" t="inlineStr">
        <is>
          <t>27763403050</t>
        </is>
      </c>
    </row>
    <row r="509">
      <c r="A509" t="inlineStr">
        <is>
          <t>14947247</t>
        </is>
      </c>
      <c r="B509" t="inlineStr">
        <is>
          <t>f214c6e8-36dd-4054-84d3-744d4d42d101</t>
        </is>
      </c>
      <c r="D509" t="inlineStr">
        <is>
          <t>30001087</t>
        </is>
      </c>
      <c r="E509" t="inlineStr">
        <is>
          <t>ussd_funeral_leads_altitude_20260619</t>
        </is>
      </c>
      <c r="J509" t="inlineStr">
        <is>
          <t>NA</t>
        </is>
      </c>
      <c r="K509" t="inlineStr">
        <is>
          <t>No Answer Autodial</t>
        </is>
      </c>
      <c r="L509" t="n">
        <v>3</v>
      </c>
      <c r="M509" t="inlineStr">
        <is>
          <t>2026-06-23 15:12:24</t>
        </is>
      </c>
      <c r="N509" t="inlineStr">
        <is>
          <t>system</t>
        </is>
      </c>
      <c r="O509" t="inlineStr">
        <is>
          <t>2026-06-19 07:10:32</t>
        </is>
      </c>
      <c r="P509" t="inlineStr">
        <is>
          <t>2026-06-19 07:10:32</t>
        </is>
      </c>
      <c r="Y509" t="inlineStr">
        <is>
          <t>27773641917</t>
        </is>
      </c>
    </row>
    <row r="510">
      <c r="A510" t="inlineStr">
        <is>
          <t>14947632</t>
        </is>
      </c>
      <c r="B510" t="inlineStr">
        <is>
          <t>b4090011-8632-46c3-939f-d824a7b02de4</t>
        </is>
      </c>
      <c r="D510" t="inlineStr">
        <is>
          <t>30001087</t>
        </is>
      </c>
      <c r="E510" t="inlineStr">
        <is>
          <t>ussd_funeral_leads_altitude_20260619</t>
        </is>
      </c>
      <c r="J510" t="inlineStr">
        <is>
          <t>ADC</t>
        </is>
      </c>
      <c r="K510" t="inlineStr">
        <is>
          <t>Auto Dial Disconnected</t>
        </is>
      </c>
      <c r="L510" t="n">
        <v>3</v>
      </c>
      <c r="M510" t="inlineStr">
        <is>
          <t>2026-06-23 15:12:24</t>
        </is>
      </c>
      <c r="N510" t="inlineStr">
        <is>
          <t>system</t>
        </is>
      </c>
      <c r="O510" t="inlineStr">
        <is>
          <t>2026-06-19 07:10:32</t>
        </is>
      </c>
      <c r="P510" t="inlineStr">
        <is>
          <t>2026-06-19 07:10:32</t>
        </is>
      </c>
      <c r="Y510" t="inlineStr">
        <is>
          <t>27607420329</t>
        </is>
      </c>
    </row>
    <row r="511">
      <c r="A511" t="inlineStr">
        <is>
          <t>14947633</t>
        </is>
      </c>
      <c r="B511" t="inlineStr">
        <is>
          <t>c889cfe1-f90e-4afc-8579-b9f1a4cacd5c</t>
        </is>
      </c>
      <c r="D511" t="inlineStr">
        <is>
          <t>30001087</t>
        </is>
      </c>
      <c r="E511" t="inlineStr">
        <is>
          <t>ussd_funeral_leads_altitude_20260619</t>
        </is>
      </c>
      <c r="J511" t="inlineStr">
        <is>
          <t>ADC</t>
        </is>
      </c>
      <c r="K511" t="inlineStr">
        <is>
          <t>Auto Dial Disconnected</t>
        </is>
      </c>
      <c r="L511" t="n">
        <v>3</v>
      </c>
      <c r="M511" t="inlineStr">
        <is>
          <t>2026-06-23 15:12:24</t>
        </is>
      </c>
      <c r="N511" t="inlineStr">
        <is>
          <t>system</t>
        </is>
      </c>
      <c r="O511" t="inlineStr">
        <is>
          <t>2026-06-19 07:10:32</t>
        </is>
      </c>
      <c r="P511" t="inlineStr">
        <is>
          <t>2026-06-19 07:10:32</t>
        </is>
      </c>
      <c r="Y511" t="inlineStr">
        <is>
          <t>27665567683</t>
        </is>
      </c>
    </row>
    <row r="512">
      <c r="A512" t="inlineStr">
        <is>
          <t>14947634</t>
        </is>
      </c>
      <c r="B512" t="inlineStr">
        <is>
          <t>81b7cdf1-6e26-4b81-820a-a160ce6733bd</t>
        </is>
      </c>
      <c r="D512" t="inlineStr">
        <is>
          <t>30001087</t>
        </is>
      </c>
      <c r="E512" t="inlineStr">
        <is>
          <t>ussd_funeral_leads_altitude_20260619</t>
        </is>
      </c>
      <c r="J512" t="inlineStr">
        <is>
          <t>AA</t>
        </is>
      </c>
      <c r="K512" t="inlineStr">
        <is>
          <t>Answering Machine Autodial</t>
        </is>
      </c>
      <c r="L512" t="n">
        <v>3</v>
      </c>
      <c r="M512" t="inlineStr">
        <is>
          <t>2026-06-23 15:12:24</t>
        </is>
      </c>
      <c r="N512" t="inlineStr">
        <is>
          <t>system</t>
        </is>
      </c>
      <c r="O512" t="inlineStr">
        <is>
          <t>2026-06-19 07:10:32</t>
        </is>
      </c>
      <c r="P512" t="inlineStr">
        <is>
          <t>2026-06-19 07:10:32</t>
        </is>
      </c>
      <c r="Y512" t="inlineStr">
        <is>
          <t>27796963199</t>
        </is>
      </c>
    </row>
    <row r="513">
      <c r="A513" t="inlineStr">
        <is>
          <t>14943716</t>
        </is>
      </c>
      <c r="B513" t="inlineStr">
        <is>
          <t>eb4ccfc3-5e5e-4634-a60b-9536cb672050</t>
        </is>
      </c>
      <c r="D513" t="inlineStr">
        <is>
          <t>30001087</t>
        </is>
      </c>
      <c r="E513" t="inlineStr">
        <is>
          <t>ussd_funeral_leads_altitude_20260619</t>
        </is>
      </c>
      <c r="J513" t="inlineStr">
        <is>
          <t>ADC</t>
        </is>
      </c>
      <c r="K513" t="inlineStr">
        <is>
          <t>Auto Dial Disconnected</t>
        </is>
      </c>
      <c r="L513" t="n">
        <v>3</v>
      </c>
      <c r="M513" t="inlineStr">
        <is>
          <t>2026-06-23 15:11:52</t>
        </is>
      </c>
      <c r="N513" t="inlineStr">
        <is>
          <t>system</t>
        </is>
      </c>
      <c r="O513" t="inlineStr">
        <is>
          <t>2026-06-19 07:10:32</t>
        </is>
      </c>
      <c r="P513" t="inlineStr">
        <is>
          <t>2026-06-19 07:10:32</t>
        </is>
      </c>
      <c r="Y513" t="inlineStr">
        <is>
          <t>27649706632</t>
        </is>
      </c>
    </row>
    <row r="514">
      <c r="A514" t="inlineStr">
        <is>
          <t>14943717</t>
        </is>
      </c>
      <c r="B514" t="inlineStr">
        <is>
          <t>ab8a237b-e4a7-45fe-b314-0b6848b7d3c4</t>
        </is>
      </c>
      <c r="D514" t="inlineStr">
        <is>
          <t>30001087</t>
        </is>
      </c>
      <c r="E514" t="inlineStr">
        <is>
          <t>ussd_funeral_leads_altitude_20260619</t>
        </is>
      </c>
      <c r="J514" t="inlineStr">
        <is>
          <t>DROP</t>
        </is>
      </c>
      <c r="K514" t="inlineStr">
        <is>
          <t>Dropped</t>
        </is>
      </c>
      <c r="L514" t="n">
        <v>3</v>
      </c>
      <c r="M514" t="inlineStr">
        <is>
          <t>2026-06-23 15:11:52</t>
        </is>
      </c>
      <c r="N514" t="inlineStr">
        <is>
          <t>system</t>
        </is>
      </c>
      <c r="O514" t="inlineStr">
        <is>
          <t>2026-06-19 07:10:32</t>
        </is>
      </c>
      <c r="P514" t="inlineStr">
        <is>
          <t>2026-06-19 07:10:32</t>
        </is>
      </c>
      <c r="Y514" t="inlineStr">
        <is>
          <t>27648448460</t>
        </is>
      </c>
    </row>
    <row r="515">
      <c r="A515" t="inlineStr">
        <is>
          <t>14943715</t>
        </is>
      </c>
      <c r="B515" t="inlineStr">
        <is>
          <t>b32c3e8a-ace2-435d-8eac-afc01316c153</t>
        </is>
      </c>
      <c r="D515" t="inlineStr">
        <is>
          <t>30001087</t>
        </is>
      </c>
      <c r="E515" t="inlineStr">
        <is>
          <t>ussd_funeral_leads_altitude_20260619</t>
        </is>
      </c>
      <c r="J515" t="inlineStr">
        <is>
          <t>AA</t>
        </is>
      </c>
      <c r="K515" t="inlineStr">
        <is>
          <t>Answering Machine Autodial</t>
        </is>
      </c>
      <c r="L515" t="n">
        <v>3</v>
      </c>
      <c r="M515" t="inlineStr">
        <is>
          <t>2026-06-23 15:11:51</t>
        </is>
      </c>
      <c r="N515" t="inlineStr">
        <is>
          <t>system</t>
        </is>
      </c>
      <c r="O515" t="inlineStr">
        <is>
          <t>2026-06-19 07:10:32</t>
        </is>
      </c>
      <c r="P515" t="inlineStr">
        <is>
          <t>2026-06-19 07:10:32</t>
        </is>
      </c>
      <c r="Y515" t="inlineStr">
        <is>
          <t>27796923428</t>
        </is>
      </c>
    </row>
    <row r="516">
      <c r="A516" t="inlineStr">
        <is>
          <t>14943714</t>
        </is>
      </c>
      <c r="B516" t="inlineStr">
        <is>
          <t>ff7d95ae-20b9-4faa-a029-e9ab87ee77f5</t>
        </is>
      </c>
      <c r="D516" t="inlineStr">
        <is>
          <t>30001087</t>
        </is>
      </c>
      <c r="E516" t="inlineStr">
        <is>
          <t>ussd_funeral_leads_altitude_20260619</t>
        </is>
      </c>
      <c r="J516" t="inlineStr">
        <is>
          <t>BLQ</t>
        </is>
      </c>
      <c r="K516" t="inlineStr">
        <is>
          <t>Bad Line Quality</t>
        </is>
      </c>
      <c r="L516" t="n">
        <v>3</v>
      </c>
      <c r="M516" t="inlineStr">
        <is>
          <t>2026-06-23 15:11:37</t>
        </is>
      </c>
      <c r="N516" t="inlineStr">
        <is>
          <t>Goitsimang Mogwasa</t>
        </is>
      </c>
      <c r="O516" t="inlineStr">
        <is>
          <t>2026-06-19 07:10:32</t>
        </is>
      </c>
      <c r="P516" t="inlineStr">
        <is>
          <t>2026-06-19 07:10:32</t>
        </is>
      </c>
      <c r="Y516" t="inlineStr">
        <is>
          <t>27673586946</t>
        </is>
      </c>
    </row>
    <row r="517">
      <c r="A517" t="inlineStr">
        <is>
          <t>14943712</t>
        </is>
      </c>
      <c r="B517" t="inlineStr">
        <is>
          <t>21071de1-37d7-4ed2-9ca2-075e23be5394</t>
        </is>
      </c>
      <c r="D517" t="inlineStr">
        <is>
          <t>30001087</t>
        </is>
      </c>
      <c r="E517" t="inlineStr">
        <is>
          <t>ussd_funeral_leads_altitude_20260619</t>
        </is>
      </c>
      <c r="J517" t="inlineStr">
        <is>
          <t>NA</t>
        </is>
      </c>
      <c r="K517" t="inlineStr">
        <is>
          <t>No Answer Autodial</t>
        </is>
      </c>
      <c r="L517" t="n">
        <v>3</v>
      </c>
      <c r="M517" t="inlineStr">
        <is>
          <t>2026-06-23 15:11:32</t>
        </is>
      </c>
      <c r="N517" t="inlineStr">
        <is>
          <t>system</t>
        </is>
      </c>
      <c r="O517" t="inlineStr">
        <is>
          <t>2026-06-19 07:10:32</t>
        </is>
      </c>
      <c r="P517" t="inlineStr">
        <is>
          <t>2026-06-19 07:10:32</t>
        </is>
      </c>
      <c r="Y517" t="inlineStr">
        <is>
          <t>27761364296</t>
        </is>
      </c>
    </row>
    <row r="518">
      <c r="A518" t="inlineStr">
        <is>
          <t>14943713</t>
        </is>
      </c>
      <c r="B518" t="inlineStr">
        <is>
          <t>8134638c-467b-4b80-b980-5645fad7c819</t>
        </is>
      </c>
      <c r="D518" t="inlineStr">
        <is>
          <t>30001087</t>
        </is>
      </c>
      <c r="E518" t="inlineStr">
        <is>
          <t>ussd_funeral_leads_altitude_20260619</t>
        </is>
      </c>
      <c r="J518" t="inlineStr">
        <is>
          <t>A</t>
        </is>
      </c>
      <c r="K518" t="inlineStr">
        <is>
          <t>Answering Machine</t>
        </is>
      </c>
      <c r="L518" t="n">
        <v>3</v>
      </c>
      <c r="M518" t="inlineStr">
        <is>
          <t>2026-06-23 15:11:32</t>
        </is>
      </c>
      <c r="N518" t="inlineStr">
        <is>
          <t>Goitsimang Mogwasa</t>
        </is>
      </c>
      <c r="O518" t="inlineStr">
        <is>
          <t>2026-06-19 07:10:32</t>
        </is>
      </c>
      <c r="P518" t="inlineStr">
        <is>
          <t>2026-06-19 07:10:32</t>
        </is>
      </c>
      <c r="Y518" t="inlineStr">
        <is>
          <t>27798780968</t>
        </is>
      </c>
    </row>
    <row r="519">
      <c r="A519" t="inlineStr">
        <is>
          <t>14943711</t>
        </is>
      </c>
      <c r="B519" t="inlineStr">
        <is>
          <t>63b3ce7e-2636-4bc5-9c15-cb04626fce80</t>
        </is>
      </c>
      <c r="D519" t="inlineStr">
        <is>
          <t>30001087</t>
        </is>
      </c>
      <c r="E519" t="inlineStr">
        <is>
          <t>ussd_funeral_leads_altitude_20260619</t>
        </is>
      </c>
      <c r="J519" t="inlineStr">
        <is>
          <t>DROP</t>
        </is>
      </c>
      <c r="K519" t="inlineStr">
        <is>
          <t>Dropped</t>
        </is>
      </c>
      <c r="L519" t="n">
        <v>3</v>
      </c>
      <c r="M519" t="inlineStr">
        <is>
          <t>2026-06-23 15:11:31</t>
        </is>
      </c>
      <c r="N519" t="inlineStr">
        <is>
          <t>system</t>
        </is>
      </c>
      <c r="O519" t="inlineStr">
        <is>
          <t>2026-06-19 07:10:32</t>
        </is>
      </c>
      <c r="P519" t="inlineStr">
        <is>
          <t>2026-06-19 07:10:32</t>
        </is>
      </c>
      <c r="Y519" t="inlineStr">
        <is>
          <t>27766545803</t>
        </is>
      </c>
    </row>
    <row r="520">
      <c r="A520" t="inlineStr">
        <is>
          <t>14900000</t>
        </is>
      </c>
      <c r="B520" t="inlineStr">
        <is>
          <t>398e6294-9c60-40f8-9d0e-5dd7d55cb015</t>
        </is>
      </c>
      <c r="D520" t="inlineStr">
        <is>
          <t>30001087</t>
        </is>
      </c>
      <c r="E520" t="inlineStr">
        <is>
          <t>ussd_funeral_leads_altitude_20260619</t>
        </is>
      </c>
      <c r="J520" t="inlineStr">
        <is>
          <t>AA</t>
        </is>
      </c>
      <c r="K520" t="inlineStr">
        <is>
          <t>Answering Machine Autodial</t>
        </is>
      </c>
      <c r="L520" t="n">
        <v>3</v>
      </c>
      <c r="M520" t="inlineStr">
        <is>
          <t>2026-06-23 15:11:00</t>
        </is>
      </c>
      <c r="N520" t="inlineStr">
        <is>
          <t>system</t>
        </is>
      </c>
      <c r="O520" t="inlineStr">
        <is>
          <t>2026-06-19 07:10:32</t>
        </is>
      </c>
      <c r="P520" t="inlineStr">
        <is>
          <t>2026-06-19 07:10:32</t>
        </is>
      </c>
      <c r="Y520" t="inlineStr">
        <is>
          <t>27661377655</t>
        </is>
      </c>
    </row>
    <row r="521">
      <c r="A521" t="inlineStr">
        <is>
          <t>14943755</t>
        </is>
      </c>
      <c r="B521" t="inlineStr">
        <is>
          <t>a7b7a721-4b72-44fd-b4ec-6645727731d4</t>
        </is>
      </c>
      <c r="D521" t="inlineStr">
        <is>
          <t>30001087</t>
        </is>
      </c>
      <c r="E521" t="inlineStr">
        <is>
          <t>ussd_funeral_leads_altitude_20260619</t>
        </is>
      </c>
      <c r="J521" t="inlineStr">
        <is>
          <t>AA</t>
        </is>
      </c>
      <c r="K521" t="inlineStr">
        <is>
          <t>Answering Machine Autodial</t>
        </is>
      </c>
      <c r="L521" t="n">
        <v>3</v>
      </c>
      <c r="M521" t="inlineStr">
        <is>
          <t>2026-06-23 15:10:58</t>
        </is>
      </c>
      <c r="N521" t="inlineStr">
        <is>
          <t>system</t>
        </is>
      </c>
      <c r="O521" t="inlineStr">
        <is>
          <t>2026-06-19 07:10:32</t>
        </is>
      </c>
      <c r="P521" t="inlineStr">
        <is>
          <t>2026-06-19 07:10:32</t>
        </is>
      </c>
      <c r="Y521" t="inlineStr">
        <is>
          <t>27609575498</t>
        </is>
      </c>
    </row>
    <row r="522">
      <c r="A522" t="inlineStr">
        <is>
          <t>14943754</t>
        </is>
      </c>
      <c r="B522" t="inlineStr">
        <is>
          <t>73391551-a476-4dec-92f2-0fbe4752cfab</t>
        </is>
      </c>
      <c r="D522" t="inlineStr">
        <is>
          <t>30001087</t>
        </is>
      </c>
      <c r="E522" t="inlineStr">
        <is>
          <t>ussd_funeral_leads_altitude_20260619</t>
        </is>
      </c>
      <c r="J522" t="inlineStr">
        <is>
          <t>ADC</t>
        </is>
      </c>
      <c r="K522" t="inlineStr">
        <is>
          <t>Auto Dial Disconnected</t>
        </is>
      </c>
      <c r="L522" t="n">
        <v>3</v>
      </c>
      <c r="M522" t="inlineStr">
        <is>
          <t>2026-06-23 15:10:53</t>
        </is>
      </c>
      <c r="N522" t="inlineStr">
        <is>
          <t>system</t>
        </is>
      </c>
      <c r="O522" t="inlineStr">
        <is>
          <t>2026-06-19 07:10:32</t>
        </is>
      </c>
      <c r="P522" t="inlineStr">
        <is>
          <t>2026-06-19 07:10:32</t>
        </is>
      </c>
      <c r="Y522" t="inlineStr">
        <is>
          <t>27766395984</t>
        </is>
      </c>
    </row>
    <row r="523">
      <c r="A523" t="inlineStr">
        <is>
          <t>14943753</t>
        </is>
      </c>
      <c r="B523" t="inlineStr">
        <is>
          <t>5546c691-4487-443f-9b35-00c510332323</t>
        </is>
      </c>
      <c r="D523" t="inlineStr">
        <is>
          <t>30001087</t>
        </is>
      </c>
      <c r="E523" t="inlineStr">
        <is>
          <t>ussd_funeral_leads_altitude_20260619</t>
        </is>
      </c>
      <c r="J523" t="inlineStr">
        <is>
          <t>AA</t>
        </is>
      </c>
      <c r="K523" t="inlineStr">
        <is>
          <t>Answering Machine Autodial</t>
        </is>
      </c>
      <c r="L523" t="n">
        <v>3</v>
      </c>
      <c r="M523" t="inlineStr">
        <is>
          <t>2026-06-23 15:10:48</t>
        </is>
      </c>
      <c r="N523" t="inlineStr">
        <is>
          <t>system</t>
        </is>
      </c>
      <c r="O523" t="inlineStr">
        <is>
          <t>2026-06-19 07:10:32</t>
        </is>
      </c>
      <c r="P523" t="inlineStr">
        <is>
          <t>2026-06-19 07:10:32</t>
        </is>
      </c>
      <c r="Y523" t="inlineStr">
        <is>
          <t>27792530180</t>
        </is>
      </c>
    </row>
    <row r="524">
      <c r="A524" t="inlineStr">
        <is>
          <t>14943747</t>
        </is>
      </c>
      <c r="B524" t="inlineStr">
        <is>
          <t>02c1c11d-49b2-45e4-8efa-95042d08cf35</t>
        </is>
      </c>
      <c r="D524" t="inlineStr">
        <is>
          <t>30001087</t>
        </is>
      </c>
      <c r="E524" t="inlineStr">
        <is>
          <t>ussd_funeral_leads_altitude_20260619</t>
        </is>
      </c>
      <c r="J524" t="inlineStr">
        <is>
          <t>CBACK</t>
        </is>
      </c>
      <c r="K524" t="inlineStr">
        <is>
          <t>Callback</t>
        </is>
      </c>
      <c r="L524" t="n">
        <v>3</v>
      </c>
      <c r="M524" t="inlineStr">
        <is>
          <t>2026-06-23 15:10:43</t>
        </is>
      </c>
      <c r="N524" t="inlineStr">
        <is>
          <t>Gontse Monageng</t>
        </is>
      </c>
      <c r="O524" t="inlineStr">
        <is>
          <t>2026-06-19 07:10:32</t>
        </is>
      </c>
      <c r="P524" t="inlineStr">
        <is>
          <t>2026-06-19 07:10:32</t>
        </is>
      </c>
      <c r="Y524" t="inlineStr">
        <is>
          <t>27764054655</t>
        </is>
      </c>
    </row>
    <row r="525">
      <c r="A525" t="inlineStr">
        <is>
          <t>14943748</t>
        </is>
      </c>
      <c r="B525" t="inlineStr">
        <is>
          <t>5421d71d-142b-42d9-af12-a739c57c2298</t>
        </is>
      </c>
      <c r="D525" t="inlineStr">
        <is>
          <t>30001087</t>
        </is>
      </c>
      <c r="E525" t="inlineStr">
        <is>
          <t>ussd_funeral_leads_altitude_20260619</t>
        </is>
      </c>
      <c r="J525" t="inlineStr">
        <is>
          <t>AA</t>
        </is>
      </c>
      <c r="K525" t="inlineStr">
        <is>
          <t>Answering Machine Autodial</t>
        </is>
      </c>
      <c r="L525" t="n">
        <v>3</v>
      </c>
      <c r="M525" t="inlineStr">
        <is>
          <t>2026-06-23 15:10:43</t>
        </is>
      </c>
      <c r="N525" t="inlineStr">
        <is>
          <t>system</t>
        </is>
      </c>
      <c r="O525" t="inlineStr">
        <is>
          <t>2026-06-19 07:10:32</t>
        </is>
      </c>
      <c r="P525" t="inlineStr">
        <is>
          <t>2026-06-19 07:10:32</t>
        </is>
      </c>
      <c r="Y525" t="inlineStr">
        <is>
          <t>27772604363</t>
        </is>
      </c>
    </row>
    <row r="526">
      <c r="A526" t="inlineStr">
        <is>
          <t>14943749</t>
        </is>
      </c>
      <c r="B526" t="inlineStr">
        <is>
          <t>878659fa-c0f7-4007-9bb8-a6da23adff9a</t>
        </is>
      </c>
      <c r="D526" t="inlineStr">
        <is>
          <t>30001087</t>
        </is>
      </c>
      <c r="E526" t="inlineStr">
        <is>
          <t>ussd_funeral_leads_altitude_20260619</t>
        </is>
      </c>
      <c r="J526" t="inlineStr">
        <is>
          <t>AA</t>
        </is>
      </c>
      <c r="K526" t="inlineStr">
        <is>
          <t>Answering Machine Autodial</t>
        </is>
      </c>
      <c r="L526" t="n">
        <v>3</v>
      </c>
      <c r="M526" t="inlineStr">
        <is>
          <t>2026-06-23 15:10:43</t>
        </is>
      </c>
      <c r="N526" t="inlineStr">
        <is>
          <t>system</t>
        </is>
      </c>
      <c r="O526" t="inlineStr">
        <is>
          <t>2026-06-19 07:10:32</t>
        </is>
      </c>
      <c r="P526" t="inlineStr">
        <is>
          <t>2026-06-19 07:10:32</t>
        </is>
      </c>
      <c r="Y526" t="inlineStr">
        <is>
          <t>27727120320</t>
        </is>
      </c>
    </row>
    <row r="527">
      <c r="A527" t="inlineStr">
        <is>
          <t>14943752</t>
        </is>
      </c>
      <c r="B527" t="inlineStr">
        <is>
          <t>cd1e9cff-b0f0-46ba-9a1a-4af25ce28409</t>
        </is>
      </c>
      <c r="D527" t="inlineStr">
        <is>
          <t>30001087</t>
        </is>
      </c>
      <c r="E527" t="inlineStr">
        <is>
          <t>ussd_funeral_leads_altitude_20260619</t>
        </is>
      </c>
      <c r="J527" t="inlineStr">
        <is>
          <t>ADC</t>
        </is>
      </c>
      <c r="K527" t="inlineStr">
        <is>
          <t>Auto Dial Disconnected</t>
        </is>
      </c>
      <c r="L527" t="n">
        <v>3</v>
      </c>
      <c r="M527" t="inlineStr">
        <is>
          <t>2026-06-23 15:10:43</t>
        </is>
      </c>
      <c r="N527" t="inlineStr">
        <is>
          <t>system</t>
        </is>
      </c>
      <c r="O527" t="inlineStr">
        <is>
          <t>2026-06-19 07:10:32</t>
        </is>
      </c>
      <c r="P527" t="inlineStr">
        <is>
          <t>2026-06-19 07:10:32</t>
        </is>
      </c>
      <c r="Y527" t="inlineStr">
        <is>
          <t>27761378704</t>
        </is>
      </c>
    </row>
    <row r="528">
      <c r="A528" t="inlineStr">
        <is>
          <t>14943746</t>
        </is>
      </c>
      <c r="B528" t="inlineStr">
        <is>
          <t>92f12fba-2bb9-4186-bfd5-3d466d285633</t>
        </is>
      </c>
      <c r="D528" t="inlineStr">
        <is>
          <t>30001087</t>
        </is>
      </c>
      <c r="E528" t="inlineStr">
        <is>
          <t>ussd_funeral_leads_altitude_20260619</t>
        </is>
      </c>
      <c r="J528" t="inlineStr">
        <is>
          <t>AA</t>
        </is>
      </c>
      <c r="K528" t="inlineStr">
        <is>
          <t>Answering Machine Autodial</t>
        </is>
      </c>
      <c r="L528" t="n">
        <v>3</v>
      </c>
      <c r="M528" t="inlineStr">
        <is>
          <t>2026-06-23 15:10:42</t>
        </is>
      </c>
      <c r="N528" t="inlineStr">
        <is>
          <t>system</t>
        </is>
      </c>
      <c r="O528" t="inlineStr">
        <is>
          <t>2026-06-19 07:10:32</t>
        </is>
      </c>
      <c r="P528" t="inlineStr">
        <is>
          <t>2026-06-19 07:10:32</t>
        </is>
      </c>
      <c r="Y528" t="inlineStr">
        <is>
          <t>27767903284</t>
        </is>
      </c>
    </row>
    <row r="529">
      <c r="A529" t="inlineStr">
        <is>
          <t>14943745</t>
        </is>
      </c>
      <c r="B529" t="inlineStr">
        <is>
          <t>095ccd0d-317b-4b11-8149-9b2a38ee90e2</t>
        </is>
      </c>
      <c r="D529" t="inlineStr">
        <is>
          <t>30001087</t>
        </is>
      </c>
      <c r="E529" t="inlineStr">
        <is>
          <t>ussd_funeral_leads_altitude_20260619</t>
        </is>
      </c>
      <c r="J529" t="inlineStr">
        <is>
          <t>AA</t>
        </is>
      </c>
      <c r="K529" t="inlineStr">
        <is>
          <t>Answering Machine Autodial</t>
        </is>
      </c>
      <c r="L529" t="n">
        <v>3</v>
      </c>
      <c r="M529" t="inlineStr">
        <is>
          <t>2026-06-23 15:10:30</t>
        </is>
      </c>
      <c r="N529" t="inlineStr">
        <is>
          <t>system</t>
        </is>
      </c>
      <c r="O529" t="inlineStr">
        <is>
          <t>2026-06-19 07:10:32</t>
        </is>
      </c>
      <c r="P529" t="inlineStr">
        <is>
          <t>2026-06-19 07:10:32</t>
        </is>
      </c>
      <c r="Y529" t="inlineStr">
        <is>
          <t>27799497633</t>
        </is>
      </c>
    </row>
    <row r="530">
      <c r="A530" t="inlineStr">
        <is>
          <t>14947837</t>
        </is>
      </c>
      <c r="B530" t="inlineStr">
        <is>
          <t>f4fa9e8a-e76f-4fa2-b9c9-933e2cd4443f</t>
        </is>
      </c>
      <c r="D530" t="inlineStr">
        <is>
          <t>30001087</t>
        </is>
      </c>
      <c r="E530" t="inlineStr">
        <is>
          <t>ussd_funeral_leads_altitude_20260619</t>
        </is>
      </c>
      <c r="J530" t="inlineStr">
        <is>
          <t>AE</t>
        </is>
      </c>
      <c r="K530" t="inlineStr">
        <is>
          <t>Auto Engaged</t>
        </is>
      </c>
      <c r="L530" t="n">
        <v>3</v>
      </c>
      <c r="M530" t="inlineStr">
        <is>
          <t>2026-06-23 15:10:29</t>
        </is>
      </c>
      <c r="N530" t="inlineStr">
        <is>
          <t>system</t>
        </is>
      </c>
      <c r="O530" t="inlineStr">
        <is>
          <t>2026-06-19 07:10:32</t>
        </is>
      </c>
      <c r="P530" t="inlineStr">
        <is>
          <t>2026-06-19 07:10:32</t>
        </is>
      </c>
      <c r="Y530" t="inlineStr">
        <is>
          <t>27764067719</t>
        </is>
      </c>
    </row>
    <row r="531">
      <c r="A531" t="inlineStr">
        <is>
          <t>14943736</t>
        </is>
      </c>
      <c r="B531" t="inlineStr">
        <is>
          <t>558fae8a-6c15-4d91-abed-e2afc25ffb92</t>
        </is>
      </c>
      <c r="D531" t="inlineStr">
        <is>
          <t>30001087</t>
        </is>
      </c>
      <c r="E531" t="inlineStr">
        <is>
          <t>ussd_funeral_leads_altitude_20260619</t>
        </is>
      </c>
      <c r="J531" t="inlineStr">
        <is>
          <t>AA</t>
        </is>
      </c>
      <c r="K531" t="inlineStr">
        <is>
          <t>Answering Machine Autodial</t>
        </is>
      </c>
      <c r="L531" t="n">
        <v>3</v>
      </c>
      <c r="M531" t="inlineStr">
        <is>
          <t>2026-06-23 15:10:24</t>
        </is>
      </c>
      <c r="N531" t="inlineStr">
        <is>
          <t>system</t>
        </is>
      </c>
      <c r="O531" t="inlineStr">
        <is>
          <t>2026-06-19 07:10:32</t>
        </is>
      </c>
      <c r="P531" t="inlineStr">
        <is>
          <t>2026-06-19 07:10:32</t>
        </is>
      </c>
      <c r="Y531" t="inlineStr">
        <is>
          <t>27636459392</t>
        </is>
      </c>
    </row>
    <row r="532">
      <c r="A532" t="inlineStr">
        <is>
          <t>14943738</t>
        </is>
      </c>
      <c r="B532" t="inlineStr">
        <is>
          <t>ea4647ce-4276-41e7-8ad6-e732e9ca1b61</t>
        </is>
      </c>
      <c r="D532" t="inlineStr">
        <is>
          <t>30001087</t>
        </is>
      </c>
      <c r="E532" t="inlineStr">
        <is>
          <t>ussd_funeral_leads_altitude_20260619</t>
        </is>
      </c>
      <c r="J532" t="inlineStr">
        <is>
          <t>AA</t>
        </is>
      </c>
      <c r="K532" t="inlineStr">
        <is>
          <t>Answering Machine Autodial</t>
        </is>
      </c>
      <c r="L532" t="n">
        <v>3</v>
      </c>
      <c r="M532" t="inlineStr">
        <is>
          <t>2026-06-23 15:10:24</t>
        </is>
      </c>
      <c r="N532" t="inlineStr">
        <is>
          <t>system</t>
        </is>
      </c>
      <c r="O532" t="inlineStr">
        <is>
          <t>2026-06-19 07:10:32</t>
        </is>
      </c>
      <c r="P532" t="inlineStr">
        <is>
          <t>2026-06-19 07:10:32</t>
        </is>
      </c>
      <c r="Y532" t="inlineStr">
        <is>
          <t>27648655407</t>
        </is>
      </c>
    </row>
    <row r="533">
      <c r="A533" t="inlineStr">
        <is>
          <t>14943735</t>
        </is>
      </c>
      <c r="B533" t="inlineStr">
        <is>
          <t>9c1af7f5-ebab-46e8-ac15-fb7ab1c73b81</t>
        </is>
      </c>
      <c r="D533" t="inlineStr">
        <is>
          <t>30001087</t>
        </is>
      </c>
      <c r="E533" t="inlineStr">
        <is>
          <t>ussd_funeral_leads_altitude_20260619</t>
        </is>
      </c>
      <c r="H533" t="inlineStr">
        <is>
          <t>27606733614</t>
        </is>
      </c>
      <c r="J533" t="inlineStr">
        <is>
          <t>DROP</t>
        </is>
      </c>
      <c r="K533" t="inlineStr">
        <is>
          <t>Dropped</t>
        </is>
      </c>
      <c r="L533" t="n">
        <v>3</v>
      </c>
      <c r="M533" t="inlineStr">
        <is>
          <t>2026-06-23 15:10:19</t>
        </is>
      </c>
      <c r="N533" t="inlineStr">
        <is>
          <t>system</t>
        </is>
      </c>
      <c r="O533" t="inlineStr">
        <is>
          <t>2026-06-19 07:10:32</t>
        </is>
      </c>
      <c r="P533" t="inlineStr">
        <is>
          <t>2026-06-19 07:10:32</t>
        </is>
      </c>
      <c r="Y533" t="inlineStr">
        <is>
          <t>27606733614</t>
        </is>
      </c>
    </row>
    <row r="534">
      <c r="A534" t="inlineStr">
        <is>
          <t>14943729</t>
        </is>
      </c>
      <c r="B534" t="inlineStr">
        <is>
          <t>612269b8-cdfb-406f-a32f-60946c19c90c</t>
        </is>
      </c>
      <c r="D534" t="inlineStr">
        <is>
          <t>30001087</t>
        </is>
      </c>
      <c r="E534" t="inlineStr">
        <is>
          <t>ussd_funeral_leads_altitude_20260619</t>
        </is>
      </c>
      <c r="J534" t="inlineStr">
        <is>
          <t>AA</t>
        </is>
      </c>
      <c r="K534" t="inlineStr">
        <is>
          <t>Answering Machine Autodial</t>
        </is>
      </c>
      <c r="L534" t="n">
        <v>3</v>
      </c>
      <c r="M534" t="inlineStr">
        <is>
          <t>2026-06-23 15:10:18</t>
        </is>
      </c>
      <c r="N534" t="inlineStr">
        <is>
          <t>system</t>
        </is>
      </c>
      <c r="O534" t="inlineStr">
        <is>
          <t>2026-06-19 07:10:32</t>
        </is>
      </c>
      <c r="P534" t="inlineStr">
        <is>
          <t>2026-06-19 07:10:32</t>
        </is>
      </c>
      <c r="Y534" t="inlineStr">
        <is>
          <t>27724842240</t>
        </is>
      </c>
    </row>
    <row r="535">
      <c r="A535" t="inlineStr">
        <is>
          <t>14943732</t>
        </is>
      </c>
      <c r="B535" t="inlineStr">
        <is>
          <t>c6526e2f-92df-4884-8a8b-572516bdf38d</t>
        </is>
      </c>
      <c r="D535" t="inlineStr">
        <is>
          <t>30001087</t>
        </is>
      </c>
      <c r="E535" t="inlineStr">
        <is>
          <t>ussd_funeral_leads_altitude_20260619</t>
        </is>
      </c>
      <c r="J535" t="inlineStr">
        <is>
          <t>AA</t>
        </is>
      </c>
      <c r="K535" t="inlineStr">
        <is>
          <t>Answering Machine Autodial</t>
        </is>
      </c>
      <c r="L535" t="n">
        <v>3</v>
      </c>
      <c r="M535" t="inlineStr">
        <is>
          <t>2026-06-23 15:10:18</t>
        </is>
      </c>
      <c r="N535" t="inlineStr">
        <is>
          <t>system</t>
        </is>
      </c>
      <c r="O535" t="inlineStr">
        <is>
          <t>2026-06-19 07:10:32</t>
        </is>
      </c>
      <c r="P535" t="inlineStr">
        <is>
          <t>2026-06-19 07:10:32</t>
        </is>
      </c>
      <c r="Y535" t="inlineStr">
        <is>
          <t>27764210307</t>
        </is>
      </c>
    </row>
    <row r="536">
      <c r="A536" t="inlineStr">
        <is>
          <t>14943733</t>
        </is>
      </c>
      <c r="B536" t="inlineStr">
        <is>
          <t>455396ae-bd2c-4683-bfe5-7b8294ef9c38</t>
        </is>
      </c>
      <c r="D536" t="inlineStr">
        <is>
          <t>30001087</t>
        </is>
      </c>
      <c r="E536" t="inlineStr">
        <is>
          <t>ussd_funeral_leads_altitude_20260619</t>
        </is>
      </c>
      <c r="J536" t="inlineStr">
        <is>
          <t>AA</t>
        </is>
      </c>
      <c r="K536" t="inlineStr">
        <is>
          <t>Answering Machine Autodial</t>
        </is>
      </c>
      <c r="L536" t="n">
        <v>3</v>
      </c>
      <c r="M536" t="inlineStr">
        <is>
          <t>2026-06-23 15:10:18</t>
        </is>
      </c>
      <c r="N536" t="inlineStr">
        <is>
          <t>system</t>
        </is>
      </c>
      <c r="O536" t="inlineStr">
        <is>
          <t>2026-06-19 07:10:32</t>
        </is>
      </c>
      <c r="P536" t="inlineStr">
        <is>
          <t>2026-06-19 07:10:32</t>
        </is>
      </c>
      <c r="Y536" t="inlineStr">
        <is>
          <t>27721698222</t>
        </is>
      </c>
    </row>
    <row r="537">
      <c r="A537" t="inlineStr">
        <is>
          <t>14943734</t>
        </is>
      </c>
      <c r="B537" t="inlineStr">
        <is>
          <t>8391a627-5301-4409-b708-03232b6c0dbc</t>
        </is>
      </c>
      <c r="D537" t="inlineStr">
        <is>
          <t>30001087</t>
        </is>
      </c>
      <c r="E537" t="inlineStr">
        <is>
          <t>ussd_funeral_leads_altitude_20260619</t>
        </is>
      </c>
      <c r="J537" t="inlineStr">
        <is>
          <t>ADC</t>
        </is>
      </c>
      <c r="K537" t="inlineStr">
        <is>
          <t>Auto Dial Disconnected</t>
        </is>
      </c>
      <c r="L537" t="n">
        <v>3</v>
      </c>
      <c r="M537" t="inlineStr">
        <is>
          <t>2026-06-23 15:10:18</t>
        </is>
      </c>
      <c r="N537" t="inlineStr">
        <is>
          <t>system</t>
        </is>
      </c>
      <c r="O537" t="inlineStr">
        <is>
          <t>2026-06-19 07:10:32</t>
        </is>
      </c>
      <c r="P537" t="inlineStr">
        <is>
          <t>2026-06-19 07:10:32</t>
        </is>
      </c>
      <c r="Y537" t="inlineStr">
        <is>
          <t>27665951039</t>
        </is>
      </c>
    </row>
    <row r="538">
      <c r="A538" t="inlineStr">
        <is>
          <t>14943743</t>
        </is>
      </c>
      <c r="B538" t="inlineStr">
        <is>
          <t>b2c92f50-b925-48d2-9ce9-9da2b84a1817</t>
        </is>
      </c>
      <c r="D538" t="inlineStr">
        <is>
          <t>30001087</t>
        </is>
      </c>
      <c r="E538" t="inlineStr">
        <is>
          <t>ussd_funeral_leads_altitude_20260619</t>
        </is>
      </c>
      <c r="J538" t="inlineStr">
        <is>
          <t>DROP</t>
        </is>
      </c>
      <c r="K538" t="inlineStr">
        <is>
          <t>Dropped</t>
        </is>
      </c>
      <c r="L538" t="n">
        <v>3</v>
      </c>
      <c r="M538" t="inlineStr">
        <is>
          <t>2026-06-23 15:09:45</t>
        </is>
      </c>
      <c r="N538" t="inlineStr">
        <is>
          <t>system</t>
        </is>
      </c>
      <c r="O538" t="inlineStr">
        <is>
          <t>2026-06-19 07:10:32</t>
        </is>
      </c>
      <c r="P538" t="inlineStr">
        <is>
          <t>2026-06-19 07:10:32</t>
        </is>
      </c>
      <c r="Y538" t="inlineStr">
        <is>
          <t>27823325278</t>
        </is>
      </c>
    </row>
    <row r="539">
      <c r="A539" t="inlineStr">
        <is>
          <t>14943744</t>
        </is>
      </c>
      <c r="B539" t="inlineStr">
        <is>
          <t>b79c5e86-b561-4372-b0b9-ba680977c18e</t>
        </is>
      </c>
      <c r="D539" t="inlineStr">
        <is>
          <t>30001087</t>
        </is>
      </c>
      <c r="E539" t="inlineStr">
        <is>
          <t>ussd_funeral_leads_altitude_20260619</t>
        </is>
      </c>
      <c r="J539" t="inlineStr">
        <is>
          <t>DROP</t>
        </is>
      </c>
      <c r="K539" t="inlineStr">
        <is>
          <t>Dropped</t>
        </is>
      </c>
      <c r="L539" t="n">
        <v>3</v>
      </c>
      <c r="M539" t="inlineStr">
        <is>
          <t>2026-06-23 15:09:45</t>
        </is>
      </c>
      <c r="N539" t="inlineStr">
        <is>
          <t>system</t>
        </is>
      </c>
      <c r="O539" t="inlineStr">
        <is>
          <t>2026-06-19 07:10:32</t>
        </is>
      </c>
      <c r="P539" t="inlineStr">
        <is>
          <t>2026-06-19 07:10:32</t>
        </is>
      </c>
      <c r="Y539" t="inlineStr">
        <is>
          <t>27818273297</t>
        </is>
      </c>
    </row>
    <row r="540">
      <c r="A540" t="inlineStr">
        <is>
          <t>14947838</t>
        </is>
      </c>
      <c r="B540" t="inlineStr">
        <is>
          <t>7889f1fa-7254-481b-8efb-6c9aabf75eaf</t>
        </is>
      </c>
      <c r="D540" t="inlineStr">
        <is>
          <t>30001087</t>
        </is>
      </c>
      <c r="E540" t="inlineStr">
        <is>
          <t>ussd_funeral_leads_altitude_20260619</t>
        </is>
      </c>
      <c r="J540" t="inlineStr">
        <is>
          <t>AA</t>
        </is>
      </c>
      <c r="K540" t="inlineStr">
        <is>
          <t>Answering Machine Autodial</t>
        </is>
      </c>
      <c r="L540" t="n">
        <v>3</v>
      </c>
      <c r="M540" t="inlineStr">
        <is>
          <t>2026-06-23 15:09:43</t>
        </is>
      </c>
      <c r="N540" t="inlineStr">
        <is>
          <t>system</t>
        </is>
      </c>
      <c r="O540" t="inlineStr">
        <is>
          <t>2026-06-19 07:10:32</t>
        </is>
      </c>
      <c r="P540" t="inlineStr">
        <is>
          <t>2026-06-19 07:10:32</t>
        </is>
      </c>
      <c r="Y540" t="inlineStr">
        <is>
          <t>27661736390</t>
        </is>
      </c>
    </row>
    <row r="541">
      <c r="A541" t="inlineStr">
        <is>
          <t>14943741</t>
        </is>
      </c>
      <c r="B541" t="inlineStr">
        <is>
          <t>141ec4b3-c347-4fef-9125-0d1128790ba9</t>
        </is>
      </c>
      <c r="D541" t="inlineStr">
        <is>
          <t>30001087</t>
        </is>
      </c>
      <c r="E541" t="inlineStr">
        <is>
          <t>ussd_funeral_leads_altitude_20260619</t>
        </is>
      </c>
      <c r="J541" t="inlineStr">
        <is>
          <t>AE</t>
        </is>
      </c>
      <c r="K541" t="inlineStr">
        <is>
          <t>Auto Engaged</t>
        </is>
      </c>
      <c r="L541" t="n">
        <v>3</v>
      </c>
      <c r="M541" t="inlineStr">
        <is>
          <t>2026-06-23 15:09:41</t>
        </is>
      </c>
      <c r="N541" t="inlineStr">
        <is>
          <t>system</t>
        </is>
      </c>
      <c r="O541" t="inlineStr">
        <is>
          <t>2026-06-19 07:10:32</t>
        </is>
      </c>
      <c r="P541" t="inlineStr">
        <is>
          <t>2026-06-19 07:10:32</t>
        </is>
      </c>
      <c r="Y541" t="inlineStr">
        <is>
          <t>27823116693</t>
        </is>
      </c>
    </row>
    <row r="542">
      <c r="A542" t="inlineStr">
        <is>
          <t>14943740</t>
        </is>
      </c>
      <c r="B542" t="inlineStr">
        <is>
          <t>8819e6d4-c320-4a2a-ab6b-4469b4b3b911</t>
        </is>
      </c>
      <c r="D542" t="inlineStr">
        <is>
          <t>30001087</t>
        </is>
      </c>
      <c r="E542" t="inlineStr">
        <is>
          <t>ussd_funeral_leads_altitude_20260619</t>
        </is>
      </c>
      <c r="J542" t="inlineStr">
        <is>
          <t>AA</t>
        </is>
      </c>
      <c r="K542" t="inlineStr">
        <is>
          <t>Answering Machine Autodial</t>
        </is>
      </c>
      <c r="L542" t="n">
        <v>3</v>
      </c>
      <c r="M542" t="inlineStr">
        <is>
          <t>2026-06-23 15:09:39</t>
        </is>
      </c>
      <c r="N542" t="inlineStr">
        <is>
          <t>system</t>
        </is>
      </c>
      <c r="O542" t="inlineStr">
        <is>
          <t>2026-06-19 07:10:32</t>
        </is>
      </c>
      <c r="P542" t="inlineStr">
        <is>
          <t>2026-06-19 07:10:32</t>
        </is>
      </c>
      <c r="Y542" t="inlineStr">
        <is>
          <t>27661835719</t>
        </is>
      </c>
    </row>
    <row r="543">
      <c r="A543" t="inlineStr">
        <is>
          <t>14943739</t>
        </is>
      </c>
      <c r="B543" t="inlineStr">
        <is>
          <t>696364fc-3532-4321-b07c-def58861f76e</t>
        </is>
      </c>
      <c r="D543" t="inlineStr">
        <is>
          <t>30001087</t>
        </is>
      </c>
      <c r="E543" t="inlineStr">
        <is>
          <t>ussd_funeral_leads_altitude_20260619</t>
        </is>
      </c>
      <c r="J543" t="inlineStr">
        <is>
          <t>AA</t>
        </is>
      </c>
      <c r="K543" t="inlineStr">
        <is>
          <t>Answering Machine Autodial</t>
        </is>
      </c>
      <c r="L543" t="n">
        <v>3</v>
      </c>
      <c r="M543" t="inlineStr">
        <is>
          <t>2026-06-23 15:09:36</t>
        </is>
      </c>
      <c r="N543" t="inlineStr">
        <is>
          <t>system</t>
        </is>
      </c>
      <c r="O543" t="inlineStr">
        <is>
          <t>2026-06-19 07:10:32</t>
        </is>
      </c>
      <c r="P543" t="inlineStr">
        <is>
          <t>2026-06-19 07:10:32</t>
        </is>
      </c>
      <c r="Y543" t="inlineStr">
        <is>
          <t>27713208674</t>
        </is>
      </c>
    </row>
    <row r="544">
      <c r="A544" t="inlineStr">
        <is>
          <t>14943737</t>
        </is>
      </c>
      <c r="B544" t="inlineStr">
        <is>
          <t>1fc76cee-ae53-4263-a99f-8dd936728889</t>
        </is>
      </c>
      <c r="D544" t="inlineStr">
        <is>
          <t>30001087</t>
        </is>
      </c>
      <c r="E544" t="inlineStr">
        <is>
          <t>ussd_funeral_leads_altitude_20260619</t>
        </is>
      </c>
      <c r="J544" t="inlineStr">
        <is>
          <t>ADC</t>
        </is>
      </c>
      <c r="K544" t="inlineStr">
        <is>
          <t>Auto Dial Disconnected</t>
        </is>
      </c>
      <c r="L544" t="n">
        <v>3</v>
      </c>
      <c r="M544" t="inlineStr">
        <is>
          <t>2026-06-23 15:09:28</t>
        </is>
      </c>
      <c r="N544" t="inlineStr">
        <is>
          <t>system</t>
        </is>
      </c>
      <c r="O544" t="inlineStr">
        <is>
          <t>2026-06-19 07:10:32</t>
        </is>
      </c>
      <c r="P544" t="inlineStr">
        <is>
          <t>2026-06-19 07:10:32</t>
        </is>
      </c>
      <c r="Y544" t="inlineStr">
        <is>
          <t>27663276812</t>
        </is>
      </c>
    </row>
    <row r="545">
      <c r="A545" t="inlineStr">
        <is>
          <t>14947577</t>
        </is>
      </c>
      <c r="B545" t="inlineStr">
        <is>
          <t>ac25cd82-d2a0-4647-b62e-7d9fbbe13ac2</t>
        </is>
      </c>
      <c r="D545" t="inlineStr">
        <is>
          <t>30001087</t>
        </is>
      </c>
      <c r="E545" t="inlineStr">
        <is>
          <t>ussd_funeral_leads_altitude_20260619</t>
        </is>
      </c>
      <c r="J545" t="inlineStr">
        <is>
          <t>NA</t>
        </is>
      </c>
      <c r="K545" t="inlineStr">
        <is>
          <t>No Answer Autodial</t>
        </is>
      </c>
      <c r="L545" t="n">
        <v>3</v>
      </c>
      <c r="M545" t="inlineStr">
        <is>
          <t>2026-06-23 15:08:12</t>
        </is>
      </c>
      <c r="N545" t="inlineStr">
        <is>
          <t>system</t>
        </is>
      </c>
      <c r="O545" t="inlineStr">
        <is>
          <t>2026-06-19 07:10:32</t>
        </is>
      </c>
      <c r="P545" t="inlineStr">
        <is>
          <t>2026-06-19 07:10:32</t>
        </is>
      </c>
      <c r="Y545" t="inlineStr">
        <is>
          <t>27760671711</t>
        </is>
      </c>
    </row>
    <row r="546">
      <c r="A546" t="inlineStr">
        <is>
          <t>14947578</t>
        </is>
      </c>
      <c r="B546" t="inlineStr">
        <is>
          <t>156ec44b-8669-496a-96f1-75eaa0a3966b</t>
        </is>
      </c>
      <c r="D546" t="inlineStr">
        <is>
          <t>30001087</t>
        </is>
      </c>
      <c r="E546" t="inlineStr">
        <is>
          <t>ussd_funeral_leads_altitude_20260619</t>
        </is>
      </c>
      <c r="J546" t="inlineStr">
        <is>
          <t>ADC</t>
        </is>
      </c>
      <c r="K546" t="inlineStr">
        <is>
          <t>Auto Dial Disconnected</t>
        </is>
      </c>
      <c r="L546" t="n">
        <v>3</v>
      </c>
      <c r="M546" t="inlineStr">
        <is>
          <t>2026-06-23 15:08:06</t>
        </is>
      </c>
      <c r="N546" t="inlineStr">
        <is>
          <t>system</t>
        </is>
      </c>
      <c r="O546" t="inlineStr">
        <is>
          <t>2026-06-19 07:10:32</t>
        </is>
      </c>
      <c r="P546" t="inlineStr">
        <is>
          <t>2026-06-19 07:10:32</t>
        </is>
      </c>
      <c r="Y546" t="inlineStr">
        <is>
          <t>27646871487</t>
        </is>
      </c>
    </row>
    <row r="547">
      <c r="A547" t="inlineStr">
        <is>
          <t>14947579</t>
        </is>
      </c>
      <c r="B547" t="inlineStr">
        <is>
          <t>aba9933e-f78a-49a6-9538-42709a4d1b92</t>
        </is>
      </c>
      <c r="D547" t="inlineStr">
        <is>
          <t>30001087</t>
        </is>
      </c>
      <c r="E547" t="inlineStr">
        <is>
          <t>ussd_funeral_leads_altitude_20260619</t>
        </is>
      </c>
      <c r="J547" t="inlineStr">
        <is>
          <t>ADC</t>
        </is>
      </c>
      <c r="K547" t="inlineStr">
        <is>
          <t>Auto Dial Disconnected</t>
        </is>
      </c>
      <c r="L547" t="n">
        <v>3</v>
      </c>
      <c r="M547" t="inlineStr">
        <is>
          <t>2026-06-23 15:08:06</t>
        </is>
      </c>
      <c r="N547" t="inlineStr">
        <is>
          <t>system</t>
        </is>
      </c>
      <c r="O547" t="inlineStr">
        <is>
          <t>2026-06-19 07:10:32</t>
        </is>
      </c>
      <c r="P547" t="inlineStr">
        <is>
          <t>2026-06-19 07:10:32</t>
        </is>
      </c>
      <c r="Y547" t="inlineStr">
        <is>
          <t>27637254521</t>
        </is>
      </c>
    </row>
    <row r="548">
      <c r="A548" t="inlineStr">
        <is>
          <t>14947580</t>
        </is>
      </c>
      <c r="B548" t="inlineStr">
        <is>
          <t>3110a426-7b68-4261-bd01-2492ee5ddfa4</t>
        </is>
      </c>
      <c r="D548" t="inlineStr">
        <is>
          <t>30001087</t>
        </is>
      </c>
      <c r="E548" t="inlineStr">
        <is>
          <t>ussd_funeral_leads_altitude_20260619</t>
        </is>
      </c>
      <c r="J548" t="inlineStr">
        <is>
          <t>CU</t>
        </is>
      </c>
      <c r="K548" t="inlineStr">
        <is>
          <t>Client Hung Up</t>
        </is>
      </c>
      <c r="L548" t="n">
        <v>3</v>
      </c>
      <c r="M548" t="inlineStr">
        <is>
          <t>2026-06-23 15:08:06</t>
        </is>
      </c>
      <c r="N548" t="inlineStr">
        <is>
          <t>Goitsimang Mogwasa</t>
        </is>
      </c>
      <c r="O548" t="inlineStr">
        <is>
          <t>2026-06-19 07:10:32</t>
        </is>
      </c>
      <c r="P548" t="inlineStr">
        <is>
          <t>2026-06-19 07:10:32</t>
        </is>
      </c>
      <c r="Y548" t="inlineStr">
        <is>
          <t>27765942886</t>
        </is>
      </c>
    </row>
    <row r="549">
      <c r="A549" t="inlineStr">
        <is>
          <t>14947581</t>
        </is>
      </c>
      <c r="B549" t="inlineStr">
        <is>
          <t>9c6e9f6a-aba8-45a8-b0f9-bfad929355a1</t>
        </is>
      </c>
      <c r="D549" t="inlineStr">
        <is>
          <t>30001087</t>
        </is>
      </c>
      <c r="E549" t="inlineStr">
        <is>
          <t>ussd_funeral_leads_altitude_20260619</t>
        </is>
      </c>
      <c r="J549" t="inlineStr">
        <is>
          <t>AA</t>
        </is>
      </c>
      <c r="K549" t="inlineStr">
        <is>
          <t>Answering Machine Autodial</t>
        </is>
      </c>
      <c r="L549" t="n">
        <v>3</v>
      </c>
      <c r="M549" t="inlineStr">
        <is>
          <t>2026-06-23 15:07:58</t>
        </is>
      </c>
      <c r="N549" t="inlineStr">
        <is>
          <t>system</t>
        </is>
      </c>
      <c r="O549" t="inlineStr">
        <is>
          <t>2026-06-19 07:10:32</t>
        </is>
      </c>
      <c r="P549" t="inlineStr">
        <is>
          <t>2026-06-19 07:10:32</t>
        </is>
      </c>
      <c r="Y549" t="inlineStr">
        <is>
          <t>27765032294</t>
        </is>
      </c>
    </row>
    <row r="550">
      <c r="A550" t="inlineStr">
        <is>
          <t>14947584</t>
        </is>
      </c>
      <c r="B550" t="inlineStr">
        <is>
          <t>42460139-e114-42e3-bf91-1969a172c6e1</t>
        </is>
      </c>
      <c r="D550" t="inlineStr">
        <is>
          <t>30001087</t>
        </is>
      </c>
      <c r="E550" t="inlineStr">
        <is>
          <t>ussd_funeral_leads_altitude_20260619</t>
        </is>
      </c>
      <c r="J550" t="inlineStr">
        <is>
          <t>NA</t>
        </is>
      </c>
      <c r="K550" t="inlineStr">
        <is>
          <t>No Answer Autodial</t>
        </is>
      </c>
      <c r="L550" t="n">
        <v>3</v>
      </c>
      <c r="M550" t="inlineStr">
        <is>
          <t>2026-06-23 15:07:58</t>
        </is>
      </c>
      <c r="N550" t="inlineStr">
        <is>
          <t>system</t>
        </is>
      </c>
      <c r="O550" t="inlineStr">
        <is>
          <t>2026-06-19 07:10:32</t>
        </is>
      </c>
      <c r="P550" t="inlineStr">
        <is>
          <t>2026-06-19 07:10:32</t>
        </is>
      </c>
      <c r="Y550" t="inlineStr">
        <is>
          <t>27763831027</t>
        </is>
      </c>
    </row>
    <row r="551">
      <c r="A551" t="inlineStr">
        <is>
          <t>14947585</t>
        </is>
      </c>
      <c r="B551" t="inlineStr">
        <is>
          <t>fc9eac54-0d9c-4ff7-ba1b-273cb9f6d400</t>
        </is>
      </c>
      <c r="D551" t="inlineStr">
        <is>
          <t>30001087</t>
        </is>
      </c>
      <c r="E551" t="inlineStr">
        <is>
          <t>ussd_funeral_leads_altitude_20260619</t>
        </is>
      </c>
      <c r="J551" t="inlineStr">
        <is>
          <t>AA</t>
        </is>
      </c>
      <c r="K551" t="inlineStr">
        <is>
          <t>Answering Machine Autodial</t>
        </is>
      </c>
      <c r="L551" t="n">
        <v>3</v>
      </c>
      <c r="M551" t="inlineStr">
        <is>
          <t>2026-06-23 15:07:58</t>
        </is>
      </c>
      <c r="N551" t="inlineStr">
        <is>
          <t>system</t>
        </is>
      </c>
      <c r="O551" t="inlineStr">
        <is>
          <t>2026-06-19 07:10:32</t>
        </is>
      </c>
      <c r="P551" t="inlineStr">
        <is>
          <t>2026-06-19 07:10:32</t>
        </is>
      </c>
      <c r="Y551" t="inlineStr">
        <is>
          <t>27637378478</t>
        </is>
      </c>
    </row>
    <row r="552">
      <c r="A552" t="inlineStr">
        <is>
          <t>14947586</t>
        </is>
      </c>
      <c r="B552" t="inlineStr">
        <is>
          <t>07627a1b-1af7-43e3-b44f-b84370baa96b</t>
        </is>
      </c>
      <c r="D552" t="inlineStr">
        <is>
          <t>30001087</t>
        </is>
      </c>
      <c r="E552" t="inlineStr">
        <is>
          <t>ussd_funeral_leads_altitude_20260619</t>
        </is>
      </c>
      <c r="J552" t="inlineStr">
        <is>
          <t>DROP</t>
        </is>
      </c>
      <c r="K552" t="inlineStr">
        <is>
          <t>Dropped</t>
        </is>
      </c>
      <c r="L552" t="n">
        <v>3</v>
      </c>
      <c r="M552" t="inlineStr">
        <is>
          <t>2026-06-23 15:07:20</t>
        </is>
      </c>
      <c r="N552" t="inlineStr">
        <is>
          <t>system</t>
        </is>
      </c>
      <c r="O552" t="inlineStr">
        <is>
          <t>2026-06-19 07:10:32</t>
        </is>
      </c>
      <c r="P552" t="inlineStr">
        <is>
          <t>2026-06-19 07:10:32</t>
        </is>
      </c>
      <c r="Y552" t="inlineStr">
        <is>
          <t>27798846053</t>
        </is>
      </c>
    </row>
    <row r="553">
      <c r="A553" t="inlineStr">
        <is>
          <t>14947248</t>
        </is>
      </c>
      <c r="B553" t="inlineStr">
        <is>
          <t>dbebcab5-652c-4f35-ba0a-a41483167061</t>
        </is>
      </c>
      <c r="D553" t="inlineStr">
        <is>
          <t>30001087</t>
        </is>
      </c>
      <c r="E553" t="inlineStr">
        <is>
          <t>ussd_funeral_leads_altitude_20260619</t>
        </is>
      </c>
      <c r="J553" t="inlineStr">
        <is>
          <t>AA</t>
        </is>
      </c>
      <c r="K553" t="inlineStr">
        <is>
          <t>Answering Machine Autodial</t>
        </is>
      </c>
      <c r="L553" t="n">
        <v>3</v>
      </c>
      <c r="M553" t="inlineStr">
        <is>
          <t>2026-06-23 15:07:15</t>
        </is>
      </c>
      <c r="N553" t="inlineStr">
        <is>
          <t>system</t>
        </is>
      </c>
      <c r="O553" t="inlineStr">
        <is>
          <t>2026-06-19 07:10:32</t>
        </is>
      </c>
      <c r="P553" t="inlineStr">
        <is>
          <t>2026-06-19 07:10:32</t>
        </is>
      </c>
      <c r="Y553" t="inlineStr">
        <is>
          <t>27712535719</t>
        </is>
      </c>
    </row>
    <row r="554">
      <c r="A554" t="inlineStr">
        <is>
          <t>14947587</t>
        </is>
      </c>
      <c r="B554" t="inlineStr">
        <is>
          <t>db0cfa07-d354-47a6-b5c1-66e50eb663f5</t>
        </is>
      </c>
      <c r="D554" t="inlineStr">
        <is>
          <t>30001087</t>
        </is>
      </c>
      <c r="E554" t="inlineStr">
        <is>
          <t>ussd_funeral_leads_altitude_20260619</t>
        </is>
      </c>
      <c r="J554" t="inlineStr">
        <is>
          <t>DROP</t>
        </is>
      </c>
      <c r="K554" t="inlineStr">
        <is>
          <t>Dropped</t>
        </is>
      </c>
      <c r="L554" t="n">
        <v>3</v>
      </c>
      <c r="M554" t="inlineStr">
        <is>
          <t>2026-06-23 15:07:15</t>
        </is>
      </c>
      <c r="N554" t="inlineStr">
        <is>
          <t>system</t>
        </is>
      </c>
      <c r="O554" t="inlineStr">
        <is>
          <t>2026-06-19 07:10:32</t>
        </is>
      </c>
      <c r="P554" t="inlineStr">
        <is>
          <t>2026-06-19 07:10:32</t>
        </is>
      </c>
      <c r="Y554" t="inlineStr">
        <is>
          <t>27721966907</t>
        </is>
      </c>
    </row>
    <row r="555">
      <c r="A555" t="inlineStr">
        <is>
          <t>14943796</t>
        </is>
      </c>
      <c r="B555" t="inlineStr">
        <is>
          <t>50ec68f0-02c8-49ae-a785-20573fb52513</t>
        </is>
      </c>
      <c r="D555" t="inlineStr">
        <is>
          <t>30001087</t>
        </is>
      </c>
      <c r="E555" t="inlineStr">
        <is>
          <t>ussd_funeral_leads_altitude_20260619</t>
        </is>
      </c>
      <c r="J555" t="inlineStr">
        <is>
          <t>DROP</t>
        </is>
      </c>
      <c r="K555" t="inlineStr">
        <is>
          <t>Dropped</t>
        </is>
      </c>
      <c r="L555" t="n">
        <v>3</v>
      </c>
      <c r="M555" t="inlineStr">
        <is>
          <t>2026-06-23 15:06:48</t>
        </is>
      </c>
      <c r="N555" t="inlineStr">
        <is>
          <t>system</t>
        </is>
      </c>
      <c r="O555" t="inlineStr">
        <is>
          <t>2026-06-19 07:10:32</t>
        </is>
      </c>
      <c r="P555" t="inlineStr">
        <is>
          <t>2026-06-19 07:10:32</t>
        </is>
      </c>
      <c r="Y555" t="inlineStr">
        <is>
          <t>27761914550</t>
        </is>
      </c>
    </row>
    <row r="556">
      <c r="A556" t="inlineStr">
        <is>
          <t>14943795</t>
        </is>
      </c>
      <c r="B556" t="inlineStr">
        <is>
          <t>f1e52697-9ffd-4ae1-beec-cb22e24f19f7</t>
        </is>
      </c>
      <c r="D556" t="inlineStr">
        <is>
          <t>30001087</t>
        </is>
      </c>
      <c r="E556" t="inlineStr">
        <is>
          <t>ussd_funeral_leads_altitude_20260619</t>
        </is>
      </c>
      <c r="J556" t="inlineStr">
        <is>
          <t>DROP</t>
        </is>
      </c>
      <c r="K556" t="inlineStr">
        <is>
          <t>Dropped</t>
        </is>
      </c>
      <c r="L556" t="n">
        <v>3</v>
      </c>
      <c r="M556" t="inlineStr">
        <is>
          <t>2026-06-23 15:06:47</t>
        </is>
      </c>
      <c r="N556" t="inlineStr">
        <is>
          <t>system</t>
        </is>
      </c>
      <c r="O556" t="inlineStr">
        <is>
          <t>2026-06-19 07:10:32</t>
        </is>
      </c>
      <c r="P556" t="inlineStr">
        <is>
          <t>2026-06-19 07:10:32</t>
        </is>
      </c>
      <c r="Y556" t="inlineStr">
        <is>
          <t>27662577538</t>
        </is>
      </c>
    </row>
    <row r="557">
      <c r="A557" t="inlineStr">
        <is>
          <t>14943794</t>
        </is>
      </c>
      <c r="B557" t="inlineStr">
        <is>
          <t>c7207304-5af3-4b7d-b62a-52f716bdba64</t>
        </is>
      </c>
      <c r="D557" t="inlineStr">
        <is>
          <t>30001087</t>
        </is>
      </c>
      <c r="E557" t="inlineStr">
        <is>
          <t>ussd_funeral_leads_altitude_20260619</t>
        </is>
      </c>
      <c r="J557" t="inlineStr">
        <is>
          <t>NA</t>
        </is>
      </c>
      <c r="K557" t="inlineStr">
        <is>
          <t>No Answer Autodial</t>
        </is>
      </c>
      <c r="L557" t="n">
        <v>3</v>
      </c>
      <c r="M557" t="inlineStr">
        <is>
          <t>2026-06-23 15:06:45</t>
        </is>
      </c>
      <c r="N557" t="inlineStr">
        <is>
          <t>system</t>
        </is>
      </c>
      <c r="O557" t="inlineStr">
        <is>
          <t>2026-06-19 07:10:32</t>
        </is>
      </c>
      <c r="P557" t="inlineStr">
        <is>
          <t>2026-06-19 07:10:32</t>
        </is>
      </c>
      <c r="Y557" t="inlineStr">
        <is>
          <t>27660844673</t>
        </is>
      </c>
    </row>
    <row r="558">
      <c r="A558" t="inlineStr">
        <is>
          <t>14943793</t>
        </is>
      </c>
      <c r="B558" t="inlineStr">
        <is>
          <t>1083aecd-7b59-4ae3-befc-e656fbd56790</t>
        </is>
      </c>
      <c r="D558" t="inlineStr">
        <is>
          <t>30001087</t>
        </is>
      </c>
      <c r="E558" t="inlineStr">
        <is>
          <t>ussd_funeral_leads_altitude_20260619</t>
        </is>
      </c>
      <c r="J558" t="inlineStr">
        <is>
          <t>TDN</t>
        </is>
      </c>
      <c r="K558" t="inlineStr">
        <is>
          <t>Temporary Disconnected Number</t>
        </is>
      </c>
      <c r="L558" t="n">
        <v>3</v>
      </c>
      <c r="M558" t="inlineStr">
        <is>
          <t>2026-06-23 15:06:44</t>
        </is>
      </c>
      <c r="N558" t="inlineStr">
        <is>
          <t>system</t>
        </is>
      </c>
      <c r="O558" t="inlineStr">
        <is>
          <t>2026-06-19 07:10:32</t>
        </is>
      </c>
      <c r="P558" t="inlineStr">
        <is>
          <t>2026-06-19 07:10:32</t>
        </is>
      </c>
      <c r="Y558" t="inlineStr">
        <is>
          <t>27726531722</t>
        </is>
      </c>
    </row>
    <row r="559">
      <c r="A559" t="inlineStr">
        <is>
          <t>14943789</t>
        </is>
      </c>
      <c r="B559" t="inlineStr">
        <is>
          <t>a001c5e9-01e4-4c88-86f3-679df68a5efe</t>
        </is>
      </c>
      <c r="D559" t="inlineStr">
        <is>
          <t>30001087</t>
        </is>
      </c>
      <c r="E559" t="inlineStr">
        <is>
          <t>ussd_funeral_leads_altitude_20260619</t>
        </is>
      </c>
      <c r="J559" t="inlineStr">
        <is>
          <t>AA</t>
        </is>
      </c>
      <c r="K559" t="inlineStr">
        <is>
          <t>Answering Machine Autodial</t>
        </is>
      </c>
      <c r="L559" t="n">
        <v>3</v>
      </c>
      <c r="M559" t="inlineStr">
        <is>
          <t>2026-06-23 15:06:40</t>
        </is>
      </c>
      <c r="N559" t="inlineStr">
        <is>
          <t>system</t>
        </is>
      </c>
      <c r="O559" t="inlineStr">
        <is>
          <t>2026-06-19 07:10:32</t>
        </is>
      </c>
      <c r="P559" t="inlineStr">
        <is>
          <t>2026-06-19 07:10:32</t>
        </is>
      </c>
      <c r="Y559" t="inlineStr">
        <is>
          <t>27721868337</t>
        </is>
      </c>
    </row>
    <row r="560">
      <c r="A560" t="inlineStr">
        <is>
          <t>14943790</t>
        </is>
      </c>
      <c r="B560" t="inlineStr">
        <is>
          <t>411e0b32-cab1-462f-842b-38f3b63a9770</t>
        </is>
      </c>
      <c r="D560" t="inlineStr">
        <is>
          <t>30001087</t>
        </is>
      </c>
      <c r="E560" t="inlineStr">
        <is>
          <t>ussd_funeral_leads_altitude_20260619</t>
        </is>
      </c>
      <c r="J560" t="inlineStr">
        <is>
          <t>AA</t>
        </is>
      </c>
      <c r="K560" t="inlineStr">
        <is>
          <t>Answering Machine Autodial</t>
        </is>
      </c>
      <c r="L560" t="n">
        <v>3</v>
      </c>
      <c r="M560" t="inlineStr">
        <is>
          <t>2026-06-23 15:06:40</t>
        </is>
      </c>
      <c r="N560" t="inlineStr">
        <is>
          <t>system</t>
        </is>
      </c>
      <c r="O560" t="inlineStr">
        <is>
          <t>2026-06-19 07:10:32</t>
        </is>
      </c>
      <c r="P560" t="inlineStr">
        <is>
          <t>2026-06-19 07:10:32</t>
        </is>
      </c>
      <c r="Y560" t="inlineStr">
        <is>
          <t>27823663692</t>
        </is>
      </c>
    </row>
    <row r="561">
      <c r="A561" t="inlineStr">
        <is>
          <t>14943791</t>
        </is>
      </c>
      <c r="B561" t="inlineStr">
        <is>
          <t>2e1aa38f-6c5b-407d-b0bd-522e2656395b</t>
        </is>
      </c>
      <c r="D561" t="inlineStr">
        <is>
          <t>30001087</t>
        </is>
      </c>
      <c r="E561" t="inlineStr">
        <is>
          <t>ussd_funeral_leads_altitude_20260619</t>
        </is>
      </c>
      <c r="J561" t="inlineStr">
        <is>
          <t>AA</t>
        </is>
      </c>
      <c r="K561" t="inlineStr">
        <is>
          <t>Answering Machine Autodial</t>
        </is>
      </c>
      <c r="L561" t="n">
        <v>3</v>
      </c>
      <c r="M561" t="inlineStr">
        <is>
          <t>2026-06-23 15:06:40</t>
        </is>
      </c>
      <c r="N561" t="inlineStr">
        <is>
          <t>system</t>
        </is>
      </c>
      <c r="O561" t="inlineStr">
        <is>
          <t>2026-06-19 07:10:32</t>
        </is>
      </c>
      <c r="P561" t="inlineStr">
        <is>
          <t>2026-06-19 07:10:32</t>
        </is>
      </c>
      <c r="Y561" t="inlineStr">
        <is>
          <t>27661171234</t>
        </is>
      </c>
    </row>
    <row r="562">
      <c r="A562" t="inlineStr">
        <is>
          <t>14943792</t>
        </is>
      </c>
      <c r="B562" t="inlineStr">
        <is>
          <t>64d5793d-b2e6-487d-a33c-d84f21e5da1e</t>
        </is>
      </c>
      <c r="D562" t="inlineStr">
        <is>
          <t>30001087</t>
        </is>
      </c>
      <c r="E562" t="inlineStr">
        <is>
          <t>ussd_funeral_leads_altitude_20260619</t>
        </is>
      </c>
      <c r="J562" t="inlineStr">
        <is>
          <t>ADC</t>
        </is>
      </c>
      <c r="K562" t="inlineStr">
        <is>
          <t>Auto Dial Disconnected</t>
        </is>
      </c>
      <c r="L562" t="n">
        <v>3</v>
      </c>
      <c r="M562" t="inlineStr">
        <is>
          <t>2026-06-23 15:06:40</t>
        </is>
      </c>
      <c r="N562" t="inlineStr">
        <is>
          <t>system</t>
        </is>
      </c>
      <c r="O562" t="inlineStr">
        <is>
          <t>2026-06-19 07:10:32</t>
        </is>
      </c>
      <c r="P562" t="inlineStr">
        <is>
          <t>2026-06-19 07:10:32</t>
        </is>
      </c>
      <c r="Y562" t="inlineStr">
        <is>
          <t>27664927411</t>
        </is>
      </c>
    </row>
    <row r="563">
      <c r="A563" t="inlineStr">
        <is>
          <t>14943787</t>
        </is>
      </c>
      <c r="B563" t="inlineStr">
        <is>
          <t>4e9a82c2-b044-4b72-b77f-ac698d42705f</t>
        </is>
      </c>
      <c r="D563" t="inlineStr">
        <is>
          <t>30001087</t>
        </is>
      </c>
      <c r="E563" t="inlineStr">
        <is>
          <t>ussd_funeral_leads_altitude_20260619</t>
        </is>
      </c>
      <c r="J563" t="inlineStr">
        <is>
          <t>ADC</t>
        </is>
      </c>
      <c r="K563" t="inlineStr">
        <is>
          <t>Auto Dial Disconnected</t>
        </is>
      </c>
      <c r="L563" t="n">
        <v>3</v>
      </c>
      <c r="M563" t="inlineStr">
        <is>
          <t>2026-06-23 15:06:38</t>
        </is>
      </c>
      <c r="N563" t="inlineStr">
        <is>
          <t>system</t>
        </is>
      </c>
      <c r="O563" t="inlineStr">
        <is>
          <t>2026-06-19 07:10:32</t>
        </is>
      </c>
      <c r="P563" t="inlineStr">
        <is>
          <t>2026-06-19 07:10:32</t>
        </is>
      </c>
      <c r="Y563" t="inlineStr">
        <is>
          <t>27769582268</t>
        </is>
      </c>
    </row>
    <row r="564">
      <c r="A564" t="inlineStr">
        <is>
          <t>14943788</t>
        </is>
      </c>
      <c r="B564" t="inlineStr">
        <is>
          <t>d55011a9-ea47-4371-ae16-a324a94c609d</t>
        </is>
      </c>
      <c r="D564" t="inlineStr">
        <is>
          <t>30001087</t>
        </is>
      </c>
      <c r="E564" t="inlineStr">
        <is>
          <t>ussd_funeral_leads_altitude_20260619</t>
        </is>
      </c>
      <c r="J564" t="inlineStr">
        <is>
          <t>NA</t>
        </is>
      </c>
      <c r="K564" t="inlineStr">
        <is>
          <t>No Answer Autodial</t>
        </is>
      </c>
      <c r="L564" t="n">
        <v>3</v>
      </c>
      <c r="M564" t="inlineStr">
        <is>
          <t>2026-06-23 15:06:38</t>
        </is>
      </c>
      <c r="N564" t="inlineStr">
        <is>
          <t>system</t>
        </is>
      </c>
      <c r="O564" t="inlineStr">
        <is>
          <t>2026-06-19 07:10:32</t>
        </is>
      </c>
      <c r="P564" t="inlineStr">
        <is>
          <t>2026-06-19 07:10:32</t>
        </is>
      </c>
      <c r="Y564" t="inlineStr">
        <is>
          <t>27674748265</t>
        </is>
      </c>
    </row>
    <row r="565">
      <c r="A565" t="inlineStr">
        <is>
          <t>14943786</t>
        </is>
      </c>
      <c r="B565" t="inlineStr">
        <is>
          <t>268b817a-96a8-4c87-8fe4-df70532e2612</t>
        </is>
      </c>
      <c r="D565" t="inlineStr">
        <is>
          <t>30001087</t>
        </is>
      </c>
      <c r="E565" t="inlineStr">
        <is>
          <t>ussd_funeral_leads_altitude_20260619</t>
        </is>
      </c>
      <c r="J565" t="inlineStr">
        <is>
          <t>CU</t>
        </is>
      </c>
      <c r="K565" t="inlineStr">
        <is>
          <t>Client Hung Up</t>
        </is>
      </c>
      <c r="L565" t="n">
        <v>3</v>
      </c>
      <c r="M565" t="inlineStr">
        <is>
          <t>2026-06-23 15:06:37</t>
        </is>
      </c>
      <c r="N565" t="inlineStr">
        <is>
          <t>Gontse Monageng</t>
        </is>
      </c>
      <c r="O565" t="inlineStr">
        <is>
          <t>2026-06-19 07:10:32</t>
        </is>
      </c>
      <c r="P565" t="inlineStr">
        <is>
          <t>2026-06-19 07:10:32</t>
        </is>
      </c>
      <c r="Y565" t="inlineStr">
        <is>
          <t>27827131952</t>
        </is>
      </c>
    </row>
    <row r="566">
      <c r="A566" t="inlineStr">
        <is>
          <t>14943784</t>
        </is>
      </c>
      <c r="B566" t="inlineStr">
        <is>
          <t>2097b178-73e3-4765-8c17-b7b49b8bee71</t>
        </is>
      </c>
      <c r="D566" t="inlineStr">
        <is>
          <t>30001087</t>
        </is>
      </c>
      <c r="E566" t="inlineStr">
        <is>
          <t>ussd_funeral_leads_altitude_20260619</t>
        </is>
      </c>
      <c r="J566" t="inlineStr">
        <is>
          <t>AA</t>
        </is>
      </c>
      <c r="K566" t="inlineStr">
        <is>
          <t>Answering Machine Autodial</t>
        </is>
      </c>
      <c r="L566" t="n">
        <v>3</v>
      </c>
      <c r="M566" t="inlineStr">
        <is>
          <t>2026-06-23 15:06:33</t>
        </is>
      </c>
      <c r="N566" t="inlineStr">
        <is>
          <t>system</t>
        </is>
      </c>
      <c r="O566" t="inlineStr">
        <is>
          <t>2026-06-19 07:10:32</t>
        </is>
      </c>
      <c r="P566" t="inlineStr">
        <is>
          <t>2026-06-19 07:10:32</t>
        </is>
      </c>
      <c r="Y566" t="inlineStr">
        <is>
          <t>27608214292</t>
        </is>
      </c>
    </row>
    <row r="567">
      <c r="A567" t="inlineStr">
        <is>
          <t>14943785</t>
        </is>
      </c>
      <c r="B567" t="inlineStr">
        <is>
          <t>56680875-d978-40c9-8ece-254c08107031</t>
        </is>
      </c>
      <c r="D567" t="inlineStr">
        <is>
          <t>30001087</t>
        </is>
      </c>
      <c r="E567" t="inlineStr">
        <is>
          <t>ussd_funeral_leads_altitude_20260619</t>
        </is>
      </c>
      <c r="J567" t="inlineStr">
        <is>
          <t>AA</t>
        </is>
      </c>
      <c r="K567" t="inlineStr">
        <is>
          <t>Answering Machine Autodial</t>
        </is>
      </c>
      <c r="L567" t="n">
        <v>3</v>
      </c>
      <c r="M567" t="inlineStr">
        <is>
          <t>2026-06-23 15:06:33</t>
        </is>
      </c>
      <c r="N567" t="inlineStr">
        <is>
          <t>system</t>
        </is>
      </c>
      <c r="O567" t="inlineStr">
        <is>
          <t>2026-06-19 07:10:32</t>
        </is>
      </c>
      <c r="P567" t="inlineStr">
        <is>
          <t>2026-06-19 07:10:32</t>
        </is>
      </c>
      <c r="Y567" t="inlineStr">
        <is>
          <t>27764083667</t>
        </is>
      </c>
    </row>
    <row r="568">
      <c r="A568" t="inlineStr">
        <is>
          <t>14943778</t>
        </is>
      </c>
      <c r="B568" t="inlineStr">
        <is>
          <t>ab09df6f-eb8d-4de7-9b68-b185c1ac06e7</t>
        </is>
      </c>
      <c r="D568" t="inlineStr">
        <is>
          <t>30001087</t>
        </is>
      </c>
      <c r="E568" t="inlineStr">
        <is>
          <t>ussd_funeral_leads_altitude_20260619</t>
        </is>
      </c>
      <c r="J568" t="inlineStr">
        <is>
          <t>AA</t>
        </is>
      </c>
      <c r="K568" t="inlineStr">
        <is>
          <t>Answering Machine Autodial</t>
        </is>
      </c>
      <c r="L568" t="n">
        <v>3</v>
      </c>
      <c r="M568" t="inlineStr">
        <is>
          <t>2026-06-23 15:06:32</t>
        </is>
      </c>
      <c r="N568" t="inlineStr">
        <is>
          <t>system</t>
        </is>
      </c>
      <c r="O568" t="inlineStr">
        <is>
          <t>2026-06-19 07:10:32</t>
        </is>
      </c>
      <c r="P568" t="inlineStr">
        <is>
          <t>2026-06-19 07:10:32</t>
        </is>
      </c>
      <c r="Y568" t="inlineStr">
        <is>
          <t>27648749064</t>
        </is>
      </c>
    </row>
    <row r="569">
      <c r="A569" t="inlineStr">
        <is>
          <t>14943782</t>
        </is>
      </c>
      <c r="B569" t="inlineStr">
        <is>
          <t>ed660ee3-4ad6-43a3-828a-85b1ab87771f</t>
        </is>
      </c>
      <c r="D569" t="inlineStr">
        <is>
          <t>30001087</t>
        </is>
      </c>
      <c r="E569" t="inlineStr">
        <is>
          <t>ussd_funeral_leads_altitude_20260619</t>
        </is>
      </c>
      <c r="J569" t="inlineStr">
        <is>
          <t>AA</t>
        </is>
      </c>
      <c r="K569" t="inlineStr">
        <is>
          <t>Answering Machine Autodial</t>
        </is>
      </c>
      <c r="L569" t="n">
        <v>3</v>
      </c>
      <c r="M569" t="inlineStr">
        <is>
          <t>2026-06-23 15:06:32</t>
        </is>
      </c>
      <c r="N569" t="inlineStr">
        <is>
          <t>system</t>
        </is>
      </c>
      <c r="O569" t="inlineStr">
        <is>
          <t>2026-06-19 07:10:32</t>
        </is>
      </c>
      <c r="P569" t="inlineStr">
        <is>
          <t>2026-06-19 07:10:32</t>
        </is>
      </c>
      <c r="Y569" t="inlineStr">
        <is>
          <t>27818367256</t>
        </is>
      </c>
    </row>
    <row r="570">
      <c r="A570" t="inlineStr">
        <is>
          <t>14943783</t>
        </is>
      </c>
      <c r="B570" t="inlineStr">
        <is>
          <t>37205b36-5a86-4596-b285-5cd0ac027030</t>
        </is>
      </c>
      <c r="D570" t="inlineStr">
        <is>
          <t>30001087</t>
        </is>
      </c>
      <c r="E570" t="inlineStr">
        <is>
          <t>ussd_funeral_leads_altitude_20260619</t>
        </is>
      </c>
      <c r="J570" t="inlineStr">
        <is>
          <t>AE</t>
        </is>
      </c>
      <c r="K570" t="inlineStr">
        <is>
          <t>Auto Engaged</t>
        </is>
      </c>
      <c r="L570" t="n">
        <v>3</v>
      </c>
      <c r="M570" t="inlineStr">
        <is>
          <t>2026-06-23 15:06:32</t>
        </is>
      </c>
      <c r="N570" t="inlineStr">
        <is>
          <t>system</t>
        </is>
      </c>
      <c r="O570" t="inlineStr">
        <is>
          <t>2026-06-19 07:10:32</t>
        </is>
      </c>
      <c r="P570" t="inlineStr">
        <is>
          <t>2026-06-19 07:10:32</t>
        </is>
      </c>
      <c r="Y570" t="inlineStr">
        <is>
          <t>27673945225</t>
        </is>
      </c>
    </row>
    <row r="571">
      <c r="A571" t="inlineStr">
        <is>
          <t>14943774</t>
        </is>
      </c>
      <c r="B571" t="inlineStr">
        <is>
          <t>2d22e12e-0a56-41be-91c2-4477d632a921</t>
        </is>
      </c>
      <c r="D571" t="inlineStr">
        <is>
          <t>30001087</t>
        </is>
      </c>
      <c r="E571" t="inlineStr">
        <is>
          <t>ussd_funeral_leads_altitude_20260619</t>
        </is>
      </c>
      <c r="J571" t="inlineStr">
        <is>
          <t>DROP</t>
        </is>
      </c>
      <c r="K571" t="inlineStr">
        <is>
          <t>Dropped</t>
        </is>
      </c>
      <c r="L571" t="n">
        <v>3</v>
      </c>
      <c r="M571" t="inlineStr">
        <is>
          <t>2026-06-23 15:06:29</t>
        </is>
      </c>
      <c r="N571" t="inlineStr">
        <is>
          <t>system</t>
        </is>
      </c>
      <c r="O571" t="inlineStr">
        <is>
          <t>2026-06-19 07:10:32</t>
        </is>
      </c>
      <c r="P571" t="inlineStr">
        <is>
          <t>2026-06-19 07:10:32</t>
        </is>
      </c>
      <c r="Y571" t="inlineStr">
        <is>
          <t>27660807264</t>
        </is>
      </c>
    </row>
    <row r="572">
      <c r="A572" t="inlineStr">
        <is>
          <t>14943770</t>
        </is>
      </c>
      <c r="B572" t="inlineStr">
        <is>
          <t>2a832374-5453-4a14-95d8-443b11211956</t>
        </is>
      </c>
      <c r="D572" t="inlineStr">
        <is>
          <t>30001087</t>
        </is>
      </c>
      <c r="E572" t="inlineStr">
        <is>
          <t>ussd_funeral_leads_altitude_20260619</t>
        </is>
      </c>
      <c r="J572" t="inlineStr">
        <is>
          <t>ADC</t>
        </is>
      </c>
      <c r="K572" t="inlineStr">
        <is>
          <t>Auto Dial Disconnected</t>
        </is>
      </c>
      <c r="L572" t="n">
        <v>3</v>
      </c>
      <c r="M572" t="inlineStr">
        <is>
          <t>2026-06-23 15:06:23</t>
        </is>
      </c>
      <c r="N572" t="inlineStr">
        <is>
          <t>system</t>
        </is>
      </c>
      <c r="O572" t="inlineStr">
        <is>
          <t>2026-06-19 07:10:32</t>
        </is>
      </c>
      <c r="P572" t="inlineStr">
        <is>
          <t>2026-06-19 07:10:32</t>
        </is>
      </c>
      <c r="Y572" t="inlineStr">
        <is>
          <t>27796158841</t>
        </is>
      </c>
    </row>
    <row r="573">
      <c r="A573" t="inlineStr">
        <is>
          <t>14943772</t>
        </is>
      </c>
      <c r="B573" t="inlineStr">
        <is>
          <t>78244a5d-d620-446e-a936-02f9f3a30d1a</t>
        </is>
      </c>
      <c r="D573" t="inlineStr">
        <is>
          <t>30001087</t>
        </is>
      </c>
      <c r="E573" t="inlineStr">
        <is>
          <t>ussd_funeral_leads_altitude_20260619</t>
        </is>
      </c>
      <c r="J573" t="inlineStr">
        <is>
          <t>AA</t>
        </is>
      </c>
      <c r="K573" t="inlineStr">
        <is>
          <t>Answering Machine Autodial</t>
        </is>
      </c>
      <c r="L573" t="n">
        <v>3</v>
      </c>
      <c r="M573" t="inlineStr">
        <is>
          <t>2026-06-23 15:06:23</t>
        </is>
      </c>
      <c r="N573" t="inlineStr">
        <is>
          <t>system</t>
        </is>
      </c>
      <c r="O573" t="inlineStr">
        <is>
          <t>2026-06-19 07:10:32</t>
        </is>
      </c>
      <c r="P573" t="inlineStr">
        <is>
          <t>2026-06-19 07:10:32</t>
        </is>
      </c>
      <c r="Y573" t="inlineStr">
        <is>
          <t>27674588047</t>
        </is>
      </c>
    </row>
    <row r="574">
      <c r="A574" t="inlineStr">
        <is>
          <t>14943776</t>
        </is>
      </c>
      <c r="B574" t="inlineStr">
        <is>
          <t>44459d2d-6b61-4298-8d7b-16776ca5386a</t>
        </is>
      </c>
      <c r="D574" t="inlineStr">
        <is>
          <t>30001087</t>
        </is>
      </c>
      <c r="E574" t="inlineStr">
        <is>
          <t>ussd_funeral_leads_altitude_20260619</t>
        </is>
      </c>
      <c r="J574" t="inlineStr">
        <is>
          <t>AA</t>
        </is>
      </c>
      <c r="K574" t="inlineStr">
        <is>
          <t>Answering Machine Autodial</t>
        </is>
      </c>
      <c r="L574" t="n">
        <v>3</v>
      </c>
      <c r="M574" t="inlineStr">
        <is>
          <t>2026-06-23 15:06:07</t>
        </is>
      </c>
      <c r="N574" t="inlineStr">
        <is>
          <t>system</t>
        </is>
      </c>
      <c r="O574" t="inlineStr">
        <is>
          <t>2026-06-19 07:10:32</t>
        </is>
      </c>
      <c r="P574" t="inlineStr">
        <is>
          <t>2026-06-19 07:10:32</t>
        </is>
      </c>
      <c r="Y574" t="inlineStr">
        <is>
          <t>27792366034</t>
        </is>
      </c>
    </row>
    <row r="575">
      <c r="A575" t="inlineStr">
        <is>
          <t>14943775</t>
        </is>
      </c>
      <c r="B575" t="inlineStr">
        <is>
          <t>15ce464f-dcad-4862-be90-b6405102a5c4</t>
        </is>
      </c>
      <c r="D575" t="inlineStr">
        <is>
          <t>30001087</t>
        </is>
      </c>
      <c r="E575" t="inlineStr">
        <is>
          <t>ussd_funeral_leads_altitude_20260619</t>
        </is>
      </c>
      <c r="J575" t="inlineStr">
        <is>
          <t>AA</t>
        </is>
      </c>
      <c r="K575" t="inlineStr">
        <is>
          <t>Answering Machine Autodial</t>
        </is>
      </c>
      <c r="L575" t="n">
        <v>3</v>
      </c>
      <c r="M575" t="inlineStr">
        <is>
          <t>2026-06-23 15:06:01</t>
        </is>
      </c>
      <c r="N575" t="inlineStr">
        <is>
          <t>system</t>
        </is>
      </c>
      <c r="O575" t="inlineStr">
        <is>
          <t>2026-06-19 07:10:32</t>
        </is>
      </c>
      <c r="P575" t="inlineStr">
        <is>
          <t>2026-06-19 07:10:32</t>
        </is>
      </c>
      <c r="Y575" t="inlineStr">
        <is>
          <t>27772861627</t>
        </is>
      </c>
    </row>
    <row r="576">
      <c r="A576" t="inlineStr">
        <is>
          <t>14943773</t>
        </is>
      </c>
      <c r="B576" t="inlineStr">
        <is>
          <t>ed357c4c-0815-417b-b5b5-02cefc2c3443</t>
        </is>
      </c>
      <c r="D576" t="inlineStr">
        <is>
          <t>30001087</t>
        </is>
      </c>
      <c r="E576" t="inlineStr">
        <is>
          <t>ussd_funeral_leads_altitude_20260619</t>
        </is>
      </c>
      <c r="J576" t="inlineStr">
        <is>
          <t>DROP</t>
        </is>
      </c>
      <c r="K576" t="inlineStr">
        <is>
          <t>Dropped</t>
        </is>
      </c>
      <c r="L576" t="n">
        <v>3</v>
      </c>
      <c r="M576" t="inlineStr">
        <is>
          <t>2026-06-23 15:05:53</t>
        </is>
      </c>
      <c r="N576" t="inlineStr">
        <is>
          <t>system</t>
        </is>
      </c>
      <c r="O576" t="inlineStr">
        <is>
          <t>2026-06-19 07:10:32</t>
        </is>
      </c>
      <c r="P576" t="inlineStr">
        <is>
          <t>2026-06-19 07:10:32</t>
        </is>
      </c>
      <c r="Y576" t="inlineStr">
        <is>
          <t>27768193358</t>
        </is>
      </c>
    </row>
    <row r="577">
      <c r="A577" t="inlineStr">
        <is>
          <t>14943781</t>
        </is>
      </c>
      <c r="B577" t="inlineStr">
        <is>
          <t>b09024a6-dcb9-4794-a29f-31557d7691bc</t>
        </is>
      </c>
      <c r="D577" t="inlineStr">
        <is>
          <t>30001087</t>
        </is>
      </c>
      <c r="E577" t="inlineStr">
        <is>
          <t>ussd_funeral_leads_altitude_20260619</t>
        </is>
      </c>
      <c r="J577" t="inlineStr">
        <is>
          <t>ADC</t>
        </is>
      </c>
      <c r="K577" t="inlineStr">
        <is>
          <t>Auto Dial Disconnected</t>
        </is>
      </c>
      <c r="L577" t="n">
        <v>3</v>
      </c>
      <c r="M577" t="inlineStr">
        <is>
          <t>2026-06-23 15:03:19</t>
        </is>
      </c>
      <c r="N577" t="inlineStr">
        <is>
          <t>system</t>
        </is>
      </c>
      <c r="O577" t="inlineStr">
        <is>
          <t>2026-06-19 07:10:32</t>
        </is>
      </c>
      <c r="P577" t="inlineStr">
        <is>
          <t>2026-06-19 07:10:32</t>
        </is>
      </c>
      <c r="Y577" t="inlineStr">
        <is>
          <t>27725531263</t>
        </is>
      </c>
    </row>
    <row r="578">
      <c r="A578" t="inlineStr">
        <is>
          <t>14943780</t>
        </is>
      </c>
      <c r="B578" t="inlineStr">
        <is>
          <t>5207dcf0-d125-4cd7-bd08-871b241ef56e</t>
        </is>
      </c>
      <c r="D578" t="inlineStr">
        <is>
          <t>30001087</t>
        </is>
      </c>
      <c r="E578" t="inlineStr">
        <is>
          <t>ussd_funeral_leads_altitude_20260619</t>
        </is>
      </c>
      <c r="J578" t="inlineStr">
        <is>
          <t>DROP</t>
        </is>
      </c>
      <c r="K578" t="inlineStr">
        <is>
          <t>Dropped</t>
        </is>
      </c>
      <c r="L578" t="n">
        <v>3</v>
      </c>
      <c r="M578" t="inlineStr">
        <is>
          <t>2026-06-23 15:03:18</t>
        </is>
      </c>
      <c r="N578" t="inlineStr">
        <is>
          <t>system</t>
        </is>
      </c>
      <c r="O578" t="inlineStr">
        <is>
          <t>2026-06-19 07:10:32</t>
        </is>
      </c>
      <c r="P578" t="inlineStr">
        <is>
          <t>2026-06-19 07:10:32</t>
        </is>
      </c>
      <c r="Y578" t="inlineStr">
        <is>
          <t>27637119636</t>
        </is>
      </c>
    </row>
    <row r="579">
      <c r="A579" t="inlineStr">
        <is>
          <t>14943777</t>
        </is>
      </c>
      <c r="B579" t="inlineStr">
        <is>
          <t>2709bf8b-9560-467e-bcaf-546d9dc5d97f</t>
        </is>
      </c>
      <c r="D579" t="inlineStr">
        <is>
          <t>30001087</t>
        </is>
      </c>
      <c r="E579" t="inlineStr">
        <is>
          <t>ussd_funeral_leads_altitude_20260619</t>
        </is>
      </c>
      <c r="J579" t="inlineStr">
        <is>
          <t>AA</t>
        </is>
      </c>
      <c r="K579" t="inlineStr">
        <is>
          <t>Answering Machine Autodial</t>
        </is>
      </c>
      <c r="L579" t="n">
        <v>3</v>
      </c>
      <c r="M579" t="inlineStr">
        <is>
          <t>2026-06-23 15:02:42</t>
        </is>
      </c>
      <c r="N579" t="inlineStr">
        <is>
          <t>system</t>
        </is>
      </c>
      <c r="O579" t="inlineStr">
        <is>
          <t>2026-06-19 07:10:32</t>
        </is>
      </c>
      <c r="P579" t="inlineStr">
        <is>
          <t>2026-06-19 07:10:32</t>
        </is>
      </c>
      <c r="Y579" t="inlineStr">
        <is>
          <t>27826640972</t>
        </is>
      </c>
    </row>
    <row r="580">
      <c r="A580" t="inlineStr">
        <is>
          <t>14943779</t>
        </is>
      </c>
      <c r="B580" t="inlineStr">
        <is>
          <t>188d4152-9eec-4d07-8de8-210e3cd2da5e</t>
        </is>
      </c>
      <c r="D580" t="inlineStr">
        <is>
          <t>30001087</t>
        </is>
      </c>
      <c r="E580" t="inlineStr">
        <is>
          <t>ussd_funeral_leads_altitude_20260619</t>
        </is>
      </c>
      <c r="J580" t="inlineStr">
        <is>
          <t>AA</t>
        </is>
      </c>
      <c r="K580" t="inlineStr">
        <is>
          <t>Answering Machine Autodial</t>
        </is>
      </c>
      <c r="L580" t="n">
        <v>3</v>
      </c>
      <c r="M580" t="inlineStr">
        <is>
          <t>2026-06-23 15:02:42</t>
        </is>
      </c>
      <c r="N580" t="inlineStr">
        <is>
          <t>system</t>
        </is>
      </c>
      <c r="O580" t="inlineStr">
        <is>
          <t>2026-06-19 07:10:32</t>
        </is>
      </c>
      <c r="P580" t="inlineStr">
        <is>
          <t>2026-06-19 07:10:32</t>
        </is>
      </c>
      <c r="Y580" t="inlineStr">
        <is>
          <t>27637248476</t>
        </is>
      </c>
    </row>
    <row r="581">
      <c r="A581" t="inlineStr">
        <is>
          <t>14944681</t>
        </is>
      </c>
      <c r="B581" t="inlineStr">
        <is>
          <t>d8296ab2-17e5-4075-926d-e1a7d98719aa</t>
        </is>
      </c>
      <c r="D581" t="inlineStr">
        <is>
          <t>30001087</t>
        </is>
      </c>
      <c r="E581" t="inlineStr">
        <is>
          <t>ussd_funeral_leads_altitude_20260619</t>
        </is>
      </c>
      <c r="J581" t="inlineStr">
        <is>
          <t>A</t>
        </is>
      </c>
      <c r="K581" t="inlineStr">
        <is>
          <t>Answering Machine</t>
        </is>
      </c>
      <c r="L581" t="n">
        <v>4</v>
      </c>
      <c r="M581" t="inlineStr">
        <is>
          <t>2026-06-23 15:02:05</t>
        </is>
      </c>
      <c r="N581" t="inlineStr">
        <is>
          <t>Dimakatso Nkomo</t>
        </is>
      </c>
      <c r="O581" t="inlineStr">
        <is>
          <t>2026-06-19 07:10:32</t>
        </is>
      </c>
      <c r="P581" t="inlineStr">
        <is>
          <t>2026-06-19 07:10:32</t>
        </is>
      </c>
      <c r="Y581" t="inlineStr">
        <is>
          <t>27761105512</t>
        </is>
      </c>
    </row>
    <row r="582">
      <c r="A582" t="inlineStr">
        <is>
          <t>14947848</t>
        </is>
      </c>
      <c r="B582" t="inlineStr">
        <is>
          <t>11528633-799d-4db4-aa75-02866daa438a</t>
        </is>
      </c>
      <c r="D582" t="inlineStr">
        <is>
          <t>30001087</t>
        </is>
      </c>
      <c r="E582" t="inlineStr">
        <is>
          <t>ussd_funeral_leads_altitude_20260619</t>
        </is>
      </c>
      <c r="J582" t="inlineStr">
        <is>
          <t>ADC</t>
        </is>
      </c>
      <c r="K582" t="inlineStr">
        <is>
          <t>Auto Dial Disconnected</t>
        </is>
      </c>
      <c r="L582" t="n">
        <v>3</v>
      </c>
      <c r="M582" t="inlineStr">
        <is>
          <t>2026-06-23 15:02:04</t>
        </is>
      </c>
      <c r="N582" t="inlineStr">
        <is>
          <t>system</t>
        </is>
      </c>
      <c r="O582" t="inlineStr">
        <is>
          <t>2026-06-19 07:10:32</t>
        </is>
      </c>
      <c r="P582" t="inlineStr">
        <is>
          <t>2026-06-19 07:10:32</t>
        </is>
      </c>
      <c r="Y582" t="inlineStr">
        <is>
          <t>27826868323</t>
        </is>
      </c>
    </row>
    <row r="583">
      <c r="A583" t="inlineStr">
        <is>
          <t>14943883</t>
        </is>
      </c>
      <c r="B583" t="inlineStr">
        <is>
          <t>a7d4f803-9e8d-4da1-bad2-b03a7f04a2f4</t>
        </is>
      </c>
      <c r="D583" t="inlineStr">
        <is>
          <t>30001087</t>
        </is>
      </c>
      <c r="E583" t="inlineStr">
        <is>
          <t>ussd_funeral_leads_altitude_20260619</t>
        </is>
      </c>
      <c r="J583" t="inlineStr">
        <is>
          <t>AA</t>
        </is>
      </c>
      <c r="K583" t="inlineStr">
        <is>
          <t>Answering Machine Autodial</t>
        </is>
      </c>
      <c r="L583" t="n">
        <v>3</v>
      </c>
      <c r="M583" t="inlineStr">
        <is>
          <t>2026-06-23 15:02:02</t>
        </is>
      </c>
      <c r="N583" t="inlineStr">
        <is>
          <t>system</t>
        </is>
      </c>
      <c r="O583" t="inlineStr">
        <is>
          <t>2026-06-19 07:10:32</t>
        </is>
      </c>
      <c r="P583" t="inlineStr">
        <is>
          <t>2026-06-19 07:10:32</t>
        </is>
      </c>
      <c r="Y583" t="inlineStr">
        <is>
          <t>27767626964</t>
        </is>
      </c>
    </row>
    <row r="584">
      <c r="A584" t="inlineStr">
        <is>
          <t>14944196</t>
        </is>
      </c>
      <c r="B584" t="inlineStr">
        <is>
          <t>c3b50239-4710-4ff6-8329-2e63f696d402</t>
        </is>
      </c>
      <c r="D584" t="inlineStr">
        <is>
          <t>30001087</t>
        </is>
      </c>
      <c r="E584" t="inlineStr">
        <is>
          <t>ussd_funeral_leads_altitude_20260619</t>
        </is>
      </c>
      <c r="J584" t="inlineStr">
        <is>
          <t>AA</t>
        </is>
      </c>
      <c r="K584" t="inlineStr">
        <is>
          <t>Answering Machine Autodial</t>
        </is>
      </c>
      <c r="L584" t="n">
        <v>3</v>
      </c>
      <c r="M584" t="inlineStr">
        <is>
          <t>2026-06-23 15:02:02</t>
        </is>
      </c>
      <c r="N584" t="inlineStr">
        <is>
          <t>system</t>
        </is>
      </c>
      <c r="O584" t="inlineStr">
        <is>
          <t>2026-06-19 07:10:32</t>
        </is>
      </c>
      <c r="P584" t="inlineStr">
        <is>
          <t>2026-06-19 07:10:32</t>
        </is>
      </c>
      <c r="Y584" t="inlineStr">
        <is>
          <t>27648257127</t>
        </is>
      </c>
    </row>
    <row r="585">
      <c r="A585" t="inlineStr">
        <is>
          <t>14943881</t>
        </is>
      </c>
      <c r="B585" t="inlineStr">
        <is>
          <t>3f479ae6-e9a2-470d-9ad7-ff7cb099128c</t>
        </is>
      </c>
      <c r="D585" t="inlineStr">
        <is>
          <t>30001087</t>
        </is>
      </c>
      <c r="E585" t="inlineStr">
        <is>
          <t>ussd_funeral_leads_altitude_20260619</t>
        </is>
      </c>
      <c r="J585" t="inlineStr">
        <is>
          <t>AA</t>
        </is>
      </c>
      <c r="K585" t="inlineStr">
        <is>
          <t>Answering Machine Autodial</t>
        </is>
      </c>
      <c r="L585" t="n">
        <v>3</v>
      </c>
      <c r="M585" t="inlineStr">
        <is>
          <t>2026-06-23 15:01:57</t>
        </is>
      </c>
      <c r="N585" t="inlineStr">
        <is>
          <t>system</t>
        </is>
      </c>
      <c r="O585" t="inlineStr">
        <is>
          <t>2026-06-19 07:10:32</t>
        </is>
      </c>
      <c r="P585" t="inlineStr">
        <is>
          <t>2026-06-19 07:10:32</t>
        </is>
      </c>
      <c r="Y585" t="inlineStr">
        <is>
          <t>27768996756</t>
        </is>
      </c>
    </row>
    <row r="586">
      <c r="A586" t="inlineStr">
        <is>
          <t>14944228</t>
        </is>
      </c>
      <c r="B586" t="inlineStr">
        <is>
          <t>4a327f12-d1c1-4cfc-9a9d-eb2d7356aab1</t>
        </is>
      </c>
      <c r="D586" t="inlineStr">
        <is>
          <t>30001087</t>
        </is>
      </c>
      <c r="E586" t="inlineStr">
        <is>
          <t>ussd_funeral_leads_altitude_20260619</t>
        </is>
      </c>
      <c r="H586" t="inlineStr">
        <is>
          <t>27648357942</t>
        </is>
      </c>
      <c r="J586" t="inlineStr">
        <is>
          <t>A</t>
        </is>
      </c>
      <c r="K586" t="inlineStr">
        <is>
          <t>Answering Machine</t>
        </is>
      </c>
      <c r="L586" t="n">
        <v>4</v>
      </c>
      <c r="M586" t="inlineStr">
        <is>
          <t>2026-06-23 15:01:57</t>
        </is>
      </c>
      <c r="N586" t="inlineStr">
        <is>
          <t>Vuyiswa Nxumalo</t>
        </is>
      </c>
      <c r="O586" t="inlineStr">
        <is>
          <t>2026-06-19 07:10:32</t>
        </is>
      </c>
      <c r="P586" t="inlineStr">
        <is>
          <t>2026-06-19 07:10:32</t>
        </is>
      </c>
      <c r="Y586" t="inlineStr">
        <is>
          <t>27648357942</t>
        </is>
      </c>
    </row>
    <row r="587">
      <c r="A587" t="inlineStr">
        <is>
          <t>14943880</t>
        </is>
      </c>
      <c r="B587" t="inlineStr">
        <is>
          <t>a6d304a7-b5be-4926-adcc-0ab6a3cd9039</t>
        </is>
      </c>
      <c r="D587" t="inlineStr">
        <is>
          <t>30001087</t>
        </is>
      </c>
      <c r="E587" t="inlineStr">
        <is>
          <t>ussd_funeral_leads_altitude_20260619</t>
        </is>
      </c>
      <c r="J587" t="inlineStr">
        <is>
          <t>ADC</t>
        </is>
      </c>
      <c r="K587" t="inlineStr">
        <is>
          <t>Auto Dial Disconnected</t>
        </is>
      </c>
      <c r="L587" t="n">
        <v>3</v>
      </c>
      <c r="M587" t="inlineStr">
        <is>
          <t>2026-06-23 15:01:55</t>
        </is>
      </c>
      <c r="N587" t="inlineStr">
        <is>
          <t>system</t>
        </is>
      </c>
      <c r="O587" t="inlineStr">
        <is>
          <t>2026-06-19 07:10:32</t>
        </is>
      </c>
      <c r="P587" t="inlineStr">
        <is>
          <t>2026-06-19 07:10:32</t>
        </is>
      </c>
      <c r="Y587" t="inlineStr">
        <is>
          <t>27795507765</t>
        </is>
      </c>
    </row>
    <row r="588">
      <c r="A588" t="inlineStr">
        <is>
          <t>14943879</t>
        </is>
      </c>
      <c r="B588" t="inlineStr">
        <is>
          <t>6d9ba3cd-04a8-49cb-8354-5ad8a528661a</t>
        </is>
      </c>
      <c r="D588" t="inlineStr">
        <is>
          <t>30001087</t>
        </is>
      </c>
      <c r="E588" t="inlineStr">
        <is>
          <t>ussd_funeral_leads_altitude_20260619</t>
        </is>
      </c>
      <c r="J588" t="inlineStr">
        <is>
          <t>AA</t>
        </is>
      </c>
      <c r="K588" t="inlineStr">
        <is>
          <t>Answering Machine Autodial</t>
        </is>
      </c>
      <c r="L588" t="n">
        <v>3</v>
      </c>
      <c r="M588" t="inlineStr">
        <is>
          <t>2026-06-23 15:01:53</t>
        </is>
      </c>
      <c r="N588" t="inlineStr">
        <is>
          <t>system</t>
        </is>
      </c>
      <c r="O588" t="inlineStr">
        <is>
          <t>2026-06-19 07:10:32</t>
        </is>
      </c>
      <c r="P588" t="inlineStr">
        <is>
          <t>2026-06-19 07:10:32</t>
        </is>
      </c>
      <c r="Y588" t="inlineStr">
        <is>
          <t>27790751247</t>
        </is>
      </c>
    </row>
    <row r="589">
      <c r="A589" t="inlineStr">
        <is>
          <t>14943875</t>
        </is>
      </c>
      <c r="B589" t="inlineStr">
        <is>
          <t>35eaf531-ee4f-4d51-846e-438caf40a8d9</t>
        </is>
      </c>
      <c r="D589" t="inlineStr">
        <is>
          <t>30001087</t>
        </is>
      </c>
      <c r="E589" t="inlineStr">
        <is>
          <t>ussd_funeral_leads_altitude_20260619</t>
        </is>
      </c>
      <c r="J589" t="inlineStr">
        <is>
          <t>NA</t>
        </is>
      </c>
      <c r="K589" t="inlineStr">
        <is>
          <t>No Answer Autodial</t>
        </is>
      </c>
      <c r="L589" t="n">
        <v>3</v>
      </c>
      <c r="M589" t="inlineStr">
        <is>
          <t>2026-06-23 15:01:52</t>
        </is>
      </c>
      <c r="N589" t="inlineStr">
        <is>
          <t>system</t>
        </is>
      </c>
      <c r="O589" t="inlineStr">
        <is>
          <t>2026-06-19 07:10:32</t>
        </is>
      </c>
      <c r="P589" t="inlineStr">
        <is>
          <t>2026-06-19 07:10:32</t>
        </is>
      </c>
      <c r="Y589" t="inlineStr">
        <is>
          <t>27792510141</t>
        </is>
      </c>
    </row>
    <row r="590">
      <c r="A590" t="inlineStr">
        <is>
          <t>14943876</t>
        </is>
      </c>
      <c r="B590" t="inlineStr">
        <is>
          <t>06bfeeaf-d653-4c5c-bb49-08624b8a2608</t>
        </is>
      </c>
      <c r="D590" t="inlineStr">
        <is>
          <t>30001087</t>
        </is>
      </c>
      <c r="E590" t="inlineStr">
        <is>
          <t>ussd_funeral_leads_altitude_20260619</t>
        </is>
      </c>
      <c r="J590" t="inlineStr">
        <is>
          <t>AA</t>
        </is>
      </c>
      <c r="K590" t="inlineStr">
        <is>
          <t>Answering Machine Autodial</t>
        </is>
      </c>
      <c r="L590" t="n">
        <v>3</v>
      </c>
      <c r="M590" t="inlineStr">
        <is>
          <t>2026-06-23 15:01:52</t>
        </is>
      </c>
      <c r="N590" t="inlineStr">
        <is>
          <t>system</t>
        </is>
      </c>
      <c r="O590" t="inlineStr">
        <is>
          <t>2026-06-19 07:10:32</t>
        </is>
      </c>
      <c r="P590" t="inlineStr">
        <is>
          <t>2026-06-19 07:10:32</t>
        </is>
      </c>
      <c r="Y590" t="inlineStr">
        <is>
          <t>27636134454</t>
        </is>
      </c>
    </row>
    <row r="591">
      <c r="A591" t="inlineStr">
        <is>
          <t>14943877</t>
        </is>
      </c>
      <c r="B591" t="inlineStr">
        <is>
          <t>89084e5c-2ddc-421f-890b-5fce8867868b</t>
        </is>
      </c>
      <c r="D591" t="inlineStr">
        <is>
          <t>30001087</t>
        </is>
      </c>
      <c r="E591" t="inlineStr">
        <is>
          <t>ussd_funeral_leads_altitude_20260619</t>
        </is>
      </c>
      <c r="J591" t="inlineStr">
        <is>
          <t>AA</t>
        </is>
      </c>
      <c r="K591" t="inlineStr">
        <is>
          <t>Answering Machine Autodial</t>
        </is>
      </c>
      <c r="L591" t="n">
        <v>3</v>
      </c>
      <c r="M591" t="inlineStr">
        <is>
          <t>2026-06-23 15:01:52</t>
        </is>
      </c>
      <c r="N591" t="inlineStr">
        <is>
          <t>system</t>
        </is>
      </c>
      <c r="O591" t="inlineStr">
        <is>
          <t>2026-06-19 07:10:32</t>
        </is>
      </c>
      <c r="P591" t="inlineStr">
        <is>
          <t>2026-06-19 07:10:32</t>
        </is>
      </c>
      <c r="Y591" t="inlineStr">
        <is>
          <t>27713890244</t>
        </is>
      </c>
    </row>
    <row r="592">
      <c r="A592" t="inlineStr">
        <is>
          <t>14943878</t>
        </is>
      </c>
      <c r="B592" t="inlineStr">
        <is>
          <t>39843124-7538-4623-bf14-9c698071e02f</t>
        </is>
      </c>
      <c r="D592" t="inlineStr">
        <is>
          <t>30001087</t>
        </is>
      </c>
      <c r="E592" t="inlineStr">
        <is>
          <t>ussd_funeral_leads_altitude_20260619</t>
        </is>
      </c>
      <c r="J592" t="inlineStr">
        <is>
          <t>TDN</t>
        </is>
      </c>
      <c r="K592" t="inlineStr">
        <is>
          <t>Temporary Disconnected Number</t>
        </is>
      </c>
      <c r="L592" t="n">
        <v>3</v>
      </c>
      <c r="M592" t="inlineStr">
        <is>
          <t>2026-06-23 15:01:52</t>
        </is>
      </c>
      <c r="N592" t="inlineStr">
        <is>
          <t>system</t>
        </is>
      </c>
      <c r="O592" t="inlineStr">
        <is>
          <t>2026-06-19 07:10:32</t>
        </is>
      </c>
      <c r="P592" t="inlineStr">
        <is>
          <t>2026-06-19 07:10:32</t>
        </is>
      </c>
      <c r="Y592" t="inlineStr">
        <is>
          <t>27772006075</t>
        </is>
      </c>
    </row>
    <row r="593">
      <c r="A593" t="inlineStr">
        <is>
          <t>14943874</t>
        </is>
      </c>
      <c r="B593" t="inlineStr">
        <is>
          <t>63f329d7-470e-4e75-be28-18872a6637d6</t>
        </is>
      </c>
      <c r="D593" t="inlineStr">
        <is>
          <t>30001087</t>
        </is>
      </c>
      <c r="E593" t="inlineStr">
        <is>
          <t>ussd_funeral_leads_altitude_20260619</t>
        </is>
      </c>
      <c r="J593" t="inlineStr">
        <is>
          <t>ADC</t>
        </is>
      </c>
      <c r="K593" t="inlineStr">
        <is>
          <t>Auto Dial Disconnected</t>
        </is>
      </c>
      <c r="L593" t="n">
        <v>3</v>
      </c>
      <c r="M593" t="inlineStr">
        <is>
          <t>2026-06-23 15:01:51</t>
        </is>
      </c>
      <c r="N593" t="inlineStr">
        <is>
          <t>system</t>
        </is>
      </c>
      <c r="O593" t="inlineStr">
        <is>
          <t>2026-06-19 07:10:32</t>
        </is>
      </c>
      <c r="P593" t="inlineStr">
        <is>
          <t>2026-06-19 07:10:32</t>
        </is>
      </c>
      <c r="Y593" t="inlineStr">
        <is>
          <t>27773602757</t>
        </is>
      </c>
    </row>
    <row r="594">
      <c r="A594" t="inlineStr">
        <is>
          <t>14943873</t>
        </is>
      </c>
      <c r="B594" t="inlineStr">
        <is>
          <t>9918698e-97cb-4540-9a55-a9be1f94e30d</t>
        </is>
      </c>
      <c r="D594" t="inlineStr">
        <is>
          <t>30001087</t>
        </is>
      </c>
      <c r="E594" t="inlineStr">
        <is>
          <t>ussd_funeral_leads_altitude_20260619</t>
        </is>
      </c>
      <c r="J594" t="inlineStr">
        <is>
          <t>ADC</t>
        </is>
      </c>
      <c r="K594" t="inlineStr">
        <is>
          <t>Auto Dial Disconnected</t>
        </is>
      </c>
      <c r="L594" t="n">
        <v>3</v>
      </c>
      <c r="M594" t="inlineStr">
        <is>
          <t>2026-06-23 15:01:46</t>
        </is>
      </c>
      <c r="N594" t="inlineStr">
        <is>
          <t>system</t>
        </is>
      </c>
      <c r="O594" t="inlineStr">
        <is>
          <t>2026-06-19 07:10:32</t>
        </is>
      </c>
      <c r="P594" t="inlineStr">
        <is>
          <t>2026-06-19 07:10:32</t>
        </is>
      </c>
      <c r="Y594" t="inlineStr">
        <is>
          <t>27661727718</t>
        </is>
      </c>
    </row>
    <row r="595">
      <c r="A595" t="inlineStr">
        <is>
          <t>14943872</t>
        </is>
      </c>
      <c r="B595" t="inlineStr">
        <is>
          <t>17520249-0e9a-4de1-9bc5-83dc9f46399c</t>
        </is>
      </c>
      <c r="D595" t="inlineStr">
        <is>
          <t>30001087</t>
        </is>
      </c>
      <c r="E595" t="inlineStr">
        <is>
          <t>ussd_funeral_leads_altitude_20260619</t>
        </is>
      </c>
      <c r="J595" t="inlineStr">
        <is>
          <t>AA</t>
        </is>
      </c>
      <c r="K595" t="inlineStr">
        <is>
          <t>Answering Machine Autodial</t>
        </is>
      </c>
      <c r="L595" t="n">
        <v>3</v>
      </c>
      <c r="M595" t="inlineStr">
        <is>
          <t>2026-06-23 15:01:44</t>
        </is>
      </c>
      <c r="N595" t="inlineStr">
        <is>
          <t>system</t>
        </is>
      </c>
      <c r="O595" t="inlineStr">
        <is>
          <t>2026-06-19 07:10:32</t>
        </is>
      </c>
      <c r="P595" t="inlineStr">
        <is>
          <t>2026-06-19 07:10:32</t>
        </is>
      </c>
      <c r="Y595" t="inlineStr">
        <is>
          <t>27648329816</t>
        </is>
      </c>
    </row>
    <row r="596">
      <c r="A596" t="inlineStr">
        <is>
          <t>14943871</t>
        </is>
      </c>
      <c r="B596" t="inlineStr">
        <is>
          <t>a7b19ca0-47fd-4447-be3f-1078795f9168</t>
        </is>
      </c>
      <c r="D596" t="inlineStr">
        <is>
          <t>30001087</t>
        </is>
      </c>
      <c r="E596" t="inlineStr">
        <is>
          <t>ussd_funeral_leads_altitude_20260619</t>
        </is>
      </c>
      <c r="J596" t="inlineStr">
        <is>
          <t>ADC</t>
        </is>
      </c>
      <c r="K596" t="inlineStr">
        <is>
          <t>Auto Dial Disconnected</t>
        </is>
      </c>
      <c r="L596" t="n">
        <v>3</v>
      </c>
      <c r="M596" t="inlineStr">
        <is>
          <t>2026-06-23 15:01:29</t>
        </is>
      </c>
      <c r="N596" t="inlineStr">
        <is>
          <t>system</t>
        </is>
      </c>
      <c r="O596" t="inlineStr">
        <is>
          <t>2026-06-19 07:10:32</t>
        </is>
      </c>
      <c r="P596" t="inlineStr">
        <is>
          <t>2026-06-19 07:10:32</t>
        </is>
      </c>
      <c r="Y596" t="inlineStr">
        <is>
          <t>27608108323</t>
        </is>
      </c>
    </row>
    <row r="597">
      <c r="A597" t="inlineStr">
        <is>
          <t>14943870</t>
        </is>
      </c>
      <c r="B597" t="inlineStr">
        <is>
          <t>8209165b-0619-4530-93b9-e9770bc70964</t>
        </is>
      </c>
      <c r="D597" t="inlineStr">
        <is>
          <t>30001087</t>
        </is>
      </c>
      <c r="E597" t="inlineStr">
        <is>
          <t>ussd_funeral_leads_altitude_20260619</t>
        </is>
      </c>
      <c r="J597" t="inlineStr">
        <is>
          <t>AA</t>
        </is>
      </c>
      <c r="K597" t="inlineStr">
        <is>
          <t>Answering Machine Autodial</t>
        </is>
      </c>
      <c r="L597" t="n">
        <v>3</v>
      </c>
      <c r="M597" t="inlineStr">
        <is>
          <t>2026-06-23 15:01:23</t>
        </is>
      </c>
      <c r="N597" t="inlineStr">
        <is>
          <t>system</t>
        </is>
      </c>
      <c r="O597" t="inlineStr">
        <is>
          <t>2026-06-19 07:10:32</t>
        </is>
      </c>
      <c r="P597" t="inlineStr">
        <is>
          <t>2026-06-19 07:10:32</t>
        </is>
      </c>
      <c r="Y597" t="inlineStr">
        <is>
          <t>27765426833</t>
        </is>
      </c>
    </row>
    <row r="598">
      <c r="A598" t="inlineStr">
        <is>
          <t>14945149</t>
        </is>
      </c>
      <c r="B598" t="inlineStr">
        <is>
          <t>e50e4e4b-e42c-4138-b3f9-6fcc4d6218c3</t>
        </is>
      </c>
      <c r="D598" t="inlineStr">
        <is>
          <t>30001087</t>
        </is>
      </c>
      <c r="E598" t="inlineStr">
        <is>
          <t>ussd_funeral_leads_altitude_20260619</t>
        </is>
      </c>
      <c r="J598" t="inlineStr">
        <is>
          <t>A</t>
        </is>
      </c>
      <c r="K598" t="inlineStr">
        <is>
          <t>Answering Machine</t>
        </is>
      </c>
      <c r="L598" t="n">
        <v>4</v>
      </c>
      <c r="M598" t="inlineStr">
        <is>
          <t>2026-06-23 15:01:23</t>
        </is>
      </c>
      <c r="N598" t="inlineStr">
        <is>
          <t>Dimakatso Nkomo</t>
        </is>
      </c>
      <c r="O598" t="inlineStr">
        <is>
          <t>2026-06-19 07:10:32</t>
        </is>
      </c>
      <c r="P598" t="inlineStr">
        <is>
          <t>2026-06-19 07:10:32</t>
        </is>
      </c>
      <c r="Y598" t="inlineStr">
        <is>
          <t>27766662767</t>
        </is>
      </c>
    </row>
    <row r="599">
      <c r="A599" t="inlineStr">
        <is>
          <t>14943826</t>
        </is>
      </c>
      <c r="B599" t="inlineStr">
        <is>
          <t>a0e58b29-5961-4ec4-9d3b-027638bf224a</t>
        </is>
      </c>
      <c r="D599" t="inlineStr">
        <is>
          <t>30001087</t>
        </is>
      </c>
      <c r="E599" t="inlineStr">
        <is>
          <t>ussd_funeral_leads_altitude_20260619</t>
        </is>
      </c>
      <c r="J599" t="inlineStr">
        <is>
          <t>AA</t>
        </is>
      </c>
      <c r="K599" t="inlineStr">
        <is>
          <t>Answering Machine Autodial</t>
        </is>
      </c>
      <c r="L599" t="n">
        <v>3</v>
      </c>
      <c r="M599" t="inlineStr">
        <is>
          <t>2026-06-23 15:01:13</t>
        </is>
      </c>
      <c r="N599" t="inlineStr">
        <is>
          <t>system</t>
        </is>
      </c>
      <c r="O599" t="inlineStr">
        <is>
          <t>2026-06-19 07:10:32</t>
        </is>
      </c>
      <c r="P599" t="inlineStr">
        <is>
          <t>2026-06-19 07:10:32</t>
        </is>
      </c>
      <c r="Y599" t="inlineStr">
        <is>
          <t>27823720809</t>
        </is>
      </c>
    </row>
    <row r="600">
      <c r="A600" t="inlineStr">
        <is>
          <t>14943828</t>
        </is>
      </c>
      <c r="B600" t="inlineStr">
        <is>
          <t>4f4dd23d-db40-4b36-9cb9-de3f3770e2f5</t>
        </is>
      </c>
      <c r="D600" t="inlineStr">
        <is>
          <t>30001087</t>
        </is>
      </c>
      <c r="E600" t="inlineStr">
        <is>
          <t>ussd_funeral_leads_altitude_20260619</t>
        </is>
      </c>
      <c r="J600" t="inlineStr">
        <is>
          <t>AA</t>
        </is>
      </c>
      <c r="K600" t="inlineStr">
        <is>
          <t>Answering Machine Autodial</t>
        </is>
      </c>
      <c r="L600" t="n">
        <v>3</v>
      </c>
      <c r="M600" t="inlineStr">
        <is>
          <t>2026-06-23 15:01:13</t>
        </is>
      </c>
      <c r="N600" t="inlineStr">
        <is>
          <t>system</t>
        </is>
      </c>
      <c r="O600" t="inlineStr">
        <is>
          <t>2026-06-19 07:10:32</t>
        </is>
      </c>
      <c r="P600" t="inlineStr">
        <is>
          <t>2026-06-19 07:10:32</t>
        </is>
      </c>
      <c r="Y600" t="inlineStr">
        <is>
          <t>27725776647</t>
        </is>
      </c>
    </row>
    <row r="601">
      <c r="A601" t="inlineStr">
        <is>
          <t>14943824</t>
        </is>
      </c>
      <c r="B601" t="inlineStr">
        <is>
          <t>118a36d2-2686-4684-b6eb-1bd02d5f457d</t>
        </is>
      </c>
      <c r="D601" t="inlineStr">
        <is>
          <t>30001087</t>
        </is>
      </c>
      <c r="E601" t="inlineStr">
        <is>
          <t>ussd_funeral_leads_altitude_20260619</t>
        </is>
      </c>
      <c r="J601" t="inlineStr">
        <is>
          <t>AA</t>
        </is>
      </c>
      <c r="K601" t="inlineStr">
        <is>
          <t>Answering Machine Autodial</t>
        </is>
      </c>
      <c r="L601" t="n">
        <v>3</v>
      </c>
      <c r="M601" t="inlineStr">
        <is>
          <t>2026-06-23 15:01:12</t>
        </is>
      </c>
      <c r="N601" t="inlineStr">
        <is>
          <t>system</t>
        </is>
      </c>
      <c r="O601" t="inlineStr">
        <is>
          <t>2026-06-19 07:10:32</t>
        </is>
      </c>
      <c r="P601" t="inlineStr">
        <is>
          <t>2026-06-19 07:10:32</t>
        </is>
      </c>
      <c r="Y601" t="inlineStr">
        <is>
          <t>27798796544</t>
        </is>
      </c>
    </row>
    <row r="602">
      <c r="A602" t="inlineStr">
        <is>
          <t>14943825</t>
        </is>
      </c>
      <c r="B602" t="inlineStr">
        <is>
          <t>b7a97f21-1501-45ac-b665-67c500708b89</t>
        </is>
      </c>
      <c r="D602" t="inlineStr">
        <is>
          <t>30001087</t>
        </is>
      </c>
      <c r="E602" t="inlineStr">
        <is>
          <t>ussd_funeral_leads_altitude_20260619</t>
        </is>
      </c>
      <c r="J602" t="inlineStr">
        <is>
          <t>NA</t>
        </is>
      </c>
      <c r="K602" t="inlineStr">
        <is>
          <t>No Answer Autodial</t>
        </is>
      </c>
      <c r="L602" t="n">
        <v>3</v>
      </c>
      <c r="M602" t="inlineStr">
        <is>
          <t>2026-06-23 15:01:12</t>
        </is>
      </c>
      <c r="N602" t="inlineStr">
        <is>
          <t>system</t>
        </is>
      </c>
      <c r="O602" t="inlineStr">
        <is>
          <t>2026-06-19 07:10:32</t>
        </is>
      </c>
      <c r="P602" t="inlineStr">
        <is>
          <t>2026-06-19 07:10:32</t>
        </is>
      </c>
      <c r="Y602" t="inlineStr">
        <is>
          <t>27768056057</t>
        </is>
      </c>
    </row>
    <row r="603">
      <c r="A603" t="inlineStr">
        <is>
          <t>14943813</t>
        </is>
      </c>
      <c r="B603" t="inlineStr">
        <is>
          <t>b15d95eb-1fda-40c5-99b6-7f11a08f8901</t>
        </is>
      </c>
      <c r="D603" t="inlineStr">
        <is>
          <t>30001087</t>
        </is>
      </c>
      <c r="E603" t="inlineStr">
        <is>
          <t>ussd_funeral_leads_altitude_20260619</t>
        </is>
      </c>
      <c r="J603" t="inlineStr">
        <is>
          <t>AA</t>
        </is>
      </c>
      <c r="K603" t="inlineStr">
        <is>
          <t>Answering Machine Autodial</t>
        </is>
      </c>
      <c r="L603" t="n">
        <v>3</v>
      </c>
      <c r="M603" t="inlineStr">
        <is>
          <t>2026-06-23 15:01:08</t>
        </is>
      </c>
      <c r="N603" t="inlineStr">
        <is>
          <t>system</t>
        </is>
      </c>
      <c r="O603" t="inlineStr">
        <is>
          <t>2026-06-19 07:10:32</t>
        </is>
      </c>
      <c r="P603" t="inlineStr">
        <is>
          <t>2026-06-19 07:10:32</t>
        </is>
      </c>
      <c r="Y603" t="inlineStr">
        <is>
          <t>27724492107</t>
        </is>
      </c>
    </row>
    <row r="604">
      <c r="A604" t="inlineStr">
        <is>
          <t>14943807</t>
        </is>
      </c>
      <c r="B604" t="inlineStr">
        <is>
          <t>7a79dc64-beeb-404c-824c-80ad1288fa52</t>
        </is>
      </c>
      <c r="D604" t="inlineStr">
        <is>
          <t>30001087</t>
        </is>
      </c>
      <c r="E604" t="inlineStr">
        <is>
          <t>ussd_funeral_leads_altitude_20260619</t>
        </is>
      </c>
      <c r="J604" t="inlineStr">
        <is>
          <t>TDN</t>
        </is>
      </c>
      <c r="K604" t="inlineStr">
        <is>
          <t>Temporary Disconnected Number</t>
        </is>
      </c>
      <c r="L604" t="n">
        <v>3</v>
      </c>
      <c r="M604" t="inlineStr">
        <is>
          <t>2026-06-23 15:01:06</t>
        </is>
      </c>
      <c r="N604" t="inlineStr">
        <is>
          <t>system</t>
        </is>
      </c>
      <c r="O604" t="inlineStr">
        <is>
          <t>2026-06-19 07:10:32</t>
        </is>
      </c>
      <c r="P604" t="inlineStr">
        <is>
          <t>2026-06-19 07:10:32</t>
        </is>
      </c>
      <c r="Y604" t="inlineStr">
        <is>
          <t>27769135164</t>
        </is>
      </c>
    </row>
    <row r="605">
      <c r="A605" t="inlineStr">
        <is>
          <t>14943808</t>
        </is>
      </c>
      <c r="B605" t="inlineStr">
        <is>
          <t>39b5815f-3bab-43d0-880a-6331c0208075</t>
        </is>
      </c>
      <c r="D605" t="inlineStr">
        <is>
          <t>30001087</t>
        </is>
      </c>
      <c r="E605" t="inlineStr">
        <is>
          <t>ussd_funeral_leads_altitude_20260619</t>
        </is>
      </c>
      <c r="J605" t="inlineStr">
        <is>
          <t>AA</t>
        </is>
      </c>
      <c r="K605" t="inlineStr">
        <is>
          <t>Answering Machine Autodial</t>
        </is>
      </c>
      <c r="L605" t="n">
        <v>3</v>
      </c>
      <c r="M605" t="inlineStr">
        <is>
          <t>2026-06-23 15:01:06</t>
        </is>
      </c>
      <c r="N605" t="inlineStr">
        <is>
          <t>system</t>
        </is>
      </c>
      <c r="O605" t="inlineStr">
        <is>
          <t>2026-06-19 07:10:32</t>
        </is>
      </c>
      <c r="P605" t="inlineStr">
        <is>
          <t>2026-06-19 07:10:32</t>
        </is>
      </c>
      <c r="Y605" t="inlineStr">
        <is>
          <t>27761434159</t>
        </is>
      </c>
    </row>
    <row r="606">
      <c r="A606" t="inlineStr">
        <is>
          <t>14943809</t>
        </is>
      </c>
      <c r="B606" t="inlineStr">
        <is>
          <t>98ae3e80-6989-4841-91fc-2efd63f043e2</t>
        </is>
      </c>
      <c r="D606" t="inlineStr">
        <is>
          <t>30001087</t>
        </is>
      </c>
      <c r="E606" t="inlineStr">
        <is>
          <t>ussd_funeral_leads_altitude_20260619</t>
        </is>
      </c>
      <c r="J606" t="inlineStr">
        <is>
          <t>NA</t>
        </is>
      </c>
      <c r="K606" t="inlineStr">
        <is>
          <t>No Answer Autodial</t>
        </is>
      </c>
      <c r="L606" t="n">
        <v>3</v>
      </c>
      <c r="M606" t="inlineStr">
        <is>
          <t>2026-06-23 15:01:06</t>
        </is>
      </c>
      <c r="N606" t="inlineStr">
        <is>
          <t>system</t>
        </is>
      </c>
      <c r="O606" t="inlineStr">
        <is>
          <t>2026-06-19 07:10:32</t>
        </is>
      </c>
      <c r="P606" t="inlineStr">
        <is>
          <t>2026-06-19 07:10:32</t>
        </is>
      </c>
      <c r="Y606" t="inlineStr">
        <is>
          <t>27762441831</t>
        </is>
      </c>
    </row>
    <row r="607">
      <c r="A607" t="inlineStr">
        <is>
          <t>14943810</t>
        </is>
      </c>
      <c r="B607" t="inlineStr">
        <is>
          <t>d1baa6e7-9e14-4437-a771-c553232a5433</t>
        </is>
      </c>
      <c r="D607" t="inlineStr">
        <is>
          <t>30001087</t>
        </is>
      </c>
      <c r="E607" t="inlineStr">
        <is>
          <t>ussd_funeral_leads_altitude_20260619</t>
        </is>
      </c>
      <c r="J607" t="inlineStr">
        <is>
          <t>AA</t>
        </is>
      </c>
      <c r="K607" t="inlineStr">
        <is>
          <t>Answering Machine Autodial</t>
        </is>
      </c>
      <c r="L607" t="n">
        <v>3</v>
      </c>
      <c r="M607" t="inlineStr">
        <is>
          <t>2026-06-23 15:01:06</t>
        </is>
      </c>
      <c r="N607" t="inlineStr">
        <is>
          <t>system</t>
        </is>
      </c>
      <c r="O607" t="inlineStr">
        <is>
          <t>2026-06-19 07:10:32</t>
        </is>
      </c>
      <c r="P607" t="inlineStr">
        <is>
          <t>2026-06-19 07:10:32</t>
        </is>
      </c>
      <c r="Y607" t="inlineStr">
        <is>
          <t>27729603994</t>
        </is>
      </c>
    </row>
    <row r="608">
      <c r="A608" t="inlineStr">
        <is>
          <t>14943811</t>
        </is>
      </c>
      <c r="B608" t="inlineStr">
        <is>
          <t>8b2e6cd7-bcde-4eaf-b140-1fbadbb079fc</t>
        </is>
      </c>
      <c r="D608" t="inlineStr">
        <is>
          <t>30001087</t>
        </is>
      </c>
      <c r="E608" t="inlineStr">
        <is>
          <t>ussd_funeral_leads_altitude_20260619</t>
        </is>
      </c>
      <c r="J608" t="inlineStr">
        <is>
          <t>ADC</t>
        </is>
      </c>
      <c r="K608" t="inlineStr">
        <is>
          <t>Auto Dial Disconnected</t>
        </is>
      </c>
      <c r="L608" t="n">
        <v>3</v>
      </c>
      <c r="M608" t="inlineStr">
        <is>
          <t>2026-06-23 15:01:06</t>
        </is>
      </c>
      <c r="N608" t="inlineStr">
        <is>
          <t>system</t>
        </is>
      </c>
      <c r="O608" t="inlineStr">
        <is>
          <t>2026-06-19 07:10:32</t>
        </is>
      </c>
      <c r="P608" t="inlineStr">
        <is>
          <t>2026-06-19 07:10:32</t>
        </is>
      </c>
      <c r="Y608" t="inlineStr">
        <is>
          <t>27761701849</t>
        </is>
      </c>
    </row>
    <row r="609">
      <c r="A609" t="inlineStr">
        <is>
          <t>14943804</t>
        </is>
      </c>
      <c r="B609" t="inlineStr">
        <is>
          <t>d72ac63c-f968-4100-a69f-f1e75b46811f</t>
        </is>
      </c>
      <c r="D609" t="inlineStr">
        <is>
          <t>30001087</t>
        </is>
      </c>
      <c r="E609" t="inlineStr">
        <is>
          <t>ussd_funeral_leads_altitude_20260619</t>
        </is>
      </c>
      <c r="J609" t="inlineStr">
        <is>
          <t>NA</t>
        </is>
      </c>
      <c r="K609" t="inlineStr">
        <is>
          <t>No Answer Autodial</t>
        </is>
      </c>
      <c r="L609" t="n">
        <v>3</v>
      </c>
      <c r="M609" t="inlineStr">
        <is>
          <t>2026-06-23 15:00:55</t>
        </is>
      </c>
      <c r="N609" t="inlineStr">
        <is>
          <t>system</t>
        </is>
      </c>
      <c r="O609" t="inlineStr">
        <is>
          <t>2026-06-19 07:10:32</t>
        </is>
      </c>
      <c r="P609" t="inlineStr">
        <is>
          <t>2026-06-19 07:10:32</t>
        </is>
      </c>
      <c r="Y609" t="inlineStr">
        <is>
          <t>27662695004</t>
        </is>
      </c>
    </row>
    <row r="610">
      <c r="A610" t="inlineStr">
        <is>
          <t>14943806</t>
        </is>
      </c>
      <c r="B610" t="inlineStr">
        <is>
          <t>357ed44d-0de5-40c5-b492-c323ccc6f028</t>
        </is>
      </c>
      <c r="D610" t="inlineStr">
        <is>
          <t>30001087</t>
        </is>
      </c>
      <c r="E610" t="inlineStr">
        <is>
          <t>ussd_funeral_leads_altitude_20260619</t>
        </is>
      </c>
      <c r="J610" t="inlineStr">
        <is>
          <t>NA</t>
        </is>
      </c>
      <c r="K610" t="inlineStr">
        <is>
          <t>No Answer Autodial</t>
        </is>
      </c>
      <c r="L610" t="n">
        <v>3</v>
      </c>
      <c r="M610" t="inlineStr">
        <is>
          <t>2026-06-23 15:00:55</t>
        </is>
      </c>
      <c r="N610" t="inlineStr">
        <is>
          <t>system</t>
        </is>
      </c>
      <c r="O610" t="inlineStr">
        <is>
          <t>2026-06-19 07:10:32</t>
        </is>
      </c>
      <c r="P610" t="inlineStr">
        <is>
          <t>2026-06-19 07:10:32</t>
        </is>
      </c>
      <c r="Y610" t="inlineStr">
        <is>
          <t>27636968052</t>
        </is>
      </c>
    </row>
    <row r="611">
      <c r="A611" t="inlineStr">
        <is>
          <t>14900000</t>
        </is>
      </c>
      <c r="B611" t="inlineStr">
        <is>
          <t>36e17783-9128-4957-b96d-3fe9812ccfa0</t>
        </is>
      </c>
      <c r="D611" t="inlineStr">
        <is>
          <t>30001087</t>
        </is>
      </c>
      <c r="E611" t="inlineStr">
        <is>
          <t>ussd_funeral_leads_altitude_20260619</t>
        </is>
      </c>
      <c r="J611" t="inlineStr">
        <is>
          <t>AA</t>
        </is>
      </c>
      <c r="K611" t="inlineStr">
        <is>
          <t>Answering Machine Autodial</t>
        </is>
      </c>
      <c r="L611" t="n">
        <v>3</v>
      </c>
      <c r="M611" t="inlineStr">
        <is>
          <t>2026-06-23 15:00:15</t>
        </is>
      </c>
      <c r="N611" t="inlineStr">
        <is>
          <t>system</t>
        </is>
      </c>
      <c r="O611" t="inlineStr">
        <is>
          <t>2026-06-19 07:10:32</t>
        </is>
      </c>
      <c r="P611" t="inlineStr">
        <is>
          <t>2026-06-19 07:10:32</t>
        </is>
      </c>
      <c r="Y611" t="inlineStr">
        <is>
          <t>27762256699</t>
        </is>
      </c>
    </row>
    <row r="612">
      <c r="A612" t="inlineStr">
        <is>
          <t>14943820</t>
        </is>
      </c>
      <c r="B612" t="inlineStr">
        <is>
          <t>515d065b-f98c-4182-bafb-80829fdd5677</t>
        </is>
      </c>
      <c r="D612" t="inlineStr">
        <is>
          <t>30001087</t>
        </is>
      </c>
      <c r="E612" t="inlineStr">
        <is>
          <t>ussd_funeral_leads_altitude_20260619</t>
        </is>
      </c>
      <c r="J612" t="inlineStr">
        <is>
          <t>AA</t>
        </is>
      </c>
      <c r="K612" t="inlineStr">
        <is>
          <t>Answering Machine Autodial</t>
        </is>
      </c>
      <c r="L612" t="n">
        <v>3</v>
      </c>
      <c r="M612" t="inlineStr">
        <is>
          <t>2026-06-23 15:00:15</t>
        </is>
      </c>
      <c r="N612" t="inlineStr">
        <is>
          <t>system</t>
        </is>
      </c>
      <c r="O612" t="inlineStr">
        <is>
          <t>2026-06-19 07:10:32</t>
        </is>
      </c>
      <c r="P612" t="inlineStr">
        <is>
          <t>2026-06-19 07:10:32</t>
        </is>
      </c>
      <c r="Y612" t="inlineStr">
        <is>
          <t>27729273959</t>
        </is>
      </c>
    </row>
    <row r="613">
      <c r="A613" t="inlineStr">
        <is>
          <t>14943821</t>
        </is>
      </c>
      <c r="B613" t="inlineStr">
        <is>
          <t>081872ee-9c27-4cd2-b2bd-ca8752c99594</t>
        </is>
      </c>
      <c r="D613" t="inlineStr">
        <is>
          <t>30001087</t>
        </is>
      </c>
      <c r="E613" t="inlineStr">
        <is>
          <t>ussd_funeral_leads_altitude_20260619</t>
        </is>
      </c>
      <c r="J613" t="inlineStr">
        <is>
          <t>AA</t>
        </is>
      </c>
      <c r="K613" t="inlineStr">
        <is>
          <t>Answering Machine Autodial</t>
        </is>
      </c>
      <c r="L613" t="n">
        <v>3</v>
      </c>
      <c r="M613" t="inlineStr">
        <is>
          <t>2026-06-23 15:00:15</t>
        </is>
      </c>
      <c r="N613" t="inlineStr">
        <is>
          <t>system</t>
        </is>
      </c>
      <c r="O613" t="inlineStr">
        <is>
          <t>2026-06-19 07:10:32</t>
        </is>
      </c>
      <c r="P613" t="inlineStr">
        <is>
          <t>2026-06-19 07:10:32</t>
        </is>
      </c>
      <c r="Y613" t="inlineStr">
        <is>
          <t>27608347116</t>
        </is>
      </c>
    </row>
    <row r="614">
      <c r="A614" t="inlineStr">
        <is>
          <t>14943822</t>
        </is>
      </c>
      <c r="B614" t="inlineStr">
        <is>
          <t>d413c6f8-51b4-44bd-9af9-53b4adf0817d</t>
        </is>
      </c>
      <c r="D614" t="inlineStr">
        <is>
          <t>30001087</t>
        </is>
      </c>
      <c r="E614" t="inlineStr">
        <is>
          <t>ussd_funeral_leads_altitude_20260619</t>
        </is>
      </c>
      <c r="J614" t="inlineStr">
        <is>
          <t>AA</t>
        </is>
      </c>
      <c r="K614" t="inlineStr">
        <is>
          <t>Answering Machine Autodial</t>
        </is>
      </c>
      <c r="L614" t="n">
        <v>3</v>
      </c>
      <c r="M614" t="inlineStr">
        <is>
          <t>2026-06-23 15:00:15</t>
        </is>
      </c>
      <c r="N614" t="inlineStr">
        <is>
          <t>system</t>
        </is>
      </c>
      <c r="O614" t="inlineStr">
        <is>
          <t>2026-06-19 07:10:32</t>
        </is>
      </c>
      <c r="P614" t="inlineStr">
        <is>
          <t>2026-06-19 07:10:32</t>
        </is>
      </c>
      <c r="Y614" t="inlineStr">
        <is>
          <t>27713785678</t>
        </is>
      </c>
    </row>
    <row r="615">
      <c r="A615" t="inlineStr">
        <is>
          <t>14943823</t>
        </is>
      </c>
      <c r="B615" t="inlineStr">
        <is>
          <t>9f64a14e-5a7a-4fbd-a0b4-45a107ccce0c</t>
        </is>
      </c>
      <c r="D615" t="inlineStr">
        <is>
          <t>30001087</t>
        </is>
      </c>
      <c r="E615" t="inlineStr">
        <is>
          <t>ussd_funeral_leads_altitude_20260619</t>
        </is>
      </c>
      <c r="J615" t="inlineStr">
        <is>
          <t>NA</t>
        </is>
      </c>
      <c r="K615" t="inlineStr">
        <is>
          <t>No Answer Autodial</t>
        </is>
      </c>
      <c r="L615" t="n">
        <v>3</v>
      </c>
      <c r="M615" t="inlineStr">
        <is>
          <t>2026-06-23 15:00:15</t>
        </is>
      </c>
      <c r="N615" t="inlineStr">
        <is>
          <t>system</t>
        </is>
      </c>
      <c r="O615" t="inlineStr">
        <is>
          <t>2026-06-19 07:10:32</t>
        </is>
      </c>
      <c r="P615" t="inlineStr">
        <is>
          <t>2026-06-19 07:10:32</t>
        </is>
      </c>
      <c r="Y615" t="inlineStr">
        <is>
          <t>27606834434</t>
        </is>
      </c>
    </row>
    <row r="616">
      <c r="A616" t="inlineStr">
        <is>
          <t>14943812</t>
        </is>
      </c>
      <c r="B616" t="inlineStr">
        <is>
          <t>41afa76d-706c-4c74-a3b1-b4c52060f67d</t>
        </is>
      </c>
      <c r="D616" t="inlineStr">
        <is>
          <t>30001087</t>
        </is>
      </c>
      <c r="E616" t="inlineStr">
        <is>
          <t>ussd_funeral_leads_altitude_20260619</t>
        </is>
      </c>
      <c r="J616" t="inlineStr">
        <is>
          <t>TDN</t>
        </is>
      </c>
      <c r="K616" t="inlineStr">
        <is>
          <t>Temporary Disconnected Number</t>
        </is>
      </c>
      <c r="L616" t="n">
        <v>3</v>
      </c>
      <c r="M616" t="inlineStr">
        <is>
          <t>2026-06-23 15:00:14</t>
        </is>
      </c>
      <c r="N616" t="inlineStr">
        <is>
          <t>system</t>
        </is>
      </c>
      <c r="O616" t="inlineStr">
        <is>
          <t>2026-06-19 07:10:32</t>
        </is>
      </c>
      <c r="P616" t="inlineStr">
        <is>
          <t>2026-06-19 07:10:32</t>
        </is>
      </c>
      <c r="Y616" t="inlineStr">
        <is>
          <t>27769010928</t>
        </is>
      </c>
    </row>
    <row r="617">
      <c r="A617" t="inlineStr">
        <is>
          <t>14943816</t>
        </is>
      </c>
      <c r="B617" t="inlineStr">
        <is>
          <t>7942be71-7c0c-4a33-b8d4-cdcadc60169a</t>
        </is>
      </c>
      <c r="D617" t="inlineStr">
        <is>
          <t>30001087</t>
        </is>
      </c>
      <c r="E617" t="inlineStr">
        <is>
          <t>ussd_funeral_leads_altitude_20260619</t>
        </is>
      </c>
      <c r="J617" t="inlineStr">
        <is>
          <t>AA</t>
        </is>
      </c>
      <c r="K617" t="inlineStr">
        <is>
          <t>Answering Machine Autodial</t>
        </is>
      </c>
      <c r="L617" t="n">
        <v>3</v>
      </c>
      <c r="M617" t="inlineStr">
        <is>
          <t>2026-06-23 15:00:14</t>
        </is>
      </c>
      <c r="N617" t="inlineStr">
        <is>
          <t>system</t>
        </is>
      </c>
      <c r="O617" t="inlineStr">
        <is>
          <t>2026-06-19 07:10:32</t>
        </is>
      </c>
      <c r="P617" t="inlineStr">
        <is>
          <t>2026-06-19 07:10:32</t>
        </is>
      </c>
      <c r="Y617" t="inlineStr">
        <is>
          <t>27822142117</t>
        </is>
      </c>
    </row>
    <row r="618">
      <c r="A618" t="inlineStr">
        <is>
          <t>14943818</t>
        </is>
      </c>
      <c r="B618" t="inlineStr">
        <is>
          <t>020bcf8c-454e-43f6-9726-a73aa643a900</t>
        </is>
      </c>
      <c r="D618" t="inlineStr">
        <is>
          <t>30001087</t>
        </is>
      </c>
      <c r="E618" t="inlineStr">
        <is>
          <t>ussd_funeral_leads_altitude_20260619</t>
        </is>
      </c>
      <c r="J618" t="inlineStr">
        <is>
          <t>ADC</t>
        </is>
      </c>
      <c r="K618" t="inlineStr">
        <is>
          <t>Auto Dial Disconnected</t>
        </is>
      </c>
      <c r="L618" t="n">
        <v>3</v>
      </c>
      <c r="M618" t="inlineStr">
        <is>
          <t>2026-06-23 15:00:14</t>
        </is>
      </c>
      <c r="N618" t="inlineStr">
        <is>
          <t>system</t>
        </is>
      </c>
      <c r="O618" t="inlineStr">
        <is>
          <t>2026-06-19 07:10:32</t>
        </is>
      </c>
      <c r="P618" t="inlineStr">
        <is>
          <t>2026-06-19 07:10:32</t>
        </is>
      </c>
      <c r="Y618" t="inlineStr">
        <is>
          <t>27606961619</t>
        </is>
      </c>
    </row>
    <row r="619">
      <c r="A619" t="inlineStr">
        <is>
          <t>14943815</t>
        </is>
      </c>
      <c r="B619" t="inlineStr">
        <is>
          <t>08eaaad3-578a-4711-9d37-e2a967dd664d</t>
        </is>
      </c>
      <c r="D619" t="inlineStr">
        <is>
          <t>30001087</t>
        </is>
      </c>
      <c r="E619" t="inlineStr">
        <is>
          <t>ussd_funeral_leads_altitude_20260619</t>
        </is>
      </c>
      <c r="J619" t="inlineStr">
        <is>
          <t>AA</t>
        </is>
      </c>
      <c r="K619" t="inlineStr">
        <is>
          <t>Answering Machine Autodial</t>
        </is>
      </c>
      <c r="L619" t="n">
        <v>3</v>
      </c>
      <c r="M619" t="inlineStr">
        <is>
          <t>2026-06-23 14:59:16</t>
        </is>
      </c>
      <c r="N619" t="inlineStr">
        <is>
          <t>system</t>
        </is>
      </c>
      <c r="O619" t="inlineStr">
        <is>
          <t>2026-06-19 07:10:32</t>
        </is>
      </c>
      <c r="P619" t="inlineStr">
        <is>
          <t>2026-06-19 07:10:32</t>
        </is>
      </c>
      <c r="Y619" t="inlineStr">
        <is>
          <t>27795350021</t>
        </is>
      </c>
    </row>
    <row r="620">
      <c r="A620" t="inlineStr">
        <is>
          <t>14943817</t>
        </is>
      </c>
      <c r="B620" t="inlineStr">
        <is>
          <t>afeed31c-fe42-4a33-bab2-8339812018bf</t>
        </is>
      </c>
      <c r="D620" t="inlineStr">
        <is>
          <t>30001087</t>
        </is>
      </c>
      <c r="E620" t="inlineStr">
        <is>
          <t>ussd_funeral_leads_altitude_20260619</t>
        </is>
      </c>
      <c r="J620" t="inlineStr">
        <is>
          <t>AA</t>
        </is>
      </c>
      <c r="K620" t="inlineStr">
        <is>
          <t>Answering Machine Autodial</t>
        </is>
      </c>
      <c r="L620" t="n">
        <v>3</v>
      </c>
      <c r="M620" t="inlineStr">
        <is>
          <t>2026-06-23 14:59:16</t>
        </is>
      </c>
      <c r="N620" t="inlineStr">
        <is>
          <t>system</t>
        </is>
      </c>
      <c r="O620" t="inlineStr">
        <is>
          <t>2026-06-19 07:10:32</t>
        </is>
      </c>
      <c r="P620" t="inlineStr">
        <is>
          <t>2026-06-19 07:10:32</t>
        </is>
      </c>
      <c r="Y620" t="inlineStr">
        <is>
          <t>27661142017</t>
        </is>
      </c>
    </row>
    <row r="621">
      <c r="A621" t="inlineStr">
        <is>
          <t>14943839</t>
        </is>
      </c>
      <c r="B621" t="inlineStr">
        <is>
          <t>37f34fe0-2420-4ca3-bd6f-250a42c10bfd</t>
        </is>
      </c>
      <c r="D621" t="inlineStr">
        <is>
          <t>30001087</t>
        </is>
      </c>
      <c r="E621" t="inlineStr">
        <is>
          <t>ussd_funeral_leads_altitude_20260619</t>
        </is>
      </c>
      <c r="H621" t="inlineStr">
        <is>
          <t>27721604455</t>
        </is>
      </c>
      <c r="J621" t="inlineStr">
        <is>
          <t>NA</t>
        </is>
      </c>
      <c r="K621" t="inlineStr">
        <is>
          <t>No Answer Autodial</t>
        </is>
      </c>
      <c r="L621" t="n">
        <v>3</v>
      </c>
      <c r="M621" t="inlineStr">
        <is>
          <t>2026-06-23 14:56:33</t>
        </is>
      </c>
      <c r="N621" t="inlineStr">
        <is>
          <t>Vuyiswa Nxumalo</t>
        </is>
      </c>
      <c r="O621" t="inlineStr">
        <is>
          <t>2026-06-19 07:10:32</t>
        </is>
      </c>
      <c r="P621" t="inlineStr">
        <is>
          <t>2026-06-19 07:10:32</t>
        </is>
      </c>
      <c r="Y621" t="inlineStr">
        <is>
          <t>27721604455</t>
        </is>
      </c>
    </row>
    <row r="622">
      <c r="A622" t="inlineStr">
        <is>
          <t>14943869</t>
        </is>
      </c>
      <c r="B622" t="inlineStr">
        <is>
          <t>b1082117-7caa-4591-baf5-baf6dbaa76fb</t>
        </is>
      </c>
      <c r="D622" t="inlineStr">
        <is>
          <t>30001087</t>
        </is>
      </c>
      <c r="E622" t="inlineStr">
        <is>
          <t>ussd_funeral_leads_altitude_20260619</t>
        </is>
      </c>
      <c r="J622" t="inlineStr">
        <is>
          <t>AA</t>
        </is>
      </c>
      <c r="K622" t="inlineStr">
        <is>
          <t>Answering Machine Autodial</t>
        </is>
      </c>
      <c r="L622" t="n">
        <v>3</v>
      </c>
      <c r="M622" t="inlineStr">
        <is>
          <t>2026-06-23 14:55:51</t>
        </is>
      </c>
      <c r="N622" t="inlineStr">
        <is>
          <t>system</t>
        </is>
      </c>
      <c r="O622" t="inlineStr">
        <is>
          <t>2026-06-19 07:10:32</t>
        </is>
      </c>
      <c r="P622" t="inlineStr">
        <is>
          <t>2026-06-19 07:10:32</t>
        </is>
      </c>
      <c r="Y622" t="inlineStr">
        <is>
          <t>27721954678</t>
        </is>
      </c>
    </row>
    <row r="623">
      <c r="A623" t="inlineStr">
        <is>
          <t>14943842</t>
        </is>
      </c>
      <c r="B623" t="inlineStr">
        <is>
          <t>3bdbd6d2-d1e6-4a17-8e35-0b50064b5ea9</t>
        </is>
      </c>
      <c r="D623" t="inlineStr">
        <is>
          <t>30001087</t>
        </is>
      </c>
      <c r="E623" t="inlineStr">
        <is>
          <t>ussd_funeral_leads_altitude_20260619</t>
        </is>
      </c>
      <c r="J623" t="inlineStr">
        <is>
          <t>AA</t>
        </is>
      </c>
      <c r="K623" t="inlineStr">
        <is>
          <t>Answering Machine Autodial</t>
        </is>
      </c>
      <c r="L623" t="n">
        <v>3</v>
      </c>
      <c r="M623" t="inlineStr">
        <is>
          <t>2026-06-23 14:55:46</t>
        </is>
      </c>
      <c r="N623" t="inlineStr">
        <is>
          <t>system</t>
        </is>
      </c>
      <c r="O623" t="inlineStr">
        <is>
          <t>2026-06-19 07:10:32</t>
        </is>
      </c>
      <c r="P623" t="inlineStr">
        <is>
          <t>2026-06-19 07:10:32</t>
        </is>
      </c>
      <c r="Y623" t="inlineStr">
        <is>
          <t>27721342425</t>
        </is>
      </c>
    </row>
    <row r="624">
      <c r="A624" t="inlineStr">
        <is>
          <t>14943843</t>
        </is>
      </c>
      <c r="B624" t="inlineStr">
        <is>
          <t>76e9a512-76c3-41a5-83c8-22caeb4d94d2</t>
        </is>
      </c>
      <c r="D624" t="inlineStr">
        <is>
          <t>30001087</t>
        </is>
      </c>
      <c r="E624" t="inlineStr">
        <is>
          <t>ussd_funeral_leads_altitude_20260619</t>
        </is>
      </c>
      <c r="J624" t="inlineStr">
        <is>
          <t>NA</t>
        </is>
      </c>
      <c r="K624" t="inlineStr">
        <is>
          <t>No Answer Autodial</t>
        </is>
      </c>
      <c r="L624" t="n">
        <v>3</v>
      </c>
      <c r="M624" t="inlineStr">
        <is>
          <t>2026-06-23 14:55:46</t>
        </is>
      </c>
      <c r="N624" t="inlineStr">
        <is>
          <t>system</t>
        </is>
      </c>
      <c r="O624" t="inlineStr">
        <is>
          <t>2026-06-19 07:10:32</t>
        </is>
      </c>
      <c r="P624" t="inlineStr">
        <is>
          <t>2026-06-19 07:10:32</t>
        </is>
      </c>
      <c r="Y624" t="inlineStr">
        <is>
          <t>27769221068</t>
        </is>
      </c>
    </row>
    <row r="625">
      <c r="A625" t="inlineStr">
        <is>
          <t>14943840</t>
        </is>
      </c>
      <c r="B625" t="inlineStr">
        <is>
          <t>0521c69b-4d6e-4b2a-899b-a7f18d02d796</t>
        </is>
      </c>
      <c r="D625" t="inlineStr">
        <is>
          <t>30001087</t>
        </is>
      </c>
      <c r="E625" t="inlineStr">
        <is>
          <t>ussd_funeral_leads_altitude_20260619</t>
        </is>
      </c>
      <c r="J625" t="inlineStr">
        <is>
          <t>DROP</t>
        </is>
      </c>
      <c r="K625" t="inlineStr">
        <is>
          <t>Dropped</t>
        </is>
      </c>
      <c r="L625" t="n">
        <v>3</v>
      </c>
      <c r="M625" t="inlineStr">
        <is>
          <t>2026-06-23 14:55:43</t>
        </is>
      </c>
      <c r="N625" t="inlineStr">
        <is>
          <t>system</t>
        </is>
      </c>
      <c r="O625" t="inlineStr">
        <is>
          <t>2026-06-19 07:10:32</t>
        </is>
      </c>
      <c r="P625" t="inlineStr">
        <is>
          <t>2026-06-19 07:10:32</t>
        </is>
      </c>
      <c r="Y625" t="inlineStr">
        <is>
          <t>27720401635</t>
        </is>
      </c>
    </row>
    <row r="626">
      <c r="A626" t="inlineStr">
        <is>
          <t>14943841</t>
        </is>
      </c>
      <c r="B626" t="inlineStr">
        <is>
          <t>5c8153c8-397d-4c72-87d3-90a2cf420060</t>
        </is>
      </c>
      <c r="D626" t="inlineStr">
        <is>
          <t>30001087</t>
        </is>
      </c>
      <c r="E626" t="inlineStr">
        <is>
          <t>ussd_funeral_leads_altitude_20260619</t>
        </is>
      </c>
      <c r="J626" t="inlineStr">
        <is>
          <t>TDN</t>
        </is>
      </c>
      <c r="K626" t="inlineStr">
        <is>
          <t>Temporary Disconnected Number</t>
        </is>
      </c>
      <c r="L626" t="n">
        <v>3</v>
      </c>
      <c r="M626" t="inlineStr">
        <is>
          <t>2026-06-23 14:55:43</t>
        </is>
      </c>
      <c r="N626" t="inlineStr">
        <is>
          <t>system</t>
        </is>
      </c>
      <c r="O626" t="inlineStr">
        <is>
          <t>2026-06-19 07:10:32</t>
        </is>
      </c>
      <c r="P626" t="inlineStr">
        <is>
          <t>2026-06-19 07:10:32</t>
        </is>
      </c>
      <c r="Y626" t="inlineStr">
        <is>
          <t>27675814960</t>
        </is>
      </c>
    </row>
    <row r="627">
      <c r="A627" t="inlineStr">
        <is>
          <t>14943833</t>
        </is>
      </c>
      <c r="B627" t="inlineStr">
        <is>
          <t>6ddd0b00-bcdc-4801-977e-c38821f19bc6</t>
        </is>
      </c>
      <c r="D627" t="inlineStr">
        <is>
          <t>30001087</t>
        </is>
      </c>
      <c r="E627" t="inlineStr">
        <is>
          <t>ussd_funeral_leads_altitude_20260619</t>
        </is>
      </c>
      <c r="J627" t="inlineStr">
        <is>
          <t>TDN</t>
        </is>
      </c>
      <c r="K627" t="inlineStr">
        <is>
          <t>Temporary Disconnected Number</t>
        </is>
      </c>
      <c r="L627" t="n">
        <v>3</v>
      </c>
      <c r="M627" t="inlineStr">
        <is>
          <t>2026-06-23 14:55:38</t>
        </is>
      </c>
      <c r="N627" t="inlineStr">
        <is>
          <t>system</t>
        </is>
      </c>
      <c r="O627" t="inlineStr">
        <is>
          <t>2026-06-19 07:10:32</t>
        </is>
      </c>
      <c r="P627" t="inlineStr">
        <is>
          <t>2026-06-19 07:10:32</t>
        </is>
      </c>
      <c r="Y627" t="inlineStr">
        <is>
          <t>27774079594</t>
        </is>
      </c>
    </row>
    <row r="628">
      <c r="A628" t="inlineStr">
        <is>
          <t>14943837</t>
        </is>
      </c>
      <c r="B628" t="inlineStr">
        <is>
          <t>6fc39be4-9f8c-496f-b46b-2c24e1c869ef</t>
        </is>
      </c>
      <c r="D628" t="inlineStr">
        <is>
          <t>30001087</t>
        </is>
      </c>
      <c r="E628" t="inlineStr">
        <is>
          <t>ussd_funeral_leads_altitude_20260619</t>
        </is>
      </c>
      <c r="J628" t="inlineStr">
        <is>
          <t>CBACK</t>
        </is>
      </c>
      <c r="K628" t="inlineStr">
        <is>
          <t>Callback</t>
        </is>
      </c>
      <c r="L628" t="n">
        <v>3</v>
      </c>
      <c r="M628" t="inlineStr">
        <is>
          <t>2026-06-23 14:55:38</t>
        </is>
      </c>
      <c r="N628" t="inlineStr">
        <is>
          <t>Gontse Monageng</t>
        </is>
      </c>
      <c r="O628" t="inlineStr">
        <is>
          <t>2026-06-19 07:10:32</t>
        </is>
      </c>
      <c r="P628" t="inlineStr">
        <is>
          <t>2026-06-19 07:10:32</t>
        </is>
      </c>
      <c r="Y628" t="inlineStr">
        <is>
          <t>27662927029</t>
        </is>
      </c>
    </row>
    <row r="629">
      <c r="A629" t="inlineStr">
        <is>
          <t>14943838</t>
        </is>
      </c>
      <c r="B629" t="inlineStr">
        <is>
          <t>7837026f-ec58-445f-9529-bd11e6b2dddc</t>
        </is>
      </c>
      <c r="D629" t="inlineStr">
        <is>
          <t>30001087</t>
        </is>
      </c>
      <c r="E629" t="inlineStr">
        <is>
          <t>ussd_funeral_leads_altitude_20260619</t>
        </is>
      </c>
      <c r="J629" t="inlineStr">
        <is>
          <t>AA</t>
        </is>
      </c>
      <c r="K629" t="inlineStr">
        <is>
          <t>Answering Machine Autodial</t>
        </is>
      </c>
      <c r="L629" t="n">
        <v>3</v>
      </c>
      <c r="M629" t="inlineStr">
        <is>
          <t>2026-06-23 14:55:38</t>
        </is>
      </c>
      <c r="N629" t="inlineStr">
        <is>
          <t>system</t>
        </is>
      </c>
      <c r="O629" t="inlineStr">
        <is>
          <t>2026-06-19 07:10:32</t>
        </is>
      </c>
      <c r="P629" t="inlineStr">
        <is>
          <t>2026-06-19 07:10:32</t>
        </is>
      </c>
      <c r="Y629" t="inlineStr">
        <is>
          <t>27636552447</t>
        </is>
      </c>
    </row>
    <row r="630">
      <c r="A630" t="inlineStr">
        <is>
          <t>14943831</t>
        </is>
      </c>
      <c r="B630" t="inlineStr">
        <is>
          <t>a1c80337-01b2-4eaf-98b3-333f3707fa2f</t>
        </is>
      </c>
      <c r="D630" t="inlineStr">
        <is>
          <t>30001087</t>
        </is>
      </c>
      <c r="E630" t="inlineStr">
        <is>
          <t>ussd_funeral_leads_altitude_20260619</t>
        </is>
      </c>
      <c r="J630" t="inlineStr">
        <is>
          <t>AA</t>
        </is>
      </c>
      <c r="K630" t="inlineStr">
        <is>
          <t>Answering Machine Autodial</t>
        </is>
      </c>
      <c r="L630" t="n">
        <v>3</v>
      </c>
      <c r="M630" t="inlineStr">
        <is>
          <t>2026-06-23 14:55:37</t>
        </is>
      </c>
      <c r="N630" t="inlineStr">
        <is>
          <t>system</t>
        </is>
      </c>
      <c r="O630" t="inlineStr">
        <is>
          <t>2026-06-19 07:10:32</t>
        </is>
      </c>
      <c r="P630" t="inlineStr">
        <is>
          <t>2026-06-19 07:10:32</t>
        </is>
      </c>
      <c r="Y630" t="inlineStr">
        <is>
          <t>27774801884</t>
        </is>
      </c>
    </row>
    <row r="631">
      <c r="A631" t="inlineStr">
        <is>
          <t>14943830</t>
        </is>
      </c>
      <c r="B631" t="inlineStr">
        <is>
          <t>18875a1b-eb82-4adc-8dfa-83346c0255f3</t>
        </is>
      </c>
      <c r="D631" t="inlineStr">
        <is>
          <t>30001087</t>
        </is>
      </c>
      <c r="E631" t="inlineStr">
        <is>
          <t>ussd_funeral_leads_altitude_20260619</t>
        </is>
      </c>
      <c r="J631" t="inlineStr">
        <is>
          <t>CU</t>
        </is>
      </c>
      <c r="K631" t="inlineStr">
        <is>
          <t>Client Hung Up</t>
        </is>
      </c>
      <c r="L631" t="n">
        <v>3</v>
      </c>
      <c r="M631" t="inlineStr">
        <is>
          <t>2026-06-23 14:55:36</t>
        </is>
      </c>
      <c r="N631" t="inlineStr">
        <is>
          <t>Goitsimang Mogwasa</t>
        </is>
      </c>
      <c r="O631" t="inlineStr">
        <is>
          <t>2026-06-19 07:10:32</t>
        </is>
      </c>
      <c r="P631" t="inlineStr">
        <is>
          <t>2026-06-19 07:10:32</t>
        </is>
      </c>
      <c r="Y631" t="inlineStr">
        <is>
          <t>27673554610</t>
        </is>
      </c>
    </row>
    <row r="632">
      <c r="A632" t="inlineStr">
        <is>
          <t>14943829</t>
        </is>
      </c>
      <c r="B632" t="inlineStr">
        <is>
          <t>c102d77c-9bc2-4109-902b-1d51dd1bab8e</t>
        </is>
      </c>
      <c r="D632" t="inlineStr">
        <is>
          <t>30001087</t>
        </is>
      </c>
      <c r="E632" t="inlineStr">
        <is>
          <t>ussd_funeral_leads_altitude_20260619</t>
        </is>
      </c>
      <c r="J632" t="inlineStr">
        <is>
          <t>AA</t>
        </is>
      </c>
      <c r="K632" t="inlineStr">
        <is>
          <t>Answering Machine Autodial</t>
        </is>
      </c>
      <c r="L632" t="n">
        <v>3</v>
      </c>
      <c r="M632" t="inlineStr">
        <is>
          <t>2026-06-23 14:55:34</t>
        </is>
      </c>
      <c r="N632" t="inlineStr">
        <is>
          <t>system</t>
        </is>
      </c>
      <c r="O632" t="inlineStr">
        <is>
          <t>2026-06-19 07:10:32</t>
        </is>
      </c>
      <c r="P632" t="inlineStr">
        <is>
          <t>2026-06-19 07:10:32</t>
        </is>
      </c>
      <c r="Y632" t="inlineStr">
        <is>
          <t>27664969617</t>
        </is>
      </c>
    </row>
    <row r="633">
      <c r="A633" t="inlineStr">
        <is>
          <t>14943827</t>
        </is>
      </c>
      <c r="B633" t="inlineStr">
        <is>
          <t>fe5f0350-70fb-4cfa-8133-eae5624b81aa</t>
        </is>
      </c>
      <c r="D633" t="inlineStr">
        <is>
          <t>30001087</t>
        </is>
      </c>
      <c r="E633" t="inlineStr">
        <is>
          <t>ussd_funeral_leads_altitude_20260619</t>
        </is>
      </c>
      <c r="J633" t="inlineStr">
        <is>
          <t>AA</t>
        </is>
      </c>
      <c r="K633" t="inlineStr">
        <is>
          <t>Answering Machine Autodial</t>
        </is>
      </c>
      <c r="L633" t="n">
        <v>3</v>
      </c>
      <c r="M633" t="inlineStr">
        <is>
          <t>2026-06-23 14:55:28</t>
        </is>
      </c>
      <c r="N633" t="inlineStr">
        <is>
          <t>system</t>
        </is>
      </c>
      <c r="O633" t="inlineStr">
        <is>
          <t>2026-06-19 07:10:32</t>
        </is>
      </c>
      <c r="P633" t="inlineStr">
        <is>
          <t>2026-06-19 07:10:32</t>
        </is>
      </c>
      <c r="Y633" t="inlineStr">
        <is>
          <t>27727138140</t>
        </is>
      </c>
    </row>
    <row r="634">
      <c r="A634" t="inlineStr">
        <is>
          <t>14943832</t>
        </is>
      </c>
      <c r="B634" t="inlineStr">
        <is>
          <t>bba666d0-a06b-4e66-b4b5-5132f5b75202</t>
        </is>
      </c>
      <c r="D634" t="inlineStr">
        <is>
          <t>30001087</t>
        </is>
      </c>
      <c r="E634" t="inlineStr">
        <is>
          <t>ussd_funeral_leads_altitude_20260619</t>
        </is>
      </c>
      <c r="J634" t="inlineStr">
        <is>
          <t>AA</t>
        </is>
      </c>
      <c r="K634" t="inlineStr">
        <is>
          <t>Answering Machine Autodial</t>
        </is>
      </c>
      <c r="L634" t="n">
        <v>3</v>
      </c>
      <c r="M634" t="inlineStr">
        <is>
          <t>2026-06-23 14:54:17</t>
        </is>
      </c>
      <c r="N634" t="inlineStr">
        <is>
          <t>system</t>
        </is>
      </c>
      <c r="O634" t="inlineStr">
        <is>
          <t>2026-06-19 07:10:32</t>
        </is>
      </c>
      <c r="P634" t="inlineStr">
        <is>
          <t>2026-06-19 07:10:32</t>
        </is>
      </c>
      <c r="Y634" t="inlineStr">
        <is>
          <t>27797410919</t>
        </is>
      </c>
    </row>
    <row r="635">
      <c r="A635" t="inlineStr">
        <is>
          <t>14943834</t>
        </is>
      </c>
      <c r="B635" t="inlineStr">
        <is>
          <t>6f55c898-8c7b-49bd-9180-78e421564e53</t>
        </is>
      </c>
      <c r="D635" t="inlineStr">
        <is>
          <t>30001087</t>
        </is>
      </c>
      <c r="E635" t="inlineStr">
        <is>
          <t>ussd_funeral_leads_altitude_20260619</t>
        </is>
      </c>
      <c r="J635" t="inlineStr">
        <is>
          <t>CBACK</t>
        </is>
      </c>
      <c r="K635" t="inlineStr">
        <is>
          <t>Callback</t>
        </is>
      </c>
      <c r="L635" t="n">
        <v>3</v>
      </c>
      <c r="M635" t="inlineStr">
        <is>
          <t>2026-06-23 14:54:17</t>
        </is>
      </c>
      <c r="N635" t="inlineStr">
        <is>
          <t>Virginia Letsatsi</t>
        </is>
      </c>
      <c r="O635" t="inlineStr">
        <is>
          <t>2026-06-19 07:10:32</t>
        </is>
      </c>
      <c r="P635" t="inlineStr">
        <is>
          <t>2026-06-19 07:10:32</t>
        </is>
      </c>
      <c r="Y635" t="inlineStr">
        <is>
          <t>27826883181</t>
        </is>
      </c>
    </row>
    <row r="636">
      <c r="A636" t="inlineStr">
        <is>
          <t>14943835</t>
        </is>
      </c>
      <c r="B636" t="inlineStr">
        <is>
          <t>3a54ffd9-9318-438c-bbf7-f96be83f223c</t>
        </is>
      </c>
      <c r="D636" t="inlineStr">
        <is>
          <t>30001087</t>
        </is>
      </c>
      <c r="E636" t="inlineStr">
        <is>
          <t>ussd_funeral_leads_altitude_20260619</t>
        </is>
      </c>
      <c r="J636" t="inlineStr">
        <is>
          <t>CU</t>
        </is>
      </c>
      <c r="K636" t="inlineStr">
        <is>
          <t>Client Hung Up</t>
        </is>
      </c>
      <c r="L636" t="n">
        <v>3</v>
      </c>
      <c r="M636" t="inlineStr">
        <is>
          <t>2026-06-23 14:54:17</t>
        </is>
      </c>
      <c r="N636" t="inlineStr">
        <is>
          <t>Goitsimang Mogwasa</t>
        </is>
      </c>
      <c r="O636" t="inlineStr">
        <is>
          <t>2026-06-19 07:10:32</t>
        </is>
      </c>
      <c r="P636" t="inlineStr">
        <is>
          <t>2026-06-19 07:10:32</t>
        </is>
      </c>
      <c r="Y636" t="inlineStr">
        <is>
          <t>27798512574</t>
        </is>
      </c>
    </row>
    <row r="637">
      <c r="A637" t="inlineStr">
        <is>
          <t>14943836</t>
        </is>
      </c>
      <c r="B637" t="inlineStr">
        <is>
          <t>ed1dc717-ba85-4198-a82e-403446cefa7d</t>
        </is>
      </c>
      <c r="D637" t="inlineStr">
        <is>
          <t>30001087</t>
        </is>
      </c>
      <c r="E637" t="inlineStr">
        <is>
          <t>ussd_funeral_leads_altitude_20260619</t>
        </is>
      </c>
      <c r="J637" t="inlineStr">
        <is>
          <t>NA</t>
        </is>
      </c>
      <c r="K637" t="inlineStr">
        <is>
          <t>No Answer Autodial</t>
        </is>
      </c>
      <c r="L637" t="n">
        <v>3</v>
      </c>
      <c r="M637" t="inlineStr">
        <is>
          <t>2026-06-23 14:54:17</t>
        </is>
      </c>
      <c r="N637" t="inlineStr">
        <is>
          <t>system</t>
        </is>
      </c>
      <c r="O637" t="inlineStr">
        <is>
          <t>2026-06-19 07:10:32</t>
        </is>
      </c>
      <c r="P637" t="inlineStr">
        <is>
          <t>2026-06-19 07:10:32</t>
        </is>
      </c>
      <c r="Y637" t="inlineStr">
        <is>
          <t>27799594801</t>
        </is>
      </c>
    </row>
    <row r="638">
      <c r="A638" t="inlineStr">
        <is>
          <t>14948125</t>
        </is>
      </c>
      <c r="B638" t="inlineStr">
        <is>
          <t>54698019-f0d1-4425-a86d-6c58aebd4bb4</t>
        </is>
      </c>
      <c r="D638" t="inlineStr">
        <is>
          <t>30001087</t>
        </is>
      </c>
      <c r="E638" t="inlineStr">
        <is>
          <t>ussd_funeral_leads_altitude_20260619</t>
        </is>
      </c>
      <c r="J638" t="inlineStr">
        <is>
          <t>TDN</t>
        </is>
      </c>
      <c r="K638" t="inlineStr">
        <is>
          <t>Temporary Disconnected Number</t>
        </is>
      </c>
      <c r="L638" t="n">
        <v>3</v>
      </c>
      <c r="M638" t="inlineStr">
        <is>
          <t>2026-06-23 14:53:17</t>
        </is>
      </c>
      <c r="N638" t="inlineStr">
        <is>
          <t>system</t>
        </is>
      </c>
      <c r="O638" t="inlineStr">
        <is>
          <t>2026-06-19 07:10:32</t>
        </is>
      </c>
      <c r="P638" t="inlineStr">
        <is>
          <t>2026-06-19 07:10:32</t>
        </is>
      </c>
      <c r="Y638" t="inlineStr">
        <is>
          <t>27726545196</t>
        </is>
      </c>
    </row>
    <row r="639">
      <c r="A639" t="inlineStr">
        <is>
          <t>14948126</t>
        </is>
      </c>
      <c r="B639" t="inlineStr">
        <is>
          <t>85949fba-eff9-477f-8d2f-de59d7ddef8b</t>
        </is>
      </c>
      <c r="D639" t="inlineStr">
        <is>
          <t>30001087</t>
        </is>
      </c>
      <c r="E639" t="inlineStr">
        <is>
          <t>ussd_funeral_leads_altitude_20260619</t>
        </is>
      </c>
      <c r="J639" t="inlineStr">
        <is>
          <t>AA</t>
        </is>
      </c>
      <c r="K639" t="inlineStr">
        <is>
          <t>Answering Machine Autodial</t>
        </is>
      </c>
      <c r="L639" t="n">
        <v>3</v>
      </c>
      <c r="M639" t="inlineStr">
        <is>
          <t>2026-06-23 14:53:16</t>
        </is>
      </c>
      <c r="N639" t="inlineStr">
        <is>
          <t>system</t>
        </is>
      </c>
      <c r="O639" t="inlineStr">
        <is>
          <t>2026-06-19 07:10:32</t>
        </is>
      </c>
      <c r="P639" t="inlineStr">
        <is>
          <t>2026-06-19 07:10:32</t>
        </is>
      </c>
      <c r="Y639" t="inlineStr">
        <is>
          <t>27766505744</t>
        </is>
      </c>
    </row>
    <row r="640">
      <c r="A640" t="inlineStr">
        <is>
          <t>14948127</t>
        </is>
      </c>
      <c r="B640" t="inlineStr">
        <is>
          <t>59ae5fac-d0b6-4392-b30b-47ccd9433e35</t>
        </is>
      </c>
      <c r="D640" t="inlineStr">
        <is>
          <t>30001087</t>
        </is>
      </c>
      <c r="E640" t="inlineStr">
        <is>
          <t>ussd_funeral_leads_altitude_20260619</t>
        </is>
      </c>
      <c r="J640" t="inlineStr">
        <is>
          <t>CU</t>
        </is>
      </c>
      <c r="K640" t="inlineStr">
        <is>
          <t>Client Hung Up</t>
        </is>
      </c>
      <c r="L640" t="n">
        <v>3</v>
      </c>
      <c r="M640" t="inlineStr">
        <is>
          <t>2026-06-23 14:53:14</t>
        </is>
      </c>
      <c r="N640" t="inlineStr">
        <is>
          <t>Vuyiswa Nxumalo</t>
        </is>
      </c>
      <c r="O640" t="inlineStr">
        <is>
          <t>2026-06-19 07:10:32</t>
        </is>
      </c>
      <c r="P640" t="inlineStr">
        <is>
          <t>2026-06-19 07:10:32</t>
        </is>
      </c>
      <c r="Y640" t="inlineStr">
        <is>
          <t>27766849611</t>
        </is>
      </c>
    </row>
    <row r="641">
      <c r="A641" t="inlineStr">
        <is>
          <t>14947428</t>
        </is>
      </c>
      <c r="B641" t="inlineStr">
        <is>
          <t>d45123a4-4375-483b-9e70-8b6b36308efd</t>
        </is>
      </c>
      <c r="D641" t="inlineStr">
        <is>
          <t>30001087</t>
        </is>
      </c>
      <c r="E641" t="inlineStr">
        <is>
          <t>ussd_funeral_leads_altitude_20260619</t>
        </is>
      </c>
      <c r="J641" t="inlineStr">
        <is>
          <t>NA</t>
        </is>
      </c>
      <c r="K641" t="inlineStr">
        <is>
          <t>No Answer Autodial</t>
        </is>
      </c>
      <c r="L641" t="n">
        <v>3</v>
      </c>
      <c r="M641" t="inlineStr">
        <is>
          <t>2026-06-23 14:53:12</t>
        </is>
      </c>
      <c r="N641" t="inlineStr">
        <is>
          <t>system</t>
        </is>
      </c>
      <c r="O641" t="inlineStr">
        <is>
          <t>2026-06-19 07:10:32</t>
        </is>
      </c>
      <c r="P641" t="inlineStr">
        <is>
          <t>2026-06-19 07:10:32</t>
        </is>
      </c>
      <c r="Y641" t="inlineStr">
        <is>
          <t>27673414351</t>
        </is>
      </c>
    </row>
    <row r="642">
      <c r="A642" t="inlineStr">
        <is>
          <t>14948128</t>
        </is>
      </c>
      <c r="B642" t="inlineStr">
        <is>
          <t>cbab3977-cc29-4f6f-9849-0fb996cbb0d9</t>
        </is>
      </c>
      <c r="D642" t="inlineStr">
        <is>
          <t>30001087</t>
        </is>
      </c>
      <c r="E642" t="inlineStr">
        <is>
          <t>ussd_funeral_leads_altitude_20260619</t>
        </is>
      </c>
      <c r="J642" t="inlineStr">
        <is>
          <t>NA</t>
        </is>
      </c>
      <c r="K642" t="inlineStr">
        <is>
          <t>No Answer Autodial</t>
        </is>
      </c>
      <c r="L642" t="n">
        <v>3</v>
      </c>
      <c r="M642" t="inlineStr">
        <is>
          <t>2026-06-23 14:53:12</t>
        </is>
      </c>
      <c r="N642" t="inlineStr">
        <is>
          <t>system</t>
        </is>
      </c>
      <c r="O642" t="inlineStr">
        <is>
          <t>2026-06-19 07:10:32</t>
        </is>
      </c>
      <c r="P642" t="inlineStr">
        <is>
          <t>2026-06-19 07:10:32</t>
        </is>
      </c>
      <c r="Y642" t="inlineStr">
        <is>
          <t>27794372124</t>
        </is>
      </c>
    </row>
    <row r="643">
      <c r="A643" t="inlineStr">
        <is>
          <t>14948129</t>
        </is>
      </c>
      <c r="B643" t="inlineStr">
        <is>
          <t>8766b7a8-57b8-4d35-af6b-7cc76f5378e5</t>
        </is>
      </c>
      <c r="D643" t="inlineStr">
        <is>
          <t>30001087</t>
        </is>
      </c>
      <c r="E643" t="inlineStr">
        <is>
          <t>ussd_funeral_leads_altitude_20260619</t>
        </is>
      </c>
      <c r="J643" t="inlineStr">
        <is>
          <t>NA</t>
        </is>
      </c>
      <c r="K643" t="inlineStr">
        <is>
          <t>No Answer Autodial</t>
        </is>
      </c>
      <c r="L643" t="n">
        <v>3</v>
      </c>
      <c r="M643" t="inlineStr">
        <is>
          <t>2026-06-23 14:53:12</t>
        </is>
      </c>
      <c r="N643" t="inlineStr">
        <is>
          <t>system</t>
        </is>
      </c>
      <c r="O643" t="inlineStr">
        <is>
          <t>2026-06-19 07:10:32</t>
        </is>
      </c>
      <c r="P643" t="inlineStr">
        <is>
          <t>2026-06-19 07:10:32</t>
        </is>
      </c>
      <c r="Y643" t="inlineStr">
        <is>
          <t>27673541281</t>
        </is>
      </c>
    </row>
    <row r="644">
      <c r="A644" t="inlineStr">
        <is>
          <t>14947430</t>
        </is>
      </c>
      <c r="B644" t="inlineStr">
        <is>
          <t>d8697fc3-26fb-4787-93d5-d490630fe265</t>
        </is>
      </c>
      <c r="D644" t="inlineStr">
        <is>
          <t>30001087</t>
        </is>
      </c>
      <c r="E644" t="inlineStr">
        <is>
          <t>ussd_funeral_leads_altitude_20260619</t>
        </is>
      </c>
      <c r="J644" t="inlineStr">
        <is>
          <t>AA</t>
        </is>
      </c>
      <c r="K644" t="inlineStr">
        <is>
          <t>Answering Machine Autodial</t>
        </is>
      </c>
      <c r="L644" t="n">
        <v>3</v>
      </c>
      <c r="M644" t="inlineStr">
        <is>
          <t>2026-06-23 14:53:11</t>
        </is>
      </c>
      <c r="N644" t="inlineStr">
        <is>
          <t>system</t>
        </is>
      </c>
      <c r="O644" t="inlineStr">
        <is>
          <t>2026-06-19 07:10:32</t>
        </is>
      </c>
      <c r="P644" t="inlineStr">
        <is>
          <t>2026-06-19 07:10:32</t>
        </is>
      </c>
      <c r="Y644" t="inlineStr">
        <is>
          <t>27762715644</t>
        </is>
      </c>
    </row>
    <row r="645">
      <c r="A645" t="inlineStr">
        <is>
          <t>14947431</t>
        </is>
      </c>
      <c r="B645" t="inlineStr">
        <is>
          <t>3d892dac-04a5-474f-bad6-afcbfa7951df</t>
        </is>
      </c>
      <c r="D645" t="inlineStr">
        <is>
          <t>30001087</t>
        </is>
      </c>
      <c r="E645" t="inlineStr">
        <is>
          <t>ussd_funeral_leads_altitude_20260619</t>
        </is>
      </c>
      <c r="J645" t="inlineStr">
        <is>
          <t>AA</t>
        </is>
      </c>
      <c r="K645" t="inlineStr">
        <is>
          <t>Answering Machine Autodial</t>
        </is>
      </c>
      <c r="L645" t="n">
        <v>3</v>
      </c>
      <c r="M645" t="inlineStr">
        <is>
          <t>2026-06-23 14:53:11</t>
        </is>
      </c>
      <c r="N645" t="inlineStr">
        <is>
          <t>system</t>
        </is>
      </c>
      <c r="O645" t="inlineStr">
        <is>
          <t>2026-06-19 07:10:32</t>
        </is>
      </c>
      <c r="P645" t="inlineStr">
        <is>
          <t>2026-06-19 07:10:32</t>
        </is>
      </c>
      <c r="Y645" t="inlineStr">
        <is>
          <t>27665958776</t>
        </is>
      </c>
    </row>
    <row r="646">
      <c r="A646" t="inlineStr">
        <is>
          <t>14947432</t>
        </is>
      </c>
      <c r="B646" t="inlineStr">
        <is>
          <t>e7a6cc32-198e-4b20-a820-f4e714fc7b95</t>
        </is>
      </c>
      <c r="D646" t="inlineStr">
        <is>
          <t>30001087</t>
        </is>
      </c>
      <c r="E646" t="inlineStr">
        <is>
          <t>ussd_funeral_leads_altitude_20260619</t>
        </is>
      </c>
      <c r="J646" t="inlineStr">
        <is>
          <t>AA</t>
        </is>
      </c>
      <c r="K646" t="inlineStr">
        <is>
          <t>Answering Machine Autodial</t>
        </is>
      </c>
      <c r="L646" t="n">
        <v>3</v>
      </c>
      <c r="M646" t="inlineStr">
        <is>
          <t>2026-06-23 14:53:09</t>
        </is>
      </c>
      <c r="N646" t="inlineStr">
        <is>
          <t>system</t>
        </is>
      </c>
      <c r="O646" t="inlineStr">
        <is>
          <t>2026-06-19 07:10:32</t>
        </is>
      </c>
      <c r="P646" t="inlineStr">
        <is>
          <t>2026-06-19 07:10:32</t>
        </is>
      </c>
      <c r="Y646" t="inlineStr">
        <is>
          <t>27768732646</t>
        </is>
      </c>
    </row>
    <row r="647">
      <c r="A647" t="inlineStr">
        <is>
          <t>14947433</t>
        </is>
      </c>
      <c r="B647" t="inlineStr">
        <is>
          <t>aa6c4acd-db5c-4723-ad97-1a2f5db6f294</t>
        </is>
      </c>
      <c r="D647" t="inlineStr">
        <is>
          <t>30001087</t>
        </is>
      </c>
      <c r="E647" t="inlineStr">
        <is>
          <t>ussd_funeral_leads_altitude_20260619</t>
        </is>
      </c>
      <c r="J647" t="inlineStr">
        <is>
          <t>AA</t>
        </is>
      </c>
      <c r="K647" t="inlineStr">
        <is>
          <t>Answering Machine Autodial</t>
        </is>
      </c>
      <c r="L647" t="n">
        <v>3</v>
      </c>
      <c r="M647" t="inlineStr">
        <is>
          <t>2026-06-23 14:53:03</t>
        </is>
      </c>
      <c r="N647" t="inlineStr">
        <is>
          <t>system</t>
        </is>
      </c>
      <c r="O647" t="inlineStr">
        <is>
          <t>2026-06-19 07:10:32</t>
        </is>
      </c>
      <c r="P647" t="inlineStr">
        <is>
          <t>2026-06-19 07:10:32</t>
        </is>
      </c>
      <c r="Y647" t="inlineStr">
        <is>
          <t>27818498981</t>
        </is>
      </c>
    </row>
    <row r="648">
      <c r="A648" t="inlineStr">
        <is>
          <t>14947434</t>
        </is>
      </c>
      <c r="B648" t="inlineStr">
        <is>
          <t>d45d7c87-0abb-40c3-aca9-fc11e581f301</t>
        </is>
      </c>
      <c r="D648" t="inlineStr">
        <is>
          <t>30001087</t>
        </is>
      </c>
      <c r="E648" t="inlineStr">
        <is>
          <t>ussd_funeral_leads_altitude_20260619</t>
        </is>
      </c>
      <c r="J648" t="inlineStr">
        <is>
          <t>CU</t>
        </is>
      </c>
      <c r="K648" t="inlineStr">
        <is>
          <t>Client Hung Up</t>
        </is>
      </c>
      <c r="L648" t="n">
        <v>3</v>
      </c>
      <c r="M648" t="inlineStr">
        <is>
          <t>2026-06-23 14:53:03</t>
        </is>
      </c>
      <c r="N648" t="inlineStr">
        <is>
          <t>Gontse Monageng</t>
        </is>
      </c>
      <c r="O648" t="inlineStr">
        <is>
          <t>2026-06-19 07:10:32</t>
        </is>
      </c>
      <c r="P648" t="inlineStr">
        <is>
          <t>2026-06-19 07:10:32</t>
        </is>
      </c>
      <c r="Y648" t="inlineStr">
        <is>
          <t>27774902045</t>
        </is>
      </c>
    </row>
    <row r="649">
      <c r="A649" t="inlineStr">
        <is>
          <t>14947435</t>
        </is>
      </c>
      <c r="B649" t="inlineStr">
        <is>
          <t>46e0f80f-b93c-427d-8972-9889586c1c79</t>
        </is>
      </c>
      <c r="D649" t="inlineStr">
        <is>
          <t>30001087</t>
        </is>
      </c>
      <c r="E649" t="inlineStr">
        <is>
          <t>ussd_funeral_leads_altitude_20260619</t>
        </is>
      </c>
      <c r="J649" t="inlineStr">
        <is>
          <t>AA</t>
        </is>
      </c>
      <c r="K649" t="inlineStr">
        <is>
          <t>Answering Machine Autodial</t>
        </is>
      </c>
      <c r="L649" t="n">
        <v>3</v>
      </c>
      <c r="M649" t="inlineStr">
        <is>
          <t>2026-06-23 14:53:03</t>
        </is>
      </c>
      <c r="N649" t="inlineStr">
        <is>
          <t>system</t>
        </is>
      </c>
      <c r="O649" t="inlineStr">
        <is>
          <t>2026-06-19 07:10:32</t>
        </is>
      </c>
      <c r="P649" t="inlineStr">
        <is>
          <t>2026-06-19 07:10:32</t>
        </is>
      </c>
      <c r="Y649" t="inlineStr">
        <is>
          <t>27766160595</t>
        </is>
      </c>
    </row>
    <row r="650">
      <c r="A650" t="inlineStr">
        <is>
          <t>14947436</t>
        </is>
      </c>
      <c r="B650" t="inlineStr">
        <is>
          <t>da57d19e-2b03-4dbb-9986-cfa12d9816ae</t>
        </is>
      </c>
      <c r="D650" t="inlineStr">
        <is>
          <t>30001087</t>
        </is>
      </c>
      <c r="E650" t="inlineStr">
        <is>
          <t>ussd_funeral_leads_altitude_20260619</t>
        </is>
      </c>
      <c r="J650" t="inlineStr">
        <is>
          <t>NA</t>
        </is>
      </c>
      <c r="K650" t="inlineStr">
        <is>
          <t>No Answer Autodial</t>
        </is>
      </c>
      <c r="L650" t="n">
        <v>3</v>
      </c>
      <c r="M650" t="inlineStr">
        <is>
          <t>2026-06-23 14:52:24</t>
        </is>
      </c>
      <c r="N650" t="inlineStr">
        <is>
          <t>system</t>
        </is>
      </c>
      <c r="O650" t="inlineStr">
        <is>
          <t>2026-06-19 07:10:32</t>
        </is>
      </c>
      <c r="P650" t="inlineStr">
        <is>
          <t>2026-06-19 07:10:32</t>
        </is>
      </c>
      <c r="Y650" t="inlineStr">
        <is>
          <t>27721964467</t>
        </is>
      </c>
    </row>
    <row r="651">
      <c r="A651" t="inlineStr">
        <is>
          <t>14947437</t>
        </is>
      </c>
      <c r="B651" t="inlineStr">
        <is>
          <t>8bc0bfc3-5539-4608-aa73-cfffedc4fc84</t>
        </is>
      </c>
      <c r="D651" t="inlineStr">
        <is>
          <t>30001087</t>
        </is>
      </c>
      <c r="E651" t="inlineStr">
        <is>
          <t>ussd_funeral_leads_altitude_20260619</t>
        </is>
      </c>
      <c r="J651" t="inlineStr">
        <is>
          <t>AA</t>
        </is>
      </c>
      <c r="K651" t="inlineStr">
        <is>
          <t>Answering Machine Autodial</t>
        </is>
      </c>
      <c r="L651" t="n">
        <v>3</v>
      </c>
      <c r="M651" t="inlineStr">
        <is>
          <t>2026-06-23 14:52:20</t>
        </is>
      </c>
      <c r="N651" t="inlineStr">
        <is>
          <t>system</t>
        </is>
      </c>
      <c r="O651" t="inlineStr">
        <is>
          <t>2026-06-19 07:10:32</t>
        </is>
      </c>
      <c r="P651" t="inlineStr">
        <is>
          <t>2026-06-19 07:10:32</t>
        </is>
      </c>
      <c r="Y651" t="inlineStr">
        <is>
          <t>27768262264</t>
        </is>
      </c>
    </row>
    <row r="652">
      <c r="A652" t="inlineStr">
        <is>
          <t>14947378</t>
        </is>
      </c>
      <c r="B652" t="inlineStr">
        <is>
          <t>b035a7d5-db1f-4150-a99b-ea22a703ec35</t>
        </is>
      </c>
      <c r="D652" t="inlineStr">
        <is>
          <t>30001087</t>
        </is>
      </c>
      <c r="E652" t="inlineStr">
        <is>
          <t>ussd_funeral_leads_altitude_20260619</t>
        </is>
      </c>
      <c r="J652" t="inlineStr">
        <is>
          <t>CU</t>
        </is>
      </c>
      <c r="K652" t="inlineStr">
        <is>
          <t>Client Hung Up</t>
        </is>
      </c>
      <c r="L652" t="n">
        <v>3</v>
      </c>
      <c r="M652" t="inlineStr">
        <is>
          <t>2026-06-23 14:52:18</t>
        </is>
      </c>
      <c r="N652" t="inlineStr">
        <is>
          <t>Goitsimang Mogwasa</t>
        </is>
      </c>
      <c r="O652" t="inlineStr">
        <is>
          <t>2026-06-19 07:10:32</t>
        </is>
      </c>
      <c r="P652" t="inlineStr">
        <is>
          <t>2026-06-19 07:10:32</t>
        </is>
      </c>
      <c r="Y652" t="inlineStr">
        <is>
          <t>27760472869</t>
        </is>
      </c>
    </row>
    <row r="653">
      <c r="A653" t="inlineStr">
        <is>
          <t>14947379</t>
        </is>
      </c>
      <c r="B653" t="inlineStr">
        <is>
          <t>dd01a7a7-53fc-47c7-9a7c-e1fcc5e211a9</t>
        </is>
      </c>
      <c r="D653" t="inlineStr">
        <is>
          <t>30001087</t>
        </is>
      </c>
      <c r="E653" t="inlineStr">
        <is>
          <t>ussd_funeral_leads_altitude_20260619</t>
        </is>
      </c>
      <c r="J653" t="inlineStr">
        <is>
          <t>AA</t>
        </is>
      </c>
      <c r="K653" t="inlineStr">
        <is>
          <t>Answering Machine Autodial</t>
        </is>
      </c>
      <c r="L653" t="n">
        <v>3</v>
      </c>
      <c r="M653" t="inlineStr">
        <is>
          <t>2026-06-23 14:52:18</t>
        </is>
      </c>
      <c r="N653" t="inlineStr">
        <is>
          <t>system</t>
        </is>
      </c>
      <c r="O653" t="inlineStr">
        <is>
          <t>2026-06-19 07:10:32</t>
        </is>
      </c>
      <c r="P653" t="inlineStr">
        <is>
          <t>2026-06-19 07:10:32</t>
        </is>
      </c>
      <c r="Y653" t="inlineStr">
        <is>
          <t>27607332806</t>
        </is>
      </c>
    </row>
    <row r="654">
      <c r="A654" t="inlineStr">
        <is>
          <t>14947439</t>
        </is>
      </c>
      <c r="B654" t="inlineStr">
        <is>
          <t>a8c8435c-ca5d-45fb-b6a4-35a2d4eae2fc</t>
        </is>
      </c>
      <c r="D654" t="inlineStr">
        <is>
          <t>30001087</t>
        </is>
      </c>
      <c r="E654" t="inlineStr">
        <is>
          <t>ussd_funeral_leads_altitude_20260619</t>
        </is>
      </c>
      <c r="J654" t="inlineStr">
        <is>
          <t>AA</t>
        </is>
      </c>
      <c r="K654" t="inlineStr">
        <is>
          <t>Answering Machine Autodial</t>
        </is>
      </c>
      <c r="L654" t="n">
        <v>3</v>
      </c>
      <c r="M654" t="inlineStr">
        <is>
          <t>2026-06-23 14:52:18</t>
        </is>
      </c>
      <c r="N654" t="inlineStr">
        <is>
          <t>system</t>
        </is>
      </c>
      <c r="O654" t="inlineStr">
        <is>
          <t>2026-06-19 07:10:32</t>
        </is>
      </c>
      <c r="P654" t="inlineStr">
        <is>
          <t>2026-06-19 07:10:32</t>
        </is>
      </c>
      <c r="Y654" t="inlineStr">
        <is>
          <t>27674835561</t>
        </is>
      </c>
    </row>
    <row r="655">
      <c r="A655" t="inlineStr">
        <is>
          <t>14947380</t>
        </is>
      </c>
      <c r="B655" t="inlineStr">
        <is>
          <t>bea7d7f5-4f4d-4c21-b3d9-e92b3f29c2de</t>
        </is>
      </c>
      <c r="D655" t="inlineStr">
        <is>
          <t>30001087</t>
        </is>
      </c>
      <c r="E655" t="inlineStr">
        <is>
          <t>ussd_funeral_leads_altitude_20260619</t>
        </is>
      </c>
      <c r="J655" t="inlineStr">
        <is>
          <t>TDN</t>
        </is>
      </c>
      <c r="K655" t="inlineStr">
        <is>
          <t>Temporary Disconnected Number</t>
        </is>
      </c>
      <c r="L655" t="n">
        <v>3</v>
      </c>
      <c r="M655" t="inlineStr">
        <is>
          <t>2026-06-23 14:52:18</t>
        </is>
      </c>
      <c r="N655" t="inlineStr">
        <is>
          <t>system</t>
        </is>
      </c>
      <c r="O655" t="inlineStr">
        <is>
          <t>2026-06-19 07:10:32</t>
        </is>
      </c>
      <c r="P655" t="inlineStr">
        <is>
          <t>2026-06-19 07:10:32</t>
        </is>
      </c>
      <c r="Y655" t="inlineStr">
        <is>
          <t>27727513300</t>
        </is>
      </c>
    </row>
    <row r="656">
      <c r="A656" t="inlineStr">
        <is>
          <t>14947381</t>
        </is>
      </c>
      <c r="B656" t="inlineStr">
        <is>
          <t>992cdc62-6303-4063-815e-fdcfdf40cc24</t>
        </is>
      </c>
      <c r="D656" t="inlineStr">
        <is>
          <t>30001087</t>
        </is>
      </c>
      <c r="E656" t="inlineStr">
        <is>
          <t>ussd_funeral_leads_altitude_20260619</t>
        </is>
      </c>
      <c r="J656" t="inlineStr">
        <is>
          <t>ADC</t>
        </is>
      </c>
      <c r="K656" t="inlineStr">
        <is>
          <t>Auto Dial Disconnected</t>
        </is>
      </c>
      <c r="L656" t="n">
        <v>3</v>
      </c>
      <c r="M656" t="inlineStr">
        <is>
          <t>2026-06-23 14:52:18</t>
        </is>
      </c>
      <c r="N656" t="inlineStr">
        <is>
          <t>system</t>
        </is>
      </c>
      <c r="O656" t="inlineStr">
        <is>
          <t>2026-06-19 07:10:32</t>
        </is>
      </c>
      <c r="P656" t="inlineStr">
        <is>
          <t>2026-06-19 07:10:32</t>
        </is>
      </c>
      <c r="Y656" t="inlineStr">
        <is>
          <t>27608570305</t>
        </is>
      </c>
    </row>
    <row r="657">
      <c r="A657" t="inlineStr">
        <is>
          <t>14947382</t>
        </is>
      </c>
      <c r="B657" t="inlineStr">
        <is>
          <t>2949b69c-a049-48b5-bf5a-320b9f59b3a7</t>
        </is>
      </c>
      <c r="D657" t="inlineStr">
        <is>
          <t>30001087</t>
        </is>
      </c>
      <c r="E657" t="inlineStr">
        <is>
          <t>ussd_funeral_leads_altitude_20260619</t>
        </is>
      </c>
      <c r="J657" t="inlineStr">
        <is>
          <t>CU</t>
        </is>
      </c>
      <c r="K657" t="inlineStr">
        <is>
          <t>Client Hung Up</t>
        </is>
      </c>
      <c r="L657" t="n">
        <v>3</v>
      </c>
      <c r="M657" t="inlineStr">
        <is>
          <t>2026-06-23 14:52:18</t>
        </is>
      </c>
      <c r="N657" t="inlineStr">
        <is>
          <t>Virginia Letsatsi</t>
        </is>
      </c>
      <c r="O657" t="inlineStr">
        <is>
          <t>2026-06-19 07:10:32</t>
        </is>
      </c>
      <c r="P657" t="inlineStr">
        <is>
          <t>2026-06-19 07:10:32</t>
        </is>
      </c>
      <c r="Y657" t="inlineStr">
        <is>
          <t>27798990672</t>
        </is>
      </c>
    </row>
    <row r="658">
      <c r="A658" t="inlineStr">
        <is>
          <t>14947250</t>
        </is>
      </c>
      <c r="B658" t="inlineStr">
        <is>
          <t>eddc0f37-53b3-4eec-8083-f6467f6cfe23</t>
        </is>
      </c>
      <c r="D658" t="inlineStr">
        <is>
          <t>30001087</t>
        </is>
      </c>
      <c r="E658" t="inlineStr">
        <is>
          <t>ussd_funeral_leads_altitude_20260619</t>
        </is>
      </c>
      <c r="J658" t="inlineStr">
        <is>
          <t>NA</t>
        </is>
      </c>
      <c r="K658" t="inlineStr">
        <is>
          <t>No Answer Autodial</t>
        </is>
      </c>
      <c r="L658" t="n">
        <v>3</v>
      </c>
      <c r="M658" t="inlineStr">
        <is>
          <t>2026-06-23 14:52:17</t>
        </is>
      </c>
      <c r="N658" t="inlineStr">
        <is>
          <t>system</t>
        </is>
      </c>
      <c r="O658" t="inlineStr">
        <is>
          <t>2026-06-19 07:10:32</t>
        </is>
      </c>
      <c r="P658" t="inlineStr">
        <is>
          <t>2026-06-19 07:10:32</t>
        </is>
      </c>
      <c r="Y658" t="inlineStr">
        <is>
          <t>27823015703</t>
        </is>
      </c>
    </row>
    <row r="659">
      <c r="A659" t="inlineStr">
        <is>
          <t>14900000</t>
        </is>
      </c>
      <c r="B659" t="inlineStr">
        <is>
          <t>e7233052-7197-402f-b626-5f75d87cf5de</t>
        </is>
      </c>
      <c r="D659" t="inlineStr">
        <is>
          <t>30001087</t>
        </is>
      </c>
      <c r="E659" t="inlineStr">
        <is>
          <t>ussd_funeral_leads_altitude_20260619</t>
        </is>
      </c>
      <c r="J659" t="inlineStr">
        <is>
          <t>AA</t>
        </is>
      </c>
      <c r="K659" t="inlineStr">
        <is>
          <t>Answering Machine Autodial</t>
        </is>
      </c>
      <c r="L659" t="n">
        <v>3</v>
      </c>
      <c r="M659" t="inlineStr">
        <is>
          <t>2026-06-23 14:52:17</t>
        </is>
      </c>
      <c r="N659" t="inlineStr">
        <is>
          <t>system</t>
        </is>
      </c>
      <c r="O659" t="inlineStr">
        <is>
          <t>2026-06-19 07:10:32</t>
        </is>
      </c>
      <c r="P659" t="inlineStr">
        <is>
          <t>2026-06-19 07:10:32</t>
        </is>
      </c>
      <c r="Y659" t="inlineStr">
        <is>
          <t>27772794976</t>
        </is>
      </c>
    </row>
    <row r="660">
      <c r="A660" t="inlineStr">
        <is>
          <t>14947377</t>
        </is>
      </c>
      <c r="B660" t="inlineStr">
        <is>
          <t>68f74231-c04e-42a2-9a6d-ede98045a002</t>
        </is>
      </c>
      <c r="D660" t="inlineStr">
        <is>
          <t>30001087</t>
        </is>
      </c>
      <c r="E660" t="inlineStr">
        <is>
          <t>ussd_funeral_leads_altitude_20260619</t>
        </is>
      </c>
      <c r="J660" t="inlineStr">
        <is>
          <t>AA</t>
        </is>
      </c>
      <c r="K660" t="inlineStr">
        <is>
          <t>Answering Machine Autodial</t>
        </is>
      </c>
      <c r="L660" t="n">
        <v>3</v>
      </c>
      <c r="M660" t="inlineStr">
        <is>
          <t>2026-06-23 14:52:15</t>
        </is>
      </c>
      <c r="N660" t="inlineStr">
        <is>
          <t>system</t>
        </is>
      </c>
      <c r="O660" t="inlineStr">
        <is>
          <t>2026-06-19 07:10:32</t>
        </is>
      </c>
      <c r="P660" t="inlineStr">
        <is>
          <t>2026-06-19 07:10:32</t>
        </is>
      </c>
      <c r="Y660" t="inlineStr">
        <is>
          <t>27798152149</t>
        </is>
      </c>
    </row>
    <row r="661">
      <c r="A661" t="inlineStr">
        <is>
          <t>14947384</t>
        </is>
      </c>
      <c r="B661" t="inlineStr">
        <is>
          <t>3022a1c5-23d8-4663-abe3-fe8f2b03764b</t>
        </is>
      </c>
      <c r="D661" t="inlineStr">
        <is>
          <t>30001087</t>
        </is>
      </c>
      <c r="E661" t="inlineStr">
        <is>
          <t>ussd_funeral_leads_altitude_20260619</t>
        </is>
      </c>
      <c r="J661" t="inlineStr">
        <is>
          <t>AA</t>
        </is>
      </c>
      <c r="K661" t="inlineStr">
        <is>
          <t>Answering Machine Autodial</t>
        </is>
      </c>
      <c r="L661" t="n">
        <v>3</v>
      </c>
      <c r="M661" t="inlineStr">
        <is>
          <t>2026-06-23 14:52:11</t>
        </is>
      </c>
      <c r="N661" t="inlineStr">
        <is>
          <t>system</t>
        </is>
      </c>
      <c r="O661" t="inlineStr">
        <is>
          <t>2026-06-19 07:10:32</t>
        </is>
      </c>
      <c r="P661" t="inlineStr">
        <is>
          <t>2026-06-19 07:10:32</t>
        </is>
      </c>
      <c r="Y661" t="inlineStr">
        <is>
          <t>27761133301</t>
        </is>
      </c>
    </row>
    <row r="662">
      <c r="A662" t="inlineStr">
        <is>
          <t>14947385</t>
        </is>
      </c>
      <c r="B662" t="inlineStr">
        <is>
          <t>28352d53-df08-44de-bb8b-11360114bcb5</t>
        </is>
      </c>
      <c r="D662" t="inlineStr">
        <is>
          <t>30001087</t>
        </is>
      </c>
      <c r="E662" t="inlineStr">
        <is>
          <t>ussd_funeral_leads_altitude_20260619</t>
        </is>
      </c>
      <c r="J662" t="inlineStr">
        <is>
          <t>ADC</t>
        </is>
      </c>
      <c r="K662" t="inlineStr">
        <is>
          <t>Auto Dial Disconnected</t>
        </is>
      </c>
      <c r="L662" t="n">
        <v>3</v>
      </c>
      <c r="M662" t="inlineStr">
        <is>
          <t>2026-06-23 14:52:10</t>
        </is>
      </c>
      <c r="N662" t="inlineStr">
        <is>
          <t>system</t>
        </is>
      </c>
      <c r="O662" t="inlineStr">
        <is>
          <t>2026-06-19 07:10:32</t>
        </is>
      </c>
      <c r="P662" t="inlineStr">
        <is>
          <t>2026-06-19 07:10:32</t>
        </is>
      </c>
      <c r="Y662" t="inlineStr">
        <is>
          <t>27791873555</t>
        </is>
      </c>
    </row>
    <row r="663">
      <c r="A663" t="inlineStr">
        <is>
          <t>14947386</t>
        </is>
      </c>
      <c r="B663" t="inlineStr">
        <is>
          <t>cc1d53b6-095b-4f5a-9657-ff9475a0a6ac</t>
        </is>
      </c>
      <c r="D663" t="inlineStr">
        <is>
          <t>30001087</t>
        </is>
      </c>
      <c r="E663" t="inlineStr">
        <is>
          <t>ussd_funeral_leads_altitude_20260619</t>
        </is>
      </c>
      <c r="J663" t="inlineStr">
        <is>
          <t>ADC</t>
        </is>
      </c>
      <c r="K663" t="inlineStr">
        <is>
          <t>Auto Dial Disconnected</t>
        </is>
      </c>
      <c r="L663" t="n">
        <v>3</v>
      </c>
      <c r="M663" t="inlineStr">
        <is>
          <t>2026-06-23 14:52:10</t>
        </is>
      </c>
      <c r="N663" t="inlineStr">
        <is>
          <t>system</t>
        </is>
      </c>
      <c r="O663" t="inlineStr">
        <is>
          <t>2026-06-19 07:10:32</t>
        </is>
      </c>
      <c r="P663" t="inlineStr">
        <is>
          <t>2026-06-19 07:10:32</t>
        </is>
      </c>
      <c r="Y663" t="inlineStr">
        <is>
          <t>27818638919</t>
        </is>
      </c>
    </row>
    <row r="664">
      <c r="A664" t="inlineStr">
        <is>
          <t>14947387</t>
        </is>
      </c>
      <c r="B664" t="inlineStr">
        <is>
          <t>b0bec7d6-8ccf-4c59-a859-f3b164f5acd1</t>
        </is>
      </c>
      <c r="D664" t="inlineStr">
        <is>
          <t>30001087</t>
        </is>
      </c>
      <c r="E664" t="inlineStr">
        <is>
          <t>ussd_funeral_leads_altitude_20260619</t>
        </is>
      </c>
      <c r="J664" t="inlineStr">
        <is>
          <t>AA</t>
        </is>
      </c>
      <c r="K664" t="inlineStr">
        <is>
          <t>Answering Machine Autodial</t>
        </is>
      </c>
      <c r="L664" t="n">
        <v>3</v>
      </c>
      <c r="M664" t="inlineStr">
        <is>
          <t>2026-06-23 14:52:09</t>
        </is>
      </c>
      <c r="N664" t="inlineStr">
        <is>
          <t>system</t>
        </is>
      </c>
      <c r="O664" t="inlineStr">
        <is>
          <t>2026-06-19 07:10:32</t>
        </is>
      </c>
      <c r="P664" t="inlineStr">
        <is>
          <t>2026-06-19 07:10:32</t>
        </is>
      </c>
      <c r="Y664" t="inlineStr">
        <is>
          <t>27646314402</t>
        </is>
      </c>
    </row>
    <row r="665">
      <c r="A665" t="inlineStr">
        <is>
          <t>14947389</t>
        </is>
      </c>
      <c r="B665" t="inlineStr">
        <is>
          <t>05b6ab64-0b08-49b4-96dc-df772588adb6</t>
        </is>
      </c>
      <c r="D665" t="inlineStr">
        <is>
          <t>30001087</t>
        </is>
      </c>
      <c r="E665" t="inlineStr">
        <is>
          <t>ussd_funeral_leads_altitude_20260619</t>
        </is>
      </c>
      <c r="J665" t="inlineStr">
        <is>
          <t>BLQ</t>
        </is>
      </c>
      <c r="K665" t="inlineStr">
        <is>
          <t>Bad Line Quality</t>
        </is>
      </c>
      <c r="L665" t="n">
        <v>3</v>
      </c>
      <c r="M665" t="inlineStr">
        <is>
          <t>2026-06-23 14:52:06</t>
        </is>
      </c>
      <c r="N665" t="inlineStr">
        <is>
          <t>Virginia Letsatsi</t>
        </is>
      </c>
      <c r="O665" t="inlineStr">
        <is>
          <t>2026-06-19 07:10:32</t>
        </is>
      </c>
      <c r="P665" t="inlineStr">
        <is>
          <t>2026-06-19 07:10:32</t>
        </is>
      </c>
      <c r="Y665" t="inlineStr">
        <is>
          <t>27722451835</t>
        </is>
      </c>
    </row>
    <row r="666">
      <c r="A666" t="inlineStr">
        <is>
          <t>14947405</t>
        </is>
      </c>
      <c r="B666" t="inlineStr">
        <is>
          <t>1f5d93d3-8eb8-4f11-8a27-d36475093806</t>
        </is>
      </c>
      <c r="D666" t="inlineStr">
        <is>
          <t>30001087</t>
        </is>
      </c>
      <c r="E666" t="inlineStr">
        <is>
          <t>ussd_funeral_leads_altitude_20260619</t>
        </is>
      </c>
      <c r="J666" t="inlineStr">
        <is>
          <t>AA</t>
        </is>
      </c>
      <c r="K666" t="inlineStr">
        <is>
          <t>Answering Machine Autodial</t>
        </is>
      </c>
      <c r="L666" t="n">
        <v>3</v>
      </c>
      <c r="M666" t="inlineStr">
        <is>
          <t>2026-06-23 14:52:05</t>
        </is>
      </c>
      <c r="N666" t="inlineStr">
        <is>
          <t>system</t>
        </is>
      </c>
      <c r="O666" t="inlineStr">
        <is>
          <t>2026-06-19 07:10:32</t>
        </is>
      </c>
      <c r="P666" t="inlineStr">
        <is>
          <t>2026-06-19 07:10:32</t>
        </is>
      </c>
      <c r="Y666" t="inlineStr">
        <is>
          <t>27792890412</t>
        </is>
      </c>
    </row>
    <row r="667">
      <c r="A667" t="inlineStr">
        <is>
          <t>14947406</t>
        </is>
      </c>
      <c r="B667" t="inlineStr">
        <is>
          <t>a8d9f174-018b-4e0d-babe-e44f8350ada8</t>
        </is>
      </c>
      <c r="D667" t="inlineStr">
        <is>
          <t>30001087</t>
        </is>
      </c>
      <c r="E667" t="inlineStr">
        <is>
          <t>ussd_funeral_leads_altitude_20260619</t>
        </is>
      </c>
      <c r="J667" t="inlineStr">
        <is>
          <t>TDN</t>
        </is>
      </c>
      <c r="K667" t="inlineStr">
        <is>
          <t>Temporary Disconnected Number</t>
        </is>
      </c>
      <c r="L667" t="n">
        <v>3</v>
      </c>
      <c r="M667" t="inlineStr">
        <is>
          <t>2026-06-23 14:52:00</t>
        </is>
      </c>
      <c r="N667" t="inlineStr">
        <is>
          <t>system</t>
        </is>
      </c>
      <c r="O667" t="inlineStr">
        <is>
          <t>2026-06-19 07:10:32</t>
        </is>
      </c>
      <c r="P667" t="inlineStr">
        <is>
          <t>2026-06-19 07:10:32</t>
        </is>
      </c>
      <c r="Y667" t="inlineStr">
        <is>
          <t>27726836733</t>
        </is>
      </c>
    </row>
    <row r="668">
      <c r="A668" t="inlineStr">
        <is>
          <t>14947407</t>
        </is>
      </c>
      <c r="B668" t="inlineStr">
        <is>
          <t>c18e7fb8-9697-4808-ad7f-09b33b21641c</t>
        </is>
      </c>
      <c r="D668" t="inlineStr">
        <is>
          <t>30001087</t>
        </is>
      </c>
      <c r="E668" t="inlineStr">
        <is>
          <t>ussd_funeral_leads_altitude_20260619</t>
        </is>
      </c>
      <c r="J668" t="inlineStr">
        <is>
          <t>AA</t>
        </is>
      </c>
      <c r="K668" t="inlineStr">
        <is>
          <t>Answering Machine Autodial</t>
        </is>
      </c>
      <c r="L668" t="n">
        <v>3</v>
      </c>
      <c r="M668" t="inlineStr">
        <is>
          <t>2026-06-23 14:52:00</t>
        </is>
      </c>
      <c r="N668" t="inlineStr">
        <is>
          <t>system</t>
        </is>
      </c>
      <c r="O668" t="inlineStr">
        <is>
          <t>2026-06-19 07:10:32</t>
        </is>
      </c>
      <c r="P668" t="inlineStr">
        <is>
          <t>2026-06-19 07:10:32</t>
        </is>
      </c>
      <c r="Y668" t="inlineStr">
        <is>
          <t>27774068670</t>
        </is>
      </c>
    </row>
    <row r="669">
      <c r="A669" t="inlineStr">
        <is>
          <t>14947408</t>
        </is>
      </c>
      <c r="B669" t="inlineStr">
        <is>
          <t>54dd8199-7c1c-452c-9a11-604646efc5ff</t>
        </is>
      </c>
      <c r="D669" t="inlineStr">
        <is>
          <t>30001087</t>
        </is>
      </c>
      <c r="E669" t="inlineStr">
        <is>
          <t>ussd_funeral_leads_altitude_20260619</t>
        </is>
      </c>
      <c r="J669" t="inlineStr">
        <is>
          <t>NA</t>
        </is>
      </c>
      <c r="K669" t="inlineStr">
        <is>
          <t>No Answer Autodial</t>
        </is>
      </c>
      <c r="L669" t="n">
        <v>3</v>
      </c>
      <c r="M669" t="inlineStr">
        <is>
          <t>2026-06-23 14:52:00</t>
        </is>
      </c>
      <c r="N669" t="inlineStr">
        <is>
          <t>system</t>
        </is>
      </c>
      <c r="O669" t="inlineStr">
        <is>
          <t>2026-06-19 07:10:32</t>
        </is>
      </c>
      <c r="P669" t="inlineStr">
        <is>
          <t>2026-06-19 07:10:32</t>
        </is>
      </c>
      <c r="Y669" t="inlineStr">
        <is>
          <t>27723432139</t>
        </is>
      </c>
    </row>
    <row r="670">
      <c r="A670" t="inlineStr">
        <is>
          <t>14947409</t>
        </is>
      </c>
      <c r="B670" t="inlineStr">
        <is>
          <t>44b997b1-4ba2-42fe-bc5d-e7dc6c323d3f</t>
        </is>
      </c>
      <c r="D670" t="inlineStr">
        <is>
          <t>30001087</t>
        </is>
      </c>
      <c r="E670" t="inlineStr">
        <is>
          <t>ussd_funeral_leads_altitude_20260619</t>
        </is>
      </c>
      <c r="J670" t="inlineStr">
        <is>
          <t>ADC</t>
        </is>
      </c>
      <c r="K670" t="inlineStr">
        <is>
          <t>Auto Dial Disconnected</t>
        </is>
      </c>
      <c r="L670" t="n">
        <v>3</v>
      </c>
      <c r="M670" t="inlineStr">
        <is>
          <t>2026-06-23 14:51:59</t>
        </is>
      </c>
      <c r="N670" t="inlineStr">
        <is>
          <t>system</t>
        </is>
      </c>
      <c r="O670" t="inlineStr">
        <is>
          <t>2026-06-19 07:10:32</t>
        </is>
      </c>
      <c r="P670" t="inlineStr">
        <is>
          <t>2026-06-19 07:10:32</t>
        </is>
      </c>
      <c r="Y670" t="inlineStr">
        <is>
          <t>27663124587</t>
        </is>
      </c>
    </row>
    <row r="671">
      <c r="A671" t="inlineStr">
        <is>
          <t>14947410</t>
        </is>
      </c>
      <c r="B671" t="inlineStr">
        <is>
          <t>7cb323fe-47db-4173-9d33-631537982006</t>
        </is>
      </c>
      <c r="D671" t="inlineStr">
        <is>
          <t>30001087</t>
        </is>
      </c>
      <c r="E671" t="inlineStr">
        <is>
          <t>ussd_funeral_leads_altitude_20260619</t>
        </is>
      </c>
      <c r="J671" t="inlineStr">
        <is>
          <t>AA</t>
        </is>
      </c>
      <c r="K671" t="inlineStr">
        <is>
          <t>Answering Machine Autodial</t>
        </is>
      </c>
      <c r="L671" t="n">
        <v>3</v>
      </c>
      <c r="M671" t="inlineStr">
        <is>
          <t>2026-06-23 14:51:58</t>
        </is>
      </c>
      <c r="N671" t="inlineStr">
        <is>
          <t>system</t>
        </is>
      </c>
      <c r="O671" t="inlineStr">
        <is>
          <t>2026-06-19 07:10:32</t>
        </is>
      </c>
      <c r="P671" t="inlineStr">
        <is>
          <t>2026-06-19 07:10:32</t>
        </is>
      </c>
      <c r="Y671" t="inlineStr">
        <is>
          <t>27818899600</t>
        </is>
      </c>
    </row>
    <row r="672">
      <c r="A672" t="inlineStr">
        <is>
          <t>14947411</t>
        </is>
      </c>
      <c r="B672" t="inlineStr">
        <is>
          <t>b78bc9eb-2608-47c5-b370-753c6ea95569</t>
        </is>
      </c>
      <c r="D672" t="inlineStr">
        <is>
          <t>30001087</t>
        </is>
      </c>
      <c r="E672" t="inlineStr">
        <is>
          <t>ussd_funeral_leads_altitude_20260619</t>
        </is>
      </c>
      <c r="J672" t="inlineStr">
        <is>
          <t>ADC</t>
        </is>
      </c>
      <c r="K672" t="inlineStr">
        <is>
          <t>Auto Dial Disconnected</t>
        </is>
      </c>
      <c r="L672" t="n">
        <v>3</v>
      </c>
      <c r="M672" t="inlineStr">
        <is>
          <t>2026-06-23 14:51:57</t>
        </is>
      </c>
      <c r="N672" t="inlineStr">
        <is>
          <t>system</t>
        </is>
      </c>
      <c r="O672" t="inlineStr">
        <is>
          <t>2026-06-19 07:10:32</t>
        </is>
      </c>
      <c r="P672" t="inlineStr">
        <is>
          <t>2026-06-19 07:10:32</t>
        </is>
      </c>
      <c r="Y672" t="inlineStr">
        <is>
          <t>27727161164</t>
        </is>
      </c>
    </row>
    <row r="673">
      <c r="A673" t="inlineStr">
        <is>
          <t>14947412</t>
        </is>
      </c>
      <c r="B673" t="inlineStr">
        <is>
          <t>6d1b1ae4-0ea8-4942-b9bc-af8fa69c7031</t>
        </is>
      </c>
      <c r="D673" t="inlineStr">
        <is>
          <t>30001087</t>
        </is>
      </c>
      <c r="E673" t="inlineStr">
        <is>
          <t>ussd_funeral_leads_altitude_20260619</t>
        </is>
      </c>
      <c r="H673" t="inlineStr">
        <is>
          <t>27674622339</t>
        </is>
      </c>
      <c r="J673" t="inlineStr">
        <is>
          <t>AA</t>
        </is>
      </c>
      <c r="K673" t="inlineStr">
        <is>
          <t>Answering Machine Autodial</t>
        </is>
      </c>
      <c r="L673" t="n">
        <v>3</v>
      </c>
      <c r="M673" t="inlineStr">
        <is>
          <t>2026-06-23 14:51:56</t>
        </is>
      </c>
      <c r="N673" t="inlineStr">
        <is>
          <t>system</t>
        </is>
      </c>
      <c r="O673" t="inlineStr">
        <is>
          <t>2026-06-19 07:10:32</t>
        </is>
      </c>
      <c r="P673" t="inlineStr">
        <is>
          <t>2026-06-19 07:10:32</t>
        </is>
      </c>
      <c r="Y673" t="inlineStr">
        <is>
          <t>27674622339</t>
        </is>
      </c>
    </row>
    <row r="674">
      <c r="A674" t="inlineStr">
        <is>
          <t>14947413</t>
        </is>
      </c>
      <c r="B674" t="inlineStr">
        <is>
          <t>bc11e1a6-7380-4c93-b147-4c09e1df756c</t>
        </is>
      </c>
      <c r="D674" t="inlineStr">
        <is>
          <t>30001087</t>
        </is>
      </c>
      <c r="E674" t="inlineStr">
        <is>
          <t>ussd_funeral_leads_altitude_20260619</t>
        </is>
      </c>
      <c r="J674" t="inlineStr">
        <is>
          <t>AA</t>
        </is>
      </c>
      <c r="K674" t="inlineStr">
        <is>
          <t>Answering Machine Autodial</t>
        </is>
      </c>
      <c r="L674" t="n">
        <v>3</v>
      </c>
      <c r="M674" t="inlineStr">
        <is>
          <t>2026-06-23 14:51:55</t>
        </is>
      </c>
      <c r="N674" t="inlineStr">
        <is>
          <t>system</t>
        </is>
      </c>
      <c r="O674" t="inlineStr">
        <is>
          <t>2026-06-19 07:10:32</t>
        </is>
      </c>
      <c r="P674" t="inlineStr">
        <is>
          <t>2026-06-19 07:10:32</t>
        </is>
      </c>
      <c r="Y674" t="inlineStr">
        <is>
          <t>27794217204</t>
        </is>
      </c>
    </row>
    <row r="675">
      <c r="A675" t="inlineStr">
        <is>
          <t>14947414</t>
        </is>
      </c>
      <c r="B675" t="inlineStr">
        <is>
          <t>31d14a7c-1359-4f56-b45b-2c449d4c89f5</t>
        </is>
      </c>
      <c r="D675" t="inlineStr">
        <is>
          <t>30001087</t>
        </is>
      </c>
      <c r="E675" t="inlineStr">
        <is>
          <t>ussd_funeral_leads_altitude_20260619</t>
        </is>
      </c>
      <c r="J675" t="inlineStr">
        <is>
          <t>TDN</t>
        </is>
      </c>
      <c r="K675" t="inlineStr">
        <is>
          <t>Temporary Disconnected Number</t>
        </is>
      </c>
      <c r="L675" t="n">
        <v>3</v>
      </c>
      <c r="M675" t="inlineStr">
        <is>
          <t>2026-06-23 14:51:54</t>
        </is>
      </c>
      <c r="N675" t="inlineStr">
        <is>
          <t>system</t>
        </is>
      </c>
      <c r="O675" t="inlineStr">
        <is>
          <t>2026-06-19 07:10:32</t>
        </is>
      </c>
      <c r="P675" t="inlineStr">
        <is>
          <t>2026-06-19 07:10:32</t>
        </is>
      </c>
      <c r="Y675" t="inlineStr">
        <is>
          <t>27774195353</t>
        </is>
      </c>
    </row>
    <row r="676">
      <c r="A676" t="inlineStr">
        <is>
          <t>14947415</t>
        </is>
      </c>
      <c r="B676" t="inlineStr">
        <is>
          <t>0d2a6bae-5ff4-4e88-82ec-2c4cf6b2a70a</t>
        </is>
      </c>
      <c r="D676" t="inlineStr">
        <is>
          <t>30001087</t>
        </is>
      </c>
      <c r="E676" t="inlineStr">
        <is>
          <t>ussd_funeral_leads_altitude_20260619</t>
        </is>
      </c>
      <c r="J676" t="inlineStr">
        <is>
          <t>AA</t>
        </is>
      </c>
      <c r="K676" t="inlineStr">
        <is>
          <t>Answering Machine Autodial</t>
        </is>
      </c>
      <c r="L676" t="n">
        <v>3</v>
      </c>
      <c r="M676" t="inlineStr">
        <is>
          <t>2026-06-23 14:51:54</t>
        </is>
      </c>
      <c r="N676" t="inlineStr">
        <is>
          <t>system</t>
        </is>
      </c>
      <c r="O676" t="inlineStr">
        <is>
          <t>2026-06-19 07:10:32</t>
        </is>
      </c>
      <c r="P676" t="inlineStr">
        <is>
          <t>2026-06-19 07:10:32</t>
        </is>
      </c>
      <c r="Y676" t="inlineStr">
        <is>
          <t>27607262938</t>
        </is>
      </c>
    </row>
    <row r="677">
      <c r="A677" t="inlineStr">
        <is>
          <t>14947416</t>
        </is>
      </c>
      <c r="B677" t="inlineStr">
        <is>
          <t>2b449444-cf21-4bdc-a506-23c48ce2b7f4</t>
        </is>
      </c>
      <c r="D677" t="inlineStr">
        <is>
          <t>30001087</t>
        </is>
      </c>
      <c r="E677" t="inlineStr">
        <is>
          <t>ussd_funeral_leads_altitude_20260619</t>
        </is>
      </c>
      <c r="J677" t="inlineStr">
        <is>
          <t>AA</t>
        </is>
      </c>
      <c r="K677" t="inlineStr">
        <is>
          <t>Answering Machine Autodial</t>
        </is>
      </c>
      <c r="L677" t="n">
        <v>3</v>
      </c>
      <c r="M677" t="inlineStr">
        <is>
          <t>2026-06-23 14:51:50</t>
        </is>
      </c>
      <c r="N677" t="inlineStr">
        <is>
          <t>system</t>
        </is>
      </c>
      <c r="O677" t="inlineStr">
        <is>
          <t>2026-06-19 07:10:32</t>
        </is>
      </c>
      <c r="P677" t="inlineStr">
        <is>
          <t>2026-06-19 07:10:32</t>
        </is>
      </c>
      <c r="Y677" t="inlineStr">
        <is>
          <t>27713552144</t>
        </is>
      </c>
    </row>
    <row r="678">
      <c r="A678" t="inlineStr">
        <is>
          <t>14947417</t>
        </is>
      </c>
      <c r="B678" t="inlineStr">
        <is>
          <t>b9edae6a-7637-4087-89cc-c670cc66459b</t>
        </is>
      </c>
      <c r="D678" t="inlineStr">
        <is>
          <t>30001087</t>
        </is>
      </c>
      <c r="E678" t="inlineStr">
        <is>
          <t>ussd_funeral_leads_altitude_20260619</t>
        </is>
      </c>
      <c r="J678" t="inlineStr">
        <is>
          <t>AA</t>
        </is>
      </c>
      <c r="K678" t="inlineStr">
        <is>
          <t>Answering Machine Autodial</t>
        </is>
      </c>
      <c r="L678" t="n">
        <v>3</v>
      </c>
      <c r="M678" t="inlineStr">
        <is>
          <t>2026-06-23 14:51:38</t>
        </is>
      </c>
      <c r="N678" t="inlineStr">
        <is>
          <t>system</t>
        </is>
      </c>
      <c r="O678" t="inlineStr">
        <is>
          <t>2026-06-19 07:10:32</t>
        </is>
      </c>
      <c r="P678" t="inlineStr">
        <is>
          <t>2026-06-19 07:10:32</t>
        </is>
      </c>
      <c r="Y678" t="inlineStr">
        <is>
          <t>27768341210</t>
        </is>
      </c>
    </row>
    <row r="679">
      <c r="A679" t="inlineStr">
        <is>
          <t>14947418</t>
        </is>
      </c>
      <c r="B679" t="inlineStr">
        <is>
          <t>597a772c-0f67-46bd-b4da-a95ad501f1a0</t>
        </is>
      </c>
      <c r="D679" t="inlineStr">
        <is>
          <t>30001087</t>
        </is>
      </c>
      <c r="E679" t="inlineStr">
        <is>
          <t>ussd_funeral_leads_altitude_20260619</t>
        </is>
      </c>
      <c r="J679" t="inlineStr">
        <is>
          <t>ADC</t>
        </is>
      </c>
      <c r="K679" t="inlineStr">
        <is>
          <t>Auto Dial Disconnected</t>
        </is>
      </c>
      <c r="L679" t="n">
        <v>3</v>
      </c>
      <c r="M679" t="inlineStr">
        <is>
          <t>2026-06-23 14:51:34</t>
        </is>
      </c>
      <c r="N679" t="inlineStr">
        <is>
          <t>system</t>
        </is>
      </c>
      <c r="O679" t="inlineStr">
        <is>
          <t>2026-06-19 07:10:32</t>
        </is>
      </c>
      <c r="P679" t="inlineStr">
        <is>
          <t>2026-06-19 07:10:32</t>
        </is>
      </c>
      <c r="Y679" t="inlineStr">
        <is>
          <t>27791388183</t>
        </is>
      </c>
    </row>
    <row r="680">
      <c r="A680" t="inlineStr">
        <is>
          <t>14947419</t>
        </is>
      </c>
      <c r="B680" t="inlineStr">
        <is>
          <t>8b1ce073-724c-4d55-9cad-aa1649073f5a</t>
        </is>
      </c>
      <c r="D680" t="inlineStr">
        <is>
          <t>30001087</t>
        </is>
      </c>
      <c r="E680" t="inlineStr">
        <is>
          <t>ussd_funeral_leads_altitude_20260619</t>
        </is>
      </c>
      <c r="J680" t="inlineStr">
        <is>
          <t>TDN</t>
        </is>
      </c>
      <c r="K680" t="inlineStr">
        <is>
          <t>Temporary Disconnected Number</t>
        </is>
      </c>
      <c r="L680" t="n">
        <v>3</v>
      </c>
      <c r="M680" t="inlineStr">
        <is>
          <t>2026-06-23 14:51:33</t>
        </is>
      </c>
      <c r="N680" t="inlineStr">
        <is>
          <t>system</t>
        </is>
      </c>
      <c r="O680" t="inlineStr">
        <is>
          <t>2026-06-19 07:10:32</t>
        </is>
      </c>
      <c r="P680" t="inlineStr">
        <is>
          <t>2026-06-19 07:10:32</t>
        </is>
      </c>
      <c r="Y680" t="inlineStr">
        <is>
          <t>27767908786</t>
        </is>
      </c>
    </row>
    <row r="681">
      <c r="A681" t="inlineStr">
        <is>
          <t>14947313</t>
        </is>
      </c>
      <c r="B681" t="inlineStr">
        <is>
          <t>c5749179-358f-47d6-a21a-61b78a4d1c73</t>
        </is>
      </c>
      <c r="D681" t="inlineStr">
        <is>
          <t>30001087</t>
        </is>
      </c>
      <c r="E681" t="inlineStr">
        <is>
          <t>ussd_funeral_leads_altitude_20260619</t>
        </is>
      </c>
      <c r="J681" t="inlineStr">
        <is>
          <t>AA</t>
        </is>
      </c>
      <c r="K681" t="inlineStr">
        <is>
          <t>Answering Machine Autodial</t>
        </is>
      </c>
      <c r="L681" t="n">
        <v>3</v>
      </c>
      <c r="M681" t="inlineStr">
        <is>
          <t>2026-06-23 14:51:33</t>
        </is>
      </c>
      <c r="N681" t="inlineStr">
        <is>
          <t>system</t>
        </is>
      </c>
      <c r="O681" t="inlineStr">
        <is>
          <t>2026-06-19 07:10:32</t>
        </is>
      </c>
      <c r="P681" t="inlineStr">
        <is>
          <t>2026-06-19 07:10:32</t>
        </is>
      </c>
      <c r="Y681" t="inlineStr">
        <is>
          <t>27609446758</t>
        </is>
      </c>
    </row>
    <row r="682">
      <c r="A682" t="inlineStr">
        <is>
          <t>14947391</t>
        </is>
      </c>
      <c r="B682" t="inlineStr">
        <is>
          <t>a399d293-8ffd-4c5c-b7b3-151182e0c82c</t>
        </is>
      </c>
      <c r="D682" t="inlineStr">
        <is>
          <t>30001087</t>
        </is>
      </c>
      <c r="E682" t="inlineStr">
        <is>
          <t>ussd_funeral_leads_altitude_20260619</t>
        </is>
      </c>
      <c r="J682" t="inlineStr">
        <is>
          <t>TDN</t>
        </is>
      </c>
      <c r="K682" t="inlineStr">
        <is>
          <t>Temporary Disconnected Number</t>
        </is>
      </c>
      <c r="L682" t="n">
        <v>3</v>
      </c>
      <c r="M682" t="inlineStr">
        <is>
          <t>2026-06-23 14:51:18</t>
        </is>
      </c>
      <c r="N682" t="inlineStr">
        <is>
          <t>system</t>
        </is>
      </c>
      <c r="O682" t="inlineStr">
        <is>
          <t>2026-06-19 07:10:32</t>
        </is>
      </c>
      <c r="P682" t="inlineStr">
        <is>
          <t>2026-06-19 07:10:32</t>
        </is>
      </c>
      <c r="Y682" t="inlineStr">
        <is>
          <t>27661318824</t>
        </is>
      </c>
    </row>
    <row r="683">
      <c r="A683" t="inlineStr">
        <is>
          <t>14947396</t>
        </is>
      </c>
      <c r="B683" t="inlineStr">
        <is>
          <t>21bd96a4-1421-4f94-ade2-4b490afa3a84</t>
        </is>
      </c>
      <c r="D683" t="inlineStr">
        <is>
          <t>30001087</t>
        </is>
      </c>
      <c r="E683" t="inlineStr">
        <is>
          <t>ussd_funeral_leads_altitude_20260619</t>
        </is>
      </c>
      <c r="J683" t="inlineStr">
        <is>
          <t>AA</t>
        </is>
      </c>
      <c r="K683" t="inlineStr">
        <is>
          <t>Answering Machine Autodial</t>
        </is>
      </c>
      <c r="L683" t="n">
        <v>3</v>
      </c>
      <c r="M683" t="inlineStr">
        <is>
          <t>2026-06-23 14:51:16</t>
        </is>
      </c>
      <c r="N683" t="inlineStr">
        <is>
          <t>system</t>
        </is>
      </c>
      <c r="O683" t="inlineStr">
        <is>
          <t>2026-06-19 07:10:32</t>
        </is>
      </c>
      <c r="P683" t="inlineStr">
        <is>
          <t>2026-06-19 07:10:32</t>
        </is>
      </c>
      <c r="Y683" t="inlineStr">
        <is>
          <t>27761997434</t>
        </is>
      </c>
    </row>
    <row r="684">
      <c r="A684" t="inlineStr">
        <is>
          <t>14947398</t>
        </is>
      </c>
      <c r="B684" t="inlineStr">
        <is>
          <t>7bc95b46-ae8f-4b4f-a916-c6731a001f72</t>
        </is>
      </c>
      <c r="D684" t="inlineStr">
        <is>
          <t>30001087</t>
        </is>
      </c>
      <c r="E684" t="inlineStr">
        <is>
          <t>ussd_funeral_leads_altitude_20260619</t>
        </is>
      </c>
      <c r="J684" t="inlineStr">
        <is>
          <t>ADC</t>
        </is>
      </c>
      <c r="K684" t="inlineStr">
        <is>
          <t>Auto Dial Disconnected</t>
        </is>
      </c>
      <c r="L684" t="n">
        <v>3</v>
      </c>
      <c r="M684" t="inlineStr">
        <is>
          <t>2026-06-23 14:51:16</t>
        </is>
      </c>
      <c r="N684" t="inlineStr">
        <is>
          <t>system</t>
        </is>
      </c>
      <c r="O684" t="inlineStr">
        <is>
          <t>2026-06-19 07:10:32</t>
        </is>
      </c>
      <c r="P684" t="inlineStr">
        <is>
          <t>2026-06-19 07:10:32</t>
        </is>
      </c>
      <c r="Y684" t="inlineStr">
        <is>
          <t>27763583223</t>
        </is>
      </c>
    </row>
    <row r="685">
      <c r="A685" t="inlineStr">
        <is>
          <t>14947399</t>
        </is>
      </c>
      <c r="B685" t="inlineStr">
        <is>
          <t>269444ee-8b95-4609-8c0a-a45e43be66bc</t>
        </is>
      </c>
      <c r="D685" t="inlineStr">
        <is>
          <t>30001087</t>
        </is>
      </c>
      <c r="E685" t="inlineStr">
        <is>
          <t>ussd_funeral_leads_altitude_20260619</t>
        </is>
      </c>
      <c r="J685" t="inlineStr">
        <is>
          <t>TDN</t>
        </is>
      </c>
      <c r="K685" t="inlineStr">
        <is>
          <t>Temporary Disconnected Number</t>
        </is>
      </c>
      <c r="L685" t="n">
        <v>3</v>
      </c>
      <c r="M685" t="inlineStr">
        <is>
          <t>2026-06-23 14:51:16</t>
        </is>
      </c>
      <c r="N685" t="inlineStr">
        <is>
          <t>system</t>
        </is>
      </c>
      <c r="O685" t="inlineStr">
        <is>
          <t>2026-06-19 07:10:32</t>
        </is>
      </c>
      <c r="P685" t="inlineStr">
        <is>
          <t>2026-06-19 07:10:32</t>
        </is>
      </c>
      <c r="Y685" t="inlineStr">
        <is>
          <t>27794732214</t>
        </is>
      </c>
    </row>
    <row r="686">
      <c r="A686" t="inlineStr">
        <is>
          <t>14947400</t>
        </is>
      </c>
      <c r="B686" t="inlineStr">
        <is>
          <t>bae82d7c-f4bc-45a6-b224-4ef58628e09e</t>
        </is>
      </c>
      <c r="D686" t="inlineStr">
        <is>
          <t>30001087</t>
        </is>
      </c>
      <c r="E686" t="inlineStr">
        <is>
          <t>ussd_funeral_leads_altitude_20260619</t>
        </is>
      </c>
      <c r="J686" t="inlineStr">
        <is>
          <t>AA</t>
        </is>
      </c>
      <c r="K686" t="inlineStr">
        <is>
          <t>Answering Machine Autodial</t>
        </is>
      </c>
      <c r="L686" t="n">
        <v>3</v>
      </c>
      <c r="M686" t="inlineStr">
        <is>
          <t>2026-06-23 14:51:16</t>
        </is>
      </c>
      <c r="N686" t="inlineStr">
        <is>
          <t>system</t>
        </is>
      </c>
      <c r="O686" t="inlineStr">
        <is>
          <t>2026-06-19 07:10:32</t>
        </is>
      </c>
      <c r="P686" t="inlineStr">
        <is>
          <t>2026-06-19 07:10:32</t>
        </is>
      </c>
      <c r="Y686" t="inlineStr">
        <is>
          <t>27774995548</t>
        </is>
      </c>
    </row>
    <row r="687">
      <c r="A687" t="inlineStr">
        <is>
          <t>14947401</t>
        </is>
      </c>
      <c r="B687" t="inlineStr">
        <is>
          <t>ada5ef0a-5e0a-487e-aa36-3aed0e34b1a1</t>
        </is>
      </c>
      <c r="D687" t="inlineStr">
        <is>
          <t>30001087</t>
        </is>
      </c>
      <c r="E687" t="inlineStr">
        <is>
          <t>ussd_funeral_leads_altitude_20260619</t>
        </is>
      </c>
      <c r="J687" t="inlineStr">
        <is>
          <t>AA</t>
        </is>
      </c>
      <c r="K687" t="inlineStr">
        <is>
          <t>Answering Machine Autodial</t>
        </is>
      </c>
      <c r="L687" t="n">
        <v>3</v>
      </c>
      <c r="M687" t="inlineStr">
        <is>
          <t>2026-06-23 14:51:16</t>
        </is>
      </c>
      <c r="N687" t="inlineStr">
        <is>
          <t>system</t>
        </is>
      </c>
      <c r="O687" t="inlineStr">
        <is>
          <t>2026-06-19 07:10:32</t>
        </is>
      </c>
      <c r="P687" t="inlineStr">
        <is>
          <t>2026-06-19 07:10:32</t>
        </is>
      </c>
      <c r="Y687" t="inlineStr">
        <is>
          <t>27799049811</t>
        </is>
      </c>
    </row>
    <row r="688">
      <c r="A688" t="inlineStr">
        <is>
          <t>14947402</t>
        </is>
      </c>
      <c r="B688" t="inlineStr">
        <is>
          <t>d6a6c764-5bbc-4da9-b716-52ae312e9a49</t>
        </is>
      </c>
      <c r="D688" t="inlineStr">
        <is>
          <t>30001087</t>
        </is>
      </c>
      <c r="E688" t="inlineStr">
        <is>
          <t>ussd_funeral_leads_altitude_20260619</t>
        </is>
      </c>
      <c r="J688" t="inlineStr">
        <is>
          <t>NA</t>
        </is>
      </c>
      <c r="K688" t="inlineStr">
        <is>
          <t>No Answer Autodial</t>
        </is>
      </c>
      <c r="L688" t="n">
        <v>3</v>
      </c>
      <c r="M688" t="inlineStr">
        <is>
          <t>2026-06-23 14:51:16</t>
        </is>
      </c>
      <c r="N688" t="inlineStr">
        <is>
          <t>system</t>
        </is>
      </c>
      <c r="O688" t="inlineStr">
        <is>
          <t>2026-06-19 07:10:32</t>
        </is>
      </c>
      <c r="P688" t="inlineStr">
        <is>
          <t>2026-06-19 07:10:32</t>
        </is>
      </c>
      <c r="Y688" t="inlineStr">
        <is>
          <t>27765334436</t>
        </is>
      </c>
    </row>
    <row r="689">
      <c r="A689" t="inlineStr">
        <is>
          <t>14947403</t>
        </is>
      </c>
      <c r="B689" t="inlineStr">
        <is>
          <t>970874cd-e483-4d62-9ab7-029cbc1251df</t>
        </is>
      </c>
      <c r="D689" t="inlineStr">
        <is>
          <t>30001087</t>
        </is>
      </c>
      <c r="E689" t="inlineStr">
        <is>
          <t>ussd_funeral_leads_altitude_20260619</t>
        </is>
      </c>
      <c r="J689" t="inlineStr">
        <is>
          <t>AE</t>
        </is>
      </c>
      <c r="K689" t="inlineStr">
        <is>
          <t>Auto Engaged</t>
        </is>
      </c>
      <c r="L689" t="n">
        <v>3</v>
      </c>
      <c r="M689" t="inlineStr">
        <is>
          <t>2026-06-23 14:51:13</t>
        </is>
      </c>
      <c r="N689" t="inlineStr">
        <is>
          <t>system</t>
        </is>
      </c>
      <c r="O689" t="inlineStr">
        <is>
          <t>2026-06-19 07:10:32</t>
        </is>
      </c>
      <c r="P689" t="inlineStr">
        <is>
          <t>2026-06-19 07:10:32</t>
        </is>
      </c>
      <c r="Y689" t="inlineStr">
        <is>
          <t>27763822937</t>
        </is>
      </c>
    </row>
    <row r="690">
      <c r="A690" t="inlineStr">
        <is>
          <t>14947322</t>
        </is>
      </c>
      <c r="B690" t="inlineStr">
        <is>
          <t>b0231b39-bef2-4398-98c9-7505c37a0a05</t>
        </is>
      </c>
      <c r="D690" t="inlineStr">
        <is>
          <t>30001087</t>
        </is>
      </c>
      <c r="E690" t="inlineStr">
        <is>
          <t>ussd_funeral_leads_altitude_20260619</t>
        </is>
      </c>
      <c r="J690" t="inlineStr">
        <is>
          <t>NA</t>
        </is>
      </c>
      <c r="K690" t="inlineStr">
        <is>
          <t>No Answer Autodial</t>
        </is>
      </c>
      <c r="L690" t="n">
        <v>3</v>
      </c>
      <c r="M690" t="inlineStr">
        <is>
          <t>2026-06-23 14:51:11</t>
        </is>
      </c>
      <c r="N690" t="inlineStr">
        <is>
          <t>system</t>
        </is>
      </c>
      <c r="O690" t="inlineStr">
        <is>
          <t>2026-06-19 07:10:32</t>
        </is>
      </c>
      <c r="P690" t="inlineStr">
        <is>
          <t>2026-06-19 07:10:32</t>
        </is>
      </c>
      <c r="Y690" t="inlineStr">
        <is>
          <t>27772029048</t>
        </is>
      </c>
    </row>
    <row r="691">
      <c r="A691" t="inlineStr">
        <is>
          <t>14947404</t>
        </is>
      </c>
      <c r="B691" t="inlineStr">
        <is>
          <t>80dc39c8-4335-42ab-a293-ce1427a1b9b4</t>
        </is>
      </c>
      <c r="D691" t="inlineStr">
        <is>
          <t>30001087</t>
        </is>
      </c>
      <c r="E691" t="inlineStr">
        <is>
          <t>ussd_funeral_leads_altitude_20260619</t>
        </is>
      </c>
      <c r="J691" t="inlineStr">
        <is>
          <t>AA</t>
        </is>
      </c>
      <c r="K691" t="inlineStr">
        <is>
          <t>Answering Machine Autodial</t>
        </is>
      </c>
      <c r="L691" t="n">
        <v>3</v>
      </c>
      <c r="M691" t="inlineStr">
        <is>
          <t>2026-06-23 14:51:11</t>
        </is>
      </c>
      <c r="N691" t="inlineStr">
        <is>
          <t>system</t>
        </is>
      </c>
      <c r="O691" t="inlineStr">
        <is>
          <t>2026-06-19 07:10:32</t>
        </is>
      </c>
      <c r="P691" t="inlineStr">
        <is>
          <t>2026-06-19 07:10:32</t>
        </is>
      </c>
      <c r="Y691" t="inlineStr">
        <is>
          <t>27799014625</t>
        </is>
      </c>
    </row>
    <row r="692">
      <c r="A692" t="inlineStr">
        <is>
          <t>14947393</t>
        </is>
      </c>
      <c r="B692" t="inlineStr">
        <is>
          <t>aa70e762-183b-498d-a7d4-bd450832d3fb</t>
        </is>
      </c>
      <c r="D692" t="inlineStr">
        <is>
          <t>30001087</t>
        </is>
      </c>
      <c r="E692" t="inlineStr">
        <is>
          <t>ussd_funeral_leads_altitude_20260619</t>
        </is>
      </c>
      <c r="J692" t="inlineStr">
        <is>
          <t>AA</t>
        </is>
      </c>
      <c r="K692" t="inlineStr">
        <is>
          <t>Answering Machine Autodial</t>
        </is>
      </c>
      <c r="L692" t="n">
        <v>3</v>
      </c>
      <c r="M692" t="inlineStr">
        <is>
          <t>2026-06-23 14:50:16</t>
        </is>
      </c>
      <c r="N692" t="inlineStr">
        <is>
          <t>system</t>
        </is>
      </c>
      <c r="O692" t="inlineStr">
        <is>
          <t>2026-06-19 07:10:32</t>
        </is>
      </c>
      <c r="P692" t="inlineStr">
        <is>
          <t>2026-06-19 07:10:32</t>
        </is>
      </c>
      <c r="Y692" t="inlineStr">
        <is>
          <t>27663820723</t>
        </is>
      </c>
    </row>
    <row r="693">
      <c r="A693" t="inlineStr">
        <is>
          <t>14947394</t>
        </is>
      </c>
      <c r="B693" t="inlineStr">
        <is>
          <t>2618920e-44be-4e37-a5e9-28a48bf0ce0d</t>
        </is>
      </c>
      <c r="D693" t="inlineStr">
        <is>
          <t>30001087</t>
        </is>
      </c>
      <c r="E693" t="inlineStr">
        <is>
          <t>ussd_funeral_leads_altitude_20260619</t>
        </is>
      </c>
      <c r="J693" t="inlineStr">
        <is>
          <t>AA</t>
        </is>
      </c>
      <c r="K693" t="inlineStr">
        <is>
          <t>Answering Machine Autodial</t>
        </is>
      </c>
      <c r="L693" t="n">
        <v>3</v>
      </c>
      <c r="M693" t="inlineStr">
        <is>
          <t>2026-06-23 14:50:16</t>
        </is>
      </c>
      <c r="N693" t="inlineStr">
        <is>
          <t>system</t>
        </is>
      </c>
      <c r="O693" t="inlineStr">
        <is>
          <t>2026-06-19 07:10:32</t>
        </is>
      </c>
      <c r="P693" t="inlineStr">
        <is>
          <t>2026-06-19 07:10:32</t>
        </is>
      </c>
      <c r="Y693" t="inlineStr">
        <is>
          <t>27761463410</t>
        </is>
      </c>
    </row>
    <row r="694">
      <c r="A694" t="inlineStr">
        <is>
          <t>14947395</t>
        </is>
      </c>
      <c r="B694" t="inlineStr">
        <is>
          <t>12c0709c-a14c-4a69-b313-561bbe9bde3c</t>
        </is>
      </c>
      <c r="D694" t="inlineStr">
        <is>
          <t>30001087</t>
        </is>
      </c>
      <c r="E694" t="inlineStr">
        <is>
          <t>ussd_funeral_leads_altitude_20260619</t>
        </is>
      </c>
      <c r="J694" t="inlineStr">
        <is>
          <t>DROP</t>
        </is>
      </c>
      <c r="K694" t="inlineStr">
        <is>
          <t>Dropped</t>
        </is>
      </c>
      <c r="L694" t="n">
        <v>3</v>
      </c>
      <c r="M694" t="inlineStr">
        <is>
          <t>2026-06-23 14:50:03</t>
        </is>
      </c>
      <c r="N694" t="inlineStr">
        <is>
          <t>system</t>
        </is>
      </c>
      <c r="O694" t="inlineStr">
        <is>
          <t>2026-06-19 07:10:32</t>
        </is>
      </c>
      <c r="P694" t="inlineStr">
        <is>
          <t>2026-06-19 07:10:32</t>
        </is>
      </c>
      <c r="Y694" t="inlineStr">
        <is>
          <t>27797202712</t>
        </is>
      </c>
    </row>
    <row r="695">
      <c r="A695" t="inlineStr">
        <is>
          <t>14946006</t>
        </is>
      </c>
      <c r="B695" t="inlineStr">
        <is>
          <t>118159f4-20b1-4731-a4bd-a96eb89e4224</t>
        </is>
      </c>
      <c r="D695" t="inlineStr">
        <is>
          <t>30001087</t>
        </is>
      </c>
      <c r="E695" t="inlineStr">
        <is>
          <t>ussd_funeral_leads_altitude_20260619</t>
        </is>
      </c>
      <c r="J695" t="inlineStr">
        <is>
          <t>CU</t>
        </is>
      </c>
      <c r="K695" t="inlineStr">
        <is>
          <t>Client Hung Up</t>
        </is>
      </c>
      <c r="L695" t="n">
        <v>3</v>
      </c>
      <c r="M695" t="inlineStr">
        <is>
          <t>2026-06-23 14:49:23</t>
        </is>
      </c>
      <c r="N695" t="inlineStr">
        <is>
          <t>Vuyiswa Nxumalo</t>
        </is>
      </c>
      <c r="O695" t="inlineStr">
        <is>
          <t>2026-06-19 07:10:32</t>
        </is>
      </c>
      <c r="P695" t="inlineStr">
        <is>
          <t>2026-06-19 07:10:32</t>
        </is>
      </c>
      <c r="Y695" t="inlineStr">
        <is>
          <t>27712865730</t>
        </is>
      </c>
    </row>
    <row r="696">
      <c r="A696" t="inlineStr">
        <is>
          <t>14947335</t>
        </is>
      </c>
      <c r="B696" t="inlineStr">
        <is>
          <t>f5c21221-7549-4e5f-ae12-df1402e16a36</t>
        </is>
      </c>
      <c r="D696" t="inlineStr">
        <is>
          <t>30001087</t>
        </is>
      </c>
      <c r="E696" t="inlineStr">
        <is>
          <t>ussd_funeral_leads_altitude_20260619</t>
        </is>
      </c>
      <c r="J696" t="inlineStr">
        <is>
          <t>AA</t>
        </is>
      </c>
      <c r="K696" t="inlineStr">
        <is>
          <t>Answering Machine Autodial</t>
        </is>
      </c>
      <c r="L696" t="n">
        <v>3</v>
      </c>
      <c r="M696" t="inlineStr">
        <is>
          <t>2026-06-23 14:49:16</t>
        </is>
      </c>
      <c r="N696" t="inlineStr">
        <is>
          <t>system</t>
        </is>
      </c>
      <c r="O696" t="inlineStr">
        <is>
          <t>2026-06-19 07:10:32</t>
        </is>
      </c>
      <c r="P696" t="inlineStr">
        <is>
          <t>2026-06-19 07:10:32</t>
        </is>
      </c>
      <c r="Y696" t="inlineStr">
        <is>
          <t>27829690508</t>
        </is>
      </c>
    </row>
    <row r="697">
      <c r="A697" t="inlineStr">
        <is>
          <t>14947268</t>
        </is>
      </c>
      <c r="B697" t="inlineStr">
        <is>
          <t>a6d48fe5-8508-4fd9-af37-7e9fa73f1abd</t>
        </is>
      </c>
      <c r="D697" t="inlineStr">
        <is>
          <t>30001087</t>
        </is>
      </c>
      <c r="E697" t="inlineStr">
        <is>
          <t>ussd_funeral_leads_altitude_20260619</t>
        </is>
      </c>
      <c r="J697" t="inlineStr">
        <is>
          <t>ADC</t>
        </is>
      </c>
      <c r="K697" t="inlineStr">
        <is>
          <t>Auto Dial Disconnected</t>
        </is>
      </c>
      <c r="L697" t="n">
        <v>3</v>
      </c>
      <c r="M697" t="inlineStr">
        <is>
          <t>2026-06-23 14:47:18</t>
        </is>
      </c>
      <c r="N697" t="inlineStr">
        <is>
          <t>system</t>
        </is>
      </c>
      <c r="O697" t="inlineStr">
        <is>
          <t>2026-06-19 07:10:32</t>
        </is>
      </c>
      <c r="P697" t="inlineStr">
        <is>
          <t>2026-06-19 07:10:32</t>
        </is>
      </c>
      <c r="Y697" t="inlineStr">
        <is>
          <t>27761024703</t>
        </is>
      </c>
    </row>
    <row r="698">
      <c r="A698" t="inlineStr">
        <is>
          <t>14947269</t>
        </is>
      </c>
      <c r="B698" t="inlineStr">
        <is>
          <t>300dbd83-2555-43f7-be41-5ecce3084a8b</t>
        </is>
      </c>
      <c r="D698" t="inlineStr">
        <is>
          <t>30001087</t>
        </is>
      </c>
      <c r="E698" t="inlineStr">
        <is>
          <t>ussd_funeral_leads_altitude_20260619</t>
        </is>
      </c>
      <c r="J698" t="inlineStr">
        <is>
          <t>AA</t>
        </is>
      </c>
      <c r="K698" t="inlineStr">
        <is>
          <t>Answering Machine Autodial</t>
        </is>
      </c>
      <c r="L698" t="n">
        <v>3</v>
      </c>
      <c r="M698" t="inlineStr">
        <is>
          <t>2026-06-23 14:47:13</t>
        </is>
      </c>
      <c r="N698" t="inlineStr">
        <is>
          <t>system</t>
        </is>
      </c>
      <c r="O698" t="inlineStr">
        <is>
          <t>2026-06-19 07:10:32</t>
        </is>
      </c>
      <c r="P698" t="inlineStr">
        <is>
          <t>2026-06-19 07:10:32</t>
        </is>
      </c>
      <c r="Y698" t="inlineStr">
        <is>
          <t>27769478463</t>
        </is>
      </c>
    </row>
    <row r="699">
      <c r="A699" t="inlineStr">
        <is>
          <t>14947270</t>
        </is>
      </c>
      <c r="B699" t="inlineStr">
        <is>
          <t>e5a44c14-a550-405c-9234-0812e0d4ccd5</t>
        </is>
      </c>
      <c r="D699" t="inlineStr">
        <is>
          <t>30001087</t>
        </is>
      </c>
      <c r="E699" t="inlineStr">
        <is>
          <t>ussd_funeral_leads_altitude_20260619</t>
        </is>
      </c>
      <c r="J699" t="inlineStr">
        <is>
          <t>NA</t>
        </is>
      </c>
      <c r="K699" t="inlineStr">
        <is>
          <t>No Answer Autodial</t>
        </is>
      </c>
      <c r="L699" t="n">
        <v>3</v>
      </c>
      <c r="M699" t="inlineStr">
        <is>
          <t>2026-06-23 14:47:13</t>
        </is>
      </c>
      <c r="N699" t="inlineStr">
        <is>
          <t>system</t>
        </is>
      </c>
      <c r="O699" t="inlineStr">
        <is>
          <t>2026-06-19 07:10:32</t>
        </is>
      </c>
      <c r="P699" t="inlineStr">
        <is>
          <t>2026-06-19 07:10:32</t>
        </is>
      </c>
      <c r="Y699" t="inlineStr">
        <is>
          <t>27607288509</t>
        </is>
      </c>
    </row>
    <row r="700">
      <c r="A700" t="inlineStr">
        <is>
          <t>14947271</t>
        </is>
      </c>
      <c r="B700" t="inlineStr">
        <is>
          <t>4b95918e-1e38-4c27-9e31-3cad87c6ae40</t>
        </is>
      </c>
      <c r="D700" t="inlineStr">
        <is>
          <t>30001087</t>
        </is>
      </c>
      <c r="E700" t="inlineStr">
        <is>
          <t>ussd_funeral_leads_altitude_20260619</t>
        </is>
      </c>
      <c r="J700" t="inlineStr">
        <is>
          <t>AA</t>
        </is>
      </c>
      <c r="K700" t="inlineStr">
        <is>
          <t>Answering Machine Autodial</t>
        </is>
      </c>
      <c r="L700" t="n">
        <v>3</v>
      </c>
      <c r="M700" t="inlineStr">
        <is>
          <t>2026-06-23 14:47:11</t>
        </is>
      </c>
      <c r="N700" t="inlineStr">
        <is>
          <t>system</t>
        </is>
      </c>
      <c r="O700" t="inlineStr">
        <is>
          <t>2026-06-19 07:10:32</t>
        </is>
      </c>
      <c r="P700" t="inlineStr">
        <is>
          <t>2026-06-19 07:10:32</t>
        </is>
      </c>
      <c r="Y700" t="inlineStr">
        <is>
          <t>27648747371</t>
        </is>
      </c>
    </row>
    <row r="701">
      <c r="A701" t="inlineStr">
        <is>
          <t>14947272</t>
        </is>
      </c>
      <c r="B701" t="inlineStr">
        <is>
          <t>68f411cb-ef31-4a71-ab3a-b3b1b56fdce0</t>
        </is>
      </c>
      <c r="D701" t="inlineStr">
        <is>
          <t>30001087</t>
        </is>
      </c>
      <c r="E701" t="inlineStr">
        <is>
          <t>ussd_funeral_leads_altitude_20260619</t>
        </is>
      </c>
      <c r="J701" t="inlineStr">
        <is>
          <t>NA</t>
        </is>
      </c>
      <c r="K701" t="inlineStr">
        <is>
          <t>No Answer Autodial</t>
        </is>
      </c>
      <c r="L701" t="n">
        <v>3</v>
      </c>
      <c r="M701" t="inlineStr">
        <is>
          <t>2026-06-23 14:47:11</t>
        </is>
      </c>
      <c r="N701" t="inlineStr">
        <is>
          <t>system</t>
        </is>
      </c>
      <c r="O701" t="inlineStr">
        <is>
          <t>2026-06-19 07:10:32</t>
        </is>
      </c>
      <c r="P701" t="inlineStr">
        <is>
          <t>2026-06-19 07:10:32</t>
        </is>
      </c>
      <c r="Y701" t="inlineStr">
        <is>
          <t>27799049333</t>
        </is>
      </c>
    </row>
    <row r="702">
      <c r="A702" t="inlineStr">
        <is>
          <t>14947273</t>
        </is>
      </c>
      <c r="B702" t="inlineStr">
        <is>
          <t>ffe4f7a1-af21-4bbd-b00d-7442861e92cf</t>
        </is>
      </c>
      <c r="D702" t="inlineStr">
        <is>
          <t>30001087</t>
        </is>
      </c>
      <c r="E702" t="inlineStr">
        <is>
          <t>ussd_funeral_leads_altitude_20260619</t>
        </is>
      </c>
      <c r="J702" t="inlineStr">
        <is>
          <t>CU</t>
        </is>
      </c>
      <c r="K702" t="inlineStr">
        <is>
          <t>Client Hung Up</t>
        </is>
      </c>
      <c r="L702" t="n">
        <v>3</v>
      </c>
      <c r="M702" t="inlineStr">
        <is>
          <t>2026-06-23 14:47:05</t>
        </is>
      </c>
      <c r="N702" t="inlineStr">
        <is>
          <t>Dimakatso Nkomo</t>
        </is>
      </c>
      <c r="O702" t="inlineStr">
        <is>
          <t>2026-06-19 07:10:32</t>
        </is>
      </c>
      <c r="P702" t="inlineStr">
        <is>
          <t>2026-06-19 07:10:32</t>
        </is>
      </c>
      <c r="Y702" t="inlineStr">
        <is>
          <t>27716007438</t>
        </is>
      </c>
    </row>
    <row r="703">
      <c r="A703" t="inlineStr">
        <is>
          <t>14947274</t>
        </is>
      </c>
      <c r="B703" t="inlineStr">
        <is>
          <t>4a2b071e-cefa-4f8c-a17e-941a2b06ea35</t>
        </is>
      </c>
      <c r="D703" t="inlineStr">
        <is>
          <t>30001087</t>
        </is>
      </c>
      <c r="E703" t="inlineStr">
        <is>
          <t>ussd_funeral_leads_altitude_20260619</t>
        </is>
      </c>
      <c r="J703" t="inlineStr">
        <is>
          <t>NA</t>
        </is>
      </c>
      <c r="K703" t="inlineStr">
        <is>
          <t>No Answer Autodial</t>
        </is>
      </c>
      <c r="L703" t="n">
        <v>3</v>
      </c>
      <c r="M703" t="inlineStr">
        <is>
          <t>2026-06-23 14:47:05</t>
        </is>
      </c>
      <c r="N703" t="inlineStr">
        <is>
          <t>system</t>
        </is>
      </c>
      <c r="O703" t="inlineStr">
        <is>
          <t>2026-06-19 07:10:32</t>
        </is>
      </c>
      <c r="P703" t="inlineStr">
        <is>
          <t>2026-06-19 07:10:32</t>
        </is>
      </c>
      <c r="Y703" t="inlineStr">
        <is>
          <t>27637254218</t>
        </is>
      </c>
    </row>
    <row r="704">
      <c r="A704" t="inlineStr">
        <is>
          <t>14947275</t>
        </is>
      </c>
      <c r="B704" t="inlineStr">
        <is>
          <t>3f5adf78-d9a0-45ce-9c6c-fa421d63d4c9</t>
        </is>
      </c>
      <c r="D704" t="inlineStr">
        <is>
          <t>30001087</t>
        </is>
      </c>
      <c r="E704" t="inlineStr">
        <is>
          <t>ussd_funeral_leads_altitude_20260619</t>
        </is>
      </c>
      <c r="J704" t="inlineStr">
        <is>
          <t>TDN</t>
        </is>
      </c>
      <c r="K704" t="inlineStr">
        <is>
          <t>Temporary Disconnected Number</t>
        </is>
      </c>
      <c r="L704" t="n">
        <v>3</v>
      </c>
      <c r="M704" t="inlineStr">
        <is>
          <t>2026-06-23 14:47:05</t>
        </is>
      </c>
      <c r="N704" t="inlineStr">
        <is>
          <t>system</t>
        </is>
      </c>
      <c r="O704" t="inlineStr">
        <is>
          <t>2026-06-19 07:10:32</t>
        </is>
      </c>
      <c r="P704" t="inlineStr">
        <is>
          <t>2026-06-19 07:10:32</t>
        </is>
      </c>
      <c r="Y704" t="inlineStr">
        <is>
          <t>27795498552</t>
        </is>
      </c>
    </row>
    <row r="705">
      <c r="A705" t="inlineStr">
        <is>
          <t>14947276</t>
        </is>
      </c>
      <c r="B705" t="inlineStr">
        <is>
          <t>965515d1-39e4-4831-8100-47f840e2cf04</t>
        </is>
      </c>
      <c r="D705" t="inlineStr">
        <is>
          <t>30001087</t>
        </is>
      </c>
      <c r="E705" t="inlineStr">
        <is>
          <t>ussd_funeral_leads_altitude_20260619</t>
        </is>
      </c>
      <c r="J705" t="inlineStr">
        <is>
          <t>AE</t>
        </is>
      </c>
      <c r="K705" t="inlineStr">
        <is>
          <t>Auto Engaged</t>
        </is>
      </c>
      <c r="L705" t="n">
        <v>3</v>
      </c>
      <c r="M705" t="inlineStr">
        <is>
          <t>2026-06-23 14:47:05</t>
        </is>
      </c>
      <c r="N705" t="inlineStr">
        <is>
          <t>system</t>
        </is>
      </c>
      <c r="O705" t="inlineStr">
        <is>
          <t>2026-06-19 07:10:32</t>
        </is>
      </c>
      <c r="P705" t="inlineStr">
        <is>
          <t>2026-06-19 07:10:32</t>
        </is>
      </c>
      <c r="Y705" t="inlineStr">
        <is>
          <t>27798862975</t>
        </is>
      </c>
    </row>
    <row r="706">
      <c r="A706" t="inlineStr">
        <is>
          <t>14947277</t>
        </is>
      </c>
      <c r="B706" t="inlineStr">
        <is>
          <t>9180747f-8f10-4968-acae-f0b6984052cf</t>
        </is>
      </c>
      <c r="D706" t="inlineStr">
        <is>
          <t>30001087</t>
        </is>
      </c>
      <c r="E706" t="inlineStr">
        <is>
          <t>ussd_funeral_leads_altitude_20260619</t>
        </is>
      </c>
      <c r="J706" t="inlineStr">
        <is>
          <t>AA</t>
        </is>
      </c>
      <c r="K706" t="inlineStr">
        <is>
          <t>Answering Machine Autodial</t>
        </is>
      </c>
      <c r="L706" t="n">
        <v>3</v>
      </c>
      <c r="M706" t="inlineStr">
        <is>
          <t>2026-06-23 14:47:04</t>
        </is>
      </c>
      <c r="N706" t="inlineStr">
        <is>
          <t>system</t>
        </is>
      </c>
      <c r="O706" t="inlineStr">
        <is>
          <t>2026-06-19 07:10:32</t>
        </is>
      </c>
      <c r="P706" t="inlineStr">
        <is>
          <t>2026-06-19 07:10:32</t>
        </is>
      </c>
      <c r="Y706" t="inlineStr">
        <is>
          <t>27715843164</t>
        </is>
      </c>
    </row>
    <row r="707">
      <c r="A707" t="inlineStr">
        <is>
          <t>14947278</t>
        </is>
      </c>
      <c r="B707" t="inlineStr">
        <is>
          <t>f9feff68-6814-434e-b629-9a157d03e6fd</t>
        </is>
      </c>
      <c r="D707" t="inlineStr">
        <is>
          <t>30001087</t>
        </is>
      </c>
      <c r="E707" t="inlineStr">
        <is>
          <t>ussd_funeral_leads_altitude_20260619</t>
        </is>
      </c>
      <c r="J707" t="inlineStr">
        <is>
          <t>AA</t>
        </is>
      </c>
      <c r="K707" t="inlineStr">
        <is>
          <t>Answering Machine Autodial</t>
        </is>
      </c>
      <c r="L707" t="n">
        <v>3</v>
      </c>
      <c r="M707" t="inlineStr">
        <is>
          <t>2026-06-23 14:46:59</t>
        </is>
      </c>
      <c r="N707" t="inlineStr">
        <is>
          <t>system</t>
        </is>
      </c>
      <c r="O707" t="inlineStr">
        <is>
          <t>2026-06-19 07:10:32</t>
        </is>
      </c>
      <c r="P707" t="inlineStr">
        <is>
          <t>2026-06-19 07:10:32</t>
        </is>
      </c>
      <c r="Y707" t="inlineStr">
        <is>
          <t>27715002391</t>
        </is>
      </c>
    </row>
    <row r="708">
      <c r="A708" t="inlineStr">
        <is>
          <t>14947297</t>
        </is>
      </c>
      <c r="B708" t="inlineStr">
        <is>
          <t>1d8c3971-4c1d-483e-83db-60b57c475a96</t>
        </is>
      </c>
      <c r="D708" t="inlineStr">
        <is>
          <t>30001087</t>
        </is>
      </c>
      <c r="E708" t="inlineStr">
        <is>
          <t>ussd_funeral_leads_altitude_20260619</t>
        </is>
      </c>
      <c r="J708" t="inlineStr">
        <is>
          <t>AA</t>
        </is>
      </c>
      <c r="K708" t="inlineStr">
        <is>
          <t>Answering Machine Autodial</t>
        </is>
      </c>
      <c r="L708" t="n">
        <v>3</v>
      </c>
      <c r="M708" t="inlineStr">
        <is>
          <t>2026-06-23 14:46:59</t>
        </is>
      </c>
      <c r="N708" t="inlineStr">
        <is>
          <t>system</t>
        </is>
      </c>
      <c r="O708" t="inlineStr">
        <is>
          <t>2026-06-19 07:10:32</t>
        </is>
      </c>
      <c r="P708" t="inlineStr">
        <is>
          <t>2026-06-19 07:10:32</t>
        </is>
      </c>
      <c r="Y708" t="inlineStr">
        <is>
          <t>27764696324</t>
        </is>
      </c>
    </row>
    <row r="709">
      <c r="A709" t="inlineStr">
        <is>
          <t>14947298</t>
        </is>
      </c>
      <c r="B709" t="inlineStr">
        <is>
          <t>24621bed-8948-4e23-bc61-5aa08dc8bc73</t>
        </is>
      </c>
      <c r="D709" t="inlineStr">
        <is>
          <t>30001087</t>
        </is>
      </c>
      <c r="E709" t="inlineStr">
        <is>
          <t>ussd_funeral_leads_altitude_20260619</t>
        </is>
      </c>
      <c r="J709" t="inlineStr">
        <is>
          <t>AA</t>
        </is>
      </c>
      <c r="K709" t="inlineStr">
        <is>
          <t>Answering Machine Autodial</t>
        </is>
      </c>
      <c r="L709" t="n">
        <v>3</v>
      </c>
      <c r="M709" t="inlineStr">
        <is>
          <t>2026-06-23 14:46:59</t>
        </is>
      </c>
      <c r="N709" t="inlineStr">
        <is>
          <t>system</t>
        </is>
      </c>
      <c r="O709" t="inlineStr">
        <is>
          <t>2026-06-19 07:10:32</t>
        </is>
      </c>
      <c r="P709" t="inlineStr">
        <is>
          <t>2026-06-19 07:10:32</t>
        </is>
      </c>
      <c r="Y709" t="inlineStr">
        <is>
          <t>27764513901</t>
        </is>
      </c>
    </row>
    <row r="710">
      <c r="A710" t="inlineStr">
        <is>
          <t>14947300</t>
        </is>
      </c>
      <c r="B710" t="inlineStr">
        <is>
          <t>d205a401-92f5-48b7-bb79-91087e78dd4d</t>
        </is>
      </c>
      <c r="D710" t="inlineStr">
        <is>
          <t>30001087</t>
        </is>
      </c>
      <c r="E710" t="inlineStr">
        <is>
          <t>ussd_funeral_leads_altitude_20260619</t>
        </is>
      </c>
      <c r="J710" t="inlineStr">
        <is>
          <t>AA</t>
        </is>
      </c>
      <c r="K710" t="inlineStr">
        <is>
          <t>Answering Machine Autodial</t>
        </is>
      </c>
      <c r="L710" t="n">
        <v>3</v>
      </c>
      <c r="M710" t="inlineStr">
        <is>
          <t>2026-06-23 14:46:59</t>
        </is>
      </c>
      <c r="N710" t="inlineStr">
        <is>
          <t>system</t>
        </is>
      </c>
      <c r="O710" t="inlineStr">
        <is>
          <t>2026-06-19 07:10:32</t>
        </is>
      </c>
      <c r="P710" t="inlineStr">
        <is>
          <t>2026-06-19 07:10:32</t>
        </is>
      </c>
      <c r="Y710" t="inlineStr">
        <is>
          <t>27822876463</t>
        </is>
      </c>
    </row>
    <row r="711">
      <c r="A711" t="inlineStr">
        <is>
          <t>14947302</t>
        </is>
      </c>
      <c r="B711" t="inlineStr">
        <is>
          <t>636cc00a-12a7-4370-9dd6-d94cb8ca1b64</t>
        </is>
      </c>
      <c r="D711" t="inlineStr">
        <is>
          <t>30001087</t>
        </is>
      </c>
      <c r="E711" t="inlineStr">
        <is>
          <t>ussd_funeral_leads_altitude_20260619</t>
        </is>
      </c>
      <c r="J711" t="inlineStr">
        <is>
          <t>CU</t>
        </is>
      </c>
      <c r="K711" t="inlineStr">
        <is>
          <t>Client Hung Up</t>
        </is>
      </c>
      <c r="L711" t="n">
        <v>3</v>
      </c>
      <c r="M711" t="inlineStr">
        <is>
          <t>2026-06-23 14:46:59</t>
        </is>
      </c>
      <c r="N711" t="inlineStr">
        <is>
          <t>Goitsimang Mogwasa</t>
        </is>
      </c>
      <c r="O711" t="inlineStr">
        <is>
          <t>2026-06-19 07:10:32</t>
        </is>
      </c>
      <c r="P711" t="inlineStr">
        <is>
          <t>2026-06-19 07:10:32</t>
        </is>
      </c>
      <c r="Y711" t="inlineStr">
        <is>
          <t>27799022688</t>
        </is>
      </c>
    </row>
    <row r="712">
      <c r="A712" t="inlineStr">
        <is>
          <t>14947303</t>
        </is>
      </c>
      <c r="B712" t="inlineStr">
        <is>
          <t>4058d69e-4f73-423f-889d-68dec2f889bb</t>
        </is>
      </c>
      <c r="D712" t="inlineStr">
        <is>
          <t>30001087</t>
        </is>
      </c>
      <c r="E712" t="inlineStr">
        <is>
          <t>ussd_funeral_leads_altitude_20260619</t>
        </is>
      </c>
      <c r="J712" t="inlineStr">
        <is>
          <t>AA</t>
        </is>
      </c>
      <c r="K712" t="inlineStr">
        <is>
          <t>Answering Machine Autodial</t>
        </is>
      </c>
      <c r="L712" t="n">
        <v>3</v>
      </c>
      <c r="M712" t="inlineStr">
        <is>
          <t>2026-06-23 14:46:59</t>
        </is>
      </c>
      <c r="N712" t="inlineStr">
        <is>
          <t>system</t>
        </is>
      </c>
      <c r="O712" t="inlineStr">
        <is>
          <t>2026-06-19 07:10:32</t>
        </is>
      </c>
      <c r="P712" t="inlineStr">
        <is>
          <t>2026-06-19 07:10:32</t>
        </is>
      </c>
      <c r="Y712" t="inlineStr">
        <is>
          <t>27774278916</t>
        </is>
      </c>
    </row>
    <row r="713">
      <c r="A713" t="inlineStr">
        <is>
          <t>14947299</t>
        </is>
      </c>
      <c r="B713" t="inlineStr">
        <is>
          <t>8e70f1eb-2164-4331-8934-a3227a3b9cdc</t>
        </is>
      </c>
      <c r="D713" t="inlineStr">
        <is>
          <t>30001087</t>
        </is>
      </c>
      <c r="E713" t="inlineStr">
        <is>
          <t>ussd_funeral_leads_altitude_20260619</t>
        </is>
      </c>
      <c r="J713" t="inlineStr">
        <is>
          <t>NA</t>
        </is>
      </c>
      <c r="K713" t="inlineStr">
        <is>
          <t>No Answer Autodial</t>
        </is>
      </c>
      <c r="L713" t="n">
        <v>3</v>
      </c>
      <c r="M713" t="inlineStr">
        <is>
          <t>2026-06-23 14:46:55</t>
        </is>
      </c>
      <c r="N713" t="inlineStr">
        <is>
          <t>system</t>
        </is>
      </c>
      <c r="O713" t="inlineStr">
        <is>
          <t>2026-06-19 07:10:32</t>
        </is>
      </c>
      <c r="P713" t="inlineStr">
        <is>
          <t>2026-06-19 07:10:32</t>
        </is>
      </c>
      <c r="Y713" t="inlineStr">
        <is>
          <t>27727899095</t>
        </is>
      </c>
    </row>
    <row r="714">
      <c r="A714" t="inlineStr">
        <is>
          <t>14947305</t>
        </is>
      </c>
      <c r="B714" t="inlineStr">
        <is>
          <t>8d54f527-d275-4af0-81b3-c649ab37a8d7</t>
        </is>
      </c>
      <c r="D714" t="inlineStr">
        <is>
          <t>30001087</t>
        </is>
      </c>
      <c r="E714" t="inlineStr">
        <is>
          <t>ussd_funeral_leads_altitude_20260619</t>
        </is>
      </c>
      <c r="J714" t="inlineStr">
        <is>
          <t>AA</t>
        </is>
      </c>
      <c r="K714" t="inlineStr">
        <is>
          <t>Answering Machine Autodial</t>
        </is>
      </c>
      <c r="L714" t="n">
        <v>3</v>
      </c>
      <c r="M714" t="inlineStr">
        <is>
          <t>2026-06-23 14:46:53</t>
        </is>
      </c>
      <c r="N714" t="inlineStr">
        <is>
          <t>system</t>
        </is>
      </c>
      <c r="O714" t="inlineStr">
        <is>
          <t>2026-06-19 07:10:32</t>
        </is>
      </c>
      <c r="P714" t="inlineStr">
        <is>
          <t>2026-06-19 07:10:32</t>
        </is>
      </c>
      <c r="Y714" t="inlineStr">
        <is>
          <t>27664947999</t>
        </is>
      </c>
    </row>
    <row r="715">
      <c r="A715" t="inlineStr">
        <is>
          <t>14947306</t>
        </is>
      </c>
      <c r="B715" t="inlineStr">
        <is>
          <t>1e23bfe5-c78d-44bd-a26d-018988917d9c</t>
        </is>
      </c>
      <c r="D715" t="inlineStr">
        <is>
          <t>30001087</t>
        </is>
      </c>
      <c r="E715" t="inlineStr">
        <is>
          <t>ussd_funeral_leads_altitude_20260619</t>
        </is>
      </c>
      <c r="J715" t="inlineStr">
        <is>
          <t>TDN</t>
        </is>
      </c>
      <c r="K715" t="inlineStr">
        <is>
          <t>Temporary Disconnected Number</t>
        </is>
      </c>
      <c r="L715" t="n">
        <v>3</v>
      </c>
      <c r="M715" t="inlineStr">
        <is>
          <t>2026-06-23 14:46:53</t>
        </is>
      </c>
      <c r="N715" t="inlineStr">
        <is>
          <t>system</t>
        </is>
      </c>
      <c r="O715" t="inlineStr">
        <is>
          <t>2026-06-19 07:10:32</t>
        </is>
      </c>
      <c r="P715" t="inlineStr">
        <is>
          <t>2026-06-19 07:10:32</t>
        </is>
      </c>
      <c r="Y715" t="inlineStr">
        <is>
          <t>27663401647</t>
        </is>
      </c>
    </row>
    <row r="716">
      <c r="A716" t="inlineStr">
        <is>
          <t>14947307</t>
        </is>
      </c>
      <c r="B716" t="inlineStr">
        <is>
          <t>93a12ba5-503b-4c85-9c75-4665d25bbfe7</t>
        </is>
      </c>
      <c r="D716" t="inlineStr">
        <is>
          <t>30001087</t>
        </is>
      </c>
      <c r="E716" t="inlineStr">
        <is>
          <t>ussd_funeral_leads_altitude_20260619</t>
        </is>
      </c>
      <c r="J716" t="inlineStr">
        <is>
          <t>AA</t>
        </is>
      </c>
      <c r="K716" t="inlineStr">
        <is>
          <t>Answering Machine Autodial</t>
        </is>
      </c>
      <c r="L716" t="n">
        <v>3</v>
      </c>
      <c r="M716" t="inlineStr">
        <is>
          <t>2026-06-23 14:46:52</t>
        </is>
      </c>
      <c r="N716" t="inlineStr">
        <is>
          <t>system</t>
        </is>
      </c>
      <c r="O716" t="inlineStr">
        <is>
          <t>2026-06-19 07:10:32</t>
        </is>
      </c>
      <c r="P716" t="inlineStr">
        <is>
          <t>2026-06-19 07:10:32</t>
        </is>
      </c>
      <c r="Y716" t="inlineStr">
        <is>
          <t>27637513220</t>
        </is>
      </c>
    </row>
    <row r="717">
      <c r="A717" t="inlineStr">
        <is>
          <t>14947308</t>
        </is>
      </c>
      <c r="B717" t="inlineStr">
        <is>
          <t>823cc512-8f00-4eca-9716-44502a931487</t>
        </is>
      </c>
      <c r="D717" t="inlineStr">
        <is>
          <t>30001087</t>
        </is>
      </c>
      <c r="E717" t="inlineStr">
        <is>
          <t>ussd_funeral_leads_altitude_20260619</t>
        </is>
      </c>
      <c r="J717" t="inlineStr">
        <is>
          <t>AE</t>
        </is>
      </c>
      <c r="K717" t="inlineStr">
        <is>
          <t>Auto Engaged</t>
        </is>
      </c>
      <c r="L717" t="n">
        <v>3</v>
      </c>
      <c r="M717" t="inlineStr">
        <is>
          <t>2026-06-23 14:46:52</t>
        </is>
      </c>
      <c r="N717" t="inlineStr">
        <is>
          <t>system</t>
        </is>
      </c>
      <c r="O717" t="inlineStr">
        <is>
          <t>2026-06-19 07:10:32</t>
        </is>
      </c>
      <c r="P717" t="inlineStr">
        <is>
          <t>2026-06-19 07:10:32</t>
        </is>
      </c>
      <c r="Y717" t="inlineStr">
        <is>
          <t>27825804337</t>
        </is>
      </c>
    </row>
    <row r="718">
      <c r="A718" t="inlineStr">
        <is>
          <t>14947309</t>
        </is>
      </c>
      <c r="B718" t="inlineStr">
        <is>
          <t>cb28d2c8-da19-4583-8c98-a6aa8c4d85cd</t>
        </is>
      </c>
      <c r="D718" t="inlineStr">
        <is>
          <t>30001087</t>
        </is>
      </c>
      <c r="E718" t="inlineStr">
        <is>
          <t>ussd_funeral_leads_altitude_20260619</t>
        </is>
      </c>
      <c r="J718" t="inlineStr">
        <is>
          <t>AA</t>
        </is>
      </c>
      <c r="K718" t="inlineStr">
        <is>
          <t>Answering Machine Autodial</t>
        </is>
      </c>
      <c r="L718" t="n">
        <v>3</v>
      </c>
      <c r="M718" t="inlineStr">
        <is>
          <t>2026-06-23 14:46:50</t>
        </is>
      </c>
      <c r="N718" t="inlineStr">
        <is>
          <t>system</t>
        </is>
      </c>
      <c r="O718" t="inlineStr">
        <is>
          <t>2026-06-19 07:10:32</t>
        </is>
      </c>
      <c r="P718" t="inlineStr">
        <is>
          <t>2026-06-19 07:10:32</t>
        </is>
      </c>
      <c r="Y718" t="inlineStr">
        <is>
          <t>27772704838</t>
        </is>
      </c>
    </row>
    <row r="719">
      <c r="A719" t="inlineStr">
        <is>
          <t>14947311</t>
        </is>
      </c>
      <c r="B719" t="inlineStr">
        <is>
          <t>cd76f12c-6b0a-49eb-aaa1-0f1d572ea459</t>
        </is>
      </c>
      <c r="D719" t="inlineStr">
        <is>
          <t>30001087</t>
        </is>
      </c>
      <c r="E719" t="inlineStr">
        <is>
          <t>ussd_funeral_leads_altitude_20260619</t>
        </is>
      </c>
      <c r="J719" t="inlineStr">
        <is>
          <t>NA</t>
        </is>
      </c>
      <c r="K719" t="inlineStr">
        <is>
          <t>No Answer Autodial</t>
        </is>
      </c>
      <c r="L719" t="n">
        <v>3</v>
      </c>
      <c r="M719" t="inlineStr">
        <is>
          <t>2026-06-23 14:46:49</t>
        </is>
      </c>
      <c r="N719" t="inlineStr">
        <is>
          <t>system</t>
        </is>
      </c>
      <c r="O719" t="inlineStr">
        <is>
          <t>2026-06-19 07:10:32</t>
        </is>
      </c>
      <c r="P719" t="inlineStr">
        <is>
          <t>2026-06-19 07:10:32</t>
        </is>
      </c>
      <c r="Y719" t="inlineStr">
        <is>
          <t>27665713444</t>
        </is>
      </c>
    </row>
    <row r="720">
      <c r="A720" t="inlineStr">
        <is>
          <t>14947344</t>
        </is>
      </c>
      <c r="B720" t="inlineStr">
        <is>
          <t>16336d65-d0c2-4866-8abc-3ebe8c4f3dfe</t>
        </is>
      </c>
      <c r="D720" t="inlineStr">
        <is>
          <t>30001087</t>
        </is>
      </c>
      <c r="E720" t="inlineStr">
        <is>
          <t>ussd_funeral_leads_altitude_20260619</t>
        </is>
      </c>
      <c r="J720" t="inlineStr">
        <is>
          <t>AA</t>
        </is>
      </c>
      <c r="K720" t="inlineStr">
        <is>
          <t>Answering Machine Autodial</t>
        </is>
      </c>
      <c r="L720" t="n">
        <v>3</v>
      </c>
      <c r="M720" t="inlineStr">
        <is>
          <t>2026-06-23 14:46:48</t>
        </is>
      </c>
      <c r="N720" t="inlineStr">
        <is>
          <t>system</t>
        </is>
      </c>
      <c r="O720" t="inlineStr">
        <is>
          <t>2026-06-19 07:10:32</t>
        </is>
      </c>
      <c r="P720" t="inlineStr">
        <is>
          <t>2026-06-19 07:10:32</t>
        </is>
      </c>
      <c r="Y720" t="inlineStr">
        <is>
          <t>27674878764</t>
        </is>
      </c>
    </row>
    <row r="721">
      <c r="A721" t="inlineStr">
        <is>
          <t>14944157</t>
        </is>
      </c>
      <c r="B721" t="inlineStr">
        <is>
          <t>8fb44257-e057-406d-939c-9de0d4dd4e0d</t>
        </is>
      </c>
      <c r="D721" t="inlineStr">
        <is>
          <t>30001087</t>
        </is>
      </c>
      <c r="E721" t="inlineStr">
        <is>
          <t>ussd_funeral_leads_altitude_20260619</t>
        </is>
      </c>
      <c r="J721" t="inlineStr">
        <is>
          <t>AA</t>
        </is>
      </c>
      <c r="K721" t="inlineStr">
        <is>
          <t>Answering Machine Autodial</t>
        </is>
      </c>
      <c r="L721" t="n">
        <v>3</v>
      </c>
      <c r="M721" t="inlineStr">
        <is>
          <t>2026-06-23 14:45:29</t>
        </is>
      </c>
      <c r="N721" t="inlineStr">
        <is>
          <t>system</t>
        </is>
      </c>
      <c r="O721" t="inlineStr">
        <is>
          <t>2026-06-19 07:10:32</t>
        </is>
      </c>
      <c r="P721" t="inlineStr">
        <is>
          <t>2026-06-19 07:10:32</t>
        </is>
      </c>
      <c r="Y721" t="inlineStr">
        <is>
          <t>27724574566</t>
        </is>
      </c>
    </row>
    <row r="722">
      <c r="A722" t="inlineStr">
        <is>
          <t>14947281</t>
        </is>
      </c>
      <c r="B722" t="inlineStr">
        <is>
          <t>e12f8666-5ffb-4495-ba2d-4f10f7dd40db</t>
        </is>
      </c>
      <c r="D722" t="inlineStr">
        <is>
          <t>30001087</t>
        </is>
      </c>
      <c r="E722" t="inlineStr">
        <is>
          <t>ussd_funeral_leads_altitude_20260619</t>
        </is>
      </c>
      <c r="J722" t="inlineStr">
        <is>
          <t>AA</t>
        </is>
      </c>
      <c r="K722" t="inlineStr">
        <is>
          <t>Answering Machine Autodial</t>
        </is>
      </c>
      <c r="L722" t="n">
        <v>3</v>
      </c>
      <c r="M722" t="inlineStr">
        <is>
          <t>2026-06-23 14:45:25</t>
        </is>
      </c>
      <c r="N722" t="inlineStr">
        <is>
          <t>system</t>
        </is>
      </c>
      <c r="O722" t="inlineStr">
        <is>
          <t>2026-06-19 07:10:32</t>
        </is>
      </c>
      <c r="P722" t="inlineStr">
        <is>
          <t>2026-06-19 07:10:32</t>
        </is>
      </c>
      <c r="Y722" t="inlineStr">
        <is>
          <t>27665508791</t>
        </is>
      </c>
    </row>
    <row r="723">
      <c r="A723" t="inlineStr">
        <is>
          <t>14947282</t>
        </is>
      </c>
      <c r="B723" t="inlineStr">
        <is>
          <t>2937c255-9b18-474d-b209-7b11c45bda37</t>
        </is>
      </c>
      <c r="D723" t="inlineStr">
        <is>
          <t>30001087</t>
        </is>
      </c>
      <c r="E723" t="inlineStr">
        <is>
          <t>ussd_funeral_leads_altitude_20260619</t>
        </is>
      </c>
      <c r="J723" t="inlineStr">
        <is>
          <t>NA</t>
        </is>
      </c>
      <c r="K723" t="inlineStr">
        <is>
          <t>No Answer Autodial</t>
        </is>
      </c>
      <c r="L723" t="n">
        <v>3</v>
      </c>
      <c r="M723" t="inlineStr">
        <is>
          <t>2026-06-23 14:45:25</t>
        </is>
      </c>
      <c r="N723" t="inlineStr">
        <is>
          <t>system</t>
        </is>
      </c>
      <c r="O723" t="inlineStr">
        <is>
          <t>2026-06-19 07:10:32</t>
        </is>
      </c>
      <c r="P723" t="inlineStr">
        <is>
          <t>2026-06-19 07:10:32</t>
        </is>
      </c>
      <c r="Y723" t="inlineStr">
        <is>
          <t>27796386538</t>
        </is>
      </c>
    </row>
    <row r="724">
      <c r="A724" t="inlineStr">
        <is>
          <t>14947283</t>
        </is>
      </c>
      <c r="B724" t="inlineStr">
        <is>
          <t>900a6137-0fc6-424b-87b2-e180b2131e33</t>
        </is>
      </c>
      <c r="D724" t="inlineStr">
        <is>
          <t>30001087</t>
        </is>
      </c>
      <c r="E724" t="inlineStr">
        <is>
          <t>ussd_funeral_leads_altitude_20260619</t>
        </is>
      </c>
      <c r="J724" t="inlineStr">
        <is>
          <t>AA</t>
        </is>
      </c>
      <c r="K724" t="inlineStr">
        <is>
          <t>Answering Machine Autodial</t>
        </is>
      </c>
      <c r="L724" t="n">
        <v>3</v>
      </c>
      <c r="M724" t="inlineStr">
        <is>
          <t>2026-06-23 14:45:16</t>
        </is>
      </c>
      <c r="N724" t="inlineStr">
        <is>
          <t>system</t>
        </is>
      </c>
      <c r="O724" t="inlineStr">
        <is>
          <t>2026-06-19 07:10:32</t>
        </is>
      </c>
      <c r="P724" t="inlineStr">
        <is>
          <t>2026-06-19 07:10:32</t>
        </is>
      </c>
      <c r="Y724" t="inlineStr">
        <is>
          <t>27725790283</t>
        </is>
      </c>
    </row>
    <row r="725">
      <c r="A725" t="inlineStr">
        <is>
          <t>14947284</t>
        </is>
      </c>
      <c r="B725" t="inlineStr">
        <is>
          <t>c1a3d856-656b-4b29-b6a3-333e97b9e683</t>
        </is>
      </c>
      <c r="D725" t="inlineStr">
        <is>
          <t>30001087</t>
        </is>
      </c>
      <c r="E725" t="inlineStr">
        <is>
          <t>ussd_funeral_leads_altitude_20260619</t>
        </is>
      </c>
      <c r="J725" t="inlineStr">
        <is>
          <t>AA</t>
        </is>
      </c>
      <c r="K725" t="inlineStr">
        <is>
          <t>Answering Machine Autodial</t>
        </is>
      </c>
      <c r="L725" t="n">
        <v>3</v>
      </c>
      <c r="M725" t="inlineStr">
        <is>
          <t>2026-06-23 14:45:16</t>
        </is>
      </c>
      <c r="N725" t="inlineStr">
        <is>
          <t>system</t>
        </is>
      </c>
      <c r="O725" t="inlineStr">
        <is>
          <t>2026-06-19 07:10:32</t>
        </is>
      </c>
      <c r="P725" t="inlineStr">
        <is>
          <t>2026-06-19 07:10:32</t>
        </is>
      </c>
      <c r="Y725" t="inlineStr">
        <is>
          <t>27674539641</t>
        </is>
      </c>
    </row>
    <row r="726">
      <c r="A726" t="inlineStr">
        <is>
          <t>14947285</t>
        </is>
      </c>
      <c r="B726" t="inlineStr">
        <is>
          <t>72b6067e-8e0d-46f3-a7fa-1e92bd42f7a8</t>
        </is>
      </c>
      <c r="D726" t="inlineStr">
        <is>
          <t>30001087</t>
        </is>
      </c>
      <c r="E726" t="inlineStr">
        <is>
          <t>ussd_funeral_leads_altitude_20260619</t>
        </is>
      </c>
      <c r="J726" t="inlineStr">
        <is>
          <t>ADC</t>
        </is>
      </c>
      <c r="K726" t="inlineStr">
        <is>
          <t>Auto Dial Disconnected</t>
        </is>
      </c>
      <c r="L726" t="n">
        <v>3</v>
      </c>
      <c r="M726" t="inlineStr">
        <is>
          <t>2026-06-23 14:45:15</t>
        </is>
      </c>
      <c r="N726" t="inlineStr">
        <is>
          <t>system</t>
        </is>
      </c>
      <c r="O726" t="inlineStr">
        <is>
          <t>2026-06-19 07:10:32</t>
        </is>
      </c>
      <c r="P726" t="inlineStr">
        <is>
          <t>2026-06-19 07:10:32</t>
        </is>
      </c>
      <c r="Y726" t="inlineStr">
        <is>
          <t>27767224236</t>
        </is>
      </c>
    </row>
    <row r="727">
      <c r="A727" t="inlineStr">
        <is>
          <t>14947286</t>
        </is>
      </c>
      <c r="B727" t="inlineStr">
        <is>
          <t>77b42b23-735b-4bf5-8746-cc37f042bfa2</t>
        </is>
      </c>
      <c r="D727" t="inlineStr">
        <is>
          <t>30001087</t>
        </is>
      </c>
      <c r="E727" t="inlineStr">
        <is>
          <t>ussd_funeral_leads_altitude_20260619</t>
        </is>
      </c>
      <c r="J727" t="inlineStr">
        <is>
          <t>NA</t>
        </is>
      </c>
      <c r="K727" t="inlineStr">
        <is>
          <t>No Answer Autodial</t>
        </is>
      </c>
      <c r="L727" t="n">
        <v>3</v>
      </c>
      <c r="M727" t="inlineStr">
        <is>
          <t>2026-06-23 14:45:15</t>
        </is>
      </c>
      <c r="N727" t="inlineStr">
        <is>
          <t>system</t>
        </is>
      </c>
      <c r="O727" t="inlineStr">
        <is>
          <t>2026-06-19 07:10:32</t>
        </is>
      </c>
      <c r="P727" t="inlineStr">
        <is>
          <t>2026-06-19 07:10:32</t>
        </is>
      </c>
      <c r="Y727" t="inlineStr">
        <is>
          <t>27726186852</t>
        </is>
      </c>
    </row>
    <row r="728">
      <c r="A728" t="inlineStr">
        <is>
          <t>14947287</t>
        </is>
      </c>
      <c r="B728" t="inlineStr">
        <is>
          <t>d47d9d6d-e7c7-450a-a88f-04d5e61af4ad</t>
        </is>
      </c>
      <c r="D728" t="inlineStr">
        <is>
          <t>30001087</t>
        </is>
      </c>
      <c r="E728" t="inlineStr">
        <is>
          <t>ussd_funeral_leads_altitude_20260619</t>
        </is>
      </c>
      <c r="J728" t="inlineStr">
        <is>
          <t>CU</t>
        </is>
      </c>
      <c r="K728" t="inlineStr">
        <is>
          <t>Client Hung Up</t>
        </is>
      </c>
      <c r="L728" t="n">
        <v>3</v>
      </c>
      <c r="M728" t="inlineStr">
        <is>
          <t>2026-06-23 14:45:05</t>
        </is>
      </c>
      <c r="N728" t="inlineStr">
        <is>
          <t>Dimakatso Nkomo</t>
        </is>
      </c>
      <c r="O728" t="inlineStr">
        <is>
          <t>2026-06-19 07:10:32</t>
        </is>
      </c>
      <c r="P728" t="inlineStr">
        <is>
          <t>2026-06-19 07:10:32</t>
        </is>
      </c>
      <c r="Y728" t="inlineStr">
        <is>
          <t>27728362824</t>
        </is>
      </c>
    </row>
    <row r="729">
      <c r="A729" t="inlineStr">
        <is>
          <t>14947288</t>
        </is>
      </c>
      <c r="B729" t="inlineStr">
        <is>
          <t>d4582f84-a4f2-4985-b5be-5f851d29eb42</t>
        </is>
      </c>
      <c r="D729" t="inlineStr">
        <is>
          <t>30001087</t>
        </is>
      </c>
      <c r="E729" t="inlineStr">
        <is>
          <t>ussd_funeral_leads_altitude_20260619</t>
        </is>
      </c>
      <c r="J729" t="inlineStr">
        <is>
          <t>AA</t>
        </is>
      </c>
      <c r="K729" t="inlineStr">
        <is>
          <t>Answering Machine Autodial</t>
        </is>
      </c>
      <c r="L729" t="n">
        <v>3</v>
      </c>
      <c r="M729" t="inlineStr">
        <is>
          <t>2026-06-23 14:45:04</t>
        </is>
      </c>
      <c r="N729" t="inlineStr">
        <is>
          <t>system</t>
        </is>
      </c>
      <c r="O729" t="inlineStr">
        <is>
          <t>2026-06-19 07:10:32</t>
        </is>
      </c>
      <c r="P729" t="inlineStr">
        <is>
          <t>2026-06-19 07:10:32</t>
        </is>
      </c>
      <c r="Y729" t="inlineStr">
        <is>
          <t>27823384311</t>
        </is>
      </c>
    </row>
    <row r="730">
      <c r="A730" t="inlineStr">
        <is>
          <t>14947290</t>
        </is>
      </c>
      <c r="B730" t="inlineStr">
        <is>
          <t>7b9ea2ce-ca78-40ae-86ed-64afe04f9dea</t>
        </is>
      </c>
      <c r="D730" t="inlineStr">
        <is>
          <t>30001087</t>
        </is>
      </c>
      <c r="E730" t="inlineStr">
        <is>
          <t>ussd_funeral_leads_altitude_20260619</t>
        </is>
      </c>
      <c r="J730" t="inlineStr">
        <is>
          <t>AA</t>
        </is>
      </c>
      <c r="K730" t="inlineStr">
        <is>
          <t>Answering Machine Autodial</t>
        </is>
      </c>
      <c r="L730" t="n">
        <v>3</v>
      </c>
      <c r="M730" t="inlineStr">
        <is>
          <t>2026-06-23 14:45:04</t>
        </is>
      </c>
      <c r="N730" t="inlineStr">
        <is>
          <t>system</t>
        </is>
      </c>
      <c r="O730" t="inlineStr">
        <is>
          <t>2026-06-19 07:10:32</t>
        </is>
      </c>
      <c r="P730" t="inlineStr">
        <is>
          <t>2026-06-19 07:10:32</t>
        </is>
      </c>
      <c r="Y730" t="inlineStr">
        <is>
          <t>27724515432</t>
        </is>
      </c>
    </row>
    <row r="731">
      <c r="A731" t="inlineStr">
        <is>
          <t>14947291</t>
        </is>
      </c>
      <c r="B731" t="inlineStr">
        <is>
          <t>77eaf7f0-e820-4d4e-b689-59cf094f9e4e</t>
        </is>
      </c>
      <c r="D731" t="inlineStr">
        <is>
          <t>30001087</t>
        </is>
      </c>
      <c r="E731" t="inlineStr">
        <is>
          <t>ussd_funeral_leads_altitude_20260619</t>
        </is>
      </c>
      <c r="J731" t="inlineStr">
        <is>
          <t>AA</t>
        </is>
      </c>
      <c r="K731" t="inlineStr">
        <is>
          <t>Answering Machine Autodial</t>
        </is>
      </c>
      <c r="L731" t="n">
        <v>3</v>
      </c>
      <c r="M731" t="inlineStr">
        <is>
          <t>2026-06-23 14:45:03</t>
        </is>
      </c>
      <c r="N731" t="inlineStr">
        <is>
          <t>system</t>
        </is>
      </c>
      <c r="O731" t="inlineStr">
        <is>
          <t>2026-06-19 07:10:32</t>
        </is>
      </c>
      <c r="P731" t="inlineStr">
        <is>
          <t>2026-06-19 07:10:32</t>
        </is>
      </c>
      <c r="Y731" t="inlineStr">
        <is>
          <t>27661436896</t>
        </is>
      </c>
    </row>
    <row r="732">
      <c r="A732" t="inlineStr">
        <is>
          <t>14947292</t>
        </is>
      </c>
      <c r="B732" t="inlineStr">
        <is>
          <t>9b18914f-0c07-4dcb-8d27-8e4f3b20fc63</t>
        </is>
      </c>
      <c r="D732" t="inlineStr">
        <is>
          <t>30001087</t>
        </is>
      </c>
      <c r="E732" t="inlineStr">
        <is>
          <t>ussd_funeral_leads_altitude_20260619</t>
        </is>
      </c>
      <c r="J732" t="inlineStr">
        <is>
          <t>AA</t>
        </is>
      </c>
      <c r="K732" t="inlineStr">
        <is>
          <t>Answering Machine Autodial</t>
        </is>
      </c>
      <c r="L732" t="n">
        <v>3</v>
      </c>
      <c r="M732" t="inlineStr">
        <is>
          <t>2026-06-23 14:44:56</t>
        </is>
      </c>
      <c r="N732" t="inlineStr">
        <is>
          <t>system</t>
        </is>
      </c>
      <c r="O732" t="inlineStr">
        <is>
          <t>2026-06-19 07:10:32</t>
        </is>
      </c>
      <c r="P732" t="inlineStr">
        <is>
          <t>2026-06-19 07:10:32</t>
        </is>
      </c>
      <c r="Y732" t="inlineStr">
        <is>
          <t>27763157159</t>
        </is>
      </c>
    </row>
    <row r="733">
      <c r="A733" t="inlineStr">
        <is>
          <t>14947293</t>
        </is>
      </c>
      <c r="B733" t="inlineStr">
        <is>
          <t>97909dfe-feb2-44e5-8b7f-1f9ce332a413</t>
        </is>
      </c>
      <c r="D733" t="inlineStr">
        <is>
          <t>30001087</t>
        </is>
      </c>
      <c r="E733" t="inlineStr">
        <is>
          <t>ussd_funeral_leads_altitude_20260619</t>
        </is>
      </c>
      <c r="J733" t="inlineStr">
        <is>
          <t>ADC</t>
        </is>
      </c>
      <c r="K733" t="inlineStr">
        <is>
          <t>Auto Dial Disconnected</t>
        </is>
      </c>
      <c r="L733" t="n">
        <v>3</v>
      </c>
      <c r="M733" t="inlineStr">
        <is>
          <t>2026-06-23 14:44:54</t>
        </is>
      </c>
      <c r="N733" t="inlineStr">
        <is>
          <t>system</t>
        </is>
      </c>
      <c r="O733" t="inlineStr">
        <is>
          <t>2026-06-19 07:10:32</t>
        </is>
      </c>
      <c r="P733" t="inlineStr">
        <is>
          <t>2026-06-19 07:10:32</t>
        </is>
      </c>
      <c r="Y733" t="inlineStr">
        <is>
          <t>27725719855</t>
        </is>
      </c>
    </row>
    <row r="734">
      <c r="A734" t="inlineStr">
        <is>
          <t>14947294</t>
        </is>
      </c>
      <c r="B734" t="inlineStr">
        <is>
          <t>0864d89d-9a37-426f-a946-aec20b23d280</t>
        </is>
      </c>
      <c r="D734" t="inlineStr">
        <is>
          <t>30001087</t>
        </is>
      </c>
      <c r="E734" t="inlineStr">
        <is>
          <t>ussd_funeral_leads_altitude_20260619</t>
        </is>
      </c>
      <c r="J734" t="inlineStr">
        <is>
          <t>AA</t>
        </is>
      </c>
      <c r="K734" t="inlineStr">
        <is>
          <t>Answering Machine Autodial</t>
        </is>
      </c>
      <c r="L734" t="n">
        <v>3</v>
      </c>
      <c r="M734" t="inlineStr">
        <is>
          <t>2026-06-23 14:44:53</t>
        </is>
      </c>
      <c r="N734" t="inlineStr">
        <is>
          <t>system</t>
        </is>
      </c>
      <c r="O734" t="inlineStr">
        <is>
          <t>2026-06-19 07:10:32</t>
        </is>
      </c>
      <c r="P734" t="inlineStr">
        <is>
          <t>2026-06-19 07:10:32</t>
        </is>
      </c>
      <c r="Y734" t="inlineStr">
        <is>
          <t>27790777664</t>
        </is>
      </c>
    </row>
    <row r="735">
      <c r="A735" t="inlineStr">
        <is>
          <t>14947295</t>
        </is>
      </c>
      <c r="B735" t="inlineStr">
        <is>
          <t>aa9803bf-9b74-475c-8967-fcf88857a29c</t>
        </is>
      </c>
      <c r="D735" t="inlineStr">
        <is>
          <t>30001087</t>
        </is>
      </c>
      <c r="E735" t="inlineStr">
        <is>
          <t>ussd_funeral_leads_altitude_20260619</t>
        </is>
      </c>
      <c r="J735" t="inlineStr">
        <is>
          <t>TDN</t>
        </is>
      </c>
      <c r="K735" t="inlineStr">
        <is>
          <t>Temporary Disconnected Number</t>
        </is>
      </c>
      <c r="L735" t="n">
        <v>3</v>
      </c>
      <c r="M735" t="inlineStr">
        <is>
          <t>2026-06-23 14:44:49</t>
        </is>
      </c>
      <c r="N735" t="inlineStr">
        <is>
          <t>system</t>
        </is>
      </c>
      <c r="O735" t="inlineStr">
        <is>
          <t>2026-06-19 07:10:32</t>
        </is>
      </c>
      <c r="P735" t="inlineStr">
        <is>
          <t>2026-06-19 07:10:32</t>
        </is>
      </c>
      <c r="Y735" t="inlineStr">
        <is>
          <t>27793190767</t>
        </is>
      </c>
    </row>
    <row r="736">
      <c r="A736" t="inlineStr">
        <is>
          <t>14947341</t>
        </is>
      </c>
      <c r="B736" t="inlineStr">
        <is>
          <t>9dcc9cbf-4100-40f9-947a-d9e2ae886e0f</t>
        </is>
      </c>
      <c r="D736" t="inlineStr">
        <is>
          <t>30001087</t>
        </is>
      </c>
      <c r="E736" t="inlineStr">
        <is>
          <t>ussd_funeral_leads_altitude_20260619</t>
        </is>
      </c>
      <c r="J736" t="inlineStr">
        <is>
          <t>TDN</t>
        </is>
      </c>
      <c r="K736" t="inlineStr">
        <is>
          <t>Temporary Disconnected Number</t>
        </is>
      </c>
      <c r="L736" t="n">
        <v>3</v>
      </c>
      <c r="M736" t="inlineStr">
        <is>
          <t>2026-06-23 14:44:48</t>
        </is>
      </c>
      <c r="N736" t="inlineStr">
        <is>
          <t>system</t>
        </is>
      </c>
      <c r="O736" t="inlineStr">
        <is>
          <t>2026-06-19 07:10:32</t>
        </is>
      </c>
      <c r="P736" t="inlineStr">
        <is>
          <t>2026-06-19 07:10:32</t>
        </is>
      </c>
      <c r="Y736" t="inlineStr">
        <is>
          <t>27797571069</t>
        </is>
      </c>
    </row>
    <row r="737">
      <c r="A737" t="inlineStr">
        <is>
          <t>14947296</t>
        </is>
      </c>
      <c r="B737" t="inlineStr">
        <is>
          <t>55bc9aa0-e26e-42f6-b9a0-7e43ab7ba37e</t>
        </is>
      </c>
      <c r="D737" t="inlineStr">
        <is>
          <t>30001087</t>
        </is>
      </c>
      <c r="E737" t="inlineStr">
        <is>
          <t>ussd_funeral_leads_altitude_20260619</t>
        </is>
      </c>
      <c r="J737" t="inlineStr">
        <is>
          <t>NA</t>
        </is>
      </c>
      <c r="K737" t="inlineStr">
        <is>
          <t>No Answer Autodial</t>
        </is>
      </c>
      <c r="L737" t="n">
        <v>3</v>
      </c>
      <c r="M737" t="inlineStr">
        <is>
          <t>2026-06-23 14:44:48</t>
        </is>
      </c>
      <c r="N737" t="inlineStr">
        <is>
          <t>system</t>
        </is>
      </c>
      <c r="O737" t="inlineStr">
        <is>
          <t>2026-06-19 07:10:32</t>
        </is>
      </c>
      <c r="P737" t="inlineStr">
        <is>
          <t>2026-06-19 07:10:32</t>
        </is>
      </c>
      <c r="Y737" t="inlineStr">
        <is>
          <t>27607236241</t>
        </is>
      </c>
    </row>
    <row r="738">
      <c r="A738" t="inlineStr">
        <is>
          <t>14947336</t>
        </is>
      </c>
      <c r="B738" t="inlineStr">
        <is>
          <t>b02e1171-3ec7-4067-b299-ae2b9d41d002</t>
        </is>
      </c>
      <c r="D738" t="inlineStr">
        <is>
          <t>30001087</t>
        </is>
      </c>
      <c r="E738" t="inlineStr">
        <is>
          <t>ussd_funeral_leads_altitude_20260619</t>
        </is>
      </c>
      <c r="J738" t="inlineStr">
        <is>
          <t>ADC</t>
        </is>
      </c>
      <c r="K738" t="inlineStr">
        <is>
          <t>Auto Dial Disconnected</t>
        </is>
      </c>
      <c r="L738" t="n">
        <v>3</v>
      </c>
      <c r="M738" t="inlineStr">
        <is>
          <t>2026-06-23 14:44:47</t>
        </is>
      </c>
      <c r="N738" t="inlineStr">
        <is>
          <t>system</t>
        </is>
      </c>
      <c r="O738" t="inlineStr">
        <is>
          <t>2026-06-19 07:10:32</t>
        </is>
      </c>
      <c r="P738" t="inlineStr">
        <is>
          <t>2026-06-19 07:10:32</t>
        </is>
      </c>
      <c r="Y738" t="inlineStr">
        <is>
          <t>27825984348</t>
        </is>
      </c>
    </row>
    <row r="739">
      <c r="A739" t="inlineStr">
        <is>
          <t>14942610</t>
        </is>
      </c>
      <c r="B739" t="inlineStr">
        <is>
          <t>af3800a0-8f86-4531-a022-f694a6a68769</t>
        </is>
      </c>
      <c r="D739" t="inlineStr">
        <is>
          <t>30001087</t>
        </is>
      </c>
      <c r="E739" t="inlineStr">
        <is>
          <t>ussd_funeral_leads_altitude_20260619</t>
        </is>
      </c>
      <c r="J739" t="inlineStr">
        <is>
          <t>TDN</t>
        </is>
      </c>
      <c r="K739" t="inlineStr">
        <is>
          <t>Temporary Disconnected Number</t>
        </is>
      </c>
      <c r="L739" t="n">
        <v>3</v>
      </c>
      <c r="M739" t="inlineStr">
        <is>
          <t>2026-06-23 14:43:08</t>
        </is>
      </c>
      <c r="N739" t="inlineStr">
        <is>
          <t>system</t>
        </is>
      </c>
      <c r="O739" t="inlineStr">
        <is>
          <t>2026-06-19 07:10:32</t>
        </is>
      </c>
      <c r="P739" t="inlineStr">
        <is>
          <t>2026-06-19 07:10:32</t>
        </is>
      </c>
      <c r="Y739" t="inlineStr">
        <is>
          <t>27711648251</t>
        </is>
      </c>
    </row>
    <row r="740">
      <c r="A740" t="inlineStr">
        <is>
          <t>14942611</t>
        </is>
      </c>
      <c r="B740" t="inlineStr">
        <is>
          <t>52d451cb-fdc3-4dae-a287-58c2c220e54e</t>
        </is>
      </c>
      <c r="D740" t="inlineStr">
        <is>
          <t>30001087</t>
        </is>
      </c>
      <c r="E740" t="inlineStr">
        <is>
          <t>ussd_funeral_leads_altitude_20260619</t>
        </is>
      </c>
      <c r="J740" t="inlineStr">
        <is>
          <t>AA</t>
        </is>
      </c>
      <c r="K740" t="inlineStr">
        <is>
          <t>Answering Machine Autodial</t>
        </is>
      </c>
      <c r="L740" t="n">
        <v>3</v>
      </c>
      <c r="M740" t="inlineStr">
        <is>
          <t>2026-06-23 14:43:08</t>
        </is>
      </c>
      <c r="N740" t="inlineStr">
        <is>
          <t>system</t>
        </is>
      </c>
      <c r="O740" t="inlineStr">
        <is>
          <t>2026-06-19 07:10:32</t>
        </is>
      </c>
      <c r="P740" t="inlineStr">
        <is>
          <t>2026-06-19 07:10:32</t>
        </is>
      </c>
      <c r="Y740" t="inlineStr">
        <is>
          <t>27673707556</t>
        </is>
      </c>
    </row>
    <row r="741">
      <c r="A741" t="inlineStr">
        <is>
          <t>14942609</t>
        </is>
      </c>
      <c r="B741" t="inlineStr">
        <is>
          <t>72e6c1c3-3ef0-400a-8cc3-a62905e7ed83</t>
        </is>
      </c>
      <c r="D741" t="inlineStr">
        <is>
          <t>30001087</t>
        </is>
      </c>
      <c r="E741" t="inlineStr">
        <is>
          <t>ussd_funeral_leads_altitude_20260619</t>
        </is>
      </c>
      <c r="J741" t="inlineStr">
        <is>
          <t>TDN</t>
        </is>
      </c>
      <c r="K741" t="inlineStr">
        <is>
          <t>Temporary Disconnected Number</t>
        </is>
      </c>
      <c r="L741" t="n">
        <v>3</v>
      </c>
      <c r="M741" t="inlineStr">
        <is>
          <t>2026-06-23 14:43:07</t>
        </is>
      </c>
      <c r="N741" t="inlineStr">
        <is>
          <t>system</t>
        </is>
      </c>
      <c r="O741" t="inlineStr">
        <is>
          <t>2026-06-19 07:10:32</t>
        </is>
      </c>
      <c r="P741" t="inlineStr">
        <is>
          <t>2026-06-19 07:10:32</t>
        </is>
      </c>
      <c r="Y741" t="inlineStr">
        <is>
          <t>27673322776</t>
        </is>
      </c>
    </row>
    <row r="742">
      <c r="A742" t="inlineStr">
        <is>
          <t>14942604</t>
        </is>
      </c>
      <c r="B742" t="inlineStr">
        <is>
          <t>2611c3d2-2af1-4cab-aaee-7e381980e204</t>
        </is>
      </c>
      <c r="D742" t="inlineStr">
        <is>
          <t>30001087</t>
        </is>
      </c>
      <c r="E742" t="inlineStr">
        <is>
          <t>ussd_funeral_leads_altitude_20260619</t>
        </is>
      </c>
      <c r="J742" t="inlineStr">
        <is>
          <t>NA</t>
        </is>
      </c>
      <c r="K742" t="inlineStr">
        <is>
          <t>No Answer Autodial</t>
        </is>
      </c>
      <c r="L742" t="n">
        <v>3</v>
      </c>
      <c r="M742" t="inlineStr">
        <is>
          <t>2026-06-23 14:43:06</t>
        </is>
      </c>
      <c r="N742" t="inlineStr">
        <is>
          <t>system</t>
        </is>
      </c>
      <c r="O742" t="inlineStr">
        <is>
          <t>2026-06-19 07:10:32</t>
        </is>
      </c>
      <c r="P742" t="inlineStr">
        <is>
          <t>2026-06-19 07:10:32</t>
        </is>
      </c>
      <c r="Y742" t="inlineStr">
        <is>
          <t>27828731588</t>
        </is>
      </c>
    </row>
    <row r="743">
      <c r="A743" t="inlineStr">
        <is>
          <t>14942605</t>
        </is>
      </c>
      <c r="B743" t="inlineStr">
        <is>
          <t>1fdd2678-6c08-4458-850f-2552df0a9106</t>
        </is>
      </c>
      <c r="D743" t="inlineStr">
        <is>
          <t>30001087</t>
        </is>
      </c>
      <c r="E743" t="inlineStr">
        <is>
          <t>ussd_funeral_leads_altitude_20260619</t>
        </is>
      </c>
      <c r="J743" t="inlineStr">
        <is>
          <t>AA</t>
        </is>
      </c>
      <c r="K743" t="inlineStr">
        <is>
          <t>Answering Machine Autodial</t>
        </is>
      </c>
      <c r="L743" t="n">
        <v>3</v>
      </c>
      <c r="M743" t="inlineStr">
        <is>
          <t>2026-06-23 14:43:06</t>
        </is>
      </c>
      <c r="N743" t="inlineStr">
        <is>
          <t>system</t>
        </is>
      </c>
      <c r="O743" t="inlineStr">
        <is>
          <t>2026-06-19 07:10:32</t>
        </is>
      </c>
      <c r="P743" t="inlineStr">
        <is>
          <t>2026-06-19 07:10:32</t>
        </is>
      </c>
      <c r="Y743" t="inlineStr">
        <is>
          <t>27726159834</t>
        </is>
      </c>
    </row>
    <row r="744">
      <c r="A744" t="inlineStr">
        <is>
          <t>14942606</t>
        </is>
      </c>
      <c r="B744" t="inlineStr">
        <is>
          <t>5808f454-65b1-4b4d-b115-40172b00b760</t>
        </is>
      </c>
      <c r="D744" t="inlineStr">
        <is>
          <t>30001087</t>
        </is>
      </c>
      <c r="E744" t="inlineStr">
        <is>
          <t>ussd_funeral_leads_altitude_20260619</t>
        </is>
      </c>
      <c r="J744" t="inlineStr">
        <is>
          <t>NA</t>
        </is>
      </c>
      <c r="K744" t="inlineStr">
        <is>
          <t>No Answer Autodial</t>
        </is>
      </c>
      <c r="L744" t="n">
        <v>3</v>
      </c>
      <c r="M744" t="inlineStr">
        <is>
          <t>2026-06-23 14:43:06</t>
        </is>
      </c>
      <c r="N744" t="inlineStr">
        <is>
          <t>system</t>
        </is>
      </c>
      <c r="O744" t="inlineStr">
        <is>
          <t>2026-06-19 07:10:32</t>
        </is>
      </c>
      <c r="P744" t="inlineStr">
        <is>
          <t>2026-06-19 07:10:32</t>
        </is>
      </c>
      <c r="Y744" t="inlineStr">
        <is>
          <t>27737372707</t>
        </is>
      </c>
    </row>
    <row r="745">
      <c r="A745" t="inlineStr">
        <is>
          <t>14942607</t>
        </is>
      </c>
      <c r="B745" t="inlineStr">
        <is>
          <t>841bf179-73e7-4d5d-89bb-d4ad1b1e5b91</t>
        </is>
      </c>
      <c r="D745" t="inlineStr">
        <is>
          <t>30001087</t>
        </is>
      </c>
      <c r="E745" t="inlineStr">
        <is>
          <t>ussd_funeral_leads_altitude_20260619</t>
        </is>
      </c>
      <c r="J745" t="inlineStr">
        <is>
          <t>AA</t>
        </is>
      </c>
      <c r="K745" t="inlineStr">
        <is>
          <t>Answering Machine Autodial</t>
        </is>
      </c>
      <c r="L745" t="n">
        <v>3</v>
      </c>
      <c r="M745" t="inlineStr">
        <is>
          <t>2026-06-23 14:43:06</t>
        </is>
      </c>
      <c r="N745" t="inlineStr">
        <is>
          <t>system</t>
        </is>
      </c>
      <c r="O745" t="inlineStr">
        <is>
          <t>2026-06-19 07:10:32</t>
        </is>
      </c>
      <c r="P745" t="inlineStr">
        <is>
          <t>2026-06-19 07:10:32</t>
        </is>
      </c>
      <c r="Y745" t="inlineStr">
        <is>
          <t>27799886221</t>
        </is>
      </c>
    </row>
    <row r="746">
      <c r="A746" t="inlineStr">
        <is>
          <t>14942608</t>
        </is>
      </c>
      <c r="B746" t="inlineStr">
        <is>
          <t>2c9f713e-ab44-4004-b01c-3cff63e4bee2</t>
        </is>
      </c>
      <c r="D746" t="inlineStr">
        <is>
          <t>30001087</t>
        </is>
      </c>
      <c r="E746" t="inlineStr">
        <is>
          <t>ussd_funeral_leads_altitude_20260619</t>
        </is>
      </c>
      <c r="J746" t="inlineStr">
        <is>
          <t>ADC</t>
        </is>
      </c>
      <c r="K746" t="inlineStr">
        <is>
          <t>Auto Dial Disconnected</t>
        </is>
      </c>
      <c r="L746" t="n">
        <v>3</v>
      </c>
      <c r="M746" t="inlineStr">
        <is>
          <t>2026-06-23 14:43:06</t>
        </is>
      </c>
      <c r="N746" t="inlineStr">
        <is>
          <t>system</t>
        </is>
      </c>
      <c r="O746" t="inlineStr">
        <is>
          <t>2026-06-19 07:10:32</t>
        </is>
      </c>
      <c r="P746" t="inlineStr">
        <is>
          <t>2026-06-19 07:10:32</t>
        </is>
      </c>
      <c r="Y746" t="inlineStr">
        <is>
          <t>27661359286</t>
        </is>
      </c>
    </row>
    <row r="747">
      <c r="A747" t="inlineStr">
        <is>
          <t>14942601</t>
        </is>
      </c>
      <c r="B747" t="inlineStr">
        <is>
          <t>fb7419c5-6b06-410b-867a-9f3e71c14896</t>
        </is>
      </c>
      <c r="D747" t="inlineStr">
        <is>
          <t>30001087</t>
        </is>
      </c>
      <c r="E747" t="inlineStr">
        <is>
          <t>ussd_funeral_leads_altitude_20260619</t>
        </is>
      </c>
      <c r="J747" t="inlineStr">
        <is>
          <t>CUA</t>
        </is>
      </c>
      <c r="K747" t="inlineStr">
        <is>
          <t>Client Underage</t>
        </is>
      </c>
      <c r="L747" t="n">
        <v>3</v>
      </c>
      <c r="M747" t="inlineStr">
        <is>
          <t>2026-06-23 14:43:05</t>
        </is>
      </c>
      <c r="N747" t="inlineStr">
        <is>
          <t>Dimakatso Nkomo</t>
        </is>
      </c>
      <c r="O747" t="inlineStr">
        <is>
          <t>2026-06-19 07:10:32</t>
        </is>
      </c>
      <c r="P747" t="inlineStr">
        <is>
          <t>2026-06-19 07:10:32</t>
        </is>
      </c>
      <c r="Y747" t="inlineStr">
        <is>
          <t>27723842739</t>
        </is>
      </c>
    </row>
    <row r="748">
      <c r="A748" t="inlineStr">
        <is>
          <t>14942599</t>
        </is>
      </c>
      <c r="B748" t="inlineStr">
        <is>
          <t>f02e89cf-7dc9-42f7-914e-7bfd00029978</t>
        </is>
      </c>
      <c r="D748" t="inlineStr">
        <is>
          <t>30001087</t>
        </is>
      </c>
      <c r="E748" t="inlineStr">
        <is>
          <t>ussd_funeral_leads_altitude_20260619</t>
        </is>
      </c>
      <c r="H748" t="inlineStr">
        <is>
          <t>27764016060</t>
        </is>
      </c>
      <c r="J748" t="inlineStr">
        <is>
          <t>CU</t>
        </is>
      </c>
      <c r="K748" t="inlineStr">
        <is>
          <t>Client Hung Up</t>
        </is>
      </c>
      <c r="L748" t="n">
        <v>3</v>
      </c>
      <c r="M748" t="inlineStr">
        <is>
          <t>2026-06-23 14:43:03</t>
        </is>
      </c>
      <c r="N748" t="inlineStr">
        <is>
          <t>Lebohang Mabotja</t>
        </is>
      </c>
      <c r="O748" t="inlineStr">
        <is>
          <t>2026-06-19 07:10:32</t>
        </is>
      </c>
      <c r="P748" t="inlineStr">
        <is>
          <t>2026-06-19 07:10:32</t>
        </is>
      </c>
      <c r="Y748" t="inlineStr">
        <is>
          <t>27764016060</t>
        </is>
      </c>
    </row>
    <row r="749">
      <c r="A749" t="inlineStr">
        <is>
          <t>14942600</t>
        </is>
      </c>
      <c r="B749" t="inlineStr">
        <is>
          <t>6dec560e-1f0e-4e37-8852-5c297eb007a8</t>
        </is>
      </c>
      <c r="D749" t="inlineStr">
        <is>
          <t>30001087</t>
        </is>
      </c>
      <c r="E749" t="inlineStr">
        <is>
          <t>ussd_funeral_leads_altitude_20260619</t>
        </is>
      </c>
      <c r="J749" t="inlineStr">
        <is>
          <t>ADC</t>
        </is>
      </c>
      <c r="K749" t="inlineStr">
        <is>
          <t>Auto Dial Disconnected</t>
        </is>
      </c>
      <c r="L749" t="n">
        <v>3</v>
      </c>
      <c r="M749" t="inlineStr">
        <is>
          <t>2026-06-23 14:43:03</t>
        </is>
      </c>
      <c r="N749" t="inlineStr">
        <is>
          <t>system</t>
        </is>
      </c>
      <c r="O749" t="inlineStr">
        <is>
          <t>2026-06-19 07:10:32</t>
        </is>
      </c>
      <c r="P749" t="inlineStr">
        <is>
          <t>2026-06-19 07:10:32</t>
        </is>
      </c>
      <c r="Y749" t="inlineStr">
        <is>
          <t>27722905186</t>
        </is>
      </c>
    </row>
    <row r="750">
      <c r="A750" t="inlineStr">
        <is>
          <t>14942596</t>
        </is>
      </c>
      <c r="B750" t="inlineStr">
        <is>
          <t>aa00c1c7-462e-4030-bf48-74a0fe81ae0e</t>
        </is>
      </c>
      <c r="D750" t="inlineStr">
        <is>
          <t>30001087</t>
        </is>
      </c>
      <c r="E750" t="inlineStr">
        <is>
          <t>ussd_funeral_leads_altitude_20260619</t>
        </is>
      </c>
      <c r="J750" t="inlineStr">
        <is>
          <t>AA</t>
        </is>
      </c>
      <c r="K750" t="inlineStr">
        <is>
          <t>Answering Machine Autodial</t>
        </is>
      </c>
      <c r="L750" t="n">
        <v>3</v>
      </c>
      <c r="M750" t="inlineStr">
        <is>
          <t>2026-06-23 14:43:01</t>
        </is>
      </c>
      <c r="N750" t="inlineStr">
        <is>
          <t>system</t>
        </is>
      </c>
      <c r="O750" t="inlineStr">
        <is>
          <t>2026-06-19 07:10:32</t>
        </is>
      </c>
      <c r="P750" t="inlineStr">
        <is>
          <t>2026-06-19 07:10:32</t>
        </is>
      </c>
      <c r="Y750" t="inlineStr">
        <is>
          <t>27636156167</t>
        </is>
      </c>
    </row>
    <row r="751">
      <c r="A751" t="inlineStr">
        <is>
          <t>14942597</t>
        </is>
      </c>
      <c r="B751" t="inlineStr">
        <is>
          <t>af3dda6c-d3c1-4349-9be8-c65d6a6a0a91</t>
        </is>
      </c>
      <c r="D751" t="inlineStr">
        <is>
          <t>30001087</t>
        </is>
      </c>
      <c r="E751" t="inlineStr">
        <is>
          <t>ussd_funeral_leads_altitude_20260619</t>
        </is>
      </c>
      <c r="J751" t="inlineStr">
        <is>
          <t>AA</t>
        </is>
      </c>
      <c r="K751" t="inlineStr">
        <is>
          <t>Answering Machine Autodial</t>
        </is>
      </c>
      <c r="L751" t="n">
        <v>3</v>
      </c>
      <c r="M751" t="inlineStr">
        <is>
          <t>2026-06-23 14:43:01</t>
        </is>
      </c>
      <c r="N751" t="inlineStr">
        <is>
          <t>system</t>
        </is>
      </c>
      <c r="O751" t="inlineStr">
        <is>
          <t>2026-06-19 07:10:32</t>
        </is>
      </c>
      <c r="P751" t="inlineStr">
        <is>
          <t>2026-06-19 07:10:32</t>
        </is>
      </c>
      <c r="Y751" t="inlineStr">
        <is>
          <t>27646691449</t>
        </is>
      </c>
    </row>
    <row r="752">
      <c r="A752" t="inlineStr">
        <is>
          <t>14942598</t>
        </is>
      </c>
      <c r="B752" t="inlineStr">
        <is>
          <t>1f7207e6-b38e-432c-8a8a-f7a780d6434b</t>
        </is>
      </c>
      <c r="D752" t="inlineStr">
        <is>
          <t>30001087</t>
        </is>
      </c>
      <c r="E752" t="inlineStr">
        <is>
          <t>ussd_funeral_leads_altitude_20260619</t>
        </is>
      </c>
      <c r="J752" t="inlineStr">
        <is>
          <t>AA</t>
        </is>
      </c>
      <c r="K752" t="inlineStr">
        <is>
          <t>Answering Machine Autodial</t>
        </is>
      </c>
      <c r="L752" t="n">
        <v>3</v>
      </c>
      <c r="M752" t="inlineStr">
        <is>
          <t>2026-06-23 14:43:01</t>
        </is>
      </c>
      <c r="N752" t="inlineStr">
        <is>
          <t>system</t>
        </is>
      </c>
      <c r="O752" t="inlineStr">
        <is>
          <t>2026-06-19 07:10:32</t>
        </is>
      </c>
      <c r="P752" t="inlineStr">
        <is>
          <t>2026-06-19 07:10:32</t>
        </is>
      </c>
      <c r="Y752" t="inlineStr">
        <is>
          <t>27715049346</t>
        </is>
      </c>
    </row>
    <row r="753">
      <c r="A753" t="inlineStr">
        <is>
          <t>14942592</t>
        </is>
      </c>
      <c r="B753" t="inlineStr">
        <is>
          <t>d4ca33fe-be4e-47e5-abbb-45d69e137914</t>
        </is>
      </c>
      <c r="D753" t="inlineStr">
        <is>
          <t>30001087</t>
        </is>
      </c>
      <c r="E753" t="inlineStr">
        <is>
          <t>ussd_funeral_leads_altitude_20260619</t>
        </is>
      </c>
      <c r="H753" t="inlineStr">
        <is>
          <t>27607716321</t>
        </is>
      </c>
      <c r="J753" t="inlineStr">
        <is>
          <t>AE</t>
        </is>
      </c>
      <c r="K753" t="inlineStr">
        <is>
          <t>Auto Engaged</t>
        </is>
      </c>
      <c r="L753" t="n">
        <v>3</v>
      </c>
      <c r="M753" t="inlineStr">
        <is>
          <t>2026-06-23 14:42:58</t>
        </is>
      </c>
      <c r="N753" t="inlineStr">
        <is>
          <t>system</t>
        </is>
      </c>
      <c r="O753" t="inlineStr">
        <is>
          <t>2026-06-19 07:10:32</t>
        </is>
      </c>
      <c r="P753" t="inlineStr">
        <is>
          <t>2026-06-19 07:10:32</t>
        </is>
      </c>
      <c r="Y753" t="inlineStr">
        <is>
          <t>27607716321</t>
        </is>
      </c>
    </row>
    <row r="754">
      <c r="A754" t="inlineStr">
        <is>
          <t>14942594</t>
        </is>
      </c>
      <c r="B754" t="inlineStr">
        <is>
          <t>acb678b4-d60f-493a-a2d9-a818d2798ffe</t>
        </is>
      </c>
      <c r="D754" t="inlineStr">
        <is>
          <t>30001087</t>
        </is>
      </c>
      <c r="E754" t="inlineStr">
        <is>
          <t>ussd_funeral_leads_altitude_20260619</t>
        </is>
      </c>
      <c r="J754" t="inlineStr">
        <is>
          <t>AA</t>
        </is>
      </c>
      <c r="K754" t="inlineStr">
        <is>
          <t>Answering Machine Autodial</t>
        </is>
      </c>
      <c r="L754" t="n">
        <v>3</v>
      </c>
      <c r="M754" t="inlineStr">
        <is>
          <t>2026-06-23 14:42:58</t>
        </is>
      </c>
      <c r="N754" t="inlineStr">
        <is>
          <t>system</t>
        </is>
      </c>
      <c r="O754" t="inlineStr">
        <is>
          <t>2026-06-19 07:10:32</t>
        </is>
      </c>
      <c r="P754" t="inlineStr">
        <is>
          <t>2026-06-19 07:10:32</t>
        </is>
      </c>
      <c r="Y754" t="inlineStr">
        <is>
          <t>27716380254</t>
        </is>
      </c>
    </row>
    <row r="755">
      <c r="A755" t="inlineStr">
        <is>
          <t>14942595</t>
        </is>
      </c>
      <c r="B755" t="inlineStr">
        <is>
          <t>7f6e8615-667a-4f8d-bfc5-8a17fdc0a718</t>
        </is>
      </c>
      <c r="D755" t="inlineStr">
        <is>
          <t>30001087</t>
        </is>
      </c>
      <c r="E755" t="inlineStr">
        <is>
          <t>ussd_funeral_leads_altitude_20260619</t>
        </is>
      </c>
      <c r="J755" t="inlineStr">
        <is>
          <t>AA</t>
        </is>
      </c>
      <c r="K755" t="inlineStr">
        <is>
          <t>Answering Machine Autodial</t>
        </is>
      </c>
      <c r="L755" t="n">
        <v>3</v>
      </c>
      <c r="M755" t="inlineStr">
        <is>
          <t>2026-06-23 14:42:58</t>
        </is>
      </c>
      <c r="N755" t="inlineStr">
        <is>
          <t>system</t>
        </is>
      </c>
      <c r="O755" t="inlineStr">
        <is>
          <t>2026-06-19 07:10:32</t>
        </is>
      </c>
      <c r="P755" t="inlineStr">
        <is>
          <t>2026-06-19 07:10:32</t>
        </is>
      </c>
      <c r="Y755" t="inlineStr">
        <is>
          <t>27794466169</t>
        </is>
      </c>
    </row>
    <row r="756">
      <c r="A756" t="inlineStr">
        <is>
          <t>14947342</t>
        </is>
      </c>
      <c r="B756" t="inlineStr">
        <is>
          <t>223f2efa-4346-4ea7-ab3f-cb66b480c41b</t>
        </is>
      </c>
      <c r="D756" t="inlineStr">
        <is>
          <t>30001087</t>
        </is>
      </c>
      <c r="E756" t="inlineStr">
        <is>
          <t>ussd_funeral_leads_altitude_20260619</t>
        </is>
      </c>
      <c r="J756" t="inlineStr">
        <is>
          <t>TDN</t>
        </is>
      </c>
      <c r="K756" t="inlineStr">
        <is>
          <t>Temporary Disconnected Number</t>
        </is>
      </c>
      <c r="L756" t="n">
        <v>3</v>
      </c>
      <c r="M756" t="inlineStr">
        <is>
          <t>2026-06-23 14:42:54</t>
        </is>
      </c>
      <c r="N756" t="inlineStr">
        <is>
          <t>system</t>
        </is>
      </c>
      <c r="O756" t="inlineStr">
        <is>
          <t>2026-06-19 07:10:32</t>
        </is>
      </c>
      <c r="P756" t="inlineStr">
        <is>
          <t>2026-06-19 07:10:32</t>
        </is>
      </c>
      <c r="Y756" t="inlineStr">
        <is>
          <t>27663113480</t>
        </is>
      </c>
    </row>
    <row r="757">
      <c r="A757" t="inlineStr">
        <is>
          <t>14947345</t>
        </is>
      </c>
      <c r="B757" t="inlineStr">
        <is>
          <t>34c52ead-b872-4063-bcb1-c1ac80eb9f9d</t>
        </is>
      </c>
      <c r="D757" t="inlineStr">
        <is>
          <t>30001087</t>
        </is>
      </c>
      <c r="E757" t="inlineStr">
        <is>
          <t>ussd_funeral_leads_altitude_20260619</t>
        </is>
      </c>
      <c r="J757" t="inlineStr">
        <is>
          <t>NA</t>
        </is>
      </c>
      <c r="K757" t="inlineStr">
        <is>
          <t>No Answer Autodial</t>
        </is>
      </c>
      <c r="L757" t="n">
        <v>3</v>
      </c>
      <c r="M757" t="inlineStr">
        <is>
          <t>2026-06-23 14:42:49</t>
        </is>
      </c>
      <c r="N757" t="inlineStr">
        <is>
          <t>system</t>
        </is>
      </c>
      <c r="O757" t="inlineStr">
        <is>
          <t>2026-06-19 07:10:32</t>
        </is>
      </c>
      <c r="P757" t="inlineStr">
        <is>
          <t>2026-06-19 07:10:32</t>
        </is>
      </c>
      <c r="Y757" t="inlineStr">
        <is>
          <t>27826524923</t>
        </is>
      </c>
    </row>
    <row r="758">
      <c r="A758" t="inlineStr">
        <is>
          <t>14942710</t>
        </is>
      </c>
      <c r="B758" t="inlineStr">
        <is>
          <t>93afc745-9173-4c94-aec7-8384f4124123</t>
        </is>
      </c>
      <c r="D758" t="inlineStr">
        <is>
          <t>30001087</t>
        </is>
      </c>
      <c r="E758" t="inlineStr">
        <is>
          <t>ussd_funeral_leads_altitude_20260619</t>
        </is>
      </c>
      <c r="J758" t="inlineStr">
        <is>
          <t>BLQ</t>
        </is>
      </c>
      <c r="K758" t="inlineStr">
        <is>
          <t>Bad Line Quality</t>
        </is>
      </c>
      <c r="L758" t="n">
        <v>3</v>
      </c>
      <c r="M758" t="inlineStr">
        <is>
          <t>2026-06-23 14:41:14</t>
        </is>
      </c>
      <c r="N758" t="inlineStr">
        <is>
          <t>Vuyiswa Nxumalo</t>
        </is>
      </c>
      <c r="O758" t="inlineStr">
        <is>
          <t>2026-06-19 07:10:32</t>
        </is>
      </c>
      <c r="P758" t="inlineStr">
        <is>
          <t>2026-06-19 07:10:32</t>
        </is>
      </c>
      <c r="Y758" t="inlineStr">
        <is>
          <t>27674366785</t>
        </is>
      </c>
    </row>
    <row r="759">
      <c r="A759" t="inlineStr">
        <is>
          <t>14942709</t>
        </is>
      </c>
      <c r="B759" t="inlineStr">
        <is>
          <t>ad4321b0-e7f2-4b4f-b86f-c74fb3b6dd9a</t>
        </is>
      </c>
      <c r="D759" t="inlineStr">
        <is>
          <t>30001087</t>
        </is>
      </c>
      <c r="E759" t="inlineStr">
        <is>
          <t>ussd_funeral_leads_altitude_20260619</t>
        </is>
      </c>
      <c r="J759" t="inlineStr">
        <is>
          <t>AA</t>
        </is>
      </c>
      <c r="K759" t="inlineStr">
        <is>
          <t>Answering Machine Autodial</t>
        </is>
      </c>
      <c r="L759" t="n">
        <v>3</v>
      </c>
      <c r="M759" t="inlineStr">
        <is>
          <t>2026-06-23 14:41:13</t>
        </is>
      </c>
      <c r="N759" t="inlineStr">
        <is>
          <t>system</t>
        </is>
      </c>
      <c r="O759" t="inlineStr">
        <is>
          <t>2026-06-19 07:10:32</t>
        </is>
      </c>
      <c r="P759" t="inlineStr">
        <is>
          <t>2026-06-19 07:10:32</t>
        </is>
      </c>
      <c r="Y759" t="inlineStr">
        <is>
          <t>27818418137</t>
        </is>
      </c>
    </row>
    <row r="760">
      <c r="A760" t="inlineStr">
        <is>
          <t>14942707</t>
        </is>
      </c>
      <c r="B760" t="inlineStr">
        <is>
          <t>fd21d524-6883-49d5-93a8-b5990842cb72</t>
        </is>
      </c>
      <c r="D760" t="inlineStr">
        <is>
          <t>30001087</t>
        </is>
      </c>
      <c r="E760" t="inlineStr">
        <is>
          <t>ussd_funeral_leads_altitude_20260619</t>
        </is>
      </c>
      <c r="J760" t="inlineStr">
        <is>
          <t>ADC</t>
        </is>
      </c>
      <c r="K760" t="inlineStr">
        <is>
          <t>Auto Dial Disconnected</t>
        </is>
      </c>
      <c r="L760" t="n">
        <v>3</v>
      </c>
      <c r="M760" t="inlineStr">
        <is>
          <t>2026-06-23 14:41:11</t>
        </is>
      </c>
      <c r="N760" t="inlineStr">
        <is>
          <t>system</t>
        </is>
      </c>
      <c r="O760" t="inlineStr">
        <is>
          <t>2026-06-19 07:10:32</t>
        </is>
      </c>
      <c r="P760" t="inlineStr">
        <is>
          <t>2026-06-19 07:10:32</t>
        </is>
      </c>
      <c r="Y760" t="inlineStr">
        <is>
          <t>27796097785</t>
        </is>
      </c>
    </row>
    <row r="761">
      <c r="A761" t="inlineStr">
        <is>
          <t>14942704</t>
        </is>
      </c>
      <c r="B761" t="inlineStr">
        <is>
          <t>857a26da-effa-4869-9c07-ce33043884f2</t>
        </is>
      </c>
      <c r="D761" t="inlineStr">
        <is>
          <t>30001087</t>
        </is>
      </c>
      <c r="E761" t="inlineStr">
        <is>
          <t>ussd_funeral_leads_altitude_20260619</t>
        </is>
      </c>
      <c r="J761" t="inlineStr">
        <is>
          <t>ADC</t>
        </is>
      </c>
      <c r="K761" t="inlineStr">
        <is>
          <t>Auto Dial Disconnected</t>
        </is>
      </c>
      <c r="L761" t="n">
        <v>3</v>
      </c>
      <c r="M761" t="inlineStr">
        <is>
          <t>2026-06-23 14:41:09</t>
        </is>
      </c>
      <c r="N761" t="inlineStr">
        <is>
          <t>system</t>
        </is>
      </c>
      <c r="O761" t="inlineStr">
        <is>
          <t>2026-06-19 07:10:32</t>
        </is>
      </c>
      <c r="P761" t="inlineStr">
        <is>
          <t>2026-06-19 07:10:32</t>
        </is>
      </c>
      <c r="Y761" t="inlineStr">
        <is>
          <t>27768198708</t>
        </is>
      </c>
    </row>
    <row r="762">
      <c r="A762" t="inlineStr">
        <is>
          <t>14942705</t>
        </is>
      </c>
      <c r="B762" t="inlineStr">
        <is>
          <t>275a6ccd-62b2-4d24-8492-fc7ae14486af</t>
        </is>
      </c>
      <c r="D762" t="inlineStr">
        <is>
          <t>30001087</t>
        </is>
      </c>
      <c r="E762" t="inlineStr">
        <is>
          <t>ussd_funeral_leads_altitude_20260619</t>
        </is>
      </c>
      <c r="J762" t="inlineStr">
        <is>
          <t>AA</t>
        </is>
      </c>
      <c r="K762" t="inlineStr">
        <is>
          <t>Answering Machine Autodial</t>
        </is>
      </c>
      <c r="L762" t="n">
        <v>3</v>
      </c>
      <c r="M762" t="inlineStr">
        <is>
          <t>2026-06-23 14:41:09</t>
        </is>
      </c>
      <c r="N762" t="inlineStr">
        <is>
          <t>system</t>
        </is>
      </c>
      <c r="O762" t="inlineStr">
        <is>
          <t>2026-06-19 07:10:32</t>
        </is>
      </c>
      <c r="P762" t="inlineStr">
        <is>
          <t>2026-06-19 07:10:32</t>
        </is>
      </c>
      <c r="Y762" t="inlineStr">
        <is>
          <t>27762113454</t>
        </is>
      </c>
    </row>
    <row r="763">
      <c r="A763" t="inlineStr">
        <is>
          <t>14942706</t>
        </is>
      </c>
      <c r="B763" t="inlineStr">
        <is>
          <t>8ccdb89e-e8e7-4c66-ba43-0cf98f4780b3</t>
        </is>
      </c>
      <c r="D763" t="inlineStr">
        <is>
          <t>30001087</t>
        </is>
      </c>
      <c r="E763" t="inlineStr">
        <is>
          <t>ussd_funeral_leads_altitude_20260619</t>
        </is>
      </c>
      <c r="J763" t="inlineStr">
        <is>
          <t>NA</t>
        </is>
      </c>
      <c r="K763" t="inlineStr">
        <is>
          <t>No Answer Autodial</t>
        </is>
      </c>
      <c r="L763" t="n">
        <v>3</v>
      </c>
      <c r="M763" t="inlineStr">
        <is>
          <t>2026-06-23 14:41:09</t>
        </is>
      </c>
      <c r="N763" t="inlineStr">
        <is>
          <t>system</t>
        </is>
      </c>
      <c r="O763" t="inlineStr">
        <is>
          <t>2026-06-19 07:10:32</t>
        </is>
      </c>
      <c r="P763" t="inlineStr">
        <is>
          <t>2026-06-19 07:10:32</t>
        </is>
      </c>
      <c r="Y763" t="inlineStr">
        <is>
          <t>27607589916</t>
        </is>
      </c>
    </row>
    <row r="764">
      <c r="A764" t="inlineStr">
        <is>
          <t>14942703</t>
        </is>
      </c>
      <c r="B764" t="inlineStr">
        <is>
          <t>66f987e8-2459-469d-80c6-dc6ad7e5eeb7</t>
        </is>
      </c>
      <c r="D764" t="inlineStr">
        <is>
          <t>30001087</t>
        </is>
      </c>
      <c r="E764" t="inlineStr">
        <is>
          <t>ussd_funeral_leads_altitude_20260619</t>
        </is>
      </c>
      <c r="J764" t="inlineStr">
        <is>
          <t>ADC</t>
        </is>
      </c>
      <c r="K764" t="inlineStr">
        <is>
          <t>Auto Dial Disconnected</t>
        </is>
      </c>
      <c r="L764" t="n">
        <v>3</v>
      </c>
      <c r="M764" t="inlineStr">
        <is>
          <t>2026-06-23 14:41:08</t>
        </is>
      </c>
      <c r="N764" t="inlineStr">
        <is>
          <t>system</t>
        </is>
      </c>
      <c r="O764" t="inlineStr">
        <is>
          <t>2026-06-19 07:10:32</t>
        </is>
      </c>
      <c r="P764" t="inlineStr">
        <is>
          <t>2026-06-19 07:10:32</t>
        </is>
      </c>
      <c r="Y764" t="inlineStr">
        <is>
          <t>27767341983</t>
        </is>
      </c>
    </row>
    <row r="765">
      <c r="A765" t="inlineStr">
        <is>
          <t>14942701</t>
        </is>
      </c>
      <c r="B765" t="inlineStr">
        <is>
          <t>06a91cf7-349a-4d4a-a570-84e8eb2997c8</t>
        </is>
      </c>
      <c r="D765" t="inlineStr">
        <is>
          <t>30001087</t>
        </is>
      </c>
      <c r="E765" t="inlineStr">
        <is>
          <t>ussd_funeral_leads_altitude_20260619</t>
        </is>
      </c>
      <c r="J765" t="inlineStr">
        <is>
          <t>ADC</t>
        </is>
      </c>
      <c r="K765" t="inlineStr">
        <is>
          <t>Auto Dial Disconnected</t>
        </is>
      </c>
      <c r="L765" t="n">
        <v>3</v>
      </c>
      <c r="M765" t="inlineStr">
        <is>
          <t>2026-06-23 14:41:05</t>
        </is>
      </c>
      <c r="N765" t="inlineStr">
        <is>
          <t>system</t>
        </is>
      </c>
      <c r="O765" t="inlineStr">
        <is>
          <t>2026-06-19 07:10:32</t>
        </is>
      </c>
      <c r="P765" t="inlineStr">
        <is>
          <t>2026-06-19 07:10:32</t>
        </is>
      </c>
      <c r="Y765" t="inlineStr">
        <is>
          <t>27727744219</t>
        </is>
      </c>
    </row>
    <row r="766">
      <c r="A766" t="inlineStr">
        <is>
          <t>14942702</t>
        </is>
      </c>
      <c r="B766" t="inlineStr">
        <is>
          <t>c1d1e8ef-c2f2-483a-9773-ec4c5b7e19c3</t>
        </is>
      </c>
      <c r="D766" t="inlineStr">
        <is>
          <t>30001087</t>
        </is>
      </c>
      <c r="E766" t="inlineStr">
        <is>
          <t>ussd_funeral_leads_altitude_20260619</t>
        </is>
      </c>
      <c r="J766" t="inlineStr">
        <is>
          <t>AA</t>
        </is>
      </c>
      <c r="K766" t="inlineStr">
        <is>
          <t>Answering Machine Autodial</t>
        </is>
      </c>
      <c r="L766" t="n">
        <v>3</v>
      </c>
      <c r="M766" t="inlineStr">
        <is>
          <t>2026-06-23 14:41:05</t>
        </is>
      </c>
      <c r="N766" t="inlineStr">
        <is>
          <t>system</t>
        </is>
      </c>
      <c r="O766" t="inlineStr">
        <is>
          <t>2026-06-19 07:10:32</t>
        </is>
      </c>
      <c r="P766" t="inlineStr">
        <is>
          <t>2026-06-19 07:10:32</t>
        </is>
      </c>
      <c r="Y766" t="inlineStr">
        <is>
          <t>27713136472</t>
        </is>
      </c>
    </row>
    <row r="767">
      <c r="A767" t="inlineStr">
        <is>
          <t>14942700</t>
        </is>
      </c>
      <c r="B767" t="inlineStr">
        <is>
          <t>618d904c-6f01-4446-9590-5152fd64fbe6</t>
        </is>
      </c>
      <c r="D767" t="inlineStr">
        <is>
          <t>30001087</t>
        </is>
      </c>
      <c r="E767" t="inlineStr">
        <is>
          <t>ussd_funeral_leads_altitude_20260619</t>
        </is>
      </c>
      <c r="J767" t="inlineStr">
        <is>
          <t>ADC</t>
        </is>
      </c>
      <c r="K767" t="inlineStr">
        <is>
          <t>Auto Dial Disconnected</t>
        </is>
      </c>
      <c r="L767" t="n">
        <v>3</v>
      </c>
      <c r="M767" t="inlineStr">
        <is>
          <t>2026-06-23 14:41:03</t>
        </is>
      </c>
      <c r="N767" t="inlineStr">
        <is>
          <t>system</t>
        </is>
      </c>
      <c r="O767" t="inlineStr">
        <is>
          <t>2026-06-19 07:10:32</t>
        </is>
      </c>
      <c r="P767" t="inlineStr">
        <is>
          <t>2026-06-19 07:10:32</t>
        </is>
      </c>
      <c r="Y767" t="inlineStr">
        <is>
          <t>27765813311</t>
        </is>
      </c>
    </row>
    <row r="768">
      <c r="A768" t="inlineStr">
        <is>
          <t>14942698</t>
        </is>
      </c>
      <c r="B768" t="inlineStr">
        <is>
          <t>aff731e3-7542-4f2f-9d33-2922b5e9f5dc</t>
        </is>
      </c>
      <c r="D768" t="inlineStr">
        <is>
          <t>30001087</t>
        </is>
      </c>
      <c r="E768" t="inlineStr">
        <is>
          <t>ussd_funeral_leads_altitude_20260619</t>
        </is>
      </c>
      <c r="J768" t="inlineStr">
        <is>
          <t>AA</t>
        </is>
      </c>
      <c r="K768" t="inlineStr">
        <is>
          <t>Answering Machine Autodial</t>
        </is>
      </c>
      <c r="L768" t="n">
        <v>3</v>
      </c>
      <c r="M768" t="inlineStr">
        <is>
          <t>2026-06-23 14:41:02</t>
        </is>
      </c>
      <c r="N768" t="inlineStr">
        <is>
          <t>system</t>
        </is>
      </c>
      <c r="O768" t="inlineStr">
        <is>
          <t>2026-06-19 07:10:32</t>
        </is>
      </c>
      <c r="P768" t="inlineStr">
        <is>
          <t>2026-06-19 07:10:32</t>
        </is>
      </c>
      <c r="Y768" t="inlineStr">
        <is>
          <t>27673634158</t>
        </is>
      </c>
    </row>
    <row r="769">
      <c r="A769" t="inlineStr">
        <is>
          <t>14900000</t>
        </is>
      </c>
      <c r="B769" t="inlineStr">
        <is>
          <t>1468347e-584b-47bc-a95c-cfe866ec9d73</t>
        </is>
      </c>
      <c r="D769" t="inlineStr">
        <is>
          <t>30001087</t>
        </is>
      </c>
      <c r="E769" t="inlineStr">
        <is>
          <t>ussd_funeral_leads_altitude_20260619</t>
        </is>
      </c>
      <c r="J769" t="inlineStr">
        <is>
          <t>NA</t>
        </is>
      </c>
      <c r="K769" t="inlineStr">
        <is>
          <t>No Answer Autodial</t>
        </is>
      </c>
      <c r="L769" t="n">
        <v>3</v>
      </c>
      <c r="M769" t="inlineStr">
        <is>
          <t>2026-06-23 14:41:02</t>
        </is>
      </c>
      <c r="N769" t="inlineStr">
        <is>
          <t>system</t>
        </is>
      </c>
      <c r="O769" t="inlineStr">
        <is>
          <t>2026-06-19 07:10:32</t>
        </is>
      </c>
      <c r="P769" t="inlineStr">
        <is>
          <t>2026-06-19 07:10:32</t>
        </is>
      </c>
      <c r="Y769" t="inlineStr">
        <is>
          <t>27660244957</t>
        </is>
      </c>
    </row>
    <row r="770">
      <c r="A770" t="inlineStr">
        <is>
          <t>14942696</t>
        </is>
      </c>
      <c r="B770" t="inlineStr">
        <is>
          <t>13598f54-be8b-45be-aeeb-7f6f1e750ecf</t>
        </is>
      </c>
      <c r="D770" t="inlineStr">
        <is>
          <t>30001087</t>
        </is>
      </c>
      <c r="E770" t="inlineStr">
        <is>
          <t>ussd_funeral_leads_altitude_20260619</t>
        </is>
      </c>
      <c r="J770" t="inlineStr">
        <is>
          <t>ADC</t>
        </is>
      </c>
      <c r="K770" t="inlineStr">
        <is>
          <t>Auto Dial Disconnected</t>
        </is>
      </c>
      <c r="L770" t="n">
        <v>3</v>
      </c>
      <c r="M770" t="inlineStr">
        <is>
          <t>2026-06-23 14:41:01</t>
        </is>
      </c>
      <c r="N770" t="inlineStr">
        <is>
          <t>system</t>
        </is>
      </c>
      <c r="O770" t="inlineStr">
        <is>
          <t>2026-06-19 07:10:32</t>
        </is>
      </c>
      <c r="P770" t="inlineStr">
        <is>
          <t>2026-06-19 07:10:32</t>
        </is>
      </c>
      <c r="Y770" t="inlineStr">
        <is>
          <t>27722422436</t>
        </is>
      </c>
    </row>
    <row r="771">
      <c r="A771" t="inlineStr">
        <is>
          <t>14942697</t>
        </is>
      </c>
      <c r="B771" t="inlineStr">
        <is>
          <t>e2f84df7-cc88-4fa9-a1c9-710b1766433c</t>
        </is>
      </c>
      <c r="D771" t="inlineStr">
        <is>
          <t>30001087</t>
        </is>
      </c>
      <c r="E771" t="inlineStr">
        <is>
          <t>ussd_funeral_leads_altitude_20260619</t>
        </is>
      </c>
      <c r="J771" t="inlineStr">
        <is>
          <t>ADC</t>
        </is>
      </c>
      <c r="K771" t="inlineStr">
        <is>
          <t>Auto Dial Disconnected</t>
        </is>
      </c>
      <c r="L771" t="n">
        <v>3</v>
      </c>
      <c r="M771" t="inlineStr">
        <is>
          <t>2026-06-23 14:41:01</t>
        </is>
      </c>
      <c r="N771" t="inlineStr">
        <is>
          <t>system</t>
        </is>
      </c>
      <c r="O771" t="inlineStr">
        <is>
          <t>2026-06-19 07:10:32</t>
        </is>
      </c>
      <c r="P771" t="inlineStr">
        <is>
          <t>2026-06-19 07:10:32</t>
        </is>
      </c>
      <c r="Y771" t="inlineStr">
        <is>
          <t>27792308806</t>
        </is>
      </c>
    </row>
    <row r="772">
      <c r="A772" t="inlineStr">
        <is>
          <t>14942695</t>
        </is>
      </c>
      <c r="B772" t="inlineStr">
        <is>
          <t>fc97d31d-3ec4-467d-8760-c268340a903a</t>
        </is>
      </c>
      <c r="D772" t="inlineStr">
        <is>
          <t>30001087</t>
        </is>
      </c>
      <c r="E772" t="inlineStr">
        <is>
          <t>ussd_funeral_leads_altitude_20260619</t>
        </is>
      </c>
      <c r="J772" t="inlineStr">
        <is>
          <t>ADC</t>
        </is>
      </c>
      <c r="K772" t="inlineStr">
        <is>
          <t>Auto Dial Disconnected</t>
        </is>
      </c>
      <c r="L772" t="n">
        <v>3</v>
      </c>
      <c r="M772" t="inlineStr">
        <is>
          <t>2026-06-23 14:40:59</t>
        </is>
      </c>
      <c r="N772" t="inlineStr">
        <is>
          <t>system</t>
        </is>
      </c>
      <c r="O772" t="inlineStr">
        <is>
          <t>2026-06-19 07:10:32</t>
        </is>
      </c>
      <c r="P772" t="inlineStr">
        <is>
          <t>2026-06-19 07:10:32</t>
        </is>
      </c>
      <c r="Y772" t="inlineStr">
        <is>
          <t>27665399324</t>
        </is>
      </c>
    </row>
    <row r="773">
      <c r="A773" t="inlineStr">
        <is>
          <t>14900000</t>
        </is>
      </c>
      <c r="B773" t="inlineStr">
        <is>
          <t>57e934e2-8b8b-421b-a5d3-00f6fdfdb016</t>
        </is>
      </c>
      <c r="D773" t="inlineStr">
        <is>
          <t>30001087</t>
        </is>
      </c>
      <c r="E773" t="inlineStr">
        <is>
          <t>ussd_funeral_leads_altitude_20260619</t>
        </is>
      </c>
      <c r="J773" t="inlineStr">
        <is>
          <t>ADC</t>
        </is>
      </c>
      <c r="K773" t="inlineStr">
        <is>
          <t>Auto Dial Disconnected</t>
        </is>
      </c>
      <c r="L773" t="n">
        <v>3</v>
      </c>
      <c r="M773" t="inlineStr">
        <is>
          <t>2026-06-23 14:40:58</t>
        </is>
      </c>
      <c r="N773" t="inlineStr">
        <is>
          <t>system</t>
        </is>
      </c>
      <c r="O773" t="inlineStr">
        <is>
          <t>2026-06-19 07:10:32</t>
        </is>
      </c>
      <c r="P773" t="inlineStr">
        <is>
          <t>2026-06-19 07:10:32</t>
        </is>
      </c>
      <c r="Y773" t="inlineStr">
        <is>
          <t>27767453915</t>
        </is>
      </c>
    </row>
    <row r="774">
      <c r="A774" t="inlineStr">
        <is>
          <t>14942692</t>
        </is>
      </c>
      <c r="B774" t="inlineStr">
        <is>
          <t>9cf893f1-eadb-4fb8-be51-8313a2098b34</t>
        </is>
      </c>
      <c r="D774" t="inlineStr">
        <is>
          <t>30001087</t>
        </is>
      </c>
      <c r="E774" t="inlineStr">
        <is>
          <t>ussd_funeral_leads_altitude_20260619</t>
        </is>
      </c>
      <c r="J774" t="inlineStr">
        <is>
          <t>AA</t>
        </is>
      </c>
      <c r="K774" t="inlineStr">
        <is>
          <t>Answering Machine Autodial</t>
        </is>
      </c>
      <c r="L774" t="n">
        <v>3</v>
      </c>
      <c r="M774" t="inlineStr">
        <is>
          <t>2026-06-23 14:40:58</t>
        </is>
      </c>
      <c r="N774" t="inlineStr">
        <is>
          <t>system</t>
        </is>
      </c>
      <c r="O774" t="inlineStr">
        <is>
          <t>2026-06-19 07:10:32</t>
        </is>
      </c>
      <c r="P774" t="inlineStr">
        <is>
          <t>2026-06-19 07:10:32</t>
        </is>
      </c>
      <c r="Y774" t="inlineStr">
        <is>
          <t>27762727875</t>
        </is>
      </c>
    </row>
    <row r="775">
      <c r="A775" t="inlineStr">
        <is>
          <t>14942693</t>
        </is>
      </c>
      <c r="B775" t="inlineStr">
        <is>
          <t>5d5bf735-f93d-488a-8b8e-c1d27ab52a80</t>
        </is>
      </c>
      <c r="D775" t="inlineStr">
        <is>
          <t>30001087</t>
        </is>
      </c>
      <c r="E775" t="inlineStr">
        <is>
          <t>ussd_funeral_leads_altitude_20260619</t>
        </is>
      </c>
      <c r="J775" t="inlineStr">
        <is>
          <t>AA</t>
        </is>
      </c>
      <c r="K775" t="inlineStr">
        <is>
          <t>Answering Machine Autodial</t>
        </is>
      </c>
      <c r="L775" t="n">
        <v>3</v>
      </c>
      <c r="M775" t="inlineStr">
        <is>
          <t>2026-06-23 14:40:58</t>
        </is>
      </c>
      <c r="N775" t="inlineStr">
        <is>
          <t>system</t>
        </is>
      </c>
      <c r="O775" t="inlineStr">
        <is>
          <t>2026-06-19 07:10:32</t>
        </is>
      </c>
      <c r="P775" t="inlineStr">
        <is>
          <t>2026-06-19 07:10:32</t>
        </is>
      </c>
      <c r="Y775" t="inlineStr">
        <is>
          <t>27792001890</t>
        </is>
      </c>
    </row>
    <row r="776">
      <c r="A776" t="inlineStr">
        <is>
          <t>14942694</t>
        </is>
      </c>
      <c r="B776" t="inlineStr">
        <is>
          <t>3ad57d15-b369-43ee-a5e6-97832198ec28</t>
        </is>
      </c>
      <c r="D776" t="inlineStr">
        <is>
          <t>30001087</t>
        </is>
      </c>
      <c r="E776" t="inlineStr">
        <is>
          <t>ussd_funeral_leads_altitude_20260619</t>
        </is>
      </c>
      <c r="J776" t="inlineStr">
        <is>
          <t>AA</t>
        </is>
      </c>
      <c r="K776" t="inlineStr">
        <is>
          <t>Answering Machine Autodial</t>
        </is>
      </c>
      <c r="L776" t="n">
        <v>3</v>
      </c>
      <c r="M776" t="inlineStr">
        <is>
          <t>2026-06-23 14:40:58</t>
        </is>
      </c>
      <c r="N776" t="inlineStr">
        <is>
          <t>system</t>
        </is>
      </c>
      <c r="O776" t="inlineStr">
        <is>
          <t>2026-06-19 07:10:32</t>
        </is>
      </c>
      <c r="P776" t="inlineStr">
        <is>
          <t>2026-06-19 07:10:32</t>
        </is>
      </c>
      <c r="Y776" t="inlineStr">
        <is>
          <t>27766979739</t>
        </is>
      </c>
    </row>
    <row r="777">
      <c r="A777" t="inlineStr">
        <is>
          <t>14942690</t>
        </is>
      </c>
      <c r="B777" t="inlineStr">
        <is>
          <t>fa0dd0b9-b6df-48d3-ae4e-627ecbe04950</t>
        </is>
      </c>
      <c r="D777" t="inlineStr">
        <is>
          <t>30001087</t>
        </is>
      </c>
      <c r="E777" t="inlineStr">
        <is>
          <t>ussd_funeral_leads_altitude_20260619</t>
        </is>
      </c>
      <c r="J777" t="inlineStr">
        <is>
          <t>NA</t>
        </is>
      </c>
      <c r="K777" t="inlineStr">
        <is>
          <t>No Answer Autodial</t>
        </is>
      </c>
      <c r="L777" t="n">
        <v>3</v>
      </c>
      <c r="M777" t="inlineStr">
        <is>
          <t>2026-06-23 14:40:49</t>
        </is>
      </c>
      <c r="N777" t="inlineStr">
        <is>
          <t>system</t>
        </is>
      </c>
      <c r="O777" t="inlineStr">
        <is>
          <t>2026-06-19 07:10:32</t>
        </is>
      </c>
      <c r="P777" t="inlineStr">
        <is>
          <t>2026-06-19 07:10:32</t>
        </is>
      </c>
      <c r="Y777" t="inlineStr">
        <is>
          <t>27662925480</t>
        </is>
      </c>
    </row>
    <row r="778">
      <c r="A778" t="inlineStr">
        <is>
          <t>14942689</t>
        </is>
      </c>
      <c r="B778" t="inlineStr">
        <is>
          <t>22c45efd-cd2f-4079-a95e-b2302faf4697</t>
        </is>
      </c>
      <c r="D778" t="inlineStr">
        <is>
          <t>30001087</t>
        </is>
      </c>
      <c r="E778" t="inlineStr">
        <is>
          <t>ussd_funeral_leads_altitude_20260619</t>
        </is>
      </c>
      <c r="J778" t="inlineStr">
        <is>
          <t>AA</t>
        </is>
      </c>
      <c r="K778" t="inlineStr">
        <is>
          <t>Answering Machine Autodial</t>
        </is>
      </c>
      <c r="L778" t="n">
        <v>3</v>
      </c>
      <c r="M778" t="inlineStr">
        <is>
          <t>2026-06-23 14:40:31</t>
        </is>
      </c>
      <c r="N778" t="inlineStr">
        <is>
          <t>system</t>
        </is>
      </c>
      <c r="O778" t="inlineStr">
        <is>
          <t>2026-06-19 07:10:32</t>
        </is>
      </c>
      <c r="P778" t="inlineStr">
        <is>
          <t>2026-06-19 07:10:32</t>
        </is>
      </c>
      <c r="Y778" t="inlineStr">
        <is>
          <t>27764854691</t>
        </is>
      </c>
    </row>
    <row r="779">
      <c r="A779" t="inlineStr">
        <is>
          <t>14942688</t>
        </is>
      </c>
      <c r="B779" t="inlineStr">
        <is>
          <t>c3e954ad-8660-429f-a9c3-19025797a940</t>
        </is>
      </c>
      <c r="D779" t="inlineStr">
        <is>
          <t>30001087</t>
        </is>
      </c>
      <c r="E779" t="inlineStr">
        <is>
          <t>ussd_funeral_leads_altitude_20260619</t>
        </is>
      </c>
      <c r="J779" t="inlineStr">
        <is>
          <t>NA</t>
        </is>
      </c>
      <c r="K779" t="inlineStr">
        <is>
          <t>No Answer Autodial</t>
        </is>
      </c>
      <c r="L779" t="n">
        <v>3</v>
      </c>
      <c r="M779" t="inlineStr">
        <is>
          <t>2026-06-23 14:40:29</t>
        </is>
      </c>
      <c r="N779" t="inlineStr">
        <is>
          <t>system</t>
        </is>
      </c>
      <c r="O779" t="inlineStr">
        <is>
          <t>2026-06-19 07:10:32</t>
        </is>
      </c>
      <c r="P779" t="inlineStr">
        <is>
          <t>2026-06-19 07:10:32</t>
        </is>
      </c>
      <c r="Y779" t="inlineStr">
        <is>
          <t>27664969862</t>
        </is>
      </c>
    </row>
    <row r="780">
      <c r="A780" t="inlineStr">
        <is>
          <t>14942686</t>
        </is>
      </c>
      <c r="B780" t="inlineStr">
        <is>
          <t>088d0045-c754-46af-91c2-3afb2c999a7a</t>
        </is>
      </c>
      <c r="D780" t="inlineStr">
        <is>
          <t>30001087</t>
        </is>
      </c>
      <c r="E780" t="inlineStr">
        <is>
          <t>ussd_funeral_leads_altitude_20260619</t>
        </is>
      </c>
      <c r="J780" t="inlineStr">
        <is>
          <t>AA</t>
        </is>
      </c>
      <c r="K780" t="inlineStr">
        <is>
          <t>Answering Machine Autodial</t>
        </is>
      </c>
      <c r="L780" t="n">
        <v>3</v>
      </c>
      <c r="M780" t="inlineStr">
        <is>
          <t>2026-06-23 14:40:28</t>
        </is>
      </c>
      <c r="N780" t="inlineStr">
        <is>
          <t>system</t>
        </is>
      </c>
      <c r="O780" t="inlineStr">
        <is>
          <t>2026-06-19 07:10:32</t>
        </is>
      </c>
      <c r="P780" t="inlineStr">
        <is>
          <t>2026-06-19 07:10:32</t>
        </is>
      </c>
      <c r="Y780" t="inlineStr">
        <is>
          <t>27674529339</t>
        </is>
      </c>
    </row>
    <row r="781">
      <c r="A781" t="inlineStr">
        <is>
          <t>14942687</t>
        </is>
      </c>
      <c r="B781" t="inlineStr">
        <is>
          <t>7eff4fb4-9bc6-432c-af3d-4cfe27dc2b20</t>
        </is>
      </c>
      <c r="D781" t="inlineStr">
        <is>
          <t>30001087</t>
        </is>
      </c>
      <c r="E781" t="inlineStr">
        <is>
          <t>ussd_funeral_leads_altitude_20260619</t>
        </is>
      </c>
      <c r="J781" t="inlineStr">
        <is>
          <t>AE</t>
        </is>
      </c>
      <c r="K781" t="inlineStr">
        <is>
          <t>Auto Engaged</t>
        </is>
      </c>
      <c r="L781" t="n">
        <v>3</v>
      </c>
      <c r="M781" t="inlineStr">
        <is>
          <t>2026-06-23 14:40:28</t>
        </is>
      </c>
      <c r="N781" t="inlineStr">
        <is>
          <t>system</t>
        </is>
      </c>
      <c r="O781" t="inlineStr">
        <is>
          <t>2026-06-19 07:10:32</t>
        </is>
      </c>
      <c r="P781" t="inlineStr">
        <is>
          <t>2026-06-19 07:10:32</t>
        </is>
      </c>
      <c r="Y781" t="inlineStr">
        <is>
          <t>27797635952</t>
        </is>
      </c>
    </row>
    <row r="782">
      <c r="A782" t="inlineStr">
        <is>
          <t>14942685</t>
        </is>
      </c>
      <c r="B782" t="inlineStr">
        <is>
          <t>dc771983-12ab-40e4-99b6-8c0fd0ae704d</t>
        </is>
      </c>
      <c r="D782" t="inlineStr">
        <is>
          <t>30001087</t>
        </is>
      </c>
      <c r="E782" t="inlineStr">
        <is>
          <t>ussd_funeral_leads_altitude_20260619</t>
        </is>
      </c>
      <c r="J782" t="inlineStr">
        <is>
          <t>AA</t>
        </is>
      </c>
      <c r="K782" t="inlineStr">
        <is>
          <t>Answering Machine Autodial</t>
        </is>
      </c>
      <c r="L782" t="n">
        <v>3</v>
      </c>
      <c r="M782" t="inlineStr">
        <is>
          <t>2026-06-23 14:40:22</t>
        </is>
      </c>
      <c r="N782" t="inlineStr">
        <is>
          <t>system</t>
        </is>
      </c>
      <c r="O782" t="inlineStr">
        <is>
          <t>2026-06-19 07:10:32</t>
        </is>
      </c>
      <c r="P782" t="inlineStr">
        <is>
          <t>2026-06-19 07:10:32</t>
        </is>
      </c>
      <c r="Y782" t="inlineStr">
        <is>
          <t>27673741081</t>
        </is>
      </c>
    </row>
    <row r="783">
      <c r="A783" t="inlineStr">
        <is>
          <t>14942684</t>
        </is>
      </c>
      <c r="B783" t="inlineStr">
        <is>
          <t>a589f85e-9ffa-4e24-b238-84fc0a0fdea9</t>
        </is>
      </c>
      <c r="D783" t="inlineStr">
        <is>
          <t>30001087</t>
        </is>
      </c>
      <c r="E783" t="inlineStr">
        <is>
          <t>ussd_funeral_leads_altitude_20260619</t>
        </is>
      </c>
      <c r="J783" t="inlineStr">
        <is>
          <t>AA</t>
        </is>
      </c>
      <c r="K783" t="inlineStr">
        <is>
          <t>Answering Machine Autodial</t>
        </is>
      </c>
      <c r="L783" t="n">
        <v>3</v>
      </c>
      <c r="M783" t="inlineStr">
        <is>
          <t>2026-06-23 14:40:20</t>
        </is>
      </c>
      <c r="N783" t="inlineStr">
        <is>
          <t>system</t>
        </is>
      </c>
      <c r="O783" t="inlineStr">
        <is>
          <t>2026-06-19 07:10:32</t>
        </is>
      </c>
      <c r="P783" t="inlineStr">
        <is>
          <t>2026-06-19 07:10:32</t>
        </is>
      </c>
      <c r="Y783" t="inlineStr">
        <is>
          <t>27646165593</t>
        </is>
      </c>
    </row>
    <row r="784">
      <c r="A784" t="inlineStr">
        <is>
          <t>14942683</t>
        </is>
      </c>
      <c r="B784" t="inlineStr">
        <is>
          <t>5d446bfd-2e45-4186-b21e-c469307b3da8</t>
        </is>
      </c>
      <c r="D784" t="inlineStr">
        <is>
          <t>30001087</t>
        </is>
      </c>
      <c r="E784" t="inlineStr">
        <is>
          <t>ussd_funeral_leads_altitude_20260619</t>
        </is>
      </c>
      <c r="J784" t="inlineStr">
        <is>
          <t>TDN</t>
        </is>
      </c>
      <c r="K784" t="inlineStr">
        <is>
          <t>Temporary Disconnected Number</t>
        </is>
      </c>
      <c r="L784" t="n">
        <v>3</v>
      </c>
      <c r="M784" t="inlineStr">
        <is>
          <t>2026-06-23 14:40:18</t>
        </is>
      </c>
      <c r="N784" t="inlineStr">
        <is>
          <t>system</t>
        </is>
      </c>
      <c r="O784" t="inlineStr">
        <is>
          <t>2026-06-19 07:10:32</t>
        </is>
      </c>
      <c r="P784" t="inlineStr">
        <is>
          <t>2026-06-19 07:10:32</t>
        </is>
      </c>
      <c r="Y784" t="inlineStr">
        <is>
          <t>27647237294</t>
        </is>
      </c>
    </row>
    <row r="785">
      <c r="A785" t="inlineStr">
        <is>
          <t>14942682</t>
        </is>
      </c>
      <c r="B785" t="inlineStr">
        <is>
          <t>9db962a2-80c3-4f59-99e2-acd1d7bf1393</t>
        </is>
      </c>
      <c r="D785" t="inlineStr">
        <is>
          <t>30001087</t>
        </is>
      </c>
      <c r="E785" t="inlineStr">
        <is>
          <t>ussd_funeral_leads_altitude_20260619</t>
        </is>
      </c>
      <c r="J785" t="inlineStr">
        <is>
          <t>AA</t>
        </is>
      </c>
      <c r="K785" t="inlineStr">
        <is>
          <t>Answering Machine Autodial</t>
        </is>
      </c>
      <c r="L785" t="n">
        <v>3</v>
      </c>
      <c r="M785" t="inlineStr">
        <is>
          <t>2026-06-23 14:40:16</t>
        </is>
      </c>
      <c r="N785" t="inlineStr">
        <is>
          <t>system</t>
        </is>
      </c>
      <c r="O785" t="inlineStr">
        <is>
          <t>2026-06-19 07:10:32</t>
        </is>
      </c>
      <c r="P785" t="inlineStr">
        <is>
          <t>2026-06-19 07:10:32</t>
        </is>
      </c>
      <c r="Y785" t="inlineStr">
        <is>
          <t>27648061209</t>
        </is>
      </c>
    </row>
    <row r="786">
      <c r="A786" t="inlineStr">
        <is>
          <t>14942681</t>
        </is>
      </c>
      <c r="B786" t="inlineStr">
        <is>
          <t>276820c7-77fd-4312-a4ff-f98f37d2f2d9</t>
        </is>
      </c>
      <c r="D786" t="inlineStr">
        <is>
          <t>30001087</t>
        </is>
      </c>
      <c r="E786" t="inlineStr">
        <is>
          <t>ussd_funeral_leads_altitude_20260619</t>
        </is>
      </c>
      <c r="J786" t="inlineStr">
        <is>
          <t>AA</t>
        </is>
      </c>
      <c r="K786" t="inlineStr">
        <is>
          <t>Answering Machine Autodial</t>
        </is>
      </c>
      <c r="L786" t="n">
        <v>3</v>
      </c>
      <c r="M786" t="inlineStr">
        <is>
          <t>2026-06-23 14:40:14</t>
        </is>
      </c>
      <c r="N786" t="inlineStr">
        <is>
          <t>system</t>
        </is>
      </c>
      <c r="O786" t="inlineStr">
        <is>
          <t>2026-06-19 07:10:32</t>
        </is>
      </c>
      <c r="P786" t="inlineStr">
        <is>
          <t>2026-06-19 07:10:32</t>
        </is>
      </c>
      <c r="Y786" t="inlineStr">
        <is>
          <t>27649767883</t>
        </is>
      </c>
    </row>
    <row r="787">
      <c r="A787" t="inlineStr">
        <is>
          <t>14942679</t>
        </is>
      </c>
      <c r="B787" t="inlineStr">
        <is>
          <t>551bd56e-aec4-457e-b851-2e43238d4328</t>
        </is>
      </c>
      <c r="D787" t="inlineStr">
        <is>
          <t>30001087</t>
        </is>
      </c>
      <c r="E787" t="inlineStr">
        <is>
          <t>ussd_funeral_leads_altitude_20260619</t>
        </is>
      </c>
      <c r="J787" t="inlineStr">
        <is>
          <t>ADC</t>
        </is>
      </c>
      <c r="K787" t="inlineStr">
        <is>
          <t>Auto Dial Disconnected</t>
        </is>
      </c>
      <c r="L787" t="n">
        <v>3</v>
      </c>
      <c r="M787" t="inlineStr">
        <is>
          <t>2026-06-23 14:40:13</t>
        </is>
      </c>
      <c r="N787" t="inlineStr">
        <is>
          <t>system</t>
        </is>
      </c>
      <c r="O787" t="inlineStr">
        <is>
          <t>2026-06-19 07:10:32</t>
        </is>
      </c>
      <c r="P787" t="inlineStr">
        <is>
          <t>2026-06-19 07:10:32</t>
        </is>
      </c>
      <c r="Y787" t="inlineStr">
        <is>
          <t>27791521264</t>
        </is>
      </c>
    </row>
    <row r="788">
      <c r="A788" t="inlineStr">
        <is>
          <t>14942680</t>
        </is>
      </c>
      <c r="B788" t="inlineStr">
        <is>
          <t>4b8f4fd6-e563-4aca-8079-046ea21bcff6</t>
        </is>
      </c>
      <c r="D788" t="inlineStr">
        <is>
          <t>30001087</t>
        </is>
      </c>
      <c r="E788" t="inlineStr">
        <is>
          <t>ussd_funeral_leads_altitude_20260619</t>
        </is>
      </c>
      <c r="J788" t="inlineStr">
        <is>
          <t>AA</t>
        </is>
      </c>
      <c r="K788" t="inlineStr">
        <is>
          <t>Answering Machine Autodial</t>
        </is>
      </c>
      <c r="L788" t="n">
        <v>3</v>
      </c>
      <c r="M788" t="inlineStr">
        <is>
          <t>2026-06-23 14:40:13</t>
        </is>
      </c>
      <c r="N788" t="inlineStr">
        <is>
          <t>system</t>
        </is>
      </c>
      <c r="O788" t="inlineStr">
        <is>
          <t>2026-06-19 07:10:32</t>
        </is>
      </c>
      <c r="P788" t="inlineStr">
        <is>
          <t>2026-06-19 07:10:32</t>
        </is>
      </c>
      <c r="Y788" t="inlineStr">
        <is>
          <t>27647085432</t>
        </is>
      </c>
    </row>
    <row r="789">
      <c r="A789" t="inlineStr">
        <is>
          <t>14942676</t>
        </is>
      </c>
      <c r="B789" t="inlineStr">
        <is>
          <t>10dd924c-c144-41a4-8e83-793bab304b40</t>
        </is>
      </c>
      <c r="D789" t="inlineStr">
        <is>
          <t>30001087</t>
        </is>
      </c>
      <c r="E789" t="inlineStr">
        <is>
          <t>ussd_funeral_leads_altitude_20260619</t>
        </is>
      </c>
      <c r="J789" t="inlineStr">
        <is>
          <t>TDN</t>
        </is>
      </c>
      <c r="K789" t="inlineStr">
        <is>
          <t>Temporary Disconnected Number</t>
        </is>
      </c>
      <c r="L789" t="n">
        <v>3</v>
      </c>
      <c r="M789" t="inlineStr">
        <is>
          <t>2026-06-23 14:40:12</t>
        </is>
      </c>
      <c r="N789" t="inlineStr">
        <is>
          <t>system</t>
        </is>
      </c>
      <c r="O789" t="inlineStr">
        <is>
          <t>2026-06-19 07:10:32</t>
        </is>
      </c>
      <c r="P789" t="inlineStr">
        <is>
          <t>2026-06-19 07:10:32</t>
        </is>
      </c>
      <c r="Y789" t="inlineStr">
        <is>
          <t>27715867395</t>
        </is>
      </c>
    </row>
    <row r="790">
      <c r="A790" t="inlineStr">
        <is>
          <t>14942677</t>
        </is>
      </c>
      <c r="B790" t="inlineStr">
        <is>
          <t>dbe2cff2-d583-4c11-8636-ac44f97f8c25</t>
        </is>
      </c>
      <c r="D790" t="inlineStr">
        <is>
          <t>30001087</t>
        </is>
      </c>
      <c r="E790" t="inlineStr">
        <is>
          <t>ussd_funeral_leads_altitude_20260619</t>
        </is>
      </c>
      <c r="J790" t="inlineStr">
        <is>
          <t>TDN</t>
        </is>
      </c>
      <c r="K790" t="inlineStr">
        <is>
          <t>Temporary Disconnected Number</t>
        </is>
      </c>
      <c r="L790" t="n">
        <v>3</v>
      </c>
      <c r="M790" t="inlineStr">
        <is>
          <t>2026-06-23 14:40:12</t>
        </is>
      </c>
      <c r="N790" t="inlineStr">
        <is>
          <t>system</t>
        </is>
      </c>
      <c r="O790" t="inlineStr">
        <is>
          <t>2026-06-19 07:10:32</t>
        </is>
      </c>
      <c r="P790" t="inlineStr">
        <is>
          <t>2026-06-19 07:10:32</t>
        </is>
      </c>
      <c r="Y790" t="inlineStr">
        <is>
          <t>27636971010</t>
        </is>
      </c>
    </row>
    <row r="791">
      <c r="A791" t="inlineStr">
        <is>
          <t>14942678</t>
        </is>
      </c>
      <c r="B791" t="inlineStr">
        <is>
          <t>b92d3f71-4fb2-4ba0-a8f7-39675b834cc8</t>
        </is>
      </c>
      <c r="D791" t="inlineStr">
        <is>
          <t>30001087</t>
        </is>
      </c>
      <c r="E791" t="inlineStr">
        <is>
          <t>ussd_funeral_leads_altitude_20260619</t>
        </is>
      </c>
      <c r="J791" t="inlineStr">
        <is>
          <t>AA</t>
        </is>
      </c>
      <c r="K791" t="inlineStr">
        <is>
          <t>Answering Machine Autodial</t>
        </is>
      </c>
      <c r="L791" t="n">
        <v>3</v>
      </c>
      <c r="M791" t="inlineStr">
        <is>
          <t>2026-06-23 14:40:12</t>
        </is>
      </c>
      <c r="N791" t="inlineStr">
        <is>
          <t>system</t>
        </is>
      </c>
      <c r="O791" t="inlineStr">
        <is>
          <t>2026-06-19 07:10:32</t>
        </is>
      </c>
      <c r="P791" t="inlineStr">
        <is>
          <t>2026-06-19 07:10:32</t>
        </is>
      </c>
      <c r="Y791" t="inlineStr">
        <is>
          <t>27791840982</t>
        </is>
      </c>
    </row>
    <row r="792">
      <c r="A792" t="inlineStr">
        <is>
          <t>14942675</t>
        </is>
      </c>
      <c r="B792" t="inlineStr">
        <is>
          <t>b09927be-c063-45c6-84ed-2bfff3da89b1</t>
        </is>
      </c>
      <c r="D792" t="inlineStr">
        <is>
          <t>30001087</t>
        </is>
      </c>
      <c r="E792" t="inlineStr">
        <is>
          <t>ussd_funeral_leads_altitude_20260619</t>
        </is>
      </c>
      <c r="J792" t="inlineStr">
        <is>
          <t>AA</t>
        </is>
      </c>
      <c r="K792" t="inlineStr">
        <is>
          <t>Answering Machine Autodial</t>
        </is>
      </c>
      <c r="L792" t="n">
        <v>3</v>
      </c>
      <c r="M792" t="inlineStr">
        <is>
          <t>2026-06-23 14:40:11</t>
        </is>
      </c>
      <c r="N792" t="inlineStr">
        <is>
          <t>system</t>
        </is>
      </c>
      <c r="O792" t="inlineStr">
        <is>
          <t>2026-06-19 07:10:32</t>
        </is>
      </c>
      <c r="P792" t="inlineStr">
        <is>
          <t>2026-06-19 07:10:32</t>
        </is>
      </c>
      <c r="Y792" t="inlineStr">
        <is>
          <t>27820975365</t>
        </is>
      </c>
    </row>
    <row r="793">
      <c r="A793" t="inlineStr">
        <is>
          <t>14942673</t>
        </is>
      </c>
      <c r="B793" t="inlineStr">
        <is>
          <t>dfffedd4-b392-4b97-9f92-bca91a7c7631</t>
        </is>
      </c>
      <c r="D793" t="inlineStr">
        <is>
          <t>30001087</t>
        </is>
      </c>
      <c r="E793" t="inlineStr">
        <is>
          <t>ussd_funeral_leads_altitude_20260619</t>
        </is>
      </c>
      <c r="J793" t="inlineStr">
        <is>
          <t>NA</t>
        </is>
      </c>
      <c r="K793" t="inlineStr">
        <is>
          <t>No Answer Autodial</t>
        </is>
      </c>
      <c r="L793" t="n">
        <v>3</v>
      </c>
      <c r="M793" t="inlineStr">
        <is>
          <t>2026-06-23 14:40:05</t>
        </is>
      </c>
      <c r="N793" t="inlineStr">
        <is>
          <t>system</t>
        </is>
      </c>
      <c r="O793" t="inlineStr">
        <is>
          <t>2026-06-19 07:10:32</t>
        </is>
      </c>
      <c r="P793" t="inlineStr">
        <is>
          <t>2026-06-19 07:10:32</t>
        </is>
      </c>
      <c r="Y793" t="inlineStr">
        <is>
          <t>27646497466</t>
        </is>
      </c>
    </row>
    <row r="794">
      <c r="A794" t="inlineStr">
        <is>
          <t>14942674</t>
        </is>
      </c>
      <c r="B794" t="inlineStr">
        <is>
          <t>0eed71e3-22ce-4ae6-9a20-bde81a668030</t>
        </is>
      </c>
      <c r="D794" t="inlineStr">
        <is>
          <t>30001087</t>
        </is>
      </c>
      <c r="E794" t="inlineStr">
        <is>
          <t>ussd_funeral_leads_altitude_20260619</t>
        </is>
      </c>
      <c r="J794" t="inlineStr">
        <is>
          <t>AA</t>
        </is>
      </c>
      <c r="K794" t="inlineStr">
        <is>
          <t>Answering Machine Autodial</t>
        </is>
      </c>
      <c r="L794" t="n">
        <v>3</v>
      </c>
      <c r="M794" t="inlineStr">
        <is>
          <t>2026-06-23 14:40:05</t>
        </is>
      </c>
      <c r="N794" t="inlineStr">
        <is>
          <t>system</t>
        </is>
      </c>
      <c r="O794" t="inlineStr">
        <is>
          <t>2026-06-19 07:10:32</t>
        </is>
      </c>
      <c r="P794" t="inlineStr">
        <is>
          <t>2026-06-19 07:10:32</t>
        </is>
      </c>
      <c r="Y794" t="inlineStr">
        <is>
          <t>27660063012</t>
        </is>
      </c>
    </row>
    <row r="795">
      <c r="A795" t="inlineStr">
        <is>
          <t>14942672</t>
        </is>
      </c>
      <c r="B795" t="inlineStr">
        <is>
          <t>81ffa503-4b1a-40fd-b71c-97603f725e6f</t>
        </is>
      </c>
      <c r="D795" t="inlineStr">
        <is>
          <t>30001087</t>
        </is>
      </c>
      <c r="E795" t="inlineStr">
        <is>
          <t>ussd_funeral_leads_altitude_20260619</t>
        </is>
      </c>
      <c r="J795" t="inlineStr">
        <is>
          <t>AA</t>
        </is>
      </c>
      <c r="K795" t="inlineStr">
        <is>
          <t>Answering Machine Autodial</t>
        </is>
      </c>
      <c r="L795" t="n">
        <v>3</v>
      </c>
      <c r="M795" t="inlineStr">
        <is>
          <t>2026-06-23 14:39:43</t>
        </is>
      </c>
      <c r="N795" t="inlineStr">
        <is>
          <t>system</t>
        </is>
      </c>
      <c r="O795" t="inlineStr">
        <is>
          <t>2026-06-19 07:10:32</t>
        </is>
      </c>
      <c r="P795" t="inlineStr">
        <is>
          <t>2026-06-19 07:10:32</t>
        </is>
      </c>
      <c r="Y795" t="inlineStr">
        <is>
          <t>27725947770</t>
        </is>
      </c>
    </row>
    <row r="796">
      <c r="A796" t="inlineStr">
        <is>
          <t>14942670</t>
        </is>
      </c>
      <c r="B796" t="inlineStr">
        <is>
          <t>80ba5644-77b3-4e4b-b522-a7db46b24812</t>
        </is>
      </c>
      <c r="D796" t="inlineStr">
        <is>
          <t>30001087</t>
        </is>
      </c>
      <c r="E796" t="inlineStr">
        <is>
          <t>ussd_funeral_leads_altitude_20260619</t>
        </is>
      </c>
      <c r="J796" t="inlineStr">
        <is>
          <t>AA</t>
        </is>
      </c>
      <c r="K796" t="inlineStr">
        <is>
          <t>Answering Machine Autodial</t>
        </is>
      </c>
      <c r="L796" t="n">
        <v>3</v>
      </c>
      <c r="M796" t="inlineStr">
        <is>
          <t>2026-06-23 14:39:42</t>
        </is>
      </c>
      <c r="N796" t="inlineStr">
        <is>
          <t>system</t>
        </is>
      </c>
      <c r="O796" t="inlineStr">
        <is>
          <t>2026-06-19 07:10:32</t>
        </is>
      </c>
      <c r="P796" t="inlineStr">
        <is>
          <t>2026-06-19 07:10:32</t>
        </is>
      </c>
      <c r="Y796" t="inlineStr">
        <is>
          <t>27762371629</t>
        </is>
      </c>
    </row>
    <row r="797">
      <c r="A797" t="inlineStr">
        <is>
          <t>14942671</t>
        </is>
      </c>
      <c r="B797" t="inlineStr">
        <is>
          <t>34ca2b0f-af27-4879-b136-2d24b946d5d7</t>
        </is>
      </c>
      <c r="D797" t="inlineStr">
        <is>
          <t>30001087</t>
        </is>
      </c>
      <c r="E797" t="inlineStr">
        <is>
          <t>ussd_funeral_leads_altitude_20260619</t>
        </is>
      </c>
      <c r="J797" t="inlineStr">
        <is>
          <t>NA</t>
        </is>
      </c>
      <c r="K797" t="inlineStr">
        <is>
          <t>No Answer Autodial</t>
        </is>
      </c>
      <c r="L797" t="n">
        <v>3</v>
      </c>
      <c r="M797" t="inlineStr">
        <is>
          <t>2026-06-23 14:39:42</t>
        </is>
      </c>
      <c r="N797" t="inlineStr">
        <is>
          <t>system</t>
        </is>
      </c>
      <c r="O797" t="inlineStr">
        <is>
          <t>2026-06-19 07:10:32</t>
        </is>
      </c>
      <c r="P797" t="inlineStr">
        <is>
          <t>2026-06-19 07:10:32</t>
        </is>
      </c>
      <c r="Y797" t="inlineStr">
        <is>
          <t>27826936843</t>
        </is>
      </c>
    </row>
    <row r="798">
      <c r="A798" t="inlineStr">
        <is>
          <t>14947332</t>
        </is>
      </c>
      <c r="B798" t="inlineStr">
        <is>
          <t>fe14cc8b-8ed0-4f8b-8564-71bf0ef144a3</t>
        </is>
      </c>
      <c r="D798" t="inlineStr">
        <is>
          <t>30001087</t>
        </is>
      </c>
      <c r="E798" t="inlineStr">
        <is>
          <t>ussd_funeral_leads_altitude_20260619</t>
        </is>
      </c>
      <c r="J798" t="inlineStr">
        <is>
          <t>AA</t>
        </is>
      </c>
      <c r="K798" t="inlineStr">
        <is>
          <t>Answering Machine Autodial</t>
        </is>
      </c>
      <c r="L798" t="n">
        <v>3</v>
      </c>
      <c r="M798" t="inlineStr">
        <is>
          <t>2026-06-23 14:39:42</t>
        </is>
      </c>
      <c r="N798" t="inlineStr">
        <is>
          <t>system</t>
        </is>
      </c>
      <c r="O798" t="inlineStr">
        <is>
          <t>2026-06-19 07:10:32</t>
        </is>
      </c>
      <c r="P798" t="inlineStr">
        <is>
          <t>2026-06-19 07:10:32</t>
        </is>
      </c>
      <c r="Y798" t="inlineStr">
        <is>
          <t>27762676156</t>
        </is>
      </c>
    </row>
    <row r="799">
      <c r="A799" t="inlineStr">
        <is>
          <t>14942747</t>
        </is>
      </c>
      <c r="B799" t="inlineStr">
        <is>
          <t>c11634d5-3c7e-4456-9bb1-ae9e1feb14b8</t>
        </is>
      </c>
      <c r="D799" t="inlineStr">
        <is>
          <t>30001087</t>
        </is>
      </c>
      <c r="E799" t="inlineStr">
        <is>
          <t>ussd_funeral_leads_altitude_20260619</t>
        </is>
      </c>
      <c r="J799" t="inlineStr">
        <is>
          <t>TDN</t>
        </is>
      </c>
      <c r="K799" t="inlineStr">
        <is>
          <t>Temporary Disconnected Number</t>
        </is>
      </c>
      <c r="L799" t="n">
        <v>3</v>
      </c>
      <c r="M799" t="inlineStr">
        <is>
          <t>2026-06-23 14:39:25</t>
        </is>
      </c>
      <c r="N799" t="inlineStr">
        <is>
          <t>system</t>
        </is>
      </c>
      <c r="O799" t="inlineStr">
        <is>
          <t>2026-06-19 07:10:32</t>
        </is>
      </c>
      <c r="P799" t="inlineStr">
        <is>
          <t>2026-06-19 07:10:32</t>
        </is>
      </c>
      <c r="Y799" t="inlineStr">
        <is>
          <t>27636283693</t>
        </is>
      </c>
    </row>
    <row r="800">
      <c r="A800" t="inlineStr">
        <is>
          <t>14942748</t>
        </is>
      </c>
      <c r="B800" t="inlineStr">
        <is>
          <t>71bb65a2-4e91-4bab-93ab-fc37bb99bc06</t>
        </is>
      </c>
      <c r="D800" t="inlineStr">
        <is>
          <t>30001087</t>
        </is>
      </c>
      <c r="E800" t="inlineStr">
        <is>
          <t>ussd_funeral_leads_altitude_20260619</t>
        </is>
      </c>
      <c r="J800" t="inlineStr">
        <is>
          <t>A</t>
        </is>
      </c>
      <c r="K800" t="inlineStr">
        <is>
          <t>Answering Machine</t>
        </is>
      </c>
      <c r="L800" t="n">
        <v>3</v>
      </c>
      <c r="M800" t="inlineStr">
        <is>
          <t>2026-06-23 14:39:25</t>
        </is>
      </c>
      <c r="N800" t="inlineStr">
        <is>
          <t>Vuyiswa Nxumalo</t>
        </is>
      </c>
      <c r="O800" t="inlineStr">
        <is>
          <t>2026-06-19 07:10:32</t>
        </is>
      </c>
      <c r="P800" t="inlineStr">
        <is>
          <t>2026-06-19 07:10:32</t>
        </is>
      </c>
      <c r="Y800" t="inlineStr">
        <is>
          <t>27822842800</t>
        </is>
      </c>
    </row>
    <row r="801">
      <c r="A801" t="inlineStr">
        <is>
          <t>14942745</t>
        </is>
      </c>
      <c r="B801" t="inlineStr">
        <is>
          <t>09d643f2-d0da-41da-a930-b2a1740d46f2</t>
        </is>
      </c>
      <c r="D801" t="inlineStr">
        <is>
          <t>30001087</t>
        </is>
      </c>
      <c r="E801" t="inlineStr">
        <is>
          <t>ussd_funeral_leads_altitude_20260619</t>
        </is>
      </c>
      <c r="J801" t="inlineStr">
        <is>
          <t>AA</t>
        </is>
      </c>
      <c r="K801" t="inlineStr">
        <is>
          <t>Answering Machine Autodial</t>
        </is>
      </c>
      <c r="L801" t="n">
        <v>3</v>
      </c>
      <c r="M801" t="inlineStr">
        <is>
          <t>2026-06-23 14:39:24</t>
        </is>
      </c>
      <c r="N801" t="inlineStr">
        <is>
          <t>system</t>
        </is>
      </c>
      <c r="O801" t="inlineStr">
        <is>
          <t>2026-06-19 07:10:32</t>
        </is>
      </c>
      <c r="P801" t="inlineStr">
        <is>
          <t>2026-06-19 07:10:32</t>
        </is>
      </c>
      <c r="Y801" t="inlineStr">
        <is>
          <t>27729074554</t>
        </is>
      </c>
    </row>
    <row r="802">
      <c r="A802" t="inlineStr">
        <is>
          <t>14942746</t>
        </is>
      </c>
      <c r="B802" t="inlineStr">
        <is>
          <t>c484e101-405d-4732-961c-09a1e7bb654a</t>
        </is>
      </c>
      <c r="D802" t="inlineStr">
        <is>
          <t>30001087</t>
        </is>
      </c>
      <c r="E802" t="inlineStr">
        <is>
          <t>ussd_funeral_leads_altitude_20260619</t>
        </is>
      </c>
      <c r="J802" t="inlineStr">
        <is>
          <t>DROP</t>
        </is>
      </c>
      <c r="K802" t="inlineStr">
        <is>
          <t>Dropped</t>
        </is>
      </c>
      <c r="L802" t="n">
        <v>3</v>
      </c>
      <c r="M802" t="inlineStr">
        <is>
          <t>2026-06-23 14:39:24</t>
        </is>
      </c>
      <c r="N802" t="inlineStr">
        <is>
          <t>system</t>
        </is>
      </c>
      <c r="O802" t="inlineStr">
        <is>
          <t>2026-06-19 07:10:32</t>
        </is>
      </c>
      <c r="P802" t="inlineStr">
        <is>
          <t>2026-06-19 07:10:32</t>
        </is>
      </c>
      <c r="Y802" t="inlineStr">
        <is>
          <t>27675319215</t>
        </is>
      </c>
    </row>
    <row r="803">
      <c r="A803" t="inlineStr">
        <is>
          <t>14942741</t>
        </is>
      </c>
      <c r="B803" t="inlineStr">
        <is>
          <t>0603d023-4367-47de-9fd8-dff53b00c047</t>
        </is>
      </c>
      <c r="D803" t="inlineStr">
        <is>
          <t>30001087</t>
        </is>
      </c>
      <c r="E803" t="inlineStr">
        <is>
          <t>ussd_funeral_leads_altitude_20260619</t>
        </is>
      </c>
      <c r="J803" t="inlineStr">
        <is>
          <t>AA</t>
        </is>
      </c>
      <c r="K803" t="inlineStr">
        <is>
          <t>Answering Machine Autodial</t>
        </is>
      </c>
      <c r="L803" t="n">
        <v>3</v>
      </c>
      <c r="M803" t="inlineStr">
        <is>
          <t>2026-06-23 14:39:07</t>
        </is>
      </c>
      <c r="N803" t="inlineStr">
        <is>
          <t>system</t>
        </is>
      </c>
      <c r="O803" t="inlineStr">
        <is>
          <t>2026-06-19 07:10:32</t>
        </is>
      </c>
      <c r="P803" t="inlineStr">
        <is>
          <t>2026-06-19 07:10:32</t>
        </is>
      </c>
      <c r="Y803" t="inlineStr">
        <is>
          <t>27607755143</t>
        </is>
      </c>
    </row>
    <row r="804">
      <c r="A804" t="inlineStr">
        <is>
          <t>14942742</t>
        </is>
      </c>
      <c r="B804" t="inlineStr">
        <is>
          <t>5af6e86d-8707-44ea-9521-ba94f7b943e3</t>
        </is>
      </c>
      <c r="D804" t="inlineStr">
        <is>
          <t>30001087</t>
        </is>
      </c>
      <c r="E804" t="inlineStr">
        <is>
          <t>ussd_funeral_leads_altitude_20260619</t>
        </is>
      </c>
      <c r="J804" t="inlineStr">
        <is>
          <t>TDN</t>
        </is>
      </c>
      <c r="K804" t="inlineStr">
        <is>
          <t>Temporary Disconnected Number</t>
        </is>
      </c>
      <c r="L804" t="n">
        <v>3</v>
      </c>
      <c r="M804" t="inlineStr">
        <is>
          <t>2026-06-23 14:39:07</t>
        </is>
      </c>
      <c r="N804" t="inlineStr">
        <is>
          <t>system</t>
        </is>
      </c>
      <c r="O804" t="inlineStr">
        <is>
          <t>2026-06-19 07:10:32</t>
        </is>
      </c>
      <c r="P804" t="inlineStr">
        <is>
          <t>2026-06-19 07:10:32</t>
        </is>
      </c>
      <c r="Y804" t="inlineStr">
        <is>
          <t>27827324075</t>
        </is>
      </c>
    </row>
    <row r="805">
      <c r="A805" t="inlineStr">
        <is>
          <t>14942743</t>
        </is>
      </c>
      <c r="B805" t="inlineStr">
        <is>
          <t>96ed0924-41db-43bc-8a8b-e44d401334e3</t>
        </is>
      </c>
      <c r="D805" t="inlineStr">
        <is>
          <t>30001087</t>
        </is>
      </c>
      <c r="E805" t="inlineStr">
        <is>
          <t>ussd_funeral_leads_altitude_20260619</t>
        </is>
      </c>
      <c r="J805" t="inlineStr">
        <is>
          <t>AA</t>
        </is>
      </c>
      <c r="K805" t="inlineStr">
        <is>
          <t>Answering Machine Autodial</t>
        </is>
      </c>
      <c r="L805" t="n">
        <v>3</v>
      </c>
      <c r="M805" t="inlineStr">
        <is>
          <t>2026-06-23 14:39:07</t>
        </is>
      </c>
      <c r="N805" t="inlineStr">
        <is>
          <t>system</t>
        </is>
      </c>
      <c r="O805" t="inlineStr">
        <is>
          <t>2026-06-19 07:10:32</t>
        </is>
      </c>
      <c r="P805" t="inlineStr">
        <is>
          <t>2026-06-19 07:10:32</t>
        </is>
      </c>
      <c r="Y805" t="inlineStr">
        <is>
          <t>27818060100</t>
        </is>
      </c>
    </row>
    <row r="806">
      <c r="A806" t="inlineStr">
        <is>
          <t>14942744</t>
        </is>
      </c>
      <c r="B806" t="inlineStr">
        <is>
          <t>f3270951-0593-4096-b2b1-642c84e7bcca</t>
        </is>
      </c>
      <c r="D806" t="inlineStr">
        <is>
          <t>30001087</t>
        </is>
      </c>
      <c r="E806" t="inlineStr">
        <is>
          <t>ussd_funeral_leads_altitude_20260619</t>
        </is>
      </c>
      <c r="J806" t="inlineStr">
        <is>
          <t>AA</t>
        </is>
      </c>
      <c r="K806" t="inlineStr">
        <is>
          <t>Answering Machine Autodial</t>
        </is>
      </c>
      <c r="L806" t="n">
        <v>3</v>
      </c>
      <c r="M806" t="inlineStr">
        <is>
          <t>2026-06-23 14:39:07</t>
        </is>
      </c>
      <c r="N806" t="inlineStr">
        <is>
          <t>system</t>
        </is>
      </c>
      <c r="O806" t="inlineStr">
        <is>
          <t>2026-06-19 07:10:32</t>
        </is>
      </c>
      <c r="P806" t="inlineStr">
        <is>
          <t>2026-06-19 07:10:32</t>
        </is>
      </c>
      <c r="Y806" t="inlineStr">
        <is>
          <t>27768560758</t>
        </is>
      </c>
    </row>
    <row r="807">
      <c r="A807" t="inlineStr">
        <is>
          <t>14942740</t>
        </is>
      </c>
      <c r="B807" t="inlineStr">
        <is>
          <t>a38797fc-c8a2-4e32-84ce-60e503e40d19</t>
        </is>
      </c>
      <c r="D807" t="inlineStr">
        <is>
          <t>30001087</t>
        </is>
      </c>
      <c r="E807" t="inlineStr">
        <is>
          <t>ussd_funeral_leads_altitude_20260619</t>
        </is>
      </c>
      <c r="J807" t="inlineStr">
        <is>
          <t>AA</t>
        </is>
      </c>
      <c r="K807" t="inlineStr">
        <is>
          <t>Answering Machine Autodial</t>
        </is>
      </c>
      <c r="L807" t="n">
        <v>3</v>
      </c>
      <c r="M807" t="inlineStr">
        <is>
          <t>2026-06-23 14:39:06</t>
        </is>
      </c>
      <c r="N807" t="inlineStr">
        <is>
          <t>system</t>
        </is>
      </c>
      <c r="O807" t="inlineStr">
        <is>
          <t>2026-06-19 07:10:32</t>
        </is>
      </c>
      <c r="P807" t="inlineStr">
        <is>
          <t>2026-06-19 07:10:32</t>
        </is>
      </c>
      <c r="Y807" t="inlineStr">
        <is>
          <t>27791504116</t>
        </is>
      </c>
    </row>
    <row r="808">
      <c r="A808" t="inlineStr">
        <is>
          <t>14942739</t>
        </is>
      </c>
      <c r="B808" t="inlineStr">
        <is>
          <t>7640b012-7221-42e6-91cf-0c1e91ba7c75</t>
        </is>
      </c>
      <c r="D808" t="inlineStr">
        <is>
          <t>30001087</t>
        </is>
      </c>
      <c r="E808" t="inlineStr">
        <is>
          <t>ussd_funeral_leads_altitude_20260619</t>
        </is>
      </c>
      <c r="J808" t="inlineStr">
        <is>
          <t>TDN</t>
        </is>
      </c>
      <c r="K808" t="inlineStr">
        <is>
          <t>Temporary Disconnected Number</t>
        </is>
      </c>
      <c r="L808" t="n">
        <v>3</v>
      </c>
      <c r="M808" t="inlineStr">
        <is>
          <t>2026-06-23 14:39:05</t>
        </is>
      </c>
      <c r="N808" t="inlineStr">
        <is>
          <t>system</t>
        </is>
      </c>
      <c r="O808" t="inlineStr">
        <is>
          <t>2026-06-19 07:10:32</t>
        </is>
      </c>
      <c r="P808" t="inlineStr">
        <is>
          <t>2026-06-19 07:10:32</t>
        </is>
      </c>
      <c r="Y808" t="inlineStr">
        <is>
          <t>27728259846</t>
        </is>
      </c>
    </row>
    <row r="809">
      <c r="A809" t="inlineStr">
        <is>
          <t>14942737</t>
        </is>
      </c>
      <c r="B809" t="inlineStr">
        <is>
          <t>fc556a70-19c0-43be-8381-f7165d612be3</t>
        </is>
      </c>
      <c r="D809" t="inlineStr">
        <is>
          <t>30001087</t>
        </is>
      </c>
      <c r="E809" t="inlineStr">
        <is>
          <t>ussd_funeral_leads_altitude_20260619</t>
        </is>
      </c>
      <c r="J809" t="inlineStr">
        <is>
          <t>A</t>
        </is>
      </c>
      <c r="K809" t="inlineStr">
        <is>
          <t>Answering Machine</t>
        </is>
      </c>
      <c r="L809" t="n">
        <v>3</v>
      </c>
      <c r="M809" t="inlineStr">
        <is>
          <t>2026-06-23 14:38:59</t>
        </is>
      </c>
      <c r="N809" t="inlineStr">
        <is>
          <t>Vuyiswa Nxumalo</t>
        </is>
      </c>
      <c r="O809" t="inlineStr">
        <is>
          <t>2026-06-19 07:10:32</t>
        </is>
      </c>
      <c r="P809" t="inlineStr">
        <is>
          <t>2026-06-19 07:10:32</t>
        </is>
      </c>
      <c r="Y809" t="inlineStr">
        <is>
          <t>27607966550</t>
        </is>
      </c>
    </row>
    <row r="810">
      <c r="A810" t="inlineStr">
        <is>
          <t>14942738</t>
        </is>
      </c>
      <c r="B810" t="inlineStr">
        <is>
          <t>98d70186-54ec-4ca3-80e4-148d65375ad0</t>
        </is>
      </c>
      <c r="D810" t="inlineStr">
        <is>
          <t>30001087</t>
        </is>
      </c>
      <c r="E810" t="inlineStr">
        <is>
          <t>ussd_funeral_leads_altitude_20260619</t>
        </is>
      </c>
      <c r="J810" t="inlineStr">
        <is>
          <t>AA</t>
        </is>
      </c>
      <c r="K810" t="inlineStr">
        <is>
          <t>Answering Machine Autodial</t>
        </is>
      </c>
      <c r="L810" t="n">
        <v>3</v>
      </c>
      <c r="M810" t="inlineStr">
        <is>
          <t>2026-06-23 14:38:59</t>
        </is>
      </c>
      <c r="N810" t="inlineStr">
        <is>
          <t>system</t>
        </is>
      </c>
      <c r="O810" t="inlineStr">
        <is>
          <t>2026-06-19 07:10:32</t>
        </is>
      </c>
      <c r="P810" t="inlineStr">
        <is>
          <t>2026-06-19 07:10:32</t>
        </is>
      </c>
      <c r="Y810" t="inlineStr">
        <is>
          <t>27646309759</t>
        </is>
      </c>
    </row>
    <row r="811">
      <c r="A811" t="inlineStr">
        <is>
          <t>14942736</t>
        </is>
      </c>
      <c r="B811" t="inlineStr">
        <is>
          <t>32b6fb1a-de50-48bc-859c-b032fb7853c3</t>
        </is>
      </c>
      <c r="D811" t="inlineStr">
        <is>
          <t>30001087</t>
        </is>
      </c>
      <c r="E811" t="inlineStr">
        <is>
          <t>ussd_funeral_leads_altitude_20260619</t>
        </is>
      </c>
      <c r="J811" t="inlineStr">
        <is>
          <t>CU</t>
        </is>
      </c>
      <c r="K811" t="inlineStr">
        <is>
          <t>Client Hung Up</t>
        </is>
      </c>
      <c r="L811" t="n">
        <v>3</v>
      </c>
      <c r="M811" t="inlineStr">
        <is>
          <t>2026-06-23 14:38:54</t>
        </is>
      </c>
      <c r="N811" t="inlineStr">
        <is>
          <t>Goitsimang Mogwasa</t>
        </is>
      </c>
      <c r="O811" t="inlineStr">
        <is>
          <t>2026-06-19 07:10:32</t>
        </is>
      </c>
      <c r="P811" t="inlineStr">
        <is>
          <t>2026-06-19 07:10:32</t>
        </is>
      </c>
      <c r="Y811" t="inlineStr">
        <is>
          <t>27714488733</t>
        </is>
      </c>
    </row>
    <row r="812">
      <c r="A812" t="inlineStr">
        <is>
          <t>14942733</t>
        </is>
      </c>
      <c r="B812" t="inlineStr">
        <is>
          <t>88dd9ec9-bf2d-491f-95ec-eff65c4beb2e</t>
        </is>
      </c>
      <c r="D812" t="inlineStr">
        <is>
          <t>30001087</t>
        </is>
      </c>
      <c r="E812" t="inlineStr">
        <is>
          <t>ussd_funeral_leads_altitude_20260619</t>
        </is>
      </c>
      <c r="J812" t="inlineStr">
        <is>
          <t>AA</t>
        </is>
      </c>
      <c r="K812" t="inlineStr">
        <is>
          <t>Answering Machine Autodial</t>
        </is>
      </c>
      <c r="L812" t="n">
        <v>3</v>
      </c>
      <c r="M812" t="inlineStr">
        <is>
          <t>2026-06-23 14:38:53</t>
        </is>
      </c>
      <c r="N812" t="inlineStr">
        <is>
          <t>system</t>
        </is>
      </c>
      <c r="O812" t="inlineStr">
        <is>
          <t>2026-06-19 07:10:32</t>
        </is>
      </c>
      <c r="P812" t="inlineStr">
        <is>
          <t>2026-06-19 07:10:32</t>
        </is>
      </c>
      <c r="Y812" t="inlineStr">
        <is>
          <t>27727517637</t>
        </is>
      </c>
    </row>
    <row r="813">
      <c r="A813" t="inlineStr">
        <is>
          <t>14942586</t>
        </is>
      </c>
      <c r="B813" t="inlineStr">
        <is>
          <t>342a5499-15a4-4e26-85e8-016b8a164c7d</t>
        </is>
      </c>
      <c r="D813" t="inlineStr">
        <is>
          <t>30001087</t>
        </is>
      </c>
      <c r="E813" t="inlineStr">
        <is>
          <t>ussd_funeral_leads_altitude_20260619</t>
        </is>
      </c>
      <c r="J813" t="inlineStr">
        <is>
          <t>AA</t>
        </is>
      </c>
      <c r="K813" t="inlineStr">
        <is>
          <t>Answering Machine Autodial</t>
        </is>
      </c>
      <c r="L813" t="n">
        <v>3</v>
      </c>
      <c r="M813" t="inlineStr">
        <is>
          <t>2026-06-23 14:38:36</t>
        </is>
      </c>
      <c r="N813" t="inlineStr">
        <is>
          <t>system</t>
        </is>
      </c>
      <c r="O813" t="inlineStr">
        <is>
          <t>2026-06-19 07:10:32</t>
        </is>
      </c>
      <c r="P813" t="inlineStr">
        <is>
          <t>2026-06-19 07:10:32</t>
        </is>
      </c>
      <c r="Y813" t="inlineStr">
        <is>
          <t>27767851018</t>
        </is>
      </c>
    </row>
    <row r="814">
      <c r="A814" t="inlineStr">
        <is>
          <t>14942587</t>
        </is>
      </c>
      <c r="B814" t="inlineStr">
        <is>
          <t>fd479cfc-a269-4aab-a7c8-ed5f89f44d60</t>
        </is>
      </c>
      <c r="D814" t="inlineStr">
        <is>
          <t>30001087</t>
        </is>
      </c>
      <c r="E814" t="inlineStr">
        <is>
          <t>ussd_funeral_leads_altitude_20260619</t>
        </is>
      </c>
      <c r="J814" t="inlineStr">
        <is>
          <t>AA</t>
        </is>
      </c>
      <c r="K814" t="inlineStr">
        <is>
          <t>Answering Machine Autodial</t>
        </is>
      </c>
      <c r="L814" t="n">
        <v>3</v>
      </c>
      <c r="M814" t="inlineStr">
        <is>
          <t>2026-06-23 14:38:36</t>
        </is>
      </c>
      <c r="N814" t="inlineStr">
        <is>
          <t>system</t>
        </is>
      </c>
      <c r="O814" t="inlineStr">
        <is>
          <t>2026-06-19 07:10:32</t>
        </is>
      </c>
      <c r="P814" t="inlineStr">
        <is>
          <t>2026-06-19 07:10:32</t>
        </is>
      </c>
      <c r="Y814" t="inlineStr">
        <is>
          <t>27647248609</t>
        </is>
      </c>
    </row>
    <row r="815">
      <c r="A815" t="inlineStr">
        <is>
          <t>14942588</t>
        </is>
      </c>
      <c r="B815" t="inlineStr">
        <is>
          <t>e07b6e87-11d6-407e-bcd6-cad6303427d7</t>
        </is>
      </c>
      <c r="D815" t="inlineStr">
        <is>
          <t>30001087</t>
        </is>
      </c>
      <c r="E815" t="inlineStr">
        <is>
          <t>ussd_funeral_leads_altitude_20260619</t>
        </is>
      </c>
      <c r="J815" t="inlineStr">
        <is>
          <t>A</t>
        </is>
      </c>
      <c r="K815" t="inlineStr">
        <is>
          <t>Answering Machine</t>
        </is>
      </c>
      <c r="L815" t="n">
        <v>3</v>
      </c>
      <c r="M815" t="inlineStr">
        <is>
          <t>2026-06-23 14:38:36</t>
        </is>
      </c>
      <c r="N815" t="inlineStr">
        <is>
          <t>Lebohang Mabotja</t>
        </is>
      </c>
      <c r="O815" t="inlineStr">
        <is>
          <t>2026-06-19 07:10:32</t>
        </is>
      </c>
      <c r="P815" t="inlineStr">
        <is>
          <t>2026-06-19 07:10:32</t>
        </is>
      </c>
      <c r="Y815" t="inlineStr">
        <is>
          <t>27768585794</t>
        </is>
      </c>
    </row>
    <row r="816">
      <c r="A816" t="inlineStr">
        <is>
          <t>14942589</t>
        </is>
      </c>
      <c r="B816" t="inlineStr">
        <is>
          <t>3d5616ec-9d5e-4c97-9199-de02db8477d0</t>
        </is>
      </c>
      <c r="D816" t="inlineStr">
        <is>
          <t>30001087</t>
        </is>
      </c>
      <c r="E816" t="inlineStr">
        <is>
          <t>ussd_funeral_leads_altitude_20260619</t>
        </is>
      </c>
      <c r="J816" t="inlineStr">
        <is>
          <t>AA</t>
        </is>
      </c>
      <c r="K816" t="inlineStr">
        <is>
          <t>Answering Machine Autodial</t>
        </is>
      </c>
      <c r="L816" t="n">
        <v>3</v>
      </c>
      <c r="M816" t="inlineStr">
        <is>
          <t>2026-06-23 14:38:36</t>
        </is>
      </c>
      <c r="N816" t="inlineStr">
        <is>
          <t>system</t>
        </is>
      </c>
      <c r="O816" t="inlineStr">
        <is>
          <t>2026-06-19 07:10:32</t>
        </is>
      </c>
      <c r="P816" t="inlineStr">
        <is>
          <t>2026-06-19 07:10:32</t>
        </is>
      </c>
      <c r="Y816" t="inlineStr">
        <is>
          <t>27714433393</t>
        </is>
      </c>
    </row>
    <row r="817">
      <c r="A817" t="inlineStr">
        <is>
          <t>14942591</t>
        </is>
      </c>
      <c r="B817" t="inlineStr">
        <is>
          <t>e75c7342-e04c-45d3-9187-f13bebb7d8b6</t>
        </is>
      </c>
      <c r="D817" t="inlineStr">
        <is>
          <t>30001087</t>
        </is>
      </c>
      <c r="E817" t="inlineStr">
        <is>
          <t>ussd_funeral_leads_altitude_20260619</t>
        </is>
      </c>
      <c r="J817" t="inlineStr">
        <is>
          <t>ADC</t>
        </is>
      </c>
      <c r="K817" t="inlineStr">
        <is>
          <t>Auto Dial Disconnected</t>
        </is>
      </c>
      <c r="L817" t="n">
        <v>3</v>
      </c>
      <c r="M817" t="inlineStr">
        <is>
          <t>2026-06-23 14:38:35</t>
        </is>
      </c>
      <c r="N817" t="inlineStr">
        <is>
          <t>system</t>
        </is>
      </c>
      <c r="O817" t="inlineStr">
        <is>
          <t>2026-06-19 07:10:32</t>
        </is>
      </c>
      <c r="P817" t="inlineStr">
        <is>
          <t>2026-06-19 07:10:32</t>
        </is>
      </c>
      <c r="Y817" t="inlineStr">
        <is>
          <t>27662585789</t>
        </is>
      </c>
    </row>
    <row r="818">
      <c r="A818" t="inlineStr">
        <is>
          <t>14942590</t>
        </is>
      </c>
      <c r="B818" t="inlineStr">
        <is>
          <t>26798cf8-6204-4ebb-ab4f-c3ce35da7165</t>
        </is>
      </c>
      <c r="D818" t="inlineStr">
        <is>
          <t>30001087</t>
        </is>
      </c>
      <c r="E818" t="inlineStr">
        <is>
          <t>ussd_funeral_leads_altitude_20260619</t>
        </is>
      </c>
      <c r="J818" t="inlineStr">
        <is>
          <t>ADC</t>
        </is>
      </c>
      <c r="K818" t="inlineStr">
        <is>
          <t>Auto Dial Disconnected</t>
        </is>
      </c>
      <c r="L818" t="n">
        <v>3</v>
      </c>
      <c r="M818" t="inlineStr">
        <is>
          <t>2026-06-23 14:38:33</t>
        </is>
      </c>
      <c r="N818" t="inlineStr">
        <is>
          <t>system</t>
        </is>
      </c>
      <c r="O818" t="inlineStr">
        <is>
          <t>2026-06-19 07:10:32</t>
        </is>
      </c>
      <c r="P818" t="inlineStr">
        <is>
          <t>2026-06-19 07:10:32</t>
        </is>
      </c>
      <c r="Y818" t="inlineStr">
        <is>
          <t>27764215891</t>
        </is>
      </c>
    </row>
    <row r="819">
      <c r="A819" t="inlineStr">
        <is>
          <t>14942729</t>
        </is>
      </c>
      <c r="B819" t="inlineStr">
        <is>
          <t>bc4906e5-0053-42a4-a6f2-6439ed743b77</t>
        </is>
      </c>
      <c r="D819" t="inlineStr">
        <is>
          <t>30001087</t>
        </is>
      </c>
      <c r="E819" t="inlineStr">
        <is>
          <t>ussd_funeral_leads_altitude_20260619</t>
        </is>
      </c>
      <c r="J819" t="inlineStr">
        <is>
          <t>AE</t>
        </is>
      </c>
      <c r="K819" t="inlineStr">
        <is>
          <t>Auto Engaged</t>
        </is>
      </c>
      <c r="L819" t="n">
        <v>3</v>
      </c>
      <c r="M819" t="inlineStr">
        <is>
          <t>2026-06-23 14:38:28</t>
        </is>
      </c>
      <c r="N819" t="inlineStr">
        <is>
          <t>system</t>
        </is>
      </c>
      <c r="O819" t="inlineStr">
        <is>
          <t>2026-06-19 07:10:32</t>
        </is>
      </c>
      <c r="P819" t="inlineStr">
        <is>
          <t>2026-06-19 07:10:32</t>
        </is>
      </c>
      <c r="Y819" t="inlineStr">
        <is>
          <t>27608329786</t>
        </is>
      </c>
    </row>
    <row r="820">
      <c r="A820" t="inlineStr">
        <is>
          <t>14942731</t>
        </is>
      </c>
      <c r="B820" t="inlineStr">
        <is>
          <t>3a74391c-90ce-4a4e-bdd2-9432dc23c3cf</t>
        </is>
      </c>
      <c r="D820" t="inlineStr">
        <is>
          <t>30001087</t>
        </is>
      </c>
      <c r="E820" t="inlineStr">
        <is>
          <t>ussd_funeral_leads_altitude_20260619</t>
        </is>
      </c>
      <c r="J820" t="inlineStr">
        <is>
          <t>CU</t>
        </is>
      </c>
      <c r="K820" t="inlineStr">
        <is>
          <t>Client Hung Up</t>
        </is>
      </c>
      <c r="L820" t="n">
        <v>3</v>
      </c>
      <c r="M820" t="inlineStr">
        <is>
          <t>2026-06-23 14:38:28</t>
        </is>
      </c>
      <c r="N820" t="inlineStr">
        <is>
          <t>Vuyiswa Nxumalo</t>
        </is>
      </c>
      <c r="O820" t="inlineStr">
        <is>
          <t>2026-06-19 07:10:32</t>
        </is>
      </c>
      <c r="P820" t="inlineStr">
        <is>
          <t>2026-06-19 07:10:32</t>
        </is>
      </c>
      <c r="Y820" t="inlineStr">
        <is>
          <t>27790608611</t>
        </is>
      </c>
    </row>
    <row r="821">
      <c r="A821" t="inlineStr">
        <is>
          <t>14942732</t>
        </is>
      </c>
      <c r="B821" t="inlineStr">
        <is>
          <t>ed38e679-26a5-4980-ac10-462ff1d75242</t>
        </is>
      </c>
      <c r="D821" t="inlineStr">
        <is>
          <t>30001087</t>
        </is>
      </c>
      <c r="E821" t="inlineStr">
        <is>
          <t>ussd_funeral_leads_altitude_20260619</t>
        </is>
      </c>
      <c r="J821" t="inlineStr">
        <is>
          <t>AA</t>
        </is>
      </c>
      <c r="K821" t="inlineStr">
        <is>
          <t>Answering Machine Autodial</t>
        </is>
      </c>
      <c r="L821" t="n">
        <v>3</v>
      </c>
      <c r="M821" t="inlineStr">
        <is>
          <t>2026-06-23 14:38:28</t>
        </is>
      </c>
      <c r="N821" t="inlineStr">
        <is>
          <t>system</t>
        </is>
      </c>
      <c r="O821" t="inlineStr">
        <is>
          <t>2026-06-19 07:10:32</t>
        </is>
      </c>
      <c r="P821" t="inlineStr">
        <is>
          <t>2026-06-19 07:10:32</t>
        </is>
      </c>
      <c r="Y821" t="inlineStr">
        <is>
          <t>27794369096</t>
        </is>
      </c>
    </row>
    <row r="822">
      <c r="A822" t="inlineStr">
        <is>
          <t>14942727</t>
        </is>
      </c>
      <c r="B822" t="inlineStr">
        <is>
          <t>c34f0a0b-f264-4f51-b97b-1c6c5d2a01cf</t>
        </is>
      </c>
      <c r="D822" t="inlineStr">
        <is>
          <t>30001087</t>
        </is>
      </c>
      <c r="E822" t="inlineStr">
        <is>
          <t>ussd_funeral_leads_altitude_20260619</t>
        </is>
      </c>
      <c r="J822" t="inlineStr">
        <is>
          <t>AE</t>
        </is>
      </c>
      <c r="K822" t="inlineStr">
        <is>
          <t>Auto Engaged</t>
        </is>
      </c>
      <c r="L822" t="n">
        <v>3</v>
      </c>
      <c r="M822" t="inlineStr">
        <is>
          <t>2026-06-23 14:38:15</t>
        </is>
      </c>
      <c r="N822" t="inlineStr">
        <is>
          <t>system</t>
        </is>
      </c>
      <c r="O822" t="inlineStr">
        <is>
          <t>2026-06-19 07:10:32</t>
        </is>
      </c>
      <c r="P822" t="inlineStr">
        <is>
          <t>2026-06-19 07:10:32</t>
        </is>
      </c>
      <c r="Y822" t="inlineStr">
        <is>
          <t>27606167903</t>
        </is>
      </c>
    </row>
    <row r="823">
      <c r="A823" t="inlineStr">
        <is>
          <t>14942728</t>
        </is>
      </c>
      <c r="B823" t="inlineStr">
        <is>
          <t>a54625b0-4eed-49da-8417-a2c126fa30af</t>
        </is>
      </c>
      <c r="D823" t="inlineStr">
        <is>
          <t>30001087</t>
        </is>
      </c>
      <c r="E823" t="inlineStr">
        <is>
          <t>ussd_funeral_leads_altitude_20260619</t>
        </is>
      </c>
      <c r="J823" t="inlineStr">
        <is>
          <t>NA</t>
        </is>
      </c>
      <c r="K823" t="inlineStr">
        <is>
          <t>No Answer Autodial</t>
        </is>
      </c>
      <c r="L823" t="n">
        <v>3</v>
      </c>
      <c r="M823" t="inlineStr">
        <is>
          <t>2026-06-23 14:38:15</t>
        </is>
      </c>
      <c r="N823" t="inlineStr">
        <is>
          <t>system</t>
        </is>
      </c>
      <c r="O823" t="inlineStr">
        <is>
          <t>2026-06-19 07:10:32</t>
        </is>
      </c>
      <c r="P823" t="inlineStr">
        <is>
          <t>2026-06-19 07:10:32</t>
        </is>
      </c>
      <c r="Y823" t="inlineStr">
        <is>
          <t>27827932015</t>
        </is>
      </c>
    </row>
    <row r="824">
      <c r="A824" t="inlineStr">
        <is>
          <t>14942726</t>
        </is>
      </c>
      <c r="B824" t="inlineStr">
        <is>
          <t>89de9718-c994-4e60-bf64-8a78cc60ab4a</t>
        </is>
      </c>
      <c r="D824" t="inlineStr">
        <is>
          <t>30001087</t>
        </is>
      </c>
      <c r="E824" t="inlineStr">
        <is>
          <t>ussd_funeral_leads_altitude_20260619</t>
        </is>
      </c>
      <c r="J824" t="inlineStr">
        <is>
          <t>NA</t>
        </is>
      </c>
      <c r="K824" t="inlineStr">
        <is>
          <t>No Answer Autodial</t>
        </is>
      </c>
      <c r="L824" t="n">
        <v>3</v>
      </c>
      <c r="M824" t="inlineStr">
        <is>
          <t>2026-06-23 14:38:09</t>
        </is>
      </c>
      <c r="N824" t="inlineStr">
        <is>
          <t>system</t>
        </is>
      </c>
      <c r="O824" t="inlineStr">
        <is>
          <t>2026-06-19 07:10:32</t>
        </is>
      </c>
      <c r="P824" t="inlineStr">
        <is>
          <t>2026-06-19 07:10:32</t>
        </is>
      </c>
      <c r="Y824" t="inlineStr">
        <is>
          <t>27798350767</t>
        </is>
      </c>
    </row>
    <row r="825">
      <c r="A825" t="inlineStr">
        <is>
          <t>14947334</t>
        </is>
      </c>
      <c r="B825" t="inlineStr">
        <is>
          <t>77f025f2-78df-4bd9-a9a5-3dbcf69b36e4</t>
        </is>
      </c>
      <c r="D825" t="inlineStr">
        <is>
          <t>30001087</t>
        </is>
      </c>
      <c r="E825" t="inlineStr">
        <is>
          <t>ussd_funeral_leads_altitude_20260619</t>
        </is>
      </c>
      <c r="J825" t="inlineStr">
        <is>
          <t>AA</t>
        </is>
      </c>
      <c r="K825" t="inlineStr">
        <is>
          <t>Answering Machine Autodial</t>
        </is>
      </c>
      <c r="L825" t="n">
        <v>3</v>
      </c>
      <c r="M825" t="inlineStr">
        <is>
          <t>2026-06-23 14:38:09</t>
        </is>
      </c>
      <c r="N825" t="inlineStr">
        <is>
          <t>system</t>
        </is>
      </c>
      <c r="O825" t="inlineStr">
        <is>
          <t>2026-06-19 07:10:32</t>
        </is>
      </c>
      <c r="P825" t="inlineStr">
        <is>
          <t>2026-06-19 07:10:32</t>
        </is>
      </c>
      <c r="Y825" t="inlineStr">
        <is>
          <t>27797588001</t>
        </is>
      </c>
    </row>
    <row r="826">
      <c r="A826" t="inlineStr">
        <is>
          <t>14942759</t>
        </is>
      </c>
      <c r="B826" t="inlineStr">
        <is>
          <t>249dd785-5cd4-41d6-8603-8cde21c7dfa5</t>
        </is>
      </c>
      <c r="D826" t="inlineStr">
        <is>
          <t>30001087</t>
        </is>
      </c>
      <c r="E826" t="inlineStr">
        <is>
          <t>ussd_funeral_leads_altitude_20260619</t>
        </is>
      </c>
      <c r="J826" t="inlineStr">
        <is>
          <t>AE</t>
        </is>
      </c>
      <c r="K826" t="inlineStr">
        <is>
          <t>Auto Engaged</t>
        </is>
      </c>
      <c r="L826" t="n">
        <v>3</v>
      </c>
      <c r="M826" t="inlineStr">
        <is>
          <t>2026-06-23 14:37:22</t>
        </is>
      </c>
      <c r="N826" t="inlineStr">
        <is>
          <t>system</t>
        </is>
      </c>
      <c r="O826" t="inlineStr">
        <is>
          <t>2026-06-19 07:10:32</t>
        </is>
      </c>
      <c r="P826" t="inlineStr">
        <is>
          <t>2026-06-19 07:10:32</t>
        </is>
      </c>
      <c r="Y826" t="inlineStr">
        <is>
          <t>27798062848</t>
        </is>
      </c>
    </row>
    <row r="827">
      <c r="A827" t="inlineStr">
        <is>
          <t>14942760</t>
        </is>
      </c>
      <c r="B827" t="inlineStr">
        <is>
          <t>27611374-d57e-4ce3-a3f7-a4bd1223f1f1</t>
        </is>
      </c>
      <c r="D827" t="inlineStr">
        <is>
          <t>30001087</t>
        </is>
      </c>
      <c r="E827" t="inlineStr">
        <is>
          <t>ussd_funeral_leads_altitude_20260619</t>
        </is>
      </c>
      <c r="J827" t="inlineStr">
        <is>
          <t>TDN</t>
        </is>
      </c>
      <c r="K827" t="inlineStr">
        <is>
          <t>Temporary Disconnected Number</t>
        </is>
      </c>
      <c r="L827" t="n">
        <v>3</v>
      </c>
      <c r="M827" t="inlineStr">
        <is>
          <t>2026-06-23 14:37:22</t>
        </is>
      </c>
      <c r="N827" t="inlineStr">
        <is>
          <t>system</t>
        </is>
      </c>
      <c r="O827" t="inlineStr">
        <is>
          <t>2026-06-19 07:10:32</t>
        </is>
      </c>
      <c r="P827" t="inlineStr">
        <is>
          <t>2026-06-19 07:10:32</t>
        </is>
      </c>
      <c r="Y827" t="inlineStr">
        <is>
          <t>27794840270</t>
        </is>
      </c>
    </row>
    <row r="828">
      <c r="A828" t="inlineStr">
        <is>
          <t>14942758</t>
        </is>
      </c>
      <c r="B828" t="inlineStr">
        <is>
          <t>c380c33e-073e-4340-9153-47bdba261865</t>
        </is>
      </c>
      <c r="D828" t="inlineStr">
        <is>
          <t>30001087</t>
        </is>
      </c>
      <c r="E828" t="inlineStr">
        <is>
          <t>ussd_funeral_leads_altitude_20260619</t>
        </is>
      </c>
      <c r="J828" t="inlineStr">
        <is>
          <t>AA</t>
        </is>
      </c>
      <c r="K828" t="inlineStr">
        <is>
          <t>Answering Machine Autodial</t>
        </is>
      </c>
      <c r="L828" t="n">
        <v>3</v>
      </c>
      <c r="M828" t="inlineStr">
        <is>
          <t>2026-06-23 14:36:52</t>
        </is>
      </c>
      <c r="N828" t="inlineStr">
        <is>
          <t>system</t>
        </is>
      </c>
      <c r="O828" t="inlineStr">
        <is>
          <t>2026-06-19 07:10:32</t>
        </is>
      </c>
      <c r="P828" t="inlineStr">
        <is>
          <t>2026-06-19 07:10:32</t>
        </is>
      </c>
      <c r="Y828" t="inlineStr">
        <is>
          <t>27664431316</t>
        </is>
      </c>
    </row>
    <row r="829">
      <c r="A829" t="inlineStr">
        <is>
          <t>14943043</t>
        </is>
      </c>
      <c r="B829" t="inlineStr">
        <is>
          <t>94a1ebe8-a8a0-418e-a363-deac6a8518b6</t>
        </is>
      </c>
      <c r="D829" t="inlineStr">
        <is>
          <t>30001087</t>
        </is>
      </c>
      <c r="E829" t="inlineStr">
        <is>
          <t>ussd_funeral_leads_altitude_20260619</t>
        </is>
      </c>
      <c r="J829" t="inlineStr">
        <is>
          <t>QAVER</t>
        </is>
      </c>
      <c r="K829" t="inlineStr">
        <is>
          <t>Sale Made</t>
        </is>
      </c>
      <c r="L829" t="n">
        <v>4</v>
      </c>
      <c r="M829" t="inlineStr">
        <is>
          <t>2026-06-23 14:36:50</t>
        </is>
      </c>
      <c r="N829" t="inlineStr">
        <is>
          <t>Virginia Letsatsi</t>
        </is>
      </c>
      <c r="O829" t="inlineStr">
        <is>
          <t>2026-06-19 07:10:32</t>
        </is>
      </c>
      <c r="P829" t="inlineStr">
        <is>
          <t>2026-06-19 07:10:32</t>
        </is>
      </c>
      <c r="Y829" t="inlineStr">
        <is>
          <t>27725937531</t>
        </is>
      </c>
    </row>
    <row r="830">
      <c r="A830" t="inlineStr">
        <is>
          <t>14942757</t>
        </is>
      </c>
      <c r="B830" t="inlineStr">
        <is>
          <t>6324e53f-f9fe-43bd-baa3-a210b43fa426</t>
        </is>
      </c>
      <c r="D830" t="inlineStr">
        <is>
          <t>30001087</t>
        </is>
      </c>
      <c r="E830" t="inlineStr">
        <is>
          <t>ussd_funeral_leads_altitude_20260619</t>
        </is>
      </c>
      <c r="J830" t="inlineStr">
        <is>
          <t>NA</t>
        </is>
      </c>
      <c r="K830" t="inlineStr">
        <is>
          <t>No Answer Autodial</t>
        </is>
      </c>
      <c r="L830" t="n">
        <v>3</v>
      </c>
      <c r="M830" t="inlineStr">
        <is>
          <t>2026-06-23 14:36:48</t>
        </is>
      </c>
      <c r="N830" t="inlineStr">
        <is>
          <t>system</t>
        </is>
      </c>
      <c r="O830" t="inlineStr">
        <is>
          <t>2026-06-19 07:10:32</t>
        </is>
      </c>
      <c r="P830" t="inlineStr">
        <is>
          <t>2026-06-19 07:10:32</t>
        </is>
      </c>
      <c r="Y830" t="inlineStr">
        <is>
          <t>27715914452</t>
        </is>
      </c>
    </row>
    <row r="831">
      <c r="A831" t="inlineStr">
        <is>
          <t>14942756</t>
        </is>
      </c>
      <c r="B831" t="inlineStr">
        <is>
          <t>552b2eb1-04e2-455f-b70e-c4839791d1b0</t>
        </is>
      </c>
      <c r="D831" t="inlineStr">
        <is>
          <t>30001087</t>
        </is>
      </c>
      <c r="E831" t="inlineStr">
        <is>
          <t>ussd_funeral_leads_altitude_20260619</t>
        </is>
      </c>
      <c r="J831" t="inlineStr">
        <is>
          <t>AA</t>
        </is>
      </c>
      <c r="K831" t="inlineStr">
        <is>
          <t>Answering Machine Autodial</t>
        </is>
      </c>
      <c r="L831" t="n">
        <v>3</v>
      </c>
      <c r="M831" t="inlineStr">
        <is>
          <t>2026-06-23 14:36:46</t>
        </is>
      </c>
      <c r="N831" t="inlineStr">
        <is>
          <t>system</t>
        </is>
      </c>
      <c r="O831" t="inlineStr">
        <is>
          <t>2026-06-19 07:10:32</t>
        </is>
      </c>
      <c r="P831" t="inlineStr">
        <is>
          <t>2026-06-19 07:10:32</t>
        </is>
      </c>
      <c r="Y831" t="inlineStr">
        <is>
          <t>27793442231</t>
        </is>
      </c>
    </row>
    <row r="832">
      <c r="A832" t="inlineStr">
        <is>
          <t>14942755</t>
        </is>
      </c>
      <c r="B832" t="inlineStr">
        <is>
          <t>65000dbd-e19a-4bb2-9af9-4e491d029235</t>
        </is>
      </c>
      <c r="D832" t="inlineStr">
        <is>
          <t>30001087</t>
        </is>
      </c>
      <c r="E832" t="inlineStr">
        <is>
          <t>ussd_funeral_leads_altitude_20260619</t>
        </is>
      </c>
      <c r="J832" t="inlineStr">
        <is>
          <t>AE</t>
        </is>
      </c>
      <c r="K832" t="inlineStr">
        <is>
          <t>Auto Engaged</t>
        </is>
      </c>
      <c r="L832" t="n">
        <v>3</v>
      </c>
      <c r="M832" t="inlineStr">
        <is>
          <t>2026-06-23 14:36:44</t>
        </is>
      </c>
      <c r="N832" t="inlineStr">
        <is>
          <t>system</t>
        </is>
      </c>
      <c r="O832" t="inlineStr">
        <is>
          <t>2026-06-19 07:10:32</t>
        </is>
      </c>
      <c r="P832" t="inlineStr">
        <is>
          <t>2026-06-19 07:10:32</t>
        </is>
      </c>
      <c r="Y832" t="inlineStr">
        <is>
          <t>27765040226</t>
        </is>
      </c>
    </row>
    <row r="833">
      <c r="A833" t="inlineStr">
        <is>
          <t>14942753</t>
        </is>
      </c>
      <c r="B833" t="inlineStr">
        <is>
          <t>743ee8af-be4a-4f9a-9d0f-af6637385f31</t>
        </is>
      </c>
      <c r="D833" t="inlineStr">
        <is>
          <t>30001087</t>
        </is>
      </c>
      <c r="E833" t="inlineStr">
        <is>
          <t>ussd_funeral_leads_altitude_20260619</t>
        </is>
      </c>
      <c r="J833" t="inlineStr">
        <is>
          <t>NA</t>
        </is>
      </c>
      <c r="K833" t="inlineStr">
        <is>
          <t>No Answer Autodial</t>
        </is>
      </c>
      <c r="L833" t="n">
        <v>3</v>
      </c>
      <c r="M833" t="inlineStr">
        <is>
          <t>2026-06-23 14:36:42</t>
        </is>
      </c>
      <c r="N833" t="inlineStr">
        <is>
          <t>system</t>
        </is>
      </c>
      <c r="O833" t="inlineStr">
        <is>
          <t>2026-06-19 07:10:32</t>
        </is>
      </c>
      <c r="P833" t="inlineStr">
        <is>
          <t>2026-06-19 07:10:32</t>
        </is>
      </c>
      <c r="Y833" t="inlineStr">
        <is>
          <t>27769296201</t>
        </is>
      </c>
    </row>
    <row r="834">
      <c r="A834" t="inlineStr">
        <is>
          <t>14942754</t>
        </is>
      </c>
      <c r="B834" t="inlineStr">
        <is>
          <t>25460a41-1103-47b5-8f85-50ef65c3a2dd</t>
        </is>
      </c>
      <c r="D834" t="inlineStr">
        <is>
          <t>30001087</t>
        </is>
      </c>
      <c r="E834" t="inlineStr">
        <is>
          <t>ussd_funeral_leads_altitude_20260619</t>
        </is>
      </c>
      <c r="J834" t="inlineStr">
        <is>
          <t>AA</t>
        </is>
      </c>
      <c r="K834" t="inlineStr">
        <is>
          <t>Answering Machine Autodial</t>
        </is>
      </c>
      <c r="L834" t="n">
        <v>3</v>
      </c>
      <c r="M834" t="inlineStr">
        <is>
          <t>2026-06-23 14:36:42</t>
        </is>
      </c>
      <c r="N834" t="inlineStr">
        <is>
          <t>system</t>
        </is>
      </c>
      <c r="O834" t="inlineStr">
        <is>
          <t>2026-06-19 07:10:32</t>
        </is>
      </c>
      <c r="P834" t="inlineStr">
        <is>
          <t>2026-06-19 07:10:32</t>
        </is>
      </c>
      <c r="Y834" t="inlineStr">
        <is>
          <t>27769403018</t>
        </is>
      </c>
    </row>
    <row r="835">
      <c r="A835" t="inlineStr">
        <is>
          <t>14942752</t>
        </is>
      </c>
      <c r="B835" t="inlineStr">
        <is>
          <t>ea201998-d28f-4d80-944f-6613a64fcd98</t>
        </is>
      </c>
      <c r="D835" t="inlineStr">
        <is>
          <t>30001087</t>
        </is>
      </c>
      <c r="E835" t="inlineStr">
        <is>
          <t>ussd_funeral_leads_altitude_20260619</t>
        </is>
      </c>
      <c r="J835" t="inlineStr">
        <is>
          <t>AA</t>
        </is>
      </c>
      <c r="K835" t="inlineStr">
        <is>
          <t>Answering Machine Autodial</t>
        </is>
      </c>
      <c r="L835" t="n">
        <v>3</v>
      </c>
      <c r="M835" t="inlineStr">
        <is>
          <t>2026-06-23 14:36:39</t>
        </is>
      </c>
      <c r="N835" t="inlineStr">
        <is>
          <t>system</t>
        </is>
      </c>
      <c r="O835" t="inlineStr">
        <is>
          <t>2026-06-19 07:10:32</t>
        </is>
      </c>
      <c r="P835" t="inlineStr">
        <is>
          <t>2026-06-19 07:10:32</t>
        </is>
      </c>
      <c r="Y835" t="inlineStr">
        <is>
          <t>27607752409</t>
        </is>
      </c>
    </row>
    <row r="836">
      <c r="A836" t="inlineStr">
        <is>
          <t>14942749</t>
        </is>
      </c>
      <c r="B836" t="inlineStr">
        <is>
          <t>43feb443-0f94-42ef-90d9-54eeb101c882</t>
        </is>
      </c>
      <c r="D836" t="inlineStr">
        <is>
          <t>30001087</t>
        </is>
      </c>
      <c r="E836" t="inlineStr">
        <is>
          <t>ussd_funeral_leads_altitude_20260619</t>
        </is>
      </c>
      <c r="J836" t="inlineStr">
        <is>
          <t>ADC</t>
        </is>
      </c>
      <c r="K836" t="inlineStr">
        <is>
          <t>Auto Dial Disconnected</t>
        </is>
      </c>
      <c r="L836" t="n">
        <v>3</v>
      </c>
      <c r="M836" t="inlineStr">
        <is>
          <t>2026-06-23 14:36:37</t>
        </is>
      </c>
      <c r="N836" t="inlineStr">
        <is>
          <t>system</t>
        </is>
      </c>
      <c r="O836" t="inlineStr">
        <is>
          <t>2026-06-19 07:10:32</t>
        </is>
      </c>
      <c r="P836" t="inlineStr">
        <is>
          <t>2026-06-19 07:10:32</t>
        </is>
      </c>
      <c r="Y836" t="inlineStr">
        <is>
          <t>27607487900</t>
        </is>
      </c>
    </row>
    <row r="837">
      <c r="A837" t="inlineStr">
        <is>
          <t>14942750</t>
        </is>
      </c>
      <c r="B837" t="inlineStr">
        <is>
          <t>c3312623-8a8c-4a68-a782-00ab779eed2c</t>
        </is>
      </c>
      <c r="D837" t="inlineStr">
        <is>
          <t>30001087</t>
        </is>
      </c>
      <c r="E837" t="inlineStr">
        <is>
          <t>ussd_funeral_leads_altitude_20260619</t>
        </is>
      </c>
      <c r="J837" t="inlineStr">
        <is>
          <t>CUA</t>
        </is>
      </c>
      <c r="K837" t="inlineStr">
        <is>
          <t>Client Underage</t>
        </is>
      </c>
      <c r="L837" t="n">
        <v>3</v>
      </c>
      <c r="M837" t="inlineStr">
        <is>
          <t>2026-06-23 14:36:37</t>
        </is>
      </c>
      <c r="N837" t="inlineStr">
        <is>
          <t>Vuyiswa Nxumalo</t>
        </is>
      </c>
      <c r="O837" t="inlineStr">
        <is>
          <t>2026-06-19 07:10:32</t>
        </is>
      </c>
      <c r="P837" t="inlineStr">
        <is>
          <t>2026-06-19 07:10:32</t>
        </is>
      </c>
      <c r="Y837" t="inlineStr">
        <is>
          <t>27729224820</t>
        </is>
      </c>
    </row>
    <row r="838">
      <c r="A838" t="inlineStr">
        <is>
          <t>14942751</t>
        </is>
      </c>
      <c r="B838" t="inlineStr">
        <is>
          <t>06f56682-c271-4b74-ad24-dc21450f0e9b</t>
        </is>
      </c>
      <c r="D838" t="inlineStr">
        <is>
          <t>30001087</t>
        </is>
      </c>
      <c r="E838" t="inlineStr">
        <is>
          <t>ussd_funeral_leads_altitude_20260619</t>
        </is>
      </c>
      <c r="J838" t="inlineStr">
        <is>
          <t>NA</t>
        </is>
      </c>
      <c r="K838" t="inlineStr">
        <is>
          <t>No Answer Autodial</t>
        </is>
      </c>
      <c r="L838" t="n">
        <v>3</v>
      </c>
      <c r="M838" t="inlineStr">
        <is>
          <t>2026-06-23 14:36:37</t>
        </is>
      </c>
      <c r="N838" t="inlineStr">
        <is>
          <t>system</t>
        </is>
      </c>
      <c r="O838" t="inlineStr">
        <is>
          <t>2026-06-19 07:10:32</t>
        </is>
      </c>
      <c r="P838" t="inlineStr">
        <is>
          <t>2026-06-19 07:10:32</t>
        </is>
      </c>
      <c r="Y838" t="inlineStr">
        <is>
          <t>27764448254</t>
        </is>
      </c>
    </row>
    <row r="839">
      <c r="A839" t="inlineStr">
        <is>
          <t>14947333</t>
        </is>
      </c>
      <c r="B839" t="inlineStr">
        <is>
          <t>392eca91-420d-47e0-a7f7-c01162959975</t>
        </is>
      </c>
      <c r="D839" t="inlineStr">
        <is>
          <t>30001087</t>
        </is>
      </c>
      <c r="E839" t="inlineStr">
        <is>
          <t>ussd_funeral_leads_altitude_20260619</t>
        </is>
      </c>
      <c r="J839" t="inlineStr">
        <is>
          <t>AA</t>
        </is>
      </c>
      <c r="K839" t="inlineStr">
        <is>
          <t>Answering Machine Autodial</t>
        </is>
      </c>
      <c r="L839" t="n">
        <v>3</v>
      </c>
      <c r="M839" t="inlineStr">
        <is>
          <t>2026-06-23 14:36:37</t>
        </is>
      </c>
      <c r="N839" t="inlineStr">
        <is>
          <t>system</t>
        </is>
      </c>
      <c r="O839" t="inlineStr">
        <is>
          <t>2026-06-19 07:10:32</t>
        </is>
      </c>
      <c r="P839" t="inlineStr">
        <is>
          <t>2026-06-19 07:10:32</t>
        </is>
      </c>
      <c r="Y839" t="inlineStr">
        <is>
          <t>27721716810</t>
        </is>
      </c>
    </row>
    <row r="840">
      <c r="A840" t="inlineStr">
        <is>
          <t>14942888</t>
        </is>
      </c>
      <c r="B840" t="inlineStr">
        <is>
          <t>d9cde7f7-6825-46dc-9ea6-ab7e7a9e2569</t>
        </is>
      </c>
      <c r="D840" t="inlineStr">
        <is>
          <t>30001087</t>
        </is>
      </c>
      <c r="E840" t="inlineStr">
        <is>
          <t>ussd_funeral_leads_altitude_20260619</t>
        </is>
      </c>
      <c r="J840" t="inlineStr">
        <is>
          <t>AA</t>
        </is>
      </c>
      <c r="K840" t="inlineStr">
        <is>
          <t>Answering Machine Autodial</t>
        </is>
      </c>
      <c r="L840" t="n">
        <v>3</v>
      </c>
      <c r="M840" t="inlineStr">
        <is>
          <t>2026-06-23 14:35:02</t>
        </is>
      </c>
      <c r="N840" t="inlineStr">
        <is>
          <t>system</t>
        </is>
      </c>
      <c r="O840" t="inlineStr">
        <is>
          <t>2026-06-19 07:10:32</t>
        </is>
      </c>
      <c r="P840" t="inlineStr">
        <is>
          <t>2026-06-19 07:10:32</t>
        </is>
      </c>
      <c r="Y840" t="inlineStr">
        <is>
          <t>27769879899</t>
        </is>
      </c>
    </row>
    <row r="841">
      <c r="A841" t="inlineStr">
        <is>
          <t>14942826</t>
        </is>
      </c>
      <c r="B841" t="inlineStr">
        <is>
          <t>f8fd31b9-eed2-46f1-b580-1a0d3c172eae</t>
        </is>
      </c>
      <c r="D841" t="inlineStr">
        <is>
          <t>30001087</t>
        </is>
      </c>
      <c r="E841" t="inlineStr">
        <is>
          <t>ussd_funeral_leads_altitude_20260619</t>
        </is>
      </c>
      <c r="J841" t="inlineStr">
        <is>
          <t>DROP</t>
        </is>
      </c>
      <c r="K841" t="inlineStr">
        <is>
          <t>Dropped</t>
        </is>
      </c>
      <c r="L841" t="n">
        <v>3</v>
      </c>
      <c r="M841" t="inlineStr">
        <is>
          <t>2026-06-23 14:35:01</t>
        </is>
      </c>
      <c r="N841" t="inlineStr">
        <is>
          <t>system</t>
        </is>
      </c>
      <c r="O841" t="inlineStr">
        <is>
          <t>2026-06-19 07:10:32</t>
        </is>
      </c>
      <c r="P841" t="inlineStr">
        <is>
          <t>2026-06-19 07:10:32</t>
        </is>
      </c>
      <c r="Y841" t="inlineStr">
        <is>
          <t>27795042523</t>
        </is>
      </c>
    </row>
    <row r="842">
      <c r="A842" t="inlineStr">
        <is>
          <t>14942825</t>
        </is>
      </c>
      <c r="B842" t="inlineStr">
        <is>
          <t>ce21a6ef-1520-4507-ac11-9b917103257c</t>
        </is>
      </c>
      <c r="D842" t="inlineStr">
        <is>
          <t>30001087</t>
        </is>
      </c>
      <c r="E842" t="inlineStr">
        <is>
          <t>ussd_funeral_leads_altitude_20260619</t>
        </is>
      </c>
      <c r="J842" t="inlineStr">
        <is>
          <t>DROP</t>
        </is>
      </c>
      <c r="K842" t="inlineStr">
        <is>
          <t>Dropped</t>
        </is>
      </c>
      <c r="L842" t="n">
        <v>3</v>
      </c>
      <c r="M842" t="inlineStr">
        <is>
          <t>2026-06-23 14:35:00</t>
        </is>
      </c>
      <c r="N842" t="inlineStr">
        <is>
          <t>system</t>
        </is>
      </c>
      <c r="O842" t="inlineStr">
        <is>
          <t>2026-06-19 07:10:32</t>
        </is>
      </c>
      <c r="P842" t="inlineStr">
        <is>
          <t>2026-06-19 07:10:32</t>
        </is>
      </c>
      <c r="Y842" t="inlineStr">
        <is>
          <t>27768543158</t>
        </is>
      </c>
    </row>
    <row r="843">
      <c r="A843" t="inlineStr">
        <is>
          <t>14942887</t>
        </is>
      </c>
      <c r="B843" t="inlineStr">
        <is>
          <t>192b5512-5673-494d-a616-3cf37c4ac0e8</t>
        </is>
      </c>
      <c r="D843" t="inlineStr">
        <is>
          <t>30001087</t>
        </is>
      </c>
      <c r="E843" t="inlineStr">
        <is>
          <t>ussd_funeral_leads_altitude_20260619</t>
        </is>
      </c>
      <c r="J843" t="inlineStr">
        <is>
          <t>TDN</t>
        </is>
      </c>
      <c r="K843" t="inlineStr">
        <is>
          <t>Temporary Disconnected Number</t>
        </is>
      </c>
      <c r="L843" t="n">
        <v>3</v>
      </c>
      <c r="M843" t="inlineStr">
        <is>
          <t>2026-06-23 14:35:00</t>
        </is>
      </c>
      <c r="N843" t="inlineStr">
        <is>
          <t>system</t>
        </is>
      </c>
      <c r="O843" t="inlineStr">
        <is>
          <t>2026-06-19 07:10:32</t>
        </is>
      </c>
      <c r="P843" t="inlineStr">
        <is>
          <t>2026-06-19 07:10:32</t>
        </is>
      </c>
      <c r="Y843" t="inlineStr">
        <is>
          <t>27720324551</t>
        </is>
      </c>
    </row>
    <row r="844">
      <c r="A844" t="inlineStr">
        <is>
          <t>14942824</t>
        </is>
      </c>
      <c r="B844" t="inlineStr">
        <is>
          <t>fd4e37b7-c564-47dc-9ad5-85b0fede16e5</t>
        </is>
      </c>
      <c r="D844" t="inlineStr">
        <is>
          <t>30001087</t>
        </is>
      </c>
      <c r="E844" t="inlineStr">
        <is>
          <t>ussd_funeral_leads_altitude_20260619</t>
        </is>
      </c>
      <c r="J844" t="inlineStr">
        <is>
          <t>AA</t>
        </is>
      </c>
      <c r="K844" t="inlineStr">
        <is>
          <t>Answering Machine Autodial</t>
        </is>
      </c>
      <c r="L844" t="n">
        <v>3</v>
      </c>
      <c r="M844" t="inlineStr">
        <is>
          <t>2026-06-23 14:34:59</t>
        </is>
      </c>
      <c r="N844" t="inlineStr">
        <is>
          <t>system</t>
        </is>
      </c>
      <c r="O844" t="inlineStr">
        <is>
          <t>2026-06-19 07:10:32</t>
        </is>
      </c>
      <c r="P844" t="inlineStr">
        <is>
          <t>2026-06-19 07:10:32</t>
        </is>
      </c>
      <c r="Y844" t="inlineStr">
        <is>
          <t>27726265690</t>
        </is>
      </c>
    </row>
    <row r="845">
      <c r="A845" t="inlineStr">
        <is>
          <t>14942886</t>
        </is>
      </c>
      <c r="B845" t="inlineStr">
        <is>
          <t>781adf4b-7479-4a6b-a0a1-619ad834ebd5</t>
        </is>
      </c>
      <c r="D845" t="inlineStr">
        <is>
          <t>30001087</t>
        </is>
      </c>
      <c r="E845" t="inlineStr">
        <is>
          <t>ussd_funeral_leads_altitude_20260619</t>
        </is>
      </c>
      <c r="J845" t="inlineStr">
        <is>
          <t>ADC</t>
        </is>
      </c>
      <c r="K845" t="inlineStr">
        <is>
          <t>Auto Dial Disconnected</t>
        </is>
      </c>
      <c r="L845" t="n">
        <v>3</v>
      </c>
      <c r="M845" t="inlineStr">
        <is>
          <t>2026-06-23 14:34:59</t>
        </is>
      </c>
      <c r="N845" t="inlineStr">
        <is>
          <t>system</t>
        </is>
      </c>
      <c r="O845" t="inlineStr">
        <is>
          <t>2026-06-19 07:10:32</t>
        </is>
      </c>
      <c r="P845" t="inlineStr">
        <is>
          <t>2026-06-19 07:10:32</t>
        </is>
      </c>
      <c r="Y845" t="inlineStr">
        <is>
          <t>27648987036</t>
        </is>
      </c>
    </row>
    <row r="846">
      <c r="A846" t="inlineStr">
        <is>
          <t>14942823</t>
        </is>
      </c>
      <c r="B846" t="inlineStr">
        <is>
          <t>1f05ee94-e842-4208-92f1-870e7415d359</t>
        </is>
      </c>
      <c r="D846" t="inlineStr">
        <is>
          <t>30001087</t>
        </is>
      </c>
      <c r="E846" t="inlineStr">
        <is>
          <t>ussd_funeral_leads_altitude_20260619</t>
        </is>
      </c>
      <c r="J846" t="inlineStr">
        <is>
          <t>AA</t>
        </is>
      </c>
      <c r="K846" t="inlineStr">
        <is>
          <t>Answering Machine Autodial</t>
        </is>
      </c>
      <c r="L846" t="n">
        <v>3</v>
      </c>
      <c r="M846" t="inlineStr">
        <is>
          <t>2026-06-23 14:34:58</t>
        </is>
      </c>
      <c r="N846" t="inlineStr">
        <is>
          <t>system</t>
        </is>
      </c>
      <c r="O846" t="inlineStr">
        <is>
          <t>2026-06-19 07:10:32</t>
        </is>
      </c>
      <c r="P846" t="inlineStr">
        <is>
          <t>2026-06-19 07:10:32</t>
        </is>
      </c>
      <c r="Y846" t="inlineStr">
        <is>
          <t>27798248930</t>
        </is>
      </c>
    </row>
    <row r="847">
      <c r="A847" t="inlineStr">
        <is>
          <t>14942885</t>
        </is>
      </c>
      <c r="B847" t="inlineStr">
        <is>
          <t>61c72fa7-ad23-4e7e-8b9b-9b76a811f000</t>
        </is>
      </c>
      <c r="D847" t="inlineStr">
        <is>
          <t>30001087</t>
        </is>
      </c>
      <c r="E847" t="inlineStr">
        <is>
          <t>ussd_funeral_leads_altitude_20260619</t>
        </is>
      </c>
      <c r="J847" t="inlineStr">
        <is>
          <t>AA</t>
        </is>
      </c>
      <c r="K847" t="inlineStr">
        <is>
          <t>Answering Machine Autodial</t>
        </is>
      </c>
      <c r="L847" t="n">
        <v>3</v>
      </c>
      <c r="M847" t="inlineStr">
        <is>
          <t>2026-06-23 14:34:58</t>
        </is>
      </c>
      <c r="N847" t="inlineStr">
        <is>
          <t>system</t>
        </is>
      </c>
      <c r="O847" t="inlineStr">
        <is>
          <t>2026-06-19 07:10:32</t>
        </is>
      </c>
      <c r="P847" t="inlineStr">
        <is>
          <t>2026-06-19 07:10:32</t>
        </is>
      </c>
      <c r="Y847" t="inlineStr">
        <is>
          <t>27773712915</t>
        </is>
      </c>
    </row>
    <row r="848">
      <c r="A848" t="inlineStr">
        <is>
          <t>14942883</t>
        </is>
      </c>
      <c r="B848" t="inlineStr">
        <is>
          <t>0d1987f6-1f4c-4b27-afbb-164507caa995</t>
        </is>
      </c>
      <c r="D848" t="inlineStr">
        <is>
          <t>30001087</t>
        </is>
      </c>
      <c r="E848" t="inlineStr">
        <is>
          <t>ussd_funeral_leads_altitude_20260619</t>
        </is>
      </c>
      <c r="J848" t="inlineStr">
        <is>
          <t>AA</t>
        </is>
      </c>
      <c r="K848" t="inlineStr">
        <is>
          <t>Answering Machine Autodial</t>
        </is>
      </c>
      <c r="L848" t="n">
        <v>3</v>
      </c>
      <c r="M848" t="inlineStr">
        <is>
          <t>2026-06-23 14:34:56</t>
        </is>
      </c>
      <c r="N848" t="inlineStr">
        <is>
          <t>system</t>
        </is>
      </c>
      <c r="O848" t="inlineStr">
        <is>
          <t>2026-06-19 07:10:32</t>
        </is>
      </c>
      <c r="P848" t="inlineStr">
        <is>
          <t>2026-06-19 07:10:32</t>
        </is>
      </c>
      <c r="Y848" t="inlineStr">
        <is>
          <t>27608911030</t>
        </is>
      </c>
    </row>
    <row r="849">
      <c r="A849" t="inlineStr">
        <is>
          <t>14942884</t>
        </is>
      </c>
      <c r="B849" t="inlineStr">
        <is>
          <t>c28b84b4-6694-427f-85f9-a8ccfe7dfad0</t>
        </is>
      </c>
      <c r="D849" t="inlineStr">
        <is>
          <t>30001087</t>
        </is>
      </c>
      <c r="E849" t="inlineStr">
        <is>
          <t>ussd_funeral_leads_altitude_20260619</t>
        </is>
      </c>
      <c r="J849" t="inlineStr">
        <is>
          <t>TDN</t>
        </is>
      </c>
      <c r="K849" t="inlineStr">
        <is>
          <t>Temporary Disconnected Number</t>
        </is>
      </c>
      <c r="L849" t="n">
        <v>3</v>
      </c>
      <c r="M849" t="inlineStr">
        <is>
          <t>2026-06-23 14:34:56</t>
        </is>
      </c>
      <c r="N849" t="inlineStr">
        <is>
          <t>system</t>
        </is>
      </c>
      <c r="O849" t="inlineStr">
        <is>
          <t>2026-06-19 07:10:32</t>
        </is>
      </c>
      <c r="P849" t="inlineStr">
        <is>
          <t>2026-06-19 07:10:32</t>
        </is>
      </c>
      <c r="Y849" t="inlineStr">
        <is>
          <t>27825458382</t>
        </is>
      </c>
    </row>
    <row r="850">
      <c r="A850" t="inlineStr">
        <is>
          <t>14942822</t>
        </is>
      </c>
      <c r="B850" t="inlineStr">
        <is>
          <t>cda12894-dc90-49b9-ab60-3886a01afafd</t>
        </is>
      </c>
      <c r="D850" t="inlineStr">
        <is>
          <t>30001087</t>
        </is>
      </c>
      <c r="E850" t="inlineStr">
        <is>
          <t>ussd_funeral_leads_altitude_20260619</t>
        </is>
      </c>
      <c r="J850" t="inlineStr">
        <is>
          <t>TDN</t>
        </is>
      </c>
      <c r="K850" t="inlineStr">
        <is>
          <t>Temporary Disconnected Number</t>
        </is>
      </c>
      <c r="L850" t="n">
        <v>3</v>
      </c>
      <c r="M850" t="inlineStr">
        <is>
          <t>2026-06-23 14:34:55</t>
        </is>
      </c>
      <c r="N850" t="inlineStr">
        <is>
          <t>system</t>
        </is>
      </c>
      <c r="O850" t="inlineStr">
        <is>
          <t>2026-06-19 07:10:32</t>
        </is>
      </c>
      <c r="P850" t="inlineStr">
        <is>
          <t>2026-06-19 07:10:32</t>
        </is>
      </c>
      <c r="Y850" t="inlineStr">
        <is>
          <t>27713770221</t>
        </is>
      </c>
    </row>
    <row r="851">
      <c r="A851" t="inlineStr">
        <is>
          <t>14942820</t>
        </is>
      </c>
      <c r="B851" t="inlineStr">
        <is>
          <t>7acfbee8-2fb4-422c-9b01-2a13c367f1d1</t>
        </is>
      </c>
      <c r="D851" t="inlineStr">
        <is>
          <t>30001087</t>
        </is>
      </c>
      <c r="E851" t="inlineStr">
        <is>
          <t>ussd_funeral_leads_altitude_20260619</t>
        </is>
      </c>
      <c r="J851" t="inlineStr">
        <is>
          <t>AA</t>
        </is>
      </c>
      <c r="K851" t="inlineStr">
        <is>
          <t>Answering Machine Autodial</t>
        </is>
      </c>
      <c r="L851" t="n">
        <v>3</v>
      </c>
      <c r="M851" t="inlineStr">
        <is>
          <t>2026-06-23 14:34:54</t>
        </is>
      </c>
      <c r="N851" t="inlineStr">
        <is>
          <t>system</t>
        </is>
      </c>
      <c r="O851" t="inlineStr">
        <is>
          <t>2026-06-19 07:10:32</t>
        </is>
      </c>
      <c r="P851" t="inlineStr">
        <is>
          <t>2026-06-19 07:10:32</t>
        </is>
      </c>
      <c r="Y851" t="inlineStr">
        <is>
          <t>27720829797</t>
        </is>
      </c>
    </row>
    <row r="852">
      <c r="A852" t="inlineStr">
        <is>
          <t>14942819</t>
        </is>
      </c>
      <c r="B852" t="inlineStr">
        <is>
          <t>b88c0423-f09e-45bb-9f66-cbf7328d1d90</t>
        </is>
      </c>
      <c r="D852" t="inlineStr">
        <is>
          <t>30001087</t>
        </is>
      </c>
      <c r="E852" t="inlineStr">
        <is>
          <t>ussd_funeral_leads_altitude_20260619</t>
        </is>
      </c>
      <c r="J852" t="inlineStr">
        <is>
          <t>AA</t>
        </is>
      </c>
      <c r="K852" t="inlineStr">
        <is>
          <t>Answering Machine Autodial</t>
        </is>
      </c>
      <c r="L852" t="n">
        <v>3</v>
      </c>
      <c r="M852" t="inlineStr">
        <is>
          <t>2026-06-23 14:34:54</t>
        </is>
      </c>
      <c r="N852" t="inlineStr">
        <is>
          <t>system</t>
        </is>
      </c>
      <c r="O852" t="inlineStr">
        <is>
          <t>2026-06-19 07:10:32</t>
        </is>
      </c>
      <c r="P852" t="inlineStr">
        <is>
          <t>2026-06-19 07:10:32</t>
        </is>
      </c>
      <c r="Y852" t="inlineStr">
        <is>
          <t>27649154624</t>
        </is>
      </c>
    </row>
    <row r="853">
      <c r="A853" t="inlineStr">
        <is>
          <t>14942881</t>
        </is>
      </c>
      <c r="B853" t="inlineStr">
        <is>
          <t>b7759211-ce6c-449a-bc2f-30102389f39a</t>
        </is>
      </c>
      <c r="D853" t="inlineStr">
        <is>
          <t>30001087</t>
        </is>
      </c>
      <c r="E853" t="inlineStr">
        <is>
          <t>ussd_funeral_leads_altitude_20260619</t>
        </is>
      </c>
      <c r="J853" t="inlineStr">
        <is>
          <t>AA</t>
        </is>
      </c>
      <c r="K853" t="inlineStr">
        <is>
          <t>Answering Machine Autodial</t>
        </is>
      </c>
      <c r="L853" t="n">
        <v>3</v>
      </c>
      <c r="M853" t="inlineStr">
        <is>
          <t>2026-06-23 14:34:54</t>
        </is>
      </c>
      <c r="N853" t="inlineStr">
        <is>
          <t>system</t>
        </is>
      </c>
      <c r="O853" t="inlineStr">
        <is>
          <t>2026-06-19 07:10:32</t>
        </is>
      </c>
      <c r="P853" t="inlineStr">
        <is>
          <t>2026-06-19 07:10:32</t>
        </is>
      </c>
      <c r="Y853" t="inlineStr">
        <is>
          <t>27772034069</t>
        </is>
      </c>
    </row>
    <row r="854">
      <c r="A854" t="inlineStr">
        <is>
          <t>14942882</t>
        </is>
      </c>
      <c r="B854" t="inlineStr">
        <is>
          <t>ce255784-14fe-45fa-be8f-19655bce2f7a</t>
        </is>
      </c>
      <c r="D854" t="inlineStr">
        <is>
          <t>30001087</t>
        </is>
      </c>
      <c r="E854" t="inlineStr">
        <is>
          <t>ussd_funeral_leads_altitude_20260619</t>
        </is>
      </c>
      <c r="J854" t="inlineStr">
        <is>
          <t>NA</t>
        </is>
      </c>
      <c r="K854" t="inlineStr">
        <is>
          <t>No Answer Autodial</t>
        </is>
      </c>
      <c r="L854" t="n">
        <v>3</v>
      </c>
      <c r="M854" t="inlineStr">
        <is>
          <t>2026-06-23 14:34:54</t>
        </is>
      </c>
      <c r="N854" t="inlineStr">
        <is>
          <t>system</t>
        </is>
      </c>
      <c r="O854" t="inlineStr">
        <is>
          <t>2026-06-19 07:10:32</t>
        </is>
      </c>
      <c r="P854" t="inlineStr">
        <is>
          <t>2026-06-19 07:10:32</t>
        </is>
      </c>
      <c r="Y854" t="inlineStr">
        <is>
          <t>27760865614</t>
        </is>
      </c>
    </row>
    <row r="855">
      <c r="A855" t="inlineStr">
        <is>
          <t>14942817</t>
        </is>
      </c>
      <c r="B855" t="inlineStr">
        <is>
          <t>ef51b2bb-a2d9-43b6-b418-09bb9c50e4f3</t>
        </is>
      </c>
      <c r="D855" t="inlineStr">
        <is>
          <t>30001087</t>
        </is>
      </c>
      <c r="E855" t="inlineStr">
        <is>
          <t>ussd_funeral_leads_altitude_20260619</t>
        </is>
      </c>
      <c r="J855" t="inlineStr">
        <is>
          <t>AA</t>
        </is>
      </c>
      <c r="K855" t="inlineStr">
        <is>
          <t>Answering Machine Autodial</t>
        </is>
      </c>
      <c r="L855" t="n">
        <v>3</v>
      </c>
      <c r="M855" t="inlineStr">
        <is>
          <t>2026-06-23 14:34:53</t>
        </is>
      </c>
      <c r="N855" t="inlineStr">
        <is>
          <t>system</t>
        </is>
      </c>
      <c r="O855" t="inlineStr">
        <is>
          <t>2026-06-19 07:10:32</t>
        </is>
      </c>
      <c r="P855" t="inlineStr">
        <is>
          <t>2026-06-19 07:10:32</t>
        </is>
      </c>
      <c r="Y855" t="inlineStr">
        <is>
          <t>27823928556</t>
        </is>
      </c>
    </row>
    <row r="856">
      <c r="A856" t="inlineStr">
        <is>
          <t>14942818</t>
        </is>
      </c>
      <c r="B856" t="inlineStr">
        <is>
          <t>de12293c-3779-42a3-8896-7073d31f759d</t>
        </is>
      </c>
      <c r="D856" t="inlineStr">
        <is>
          <t>30001087</t>
        </is>
      </c>
      <c r="E856" t="inlineStr">
        <is>
          <t>ussd_funeral_leads_altitude_20260619</t>
        </is>
      </c>
      <c r="J856" t="inlineStr">
        <is>
          <t>AA</t>
        </is>
      </c>
      <c r="K856" t="inlineStr">
        <is>
          <t>Answering Machine Autodial</t>
        </is>
      </c>
      <c r="L856" t="n">
        <v>3</v>
      </c>
      <c r="M856" t="inlineStr">
        <is>
          <t>2026-06-23 14:34:53</t>
        </is>
      </c>
      <c r="N856" t="inlineStr">
        <is>
          <t>system</t>
        </is>
      </c>
      <c r="O856" t="inlineStr">
        <is>
          <t>2026-06-19 07:10:32</t>
        </is>
      </c>
      <c r="P856" t="inlineStr">
        <is>
          <t>2026-06-19 07:10:32</t>
        </is>
      </c>
      <c r="Y856" t="inlineStr">
        <is>
          <t>27727027416</t>
        </is>
      </c>
    </row>
    <row r="857">
      <c r="A857" t="inlineStr">
        <is>
          <t>14942880</t>
        </is>
      </c>
      <c r="B857" t="inlineStr">
        <is>
          <t>25df1482-0ad0-48b1-8f22-3a3311bd7165</t>
        </is>
      </c>
      <c r="D857" t="inlineStr">
        <is>
          <t>30001087</t>
        </is>
      </c>
      <c r="E857" t="inlineStr">
        <is>
          <t>ussd_funeral_leads_altitude_20260619</t>
        </is>
      </c>
      <c r="J857" t="inlineStr">
        <is>
          <t>AA</t>
        </is>
      </c>
      <c r="K857" t="inlineStr">
        <is>
          <t>Answering Machine Autodial</t>
        </is>
      </c>
      <c r="L857" t="n">
        <v>3</v>
      </c>
      <c r="M857" t="inlineStr">
        <is>
          <t>2026-06-23 14:34:53</t>
        </is>
      </c>
      <c r="N857" t="inlineStr">
        <is>
          <t>system</t>
        </is>
      </c>
      <c r="O857" t="inlineStr">
        <is>
          <t>2026-06-19 07:10:32</t>
        </is>
      </c>
      <c r="P857" t="inlineStr">
        <is>
          <t>2026-06-19 07:10:32</t>
        </is>
      </c>
      <c r="Y857" t="inlineStr">
        <is>
          <t>27675870075</t>
        </is>
      </c>
    </row>
    <row r="858">
      <c r="A858" t="inlineStr">
        <is>
          <t>14942879</t>
        </is>
      </c>
      <c r="B858" t="inlineStr">
        <is>
          <t>a74e0347-d196-42a8-b5d4-f044a1201ceb</t>
        </is>
      </c>
      <c r="D858" t="inlineStr">
        <is>
          <t>30001087</t>
        </is>
      </c>
      <c r="E858" t="inlineStr">
        <is>
          <t>ussd_funeral_leads_altitude_20260619</t>
        </is>
      </c>
      <c r="J858" t="inlineStr">
        <is>
          <t>ADC</t>
        </is>
      </c>
      <c r="K858" t="inlineStr">
        <is>
          <t>Auto Dial Disconnected</t>
        </is>
      </c>
      <c r="L858" t="n">
        <v>3</v>
      </c>
      <c r="M858" t="inlineStr">
        <is>
          <t>2026-06-23 14:34:51</t>
        </is>
      </c>
      <c r="N858" t="inlineStr">
        <is>
          <t>system</t>
        </is>
      </c>
      <c r="O858" t="inlineStr">
        <is>
          <t>2026-06-19 07:10:32</t>
        </is>
      </c>
      <c r="P858" t="inlineStr">
        <is>
          <t>2026-06-19 07:10:32</t>
        </is>
      </c>
      <c r="Y858" t="inlineStr">
        <is>
          <t>27792589945</t>
        </is>
      </c>
    </row>
    <row r="859">
      <c r="A859" t="inlineStr">
        <is>
          <t>14942816</t>
        </is>
      </c>
      <c r="B859" t="inlineStr">
        <is>
          <t>f3c9642d-ea38-4413-8c92-819fea306151</t>
        </is>
      </c>
      <c r="D859" t="inlineStr">
        <is>
          <t>30001087</t>
        </is>
      </c>
      <c r="E859" t="inlineStr">
        <is>
          <t>ussd_funeral_leads_altitude_20260619</t>
        </is>
      </c>
      <c r="J859" t="inlineStr">
        <is>
          <t>AA</t>
        </is>
      </c>
      <c r="K859" t="inlineStr">
        <is>
          <t>Answering Machine Autodial</t>
        </is>
      </c>
      <c r="L859" t="n">
        <v>3</v>
      </c>
      <c r="M859" t="inlineStr">
        <is>
          <t>2026-06-23 14:34:50</t>
        </is>
      </c>
      <c r="N859" t="inlineStr">
        <is>
          <t>system</t>
        </is>
      </c>
      <c r="O859" t="inlineStr">
        <is>
          <t>2026-06-19 07:10:32</t>
        </is>
      </c>
      <c r="P859" t="inlineStr">
        <is>
          <t>2026-06-19 07:10:32</t>
        </is>
      </c>
      <c r="Y859" t="inlineStr">
        <is>
          <t>27768073027</t>
        </is>
      </c>
    </row>
    <row r="860">
      <c r="A860" t="inlineStr">
        <is>
          <t>14942878</t>
        </is>
      </c>
      <c r="B860" t="inlineStr">
        <is>
          <t>0083dde6-a6cb-4726-bd7e-ce629bebe2d7</t>
        </is>
      </c>
      <c r="D860" t="inlineStr">
        <is>
          <t>30001087</t>
        </is>
      </c>
      <c r="E860" t="inlineStr">
        <is>
          <t>ussd_funeral_leads_altitude_20260619</t>
        </is>
      </c>
      <c r="J860" t="inlineStr">
        <is>
          <t>DROP</t>
        </is>
      </c>
      <c r="K860" t="inlineStr">
        <is>
          <t>Dropped</t>
        </is>
      </c>
      <c r="L860" t="n">
        <v>3</v>
      </c>
      <c r="M860" t="inlineStr">
        <is>
          <t>2026-06-23 14:34:48</t>
        </is>
      </c>
      <c r="N860" t="inlineStr">
        <is>
          <t>system</t>
        </is>
      </c>
      <c r="O860" t="inlineStr">
        <is>
          <t>2026-06-19 07:10:32</t>
        </is>
      </c>
      <c r="P860" t="inlineStr">
        <is>
          <t>2026-06-19 07:10:32</t>
        </is>
      </c>
      <c r="Y860" t="inlineStr">
        <is>
          <t>27662889420</t>
        </is>
      </c>
    </row>
    <row r="861">
      <c r="A861" t="inlineStr">
        <is>
          <t>14942815</t>
        </is>
      </c>
      <c r="B861" t="inlineStr">
        <is>
          <t>fd78e290-947d-4f4c-84a4-2cefc31c1b8e</t>
        </is>
      </c>
      <c r="D861" t="inlineStr">
        <is>
          <t>30001087</t>
        </is>
      </c>
      <c r="E861" t="inlineStr">
        <is>
          <t>ussd_funeral_leads_altitude_20260619</t>
        </is>
      </c>
      <c r="J861" t="inlineStr">
        <is>
          <t>DROP</t>
        </is>
      </c>
      <c r="K861" t="inlineStr">
        <is>
          <t>Dropped</t>
        </is>
      </c>
      <c r="L861" t="n">
        <v>3</v>
      </c>
      <c r="M861" t="inlineStr">
        <is>
          <t>2026-06-23 14:34:47</t>
        </is>
      </c>
      <c r="N861" t="inlineStr">
        <is>
          <t>system</t>
        </is>
      </c>
      <c r="O861" t="inlineStr">
        <is>
          <t>2026-06-19 07:10:32</t>
        </is>
      </c>
      <c r="P861" t="inlineStr">
        <is>
          <t>2026-06-19 07:10:32</t>
        </is>
      </c>
      <c r="Y861" t="inlineStr">
        <is>
          <t>27606749167</t>
        </is>
      </c>
    </row>
    <row r="862">
      <c r="A862" t="inlineStr">
        <is>
          <t>14942877</t>
        </is>
      </c>
      <c r="B862" t="inlineStr">
        <is>
          <t>8de5381b-a965-4368-b117-6ac878132ebf</t>
        </is>
      </c>
      <c r="D862" t="inlineStr">
        <is>
          <t>30001087</t>
        </is>
      </c>
      <c r="E862" t="inlineStr">
        <is>
          <t>ussd_funeral_leads_altitude_20260619</t>
        </is>
      </c>
      <c r="J862" t="inlineStr">
        <is>
          <t>DROP</t>
        </is>
      </c>
      <c r="K862" t="inlineStr">
        <is>
          <t>Dropped</t>
        </is>
      </c>
      <c r="L862" t="n">
        <v>3</v>
      </c>
      <c r="M862" t="inlineStr">
        <is>
          <t>2026-06-23 14:34:47</t>
        </is>
      </c>
      <c r="N862" t="inlineStr">
        <is>
          <t>system</t>
        </is>
      </c>
      <c r="O862" t="inlineStr">
        <is>
          <t>2026-06-19 07:10:32</t>
        </is>
      </c>
      <c r="P862" t="inlineStr">
        <is>
          <t>2026-06-19 07:10:32</t>
        </is>
      </c>
      <c r="Y862" t="inlineStr">
        <is>
          <t>27714535899</t>
        </is>
      </c>
    </row>
    <row r="863">
      <c r="A863" t="inlineStr">
        <is>
          <t>14942814</t>
        </is>
      </c>
      <c r="B863" t="inlineStr">
        <is>
          <t>06fb7c6f-3725-4eb7-8692-5881a5e5d2d1</t>
        </is>
      </c>
      <c r="D863" t="inlineStr">
        <is>
          <t>30001087</t>
        </is>
      </c>
      <c r="E863" t="inlineStr">
        <is>
          <t>ussd_funeral_leads_altitude_20260619</t>
        </is>
      </c>
      <c r="J863" t="inlineStr">
        <is>
          <t>CU</t>
        </is>
      </c>
      <c r="K863" t="inlineStr">
        <is>
          <t>Client Hung Up</t>
        </is>
      </c>
      <c r="L863" t="n">
        <v>3</v>
      </c>
      <c r="M863" t="inlineStr">
        <is>
          <t>2026-06-23 14:34:46</t>
        </is>
      </c>
      <c r="N863" t="inlineStr">
        <is>
          <t>Dimakatso Nkomo</t>
        </is>
      </c>
      <c r="O863" t="inlineStr">
        <is>
          <t>2026-06-19 07:10:32</t>
        </is>
      </c>
      <c r="P863" t="inlineStr">
        <is>
          <t>2026-06-19 07:10:32</t>
        </is>
      </c>
      <c r="Y863" t="inlineStr">
        <is>
          <t>27823427743</t>
        </is>
      </c>
    </row>
    <row r="864">
      <c r="A864" t="inlineStr">
        <is>
          <t>14942876</t>
        </is>
      </c>
      <c r="B864" t="inlineStr">
        <is>
          <t>ec3936bf-9ee2-4d05-80e3-4caea240684d</t>
        </is>
      </c>
      <c r="D864" t="inlineStr">
        <is>
          <t>30001087</t>
        </is>
      </c>
      <c r="E864" t="inlineStr">
        <is>
          <t>ussd_funeral_leads_altitude_20260619</t>
        </is>
      </c>
      <c r="J864" t="inlineStr">
        <is>
          <t>AA</t>
        </is>
      </c>
      <c r="K864" t="inlineStr">
        <is>
          <t>Answering Machine Autodial</t>
        </is>
      </c>
      <c r="L864" t="n">
        <v>3</v>
      </c>
      <c r="M864" t="inlineStr">
        <is>
          <t>2026-06-23 14:34:46</t>
        </is>
      </c>
      <c r="N864" t="inlineStr">
        <is>
          <t>system</t>
        </is>
      </c>
      <c r="O864" t="inlineStr">
        <is>
          <t>2026-06-19 07:10:32</t>
        </is>
      </c>
      <c r="P864" t="inlineStr">
        <is>
          <t>2026-06-19 07:10:32</t>
        </is>
      </c>
      <c r="Y864" t="inlineStr">
        <is>
          <t>27799775532</t>
        </is>
      </c>
    </row>
    <row r="865">
      <c r="A865" t="inlineStr">
        <is>
          <t>14942813</t>
        </is>
      </c>
      <c r="B865" t="inlineStr">
        <is>
          <t>b5be67e3-9cb8-4b12-8023-06fdf3554949</t>
        </is>
      </c>
      <c r="D865" t="inlineStr">
        <is>
          <t>30001087</t>
        </is>
      </c>
      <c r="E865" t="inlineStr">
        <is>
          <t>ussd_funeral_leads_altitude_20260619</t>
        </is>
      </c>
      <c r="J865" t="inlineStr">
        <is>
          <t>ADC</t>
        </is>
      </c>
      <c r="K865" t="inlineStr">
        <is>
          <t>Auto Dial Disconnected</t>
        </is>
      </c>
      <c r="L865" t="n">
        <v>3</v>
      </c>
      <c r="M865" t="inlineStr">
        <is>
          <t>2026-06-23 14:34:42</t>
        </is>
      </c>
      <c r="N865" t="inlineStr">
        <is>
          <t>system</t>
        </is>
      </c>
      <c r="O865" t="inlineStr">
        <is>
          <t>2026-06-19 07:10:32</t>
        </is>
      </c>
      <c r="P865" t="inlineStr">
        <is>
          <t>2026-06-19 07:10:32</t>
        </is>
      </c>
      <c r="Y865" t="inlineStr">
        <is>
          <t>27714674292</t>
        </is>
      </c>
    </row>
    <row r="866">
      <c r="A866" t="inlineStr">
        <is>
          <t>14942875</t>
        </is>
      </c>
      <c r="B866" t="inlineStr">
        <is>
          <t>0033ffd2-9cee-48fc-9f0f-a46ff2c8d297</t>
        </is>
      </c>
      <c r="D866" t="inlineStr">
        <is>
          <t>30001087</t>
        </is>
      </c>
      <c r="E866" t="inlineStr">
        <is>
          <t>ussd_funeral_leads_altitude_20260619</t>
        </is>
      </c>
      <c r="J866" t="inlineStr">
        <is>
          <t>AA</t>
        </is>
      </c>
      <c r="K866" t="inlineStr">
        <is>
          <t>Answering Machine Autodial</t>
        </is>
      </c>
      <c r="L866" t="n">
        <v>3</v>
      </c>
      <c r="M866" t="inlineStr">
        <is>
          <t>2026-06-23 14:34:42</t>
        </is>
      </c>
      <c r="N866" t="inlineStr">
        <is>
          <t>system</t>
        </is>
      </c>
      <c r="O866" t="inlineStr">
        <is>
          <t>2026-06-19 07:10:32</t>
        </is>
      </c>
      <c r="P866" t="inlineStr">
        <is>
          <t>2026-06-19 07:10:32</t>
        </is>
      </c>
      <c r="Y866" t="inlineStr">
        <is>
          <t>27663892493</t>
        </is>
      </c>
    </row>
    <row r="867">
      <c r="A867" t="inlineStr">
        <is>
          <t>14942812</t>
        </is>
      </c>
      <c r="B867" t="inlineStr">
        <is>
          <t>4f6a13dc-0f37-4bb2-ba5d-5aab98956426</t>
        </is>
      </c>
      <c r="D867" t="inlineStr">
        <is>
          <t>30001087</t>
        </is>
      </c>
      <c r="E867" t="inlineStr">
        <is>
          <t>ussd_funeral_leads_altitude_20260619</t>
        </is>
      </c>
      <c r="J867" t="inlineStr">
        <is>
          <t>AA</t>
        </is>
      </c>
      <c r="K867" t="inlineStr">
        <is>
          <t>Answering Machine Autodial</t>
        </is>
      </c>
      <c r="L867" t="n">
        <v>3</v>
      </c>
      <c r="M867" t="inlineStr">
        <is>
          <t>2026-06-23 14:34:41</t>
        </is>
      </c>
      <c r="N867" t="inlineStr">
        <is>
          <t>system</t>
        </is>
      </c>
      <c r="O867" t="inlineStr">
        <is>
          <t>2026-06-19 07:10:32</t>
        </is>
      </c>
      <c r="P867" t="inlineStr">
        <is>
          <t>2026-06-19 07:10:32</t>
        </is>
      </c>
      <c r="Y867" t="inlineStr">
        <is>
          <t>27648596361</t>
        </is>
      </c>
    </row>
    <row r="868">
      <c r="A868" t="inlineStr">
        <is>
          <t>14942873</t>
        </is>
      </c>
      <c r="B868" t="inlineStr">
        <is>
          <t>fcfe7144-f2c0-4679-aa59-a8f5a6220798</t>
        </is>
      </c>
      <c r="D868" t="inlineStr">
        <is>
          <t>30001087</t>
        </is>
      </c>
      <c r="E868" t="inlineStr">
        <is>
          <t>ussd_funeral_leads_altitude_20260619</t>
        </is>
      </c>
      <c r="J868" t="inlineStr">
        <is>
          <t>AA</t>
        </is>
      </c>
      <c r="K868" t="inlineStr">
        <is>
          <t>Answering Machine Autodial</t>
        </is>
      </c>
      <c r="L868" t="n">
        <v>3</v>
      </c>
      <c r="M868" t="inlineStr">
        <is>
          <t>2026-06-23 14:34:41</t>
        </is>
      </c>
      <c r="N868" t="inlineStr">
        <is>
          <t>system</t>
        </is>
      </c>
      <c r="O868" t="inlineStr">
        <is>
          <t>2026-06-19 07:10:32</t>
        </is>
      </c>
      <c r="P868" t="inlineStr">
        <is>
          <t>2026-06-19 07:10:32</t>
        </is>
      </c>
      <c r="Y868" t="inlineStr">
        <is>
          <t>27724331869</t>
        </is>
      </c>
    </row>
    <row r="869">
      <c r="A869" t="inlineStr">
        <is>
          <t>14942811</t>
        </is>
      </c>
      <c r="B869" t="inlineStr">
        <is>
          <t>1f94da55-ce49-4cd8-96f3-16eeb2afeae3</t>
        </is>
      </c>
      <c r="D869" t="inlineStr">
        <is>
          <t>30001087</t>
        </is>
      </c>
      <c r="E869" t="inlineStr">
        <is>
          <t>ussd_funeral_leads_altitude_20260619</t>
        </is>
      </c>
      <c r="J869" t="inlineStr">
        <is>
          <t>ADC</t>
        </is>
      </c>
      <c r="K869" t="inlineStr">
        <is>
          <t>Auto Dial Disconnected</t>
        </is>
      </c>
      <c r="L869" t="n">
        <v>3</v>
      </c>
      <c r="M869" t="inlineStr">
        <is>
          <t>2026-06-23 14:34:40</t>
        </is>
      </c>
      <c r="N869" t="inlineStr">
        <is>
          <t>system</t>
        </is>
      </c>
      <c r="O869" t="inlineStr">
        <is>
          <t>2026-06-19 07:10:32</t>
        </is>
      </c>
      <c r="P869" t="inlineStr">
        <is>
          <t>2026-06-19 07:10:32</t>
        </is>
      </c>
      <c r="Y869" t="inlineStr">
        <is>
          <t>27763219938</t>
        </is>
      </c>
    </row>
    <row r="870">
      <c r="A870" t="inlineStr">
        <is>
          <t>14942872</t>
        </is>
      </c>
      <c r="B870" t="inlineStr">
        <is>
          <t>a2ef517e-1705-4257-af06-34c7e01e73e0</t>
        </is>
      </c>
      <c r="D870" t="inlineStr">
        <is>
          <t>30001087</t>
        </is>
      </c>
      <c r="E870" t="inlineStr">
        <is>
          <t>ussd_funeral_leads_altitude_20260619</t>
        </is>
      </c>
      <c r="J870" t="inlineStr">
        <is>
          <t>TDN</t>
        </is>
      </c>
      <c r="K870" t="inlineStr">
        <is>
          <t>Temporary Disconnected Number</t>
        </is>
      </c>
      <c r="L870" t="n">
        <v>3</v>
      </c>
      <c r="M870" t="inlineStr">
        <is>
          <t>2026-06-23 14:34:40</t>
        </is>
      </c>
      <c r="N870" t="inlineStr">
        <is>
          <t>system</t>
        </is>
      </c>
      <c r="O870" t="inlineStr">
        <is>
          <t>2026-06-19 07:10:32</t>
        </is>
      </c>
      <c r="P870" t="inlineStr">
        <is>
          <t>2026-06-19 07:10:32</t>
        </is>
      </c>
      <c r="Y870" t="inlineStr">
        <is>
          <t>27823604463</t>
        </is>
      </c>
    </row>
    <row r="871">
      <c r="A871" t="inlineStr">
        <is>
          <t>14947246</t>
        </is>
      </c>
      <c r="B871" t="inlineStr">
        <is>
          <t>f2b1f44b-1ffd-4c93-9328-a23e55e504fe</t>
        </is>
      </c>
      <c r="D871" t="inlineStr">
        <is>
          <t>30001087</t>
        </is>
      </c>
      <c r="E871" t="inlineStr">
        <is>
          <t>ussd_funeral_leads_altitude_20260619</t>
        </is>
      </c>
      <c r="J871" t="inlineStr">
        <is>
          <t>TDN</t>
        </is>
      </c>
      <c r="K871" t="inlineStr">
        <is>
          <t>Temporary Disconnected Number</t>
        </is>
      </c>
      <c r="L871" t="n">
        <v>3</v>
      </c>
      <c r="M871" t="inlineStr">
        <is>
          <t>2026-06-23 14:34:40</t>
        </is>
      </c>
      <c r="N871" t="inlineStr">
        <is>
          <t>system</t>
        </is>
      </c>
      <c r="O871" t="inlineStr">
        <is>
          <t>2026-06-19 07:10:32</t>
        </is>
      </c>
      <c r="P871" t="inlineStr">
        <is>
          <t>2026-06-19 07:10:32</t>
        </is>
      </c>
      <c r="Y871" t="inlineStr">
        <is>
          <t>27829689157</t>
        </is>
      </c>
    </row>
    <row r="872">
      <c r="A872" t="inlineStr">
        <is>
          <t>14947329</t>
        </is>
      </c>
      <c r="B872" t="inlineStr">
        <is>
          <t>ed309bbc-e918-46d3-82e2-f38a0517700f</t>
        </is>
      </c>
      <c r="D872" t="inlineStr">
        <is>
          <t>30001087</t>
        </is>
      </c>
      <c r="E872" t="inlineStr">
        <is>
          <t>ussd_funeral_leads_altitude_20260619</t>
        </is>
      </c>
      <c r="J872" t="inlineStr">
        <is>
          <t>ADC</t>
        </is>
      </c>
      <c r="K872" t="inlineStr">
        <is>
          <t>Auto Dial Disconnected</t>
        </is>
      </c>
      <c r="L872" t="n">
        <v>3</v>
      </c>
      <c r="M872" t="inlineStr">
        <is>
          <t>2026-06-23 14:34:40</t>
        </is>
      </c>
      <c r="N872" t="inlineStr">
        <is>
          <t>system</t>
        </is>
      </c>
      <c r="O872" t="inlineStr">
        <is>
          <t>2026-06-19 07:10:32</t>
        </is>
      </c>
      <c r="P872" t="inlineStr">
        <is>
          <t>2026-06-19 07:10:32</t>
        </is>
      </c>
      <c r="Y872" t="inlineStr">
        <is>
          <t>27822862872</t>
        </is>
      </c>
    </row>
    <row r="873">
      <c r="A873" t="inlineStr">
        <is>
          <t>14945859</t>
        </is>
      </c>
      <c r="B873" t="inlineStr">
        <is>
          <t>72cebd54-de57-4741-b3fa-b3a36861b2fe</t>
        </is>
      </c>
      <c r="D873" t="inlineStr">
        <is>
          <t>30001087</t>
        </is>
      </c>
      <c r="E873" t="inlineStr">
        <is>
          <t>ussd_funeral_leads_altitude_20260619</t>
        </is>
      </c>
      <c r="J873" t="inlineStr">
        <is>
          <t>CU</t>
        </is>
      </c>
      <c r="K873" t="inlineStr">
        <is>
          <t>Client Hung Up</t>
        </is>
      </c>
      <c r="L873" t="n">
        <v>4</v>
      </c>
      <c r="M873" t="inlineStr">
        <is>
          <t>2026-06-23 14:33:36</t>
        </is>
      </c>
      <c r="N873" t="inlineStr">
        <is>
          <t>Dimakatso Nkomo</t>
        </is>
      </c>
      <c r="O873" t="inlineStr">
        <is>
          <t>2026-06-19 07:10:32</t>
        </is>
      </c>
      <c r="P873" t="inlineStr">
        <is>
          <t>2026-06-19 07:10:32</t>
        </is>
      </c>
      <c r="Y873" t="inlineStr">
        <is>
          <t>27767116172</t>
        </is>
      </c>
    </row>
    <row r="874">
      <c r="A874" t="inlineStr">
        <is>
          <t>14947115</t>
        </is>
      </c>
      <c r="B874" t="inlineStr">
        <is>
          <t>ccc2d65f-dfb9-4f6e-aec9-c8bd56410075</t>
        </is>
      </c>
      <c r="D874" t="inlineStr">
        <is>
          <t>30001087</t>
        </is>
      </c>
      <c r="E874" t="inlineStr">
        <is>
          <t>ussd_funeral_leads_altitude_20260619</t>
        </is>
      </c>
      <c r="J874" t="inlineStr">
        <is>
          <t>A</t>
        </is>
      </c>
      <c r="K874" t="inlineStr">
        <is>
          <t>Answering Machine</t>
        </is>
      </c>
      <c r="L874" t="n">
        <v>4</v>
      </c>
      <c r="M874" t="inlineStr">
        <is>
          <t>2026-06-23 14:32:51</t>
        </is>
      </c>
      <c r="N874" t="inlineStr">
        <is>
          <t>Dimakatso Nkomo</t>
        </is>
      </c>
      <c r="O874" t="inlineStr">
        <is>
          <t>2026-06-19 07:10:32</t>
        </is>
      </c>
      <c r="P874" t="inlineStr">
        <is>
          <t>2026-06-19 07:10:32</t>
        </is>
      </c>
      <c r="Y874" t="inlineStr">
        <is>
          <t>27729686234</t>
        </is>
      </c>
    </row>
    <row r="875">
      <c r="A875" t="inlineStr">
        <is>
          <t>14942862</t>
        </is>
      </c>
      <c r="B875" t="inlineStr">
        <is>
          <t>7040dfa9-021c-4b05-9333-5859bc3ef2e0</t>
        </is>
      </c>
      <c r="D875" t="inlineStr">
        <is>
          <t>30001087</t>
        </is>
      </c>
      <c r="E875" t="inlineStr">
        <is>
          <t>ussd_funeral_leads_altitude_20260619</t>
        </is>
      </c>
      <c r="J875" t="inlineStr">
        <is>
          <t>AA</t>
        </is>
      </c>
      <c r="K875" t="inlineStr">
        <is>
          <t>Answering Machine Autodial</t>
        </is>
      </c>
      <c r="L875" t="n">
        <v>3</v>
      </c>
      <c r="M875" t="inlineStr">
        <is>
          <t>2026-06-23 14:31:25</t>
        </is>
      </c>
      <c r="N875" t="inlineStr">
        <is>
          <t>system</t>
        </is>
      </c>
      <c r="O875" t="inlineStr">
        <is>
          <t>2026-06-19 07:10:32</t>
        </is>
      </c>
      <c r="P875" t="inlineStr">
        <is>
          <t>2026-06-19 07:10:32</t>
        </is>
      </c>
      <c r="Y875" t="inlineStr">
        <is>
          <t>27729910444</t>
        </is>
      </c>
    </row>
    <row r="876">
      <c r="A876" t="inlineStr">
        <is>
          <t>14942860</t>
        </is>
      </c>
      <c r="B876" t="inlineStr">
        <is>
          <t>6b00d759-aeeb-4ea7-ba41-06888aa24e1a</t>
        </is>
      </c>
      <c r="D876" t="inlineStr">
        <is>
          <t>30001087</t>
        </is>
      </c>
      <c r="E876" t="inlineStr">
        <is>
          <t>ussd_funeral_leads_altitude_20260619</t>
        </is>
      </c>
      <c r="J876" t="inlineStr">
        <is>
          <t>DROP</t>
        </is>
      </c>
      <c r="K876" t="inlineStr">
        <is>
          <t>Dropped</t>
        </is>
      </c>
      <c r="L876" t="n">
        <v>3</v>
      </c>
      <c r="M876" t="inlineStr">
        <is>
          <t>2026-06-23 14:31:20</t>
        </is>
      </c>
      <c r="N876" t="inlineStr">
        <is>
          <t>system</t>
        </is>
      </c>
      <c r="O876" t="inlineStr">
        <is>
          <t>2026-06-19 07:10:32</t>
        </is>
      </c>
      <c r="P876" t="inlineStr">
        <is>
          <t>2026-06-19 07:10:32</t>
        </is>
      </c>
      <c r="Y876" t="inlineStr">
        <is>
          <t>27665216134</t>
        </is>
      </c>
    </row>
    <row r="877">
      <c r="A877" t="inlineStr">
        <is>
          <t>14942861</t>
        </is>
      </c>
      <c r="B877" t="inlineStr">
        <is>
          <t>ee9a2d32-55e8-4df0-9fcd-d9d103acdb6d</t>
        </is>
      </c>
      <c r="D877" t="inlineStr">
        <is>
          <t>30001087</t>
        </is>
      </c>
      <c r="E877" t="inlineStr">
        <is>
          <t>ussd_funeral_leads_altitude_20260619</t>
        </is>
      </c>
      <c r="J877" t="inlineStr">
        <is>
          <t>AA</t>
        </is>
      </c>
      <c r="K877" t="inlineStr">
        <is>
          <t>Answering Machine Autodial</t>
        </is>
      </c>
      <c r="L877" t="n">
        <v>3</v>
      </c>
      <c r="M877" t="inlineStr">
        <is>
          <t>2026-06-23 14:31:20</t>
        </is>
      </c>
      <c r="N877" t="inlineStr">
        <is>
          <t>system</t>
        </is>
      </c>
      <c r="O877" t="inlineStr">
        <is>
          <t>2026-06-19 07:10:32</t>
        </is>
      </c>
      <c r="P877" t="inlineStr">
        <is>
          <t>2026-06-19 07:10:32</t>
        </is>
      </c>
      <c r="Y877" t="inlineStr">
        <is>
          <t>27721483477</t>
        </is>
      </c>
    </row>
    <row r="878">
      <c r="A878" t="inlineStr">
        <is>
          <t>14942858</t>
        </is>
      </c>
      <c r="B878" t="inlineStr">
        <is>
          <t>4d70360a-6e88-4e5b-a7b0-1fc3c45092fe</t>
        </is>
      </c>
      <c r="D878" t="inlineStr">
        <is>
          <t>30001087</t>
        </is>
      </c>
      <c r="E878" t="inlineStr">
        <is>
          <t>ussd_funeral_leads_altitude_20260619</t>
        </is>
      </c>
      <c r="J878" t="inlineStr">
        <is>
          <t>AA</t>
        </is>
      </c>
      <c r="K878" t="inlineStr">
        <is>
          <t>Answering Machine Autodial</t>
        </is>
      </c>
      <c r="L878" t="n">
        <v>3</v>
      </c>
      <c r="M878" t="inlineStr">
        <is>
          <t>2026-06-23 14:31:14</t>
        </is>
      </c>
      <c r="N878" t="inlineStr">
        <is>
          <t>system</t>
        </is>
      </c>
      <c r="O878" t="inlineStr">
        <is>
          <t>2026-06-19 07:10:32</t>
        </is>
      </c>
      <c r="P878" t="inlineStr">
        <is>
          <t>2026-06-19 07:10:32</t>
        </is>
      </c>
      <c r="Y878" t="inlineStr">
        <is>
          <t>27714744905</t>
        </is>
      </c>
    </row>
    <row r="879">
      <c r="A879" t="inlineStr">
        <is>
          <t>14942859</t>
        </is>
      </c>
      <c r="B879" t="inlineStr">
        <is>
          <t>178c8dd6-f19d-46f7-80ab-6436c7320472</t>
        </is>
      </c>
      <c r="D879" t="inlineStr">
        <is>
          <t>30001087</t>
        </is>
      </c>
      <c r="E879" t="inlineStr">
        <is>
          <t>ussd_funeral_leads_altitude_20260619</t>
        </is>
      </c>
      <c r="J879" t="inlineStr">
        <is>
          <t>AA</t>
        </is>
      </c>
      <c r="K879" t="inlineStr">
        <is>
          <t>Answering Machine Autodial</t>
        </is>
      </c>
      <c r="L879" t="n">
        <v>3</v>
      </c>
      <c r="M879" t="inlineStr">
        <is>
          <t>2026-06-23 14:31:14</t>
        </is>
      </c>
      <c r="N879" t="inlineStr">
        <is>
          <t>system</t>
        </is>
      </c>
      <c r="O879" t="inlineStr">
        <is>
          <t>2026-06-19 07:10:32</t>
        </is>
      </c>
      <c r="P879" t="inlineStr">
        <is>
          <t>2026-06-19 07:10:32</t>
        </is>
      </c>
      <c r="Y879" t="inlineStr">
        <is>
          <t>27768078107</t>
        </is>
      </c>
    </row>
    <row r="880">
      <c r="A880" t="inlineStr">
        <is>
          <t>14942857</t>
        </is>
      </c>
      <c r="B880" t="inlineStr">
        <is>
          <t>008dbbd8-ece5-470c-a590-c9a5e1ac80eb</t>
        </is>
      </c>
      <c r="D880" t="inlineStr">
        <is>
          <t>30001087</t>
        </is>
      </c>
      <c r="E880" t="inlineStr">
        <is>
          <t>ussd_funeral_leads_altitude_20260619</t>
        </is>
      </c>
      <c r="J880" t="inlineStr">
        <is>
          <t>AA</t>
        </is>
      </c>
      <c r="K880" t="inlineStr">
        <is>
          <t>Answering Machine Autodial</t>
        </is>
      </c>
      <c r="L880" t="n">
        <v>3</v>
      </c>
      <c r="M880" t="inlineStr">
        <is>
          <t>2026-06-23 14:31:08</t>
        </is>
      </c>
      <c r="N880" t="inlineStr">
        <is>
          <t>system</t>
        </is>
      </c>
      <c r="O880" t="inlineStr">
        <is>
          <t>2026-06-19 07:10:32</t>
        </is>
      </c>
      <c r="P880" t="inlineStr">
        <is>
          <t>2026-06-19 07:10:32</t>
        </is>
      </c>
      <c r="Y880" t="inlineStr">
        <is>
          <t>27822992947</t>
        </is>
      </c>
    </row>
    <row r="881">
      <c r="A881" t="inlineStr">
        <is>
          <t>14900000</t>
        </is>
      </c>
      <c r="B881" t="inlineStr">
        <is>
          <t>e92160c6-331a-40ee-845a-ca8a2b2252b7</t>
        </is>
      </c>
      <c r="D881" t="inlineStr">
        <is>
          <t>30001087</t>
        </is>
      </c>
      <c r="E881" t="inlineStr">
        <is>
          <t>ussd_funeral_leads_altitude_20260619</t>
        </is>
      </c>
      <c r="J881" t="inlineStr">
        <is>
          <t>NA</t>
        </is>
      </c>
      <c r="K881" t="inlineStr">
        <is>
          <t>No Answer Autodial</t>
        </is>
      </c>
      <c r="L881" t="n">
        <v>3</v>
      </c>
      <c r="M881" t="inlineStr">
        <is>
          <t>2026-06-23 14:30:51</t>
        </is>
      </c>
      <c r="N881" t="inlineStr">
        <is>
          <t>system</t>
        </is>
      </c>
      <c r="O881" t="inlineStr">
        <is>
          <t>2026-06-19 07:10:32</t>
        </is>
      </c>
      <c r="P881" t="inlineStr">
        <is>
          <t>2026-06-19 07:10:32</t>
        </is>
      </c>
      <c r="Y881" t="inlineStr">
        <is>
          <t>27766902573</t>
        </is>
      </c>
    </row>
    <row r="882">
      <c r="A882" t="inlineStr">
        <is>
          <t>14942855</t>
        </is>
      </c>
      <c r="B882" t="inlineStr">
        <is>
          <t>cb6c9c28-6d97-4f34-a742-d8a1787a922e</t>
        </is>
      </c>
      <c r="D882" t="inlineStr">
        <is>
          <t>30001087</t>
        </is>
      </c>
      <c r="E882" t="inlineStr">
        <is>
          <t>ussd_funeral_leads_altitude_20260619</t>
        </is>
      </c>
      <c r="J882" t="inlineStr">
        <is>
          <t>ADC</t>
        </is>
      </c>
      <c r="K882" t="inlineStr">
        <is>
          <t>Auto Dial Disconnected</t>
        </is>
      </c>
      <c r="L882" t="n">
        <v>3</v>
      </c>
      <c r="M882" t="inlineStr">
        <is>
          <t>2026-06-23 14:30:34</t>
        </is>
      </c>
      <c r="N882" t="inlineStr">
        <is>
          <t>system</t>
        </is>
      </c>
      <c r="O882" t="inlineStr">
        <is>
          <t>2026-06-19 07:10:32</t>
        </is>
      </c>
      <c r="P882" t="inlineStr">
        <is>
          <t>2026-06-19 07:10:32</t>
        </is>
      </c>
      <c r="Y882" t="inlineStr">
        <is>
          <t>27825611364</t>
        </is>
      </c>
    </row>
    <row r="883">
      <c r="A883" t="inlineStr">
        <is>
          <t>14942854</t>
        </is>
      </c>
      <c r="B883" t="inlineStr">
        <is>
          <t>cdf7e820-09b7-426f-ad50-f6353573323a</t>
        </is>
      </c>
      <c r="D883" t="inlineStr">
        <is>
          <t>30001087</t>
        </is>
      </c>
      <c r="E883" t="inlineStr">
        <is>
          <t>ussd_funeral_leads_altitude_20260619</t>
        </is>
      </c>
      <c r="J883" t="inlineStr">
        <is>
          <t>AA</t>
        </is>
      </c>
      <c r="K883" t="inlineStr">
        <is>
          <t>Answering Machine Autodial</t>
        </is>
      </c>
      <c r="L883" t="n">
        <v>3</v>
      </c>
      <c r="M883" t="inlineStr">
        <is>
          <t>2026-06-23 14:30:28</t>
        </is>
      </c>
      <c r="N883" t="inlineStr">
        <is>
          <t>system</t>
        </is>
      </c>
      <c r="O883" t="inlineStr">
        <is>
          <t>2026-06-19 07:10:32</t>
        </is>
      </c>
      <c r="P883" t="inlineStr">
        <is>
          <t>2026-06-19 07:10:32</t>
        </is>
      </c>
      <c r="Y883" t="inlineStr">
        <is>
          <t>27766211553</t>
        </is>
      </c>
    </row>
    <row r="884">
      <c r="A884" t="inlineStr">
        <is>
          <t>14942853</t>
        </is>
      </c>
      <c r="B884" t="inlineStr">
        <is>
          <t>84735dc8-eb91-4a20-8aea-43ecc0d9a5c1</t>
        </is>
      </c>
      <c r="D884" t="inlineStr">
        <is>
          <t>30001087</t>
        </is>
      </c>
      <c r="E884" t="inlineStr">
        <is>
          <t>ussd_funeral_leads_altitude_20260619</t>
        </is>
      </c>
      <c r="J884" t="inlineStr">
        <is>
          <t>AA</t>
        </is>
      </c>
      <c r="K884" t="inlineStr">
        <is>
          <t>Answering Machine Autodial</t>
        </is>
      </c>
      <c r="L884" t="n">
        <v>3</v>
      </c>
      <c r="M884" t="inlineStr">
        <is>
          <t>2026-06-23 14:30:12</t>
        </is>
      </c>
      <c r="N884" t="inlineStr">
        <is>
          <t>system</t>
        </is>
      </c>
      <c r="O884" t="inlineStr">
        <is>
          <t>2026-06-19 07:10:32</t>
        </is>
      </c>
      <c r="P884" t="inlineStr">
        <is>
          <t>2026-06-19 07:10:32</t>
        </is>
      </c>
      <c r="Y884" t="inlineStr">
        <is>
          <t>27711953983</t>
        </is>
      </c>
    </row>
    <row r="885">
      <c r="A885" t="inlineStr">
        <is>
          <t>14942851</t>
        </is>
      </c>
      <c r="B885" t="inlineStr">
        <is>
          <t>88209067-21e1-47c2-b6c1-545d4956e1e2</t>
        </is>
      </c>
      <c r="D885" t="inlineStr">
        <is>
          <t>30001087</t>
        </is>
      </c>
      <c r="E885" t="inlineStr">
        <is>
          <t>ussd_funeral_leads_altitude_20260619</t>
        </is>
      </c>
      <c r="J885" t="inlineStr">
        <is>
          <t>NA</t>
        </is>
      </c>
      <c r="K885" t="inlineStr">
        <is>
          <t>No Answer Autodial</t>
        </is>
      </c>
      <c r="L885" t="n">
        <v>3</v>
      </c>
      <c r="M885" t="inlineStr">
        <is>
          <t>2026-06-23 14:30:10</t>
        </is>
      </c>
      <c r="N885" t="inlineStr">
        <is>
          <t>system</t>
        </is>
      </c>
      <c r="O885" t="inlineStr">
        <is>
          <t>2026-06-19 07:10:32</t>
        </is>
      </c>
      <c r="P885" t="inlineStr">
        <is>
          <t>2026-06-19 07:10:32</t>
        </is>
      </c>
      <c r="Y885" t="inlineStr">
        <is>
          <t>27637287250</t>
        </is>
      </c>
    </row>
    <row r="886">
      <c r="A886" t="inlineStr">
        <is>
          <t>14942850</t>
        </is>
      </c>
      <c r="B886" t="inlineStr">
        <is>
          <t>6640c0a9-a3d0-4559-b9b2-fabb68fc3ade</t>
        </is>
      </c>
      <c r="D886" t="inlineStr">
        <is>
          <t>30001087</t>
        </is>
      </c>
      <c r="E886" t="inlineStr">
        <is>
          <t>ussd_funeral_leads_altitude_20260619</t>
        </is>
      </c>
      <c r="J886" t="inlineStr">
        <is>
          <t>NA</t>
        </is>
      </c>
      <c r="K886" t="inlineStr">
        <is>
          <t>No Answer Autodial</t>
        </is>
      </c>
      <c r="L886" t="n">
        <v>3</v>
      </c>
      <c r="M886" t="inlineStr">
        <is>
          <t>2026-06-23 14:30:08</t>
        </is>
      </c>
      <c r="N886" t="inlineStr">
        <is>
          <t>system</t>
        </is>
      </c>
      <c r="O886" t="inlineStr">
        <is>
          <t>2026-06-19 07:10:32</t>
        </is>
      </c>
      <c r="P886" t="inlineStr">
        <is>
          <t>2026-06-19 07:10:32</t>
        </is>
      </c>
      <c r="Y886" t="inlineStr">
        <is>
          <t>27714582333</t>
        </is>
      </c>
    </row>
    <row r="887">
      <c r="A887" t="inlineStr">
        <is>
          <t>14942849</t>
        </is>
      </c>
      <c r="B887" t="inlineStr">
        <is>
          <t>1d186f01-fdf4-4f2c-9f34-08957b21a475</t>
        </is>
      </c>
      <c r="D887" t="inlineStr">
        <is>
          <t>30001087</t>
        </is>
      </c>
      <c r="E887" t="inlineStr">
        <is>
          <t>ussd_funeral_leads_altitude_20260619</t>
        </is>
      </c>
      <c r="J887" t="inlineStr">
        <is>
          <t>NA</t>
        </is>
      </c>
      <c r="K887" t="inlineStr">
        <is>
          <t>No Answer Autodial</t>
        </is>
      </c>
      <c r="L887" t="n">
        <v>3</v>
      </c>
      <c r="M887" t="inlineStr">
        <is>
          <t>2026-06-23 14:30:04</t>
        </is>
      </c>
      <c r="N887" t="inlineStr">
        <is>
          <t>system</t>
        </is>
      </c>
      <c r="O887" t="inlineStr">
        <is>
          <t>2026-06-19 07:10:32</t>
        </is>
      </c>
      <c r="P887" t="inlineStr">
        <is>
          <t>2026-06-19 07:10:32</t>
        </is>
      </c>
      <c r="Y887" t="inlineStr">
        <is>
          <t>27790119327</t>
        </is>
      </c>
    </row>
    <row r="888">
      <c r="A888" t="inlineStr">
        <is>
          <t>14942848</t>
        </is>
      </c>
      <c r="B888" t="inlineStr">
        <is>
          <t>5ddd56b0-4255-4308-984d-9d060822b85f</t>
        </is>
      </c>
      <c r="D888" t="inlineStr">
        <is>
          <t>30001087</t>
        </is>
      </c>
      <c r="E888" t="inlineStr">
        <is>
          <t>ussd_funeral_leads_altitude_20260619</t>
        </is>
      </c>
      <c r="J888" t="inlineStr">
        <is>
          <t>ADC</t>
        </is>
      </c>
      <c r="K888" t="inlineStr">
        <is>
          <t>Auto Dial Disconnected</t>
        </is>
      </c>
      <c r="L888" t="n">
        <v>3</v>
      </c>
      <c r="M888" t="inlineStr">
        <is>
          <t>2026-06-23 14:30:00</t>
        </is>
      </c>
      <c r="N888" t="inlineStr">
        <is>
          <t>system</t>
        </is>
      </c>
      <c r="O888" t="inlineStr">
        <is>
          <t>2026-06-19 07:10:32</t>
        </is>
      </c>
      <c r="P888" t="inlineStr">
        <is>
          <t>2026-06-19 07:10:32</t>
        </is>
      </c>
      <c r="Y888" t="inlineStr">
        <is>
          <t>27715378854</t>
        </is>
      </c>
    </row>
    <row r="889">
      <c r="A889" t="inlineStr">
        <is>
          <t>14942847</t>
        </is>
      </c>
      <c r="B889" t="inlineStr">
        <is>
          <t>cc12dfb1-dcd5-4105-9b5e-d207dfd1ec4c</t>
        </is>
      </c>
      <c r="D889" t="inlineStr">
        <is>
          <t>30001087</t>
        </is>
      </c>
      <c r="E889" t="inlineStr">
        <is>
          <t>ussd_funeral_leads_altitude_20260619</t>
        </is>
      </c>
      <c r="J889" t="inlineStr">
        <is>
          <t>TDN</t>
        </is>
      </c>
      <c r="K889" t="inlineStr">
        <is>
          <t>Temporary Disconnected Number</t>
        </is>
      </c>
      <c r="L889" t="n">
        <v>3</v>
      </c>
      <c r="M889" t="inlineStr">
        <is>
          <t>2026-06-23 14:29:55</t>
        </is>
      </c>
      <c r="N889" t="inlineStr">
        <is>
          <t>system</t>
        </is>
      </c>
      <c r="O889" t="inlineStr">
        <is>
          <t>2026-06-19 07:10:32</t>
        </is>
      </c>
      <c r="P889" t="inlineStr">
        <is>
          <t>2026-06-19 07:10:32</t>
        </is>
      </c>
      <c r="Y889" t="inlineStr">
        <is>
          <t>27796128712</t>
        </is>
      </c>
    </row>
    <row r="890">
      <c r="A890" t="inlineStr">
        <is>
          <t>14942846</t>
        </is>
      </c>
      <c r="B890" t="inlineStr">
        <is>
          <t>a67d079a-fe4c-4acc-9555-6f5e9a0e5de6</t>
        </is>
      </c>
      <c r="D890" t="inlineStr">
        <is>
          <t>30001087</t>
        </is>
      </c>
      <c r="E890" t="inlineStr">
        <is>
          <t>ussd_funeral_leads_altitude_20260619</t>
        </is>
      </c>
      <c r="J890" t="inlineStr">
        <is>
          <t>AA</t>
        </is>
      </c>
      <c r="K890" t="inlineStr">
        <is>
          <t>Answering Machine Autodial</t>
        </is>
      </c>
      <c r="L890" t="n">
        <v>3</v>
      </c>
      <c r="M890" t="inlineStr">
        <is>
          <t>2026-06-23 14:29:54</t>
        </is>
      </c>
      <c r="N890" t="inlineStr">
        <is>
          <t>system</t>
        </is>
      </c>
      <c r="O890" t="inlineStr">
        <is>
          <t>2026-06-19 07:10:32</t>
        </is>
      </c>
      <c r="P890" t="inlineStr">
        <is>
          <t>2026-06-19 07:10:32</t>
        </is>
      </c>
      <c r="Y890" t="inlineStr">
        <is>
          <t>27646018952</t>
        </is>
      </c>
    </row>
    <row r="891">
      <c r="A891" t="inlineStr">
        <is>
          <t>14942842</t>
        </is>
      </c>
      <c r="B891" t="inlineStr">
        <is>
          <t>31876019-bf09-403a-8ebc-04586292828a</t>
        </is>
      </c>
      <c r="D891" t="inlineStr">
        <is>
          <t>30001087</t>
        </is>
      </c>
      <c r="E891" t="inlineStr">
        <is>
          <t>ussd_funeral_leads_altitude_20260619</t>
        </is>
      </c>
      <c r="J891" t="inlineStr">
        <is>
          <t>AA</t>
        </is>
      </c>
      <c r="K891" t="inlineStr">
        <is>
          <t>Answering Machine Autodial</t>
        </is>
      </c>
      <c r="L891" t="n">
        <v>3</v>
      </c>
      <c r="M891" t="inlineStr">
        <is>
          <t>2026-06-23 14:29:47</t>
        </is>
      </c>
      <c r="N891" t="inlineStr">
        <is>
          <t>system</t>
        </is>
      </c>
      <c r="O891" t="inlineStr">
        <is>
          <t>2026-06-19 07:10:32</t>
        </is>
      </c>
      <c r="P891" t="inlineStr">
        <is>
          <t>2026-06-19 07:10:32</t>
        </is>
      </c>
      <c r="Y891" t="inlineStr">
        <is>
          <t>27674635540</t>
        </is>
      </c>
    </row>
    <row r="892">
      <c r="A892" t="inlineStr">
        <is>
          <t>14942844</t>
        </is>
      </c>
      <c r="B892" t="inlineStr">
        <is>
          <t>f84192f4-3c5f-4e80-b943-bf6ccf9ab826</t>
        </is>
      </c>
      <c r="D892" t="inlineStr">
        <is>
          <t>30001087</t>
        </is>
      </c>
      <c r="E892" t="inlineStr">
        <is>
          <t>ussd_funeral_leads_altitude_20260619</t>
        </is>
      </c>
      <c r="J892" t="inlineStr">
        <is>
          <t>NA</t>
        </is>
      </c>
      <c r="K892" t="inlineStr">
        <is>
          <t>No Answer Autodial</t>
        </is>
      </c>
      <c r="L892" t="n">
        <v>3</v>
      </c>
      <c r="M892" t="inlineStr">
        <is>
          <t>2026-06-23 14:29:47</t>
        </is>
      </c>
      <c r="N892" t="inlineStr">
        <is>
          <t>system</t>
        </is>
      </c>
      <c r="O892" t="inlineStr">
        <is>
          <t>2026-06-19 07:10:32</t>
        </is>
      </c>
      <c r="P892" t="inlineStr">
        <is>
          <t>2026-06-19 07:10:32</t>
        </is>
      </c>
      <c r="Y892" t="inlineStr">
        <is>
          <t>27648234040</t>
        </is>
      </c>
    </row>
    <row r="893">
      <c r="A893" t="inlineStr">
        <is>
          <t>14942845</t>
        </is>
      </c>
      <c r="B893" t="inlineStr">
        <is>
          <t>ad15ce49-066b-4276-82a8-0efc091d4b48</t>
        </is>
      </c>
      <c r="D893" t="inlineStr">
        <is>
          <t>30001087</t>
        </is>
      </c>
      <c r="E893" t="inlineStr">
        <is>
          <t>ussd_funeral_leads_altitude_20260619</t>
        </is>
      </c>
      <c r="J893" t="inlineStr">
        <is>
          <t>ADC</t>
        </is>
      </c>
      <c r="K893" t="inlineStr">
        <is>
          <t>Auto Dial Disconnected</t>
        </is>
      </c>
      <c r="L893" t="n">
        <v>3</v>
      </c>
      <c r="M893" t="inlineStr">
        <is>
          <t>2026-06-23 14:29:47</t>
        </is>
      </c>
      <c r="N893" t="inlineStr">
        <is>
          <t>system</t>
        </is>
      </c>
      <c r="O893" t="inlineStr">
        <is>
          <t>2026-06-19 07:10:32</t>
        </is>
      </c>
      <c r="P893" t="inlineStr">
        <is>
          <t>2026-06-19 07:10:32</t>
        </is>
      </c>
      <c r="Y893" t="inlineStr">
        <is>
          <t>27793087041</t>
        </is>
      </c>
    </row>
    <row r="894">
      <c r="A894" t="inlineStr">
        <is>
          <t>14942840</t>
        </is>
      </c>
      <c r="B894" t="inlineStr">
        <is>
          <t>d7efc413-86ef-4271-bc1d-d48af1e6b7c2</t>
        </is>
      </c>
      <c r="D894" t="inlineStr">
        <is>
          <t>30001087</t>
        </is>
      </c>
      <c r="E894" t="inlineStr">
        <is>
          <t>ussd_funeral_leads_altitude_20260619</t>
        </is>
      </c>
      <c r="J894" t="inlineStr">
        <is>
          <t>AA</t>
        </is>
      </c>
      <c r="K894" t="inlineStr">
        <is>
          <t>Answering Machine Autodial</t>
        </is>
      </c>
      <c r="L894" t="n">
        <v>3</v>
      </c>
      <c r="M894" t="inlineStr">
        <is>
          <t>2026-06-23 14:29:42</t>
        </is>
      </c>
      <c r="N894" t="inlineStr">
        <is>
          <t>system</t>
        </is>
      </c>
      <c r="O894" t="inlineStr">
        <is>
          <t>2026-06-19 07:10:32</t>
        </is>
      </c>
      <c r="P894" t="inlineStr">
        <is>
          <t>2026-06-19 07:10:32</t>
        </is>
      </c>
      <c r="Y894" t="inlineStr">
        <is>
          <t>27791954182</t>
        </is>
      </c>
    </row>
    <row r="895">
      <c r="A895" t="inlineStr">
        <is>
          <t>14942841</t>
        </is>
      </c>
      <c r="B895" t="inlineStr">
        <is>
          <t>2aaa4870-7e07-4565-b801-78bb0e6bda35</t>
        </is>
      </c>
      <c r="D895" t="inlineStr">
        <is>
          <t>30001087</t>
        </is>
      </c>
      <c r="E895" t="inlineStr">
        <is>
          <t>ussd_funeral_leads_altitude_20260619</t>
        </is>
      </c>
      <c r="J895" t="inlineStr">
        <is>
          <t>AA</t>
        </is>
      </c>
      <c r="K895" t="inlineStr">
        <is>
          <t>Answering Machine Autodial</t>
        </is>
      </c>
      <c r="L895" t="n">
        <v>3</v>
      </c>
      <c r="M895" t="inlineStr">
        <is>
          <t>2026-06-23 14:29:42</t>
        </is>
      </c>
      <c r="N895" t="inlineStr">
        <is>
          <t>system</t>
        </is>
      </c>
      <c r="O895" t="inlineStr">
        <is>
          <t>2026-06-19 07:10:32</t>
        </is>
      </c>
      <c r="P895" t="inlineStr">
        <is>
          <t>2026-06-19 07:10:32</t>
        </is>
      </c>
      <c r="Y895" t="inlineStr">
        <is>
          <t>27763882777</t>
        </is>
      </c>
    </row>
    <row r="896">
      <c r="A896" t="inlineStr">
        <is>
          <t>14900000</t>
        </is>
      </c>
      <c r="B896" t="inlineStr">
        <is>
          <t>e776a683-2a27-45e0-b94b-474d3ca7effa</t>
        </is>
      </c>
      <c r="D896" t="inlineStr">
        <is>
          <t>30001087</t>
        </is>
      </c>
      <c r="E896" t="inlineStr">
        <is>
          <t>ussd_funeral_leads_altitude_20260619</t>
        </is>
      </c>
      <c r="J896" t="inlineStr">
        <is>
          <t>AA</t>
        </is>
      </c>
      <c r="K896" t="inlineStr">
        <is>
          <t>Answering Machine Autodial</t>
        </is>
      </c>
      <c r="L896" t="n">
        <v>3</v>
      </c>
      <c r="M896" t="inlineStr">
        <is>
          <t>2026-06-23 14:29:41</t>
        </is>
      </c>
      <c r="N896" t="inlineStr">
        <is>
          <t>system</t>
        </is>
      </c>
      <c r="O896" t="inlineStr">
        <is>
          <t>2026-06-19 07:10:32</t>
        </is>
      </c>
      <c r="P896" t="inlineStr">
        <is>
          <t>2026-06-19 07:10:32</t>
        </is>
      </c>
      <c r="Y896" t="inlineStr">
        <is>
          <t>27774210866</t>
        </is>
      </c>
    </row>
    <row r="897">
      <c r="A897" t="inlineStr">
        <is>
          <t>14942891</t>
        </is>
      </c>
      <c r="B897" t="inlineStr">
        <is>
          <t>517ad125-a6b6-4576-9a27-9f18d200d101</t>
        </is>
      </c>
      <c r="D897" t="inlineStr">
        <is>
          <t>30001087</t>
        </is>
      </c>
      <c r="E897" t="inlineStr">
        <is>
          <t>ussd_funeral_leads_altitude_20260619</t>
        </is>
      </c>
      <c r="J897" t="inlineStr">
        <is>
          <t>ADC</t>
        </is>
      </c>
      <c r="K897" t="inlineStr">
        <is>
          <t>Auto Dial Disconnected</t>
        </is>
      </c>
      <c r="L897" t="n">
        <v>3</v>
      </c>
      <c r="M897" t="inlineStr">
        <is>
          <t>2026-06-23 14:28:50</t>
        </is>
      </c>
      <c r="N897" t="inlineStr">
        <is>
          <t>system</t>
        </is>
      </c>
      <c r="O897" t="inlineStr">
        <is>
          <t>2026-06-19 07:10:32</t>
        </is>
      </c>
      <c r="P897" t="inlineStr">
        <is>
          <t>2026-06-19 07:10:32</t>
        </is>
      </c>
      <c r="Y897" t="inlineStr">
        <is>
          <t>27606343167</t>
        </is>
      </c>
    </row>
    <row r="898">
      <c r="A898" t="inlineStr">
        <is>
          <t>14942892</t>
        </is>
      </c>
      <c r="B898" t="inlineStr">
        <is>
          <t>ae9302b4-6cbb-4405-87db-50569bbb4669</t>
        </is>
      </c>
      <c r="D898" t="inlineStr">
        <is>
          <t>30001087</t>
        </is>
      </c>
      <c r="E898" t="inlineStr">
        <is>
          <t>ussd_funeral_leads_altitude_20260619</t>
        </is>
      </c>
      <c r="J898" t="inlineStr">
        <is>
          <t>AA</t>
        </is>
      </c>
      <c r="K898" t="inlineStr">
        <is>
          <t>Answering Machine Autodial</t>
        </is>
      </c>
      <c r="L898" t="n">
        <v>3</v>
      </c>
      <c r="M898" t="inlineStr">
        <is>
          <t>2026-06-23 14:28:50</t>
        </is>
      </c>
      <c r="N898" t="inlineStr">
        <is>
          <t>system</t>
        </is>
      </c>
      <c r="O898" t="inlineStr">
        <is>
          <t>2026-06-19 07:10:32</t>
        </is>
      </c>
      <c r="P898" t="inlineStr">
        <is>
          <t>2026-06-19 07:10:32</t>
        </is>
      </c>
      <c r="Y898" t="inlineStr">
        <is>
          <t>27799067562</t>
        </is>
      </c>
    </row>
    <row r="899">
      <c r="A899" t="inlineStr">
        <is>
          <t>14942890</t>
        </is>
      </c>
      <c r="B899" t="inlineStr">
        <is>
          <t>f05825ae-91ea-416d-96d0-fab12fc97c23</t>
        </is>
      </c>
      <c r="D899" t="inlineStr">
        <is>
          <t>30001087</t>
        </is>
      </c>
      <c r="E899" t="inlineStr">
        <is>
          <t>ussd_funeral_leads_altitude_20260619</t>
        </is>
      </c>
      <c r="J899" t="inlineStr">
        <is>
          <t>AA</t>
        </is>
      </c>
      <c r="K899" t="inlineStr">
        <is>
          <t>Answering Machine Autodial</t>
        </is>
      </c>
      <c r="L899" t="n">
        <v>3</v>
      </c>
      <c r="M899" t="inlineStr">
        <is>
          <t>2026-06-23 14:28:47</t>
        </is>
      </c>
      <c r="N899" t="inlineStr">
        <is>
          <t>system</t>
        </is>
      </c>
      <c r="O899" t="inlineStr">
        <is>
          <t>2026-06-19 07:10:32</t>
        </is>
      </c>
      <c r="P899" t="inlineStr">
        <is>
          <t>2026-06-19 07:10:32</t>
        </is>
      </c>
      <c r="Y899" t="inlineStr">
        <is>
          <t>27799307745</t>
        </is>
      </c>
    </row>
    <row r="900">
      <c r="A900" t="inlineStr">
        <is>
          <t>14947340</t>
        </is>
      </c>
      <c r="B900" t="inlineStr">
        <is>
          <t>d7a35f34-aefe-47d8-a47e-51ce9d71d2fa</t>
        </is>
      </c>
      <c r="D900" t="inlineStr">
        <is>
          <t>30001087</t>
        </is>
      </c>
      <c r="E900" t="inlineStr">
        <is>
          <t>ussd_funeral_leads_altitude_20260619</t>
        </is>
      </c>
      <c r="J900" t="inlineStr">
        <is>
          <t>AA</t>
        </is>
      </c>
      <c r="K900" t="inlineStr">
        <is>
          <t>Answering Machine Autodial</t>
        </is>
      </c>
      <c r="L900" t="n">
        <v>3</v>
      </c>
      <c r="M900" t="inlineStr">
        <is>
          <t>2026-06-23 14:28:44</t>
        </is>
      </c>
      <c r="N900" t="inlineStr">
        <is>
          <t>system</t>
        </is>
      </c>
      <c r="O900" t="inlineStr">
        <is>
          <t>2026-06-19 07:10:32</t>
        </is>
      </c>
      <c r="P900" t="inlineStr">
        <is>
          <t>2026-06-19 07:10:32</t>
        </is>
      </c>
      <c r="Y900" t="inlineStr">
        <is>
          <t>27723962141</t>
        </is>
      </c>
    </row>
    <row r="901">
      <c r="A901" t="inlineStr">
        <is>
          <t>14947339</t>
        </is>
      </c>
      <c r="B901" t="inlineStr">
        <is>
          <t>3f104e40-9315-44b4-b3ae-c2c008da649f</t>
        </is>
      </c>
      <c r="D901" t="inlineStr">
        <is>
          <t>30001087</t>
        </is>
      </c>
      <c r="E901" t="inlineStr">
        <is>
          <t>ussd_funeral_leads_altitude_20260619</t>
        </is>
      </c>
      <c r="J901" t="inlineStr">
        <is>
          <t>AA</t>
        </is>
      </c>
      <c r="K901" t="inlineStr">
        <is>
          <t>Answering Machine Autodial</t>
        </is>
      </c>
      <c r="L901" t="n">
        <v>3</v>
      </c>
      <c r="M901" t="inlineStr">
        <is>
          <t>2026-06-23 14:28:43</t>
        </is>
      </c>
      <c r="N901" t="inlineStr">
        <is>
          <t>system</t>
        </is>
      </c>
      <c r="O901" t="inlineStr">
        <is>
          <t>2026-06-19 07:10:32</t>
        </is>
      </c>
      <c r="P901" t="inlineStr">
        <is>
          <t>2026-06-19 07:10:32</t>
        </is>
      </c>
      <c r="Y901" t="inlineStr">
        <is>
          <t>27674529005</t>
        </is>
      </c>
    </row>
    <row r="902">
      <c r="A902" t="inlineStr">
        <is>
          <t>14943146</t>
        </is>
      </c>
      <c r="B902" t="inlineStr">
        <is>
          <t>8cf3da93-e5ce-4bf6-beef-79a2252a10d8</t>
        </is>
      </c>
      <c r="D902" t="inlineStr">
        <is>
          <t>30001087</t>
        </is>
      </c>
      <c r="E902" t="inlineStr">
        <is>
          <t>ussd_funeral_leads_altitude_20260619</t>
        </is>
      </c>
      <c r="J902" t="inlineStr">
        <is>
          <t>A</t>
        </is>
      </c>
      <c r="K902" t="inlineStr">
        <is>
          <t>Answering Machine</t>
        </is>
      </c>
      <c r="L902" t="n">
        <v>3</v>
      </c>
      <c r="M902" t="inlineStr">
        <is>
          <t>2026-06-23 14:26:19</t>
        </is>
      </c>
      <c r="N902" t="inlineStr">
        <is>
          <t>Lebohang Mabotja</t>
        </is>
      </c>
      <c r="O902" t="inlineStr">
        <is>
          <t>2026-06-19 07:10:32</t>
        </is>
      </c>
      <c r="P902" t="inlineStr">
        <is>
          <t>2026-06-19 07:10:32</t>
        </is>
      </c>
      <c r="Y902" t="inlineStr">
        <is>
          <t>27712562207</t>
        </is>
      </c>
    </row>
    <row r="903">
      <c r="A903" t="inlineStr">
        <is>
          <t>14942928</t>
        </is>
      </c>
      <c r="B903" t="inlineStr">
        <is>
          <t>4157cf20-fa35-45e0-8508-d7618868ebe8</t>
        </is>
      </c>
      <c r="D903" t="inlineStr">
        <is>
          <t>30001087</t>
        </is>
      </c>
      <c r="E903" t="inlineStr">
        <is>
          <t>ussd_funeral_leads_altitude_20260619</t>
        </is>
      </c>
      <c r="J903" t="inlineStr">
        <is>
          <t>AA</t>
        </is>
      </c>
      <c r="K903" t="inlineStr">
        <is>
          <t>Answering Machine Autodial</t>
        </is>
      </c>
      <c r="L903" t="n">
        <v>3</v>
      </c>
      <c r="M903" t="inlineStr">
        <is>
          <t>2026-06-23 14:26:18</t>
        </is>
      </c>
      <c r="N903" t="inlineStr">
        <is>
          <t>system</t>
        </is>
      </c>
      <c r="O903" t="inlineStr">
        <is>
          <t>2026-06-19 07:10:32</t>
        </is>
      </c>
      <c r="P903" t="inlineStr">
        <is>
          <t>2026-06-19 07:10:32</t>
        </is>
      </c>
      <c r="Y903" t="inlineStr">
        <is>
          <t>27721400257</t>
        </is>
      </c>
    </row>
    <row r="904">
      <c r="A904" t="inlineStr">
        <is>
          <t>14942926</t>
        </is>
      </c>
      <c r="B904" t="inlineStr">
        <is>
          <t>8afd292c-72f1-42f1-b7eb-f0594a458246</t>
        </is>
      </c>
      <c r="D904" t="inlineStr">
        <is>
          <t>30001087</t>
        </is>
      </c>
      <c r="E904" t="inlineStr">
        <is>
          <t>ussd_funeral_leads_altitude_20260619</t>
        </is>
      </c>
      <c r="J904" t="inlineStr">
        <is>
          <t>AA</t>
        </is>
      </c>
      <c r="K904" t="inlineStr">
        <is>
          <t>Answering Machine Autodial</t>
        </is>
      </c>
      <c r="L904" t="n">
        <v>3</v>
      </c>
      <c r="M904" t="inlineStr">
        <is>
          <t>2026-06-23 14:26:17</t>
        </is>
      </c>
      <c r="N904" t="inlineStr">
        <is>
          <t>system</t>
        </is>
      </c>
      <c r="O904" t="inlineStr">
        <is>
          <t>2026-06-19 07:10:32</t>
        </is>
      </c>
      <c r="P904" t="inlineStr">
        <is>
          <t>2026-06-19 07:10:32</t>
        </is>
      </c>
      <c r="Y904" t="inlineStr">
        <is>
          <t>27793392372</t>
        </is>
      </c>
    </row>
    <row r="905">
      <c r="A905" t="inlineStr">
        <is>
          <t>14942927</t>
        </is>
      </c>
      <c r="B905" t="inlineStr">
        <is>
          <t>75c6151e-736b-404f-bbec-a06d758d4725</t>
        </is>
      </c>
      <c r="D905" t="inlineStr">
        <is>
          <t>30001087</t>
        </is>
      </c>
      <c r="E905" t="inlineStr">
        <is>
          <t>ussd_funeral_leads_altitude_20260619</t>
        </is>
      </c>
      <c r="J905" t="inlineStr">
        <is>
          <t>ADC</t>
        </is>
      </c>
      <c r="K905" t="inlineStr">
        <is>
          <t>Auto Dial Disconnected</t>
        </is>
      </c>
      <c r="L905" t="n">
        <v>3</v>
      </c>
      <c r="M905" t="inlineStr">
        <is>
          <t>2026-06-23 14:26:17</t>
        </is>
      </c>
      <c r="N905" t="inlineStr">
        <is>
          <t>system</t>
        </is>
      </c>
      <c r="O905" t="inlineStr">
        <is>
          <t>2026-06-19 07:10:32</t>
        </is>
      </c>
      <c r="P905" t="inlineStr">
        <is>
          <t>2026-06-19 07:10:32</t>
        </is>
      </c>
      <c r="Y905" t="inlineStr">
        <is>
          <t>27673813513</t>
        </is>
      </c>
    </row>
    <row r="906">
      <c r="A906" t="inlineStr">
        <is>
          <t>14942925</t>
        </is>
      </c>
      <c r="B906" t="inlineStr">
        <is>
          <t>8e08ff04-1088-46c7-842f-b7d3be336385</t>
        </is>
      </c>
      <c r="D906" t="inlineStr">
        <is>
          <t>30001087</t>
        </is>
      </c>
      <c r="E906" t="inlineStr">
        <is>
          <t>ussd_funeral_leads_altitude_20260619</t>
        </is>
      </c>
      <c r="J906" t="inlineStr">
        <is>
          <t>ADC</t>
        </is>
      </c>
      <c r="K906" t="inlineStr">
        <is>
          <t>Auto Dial Disconnected</t>
        </is>
      </c>
      <c r="L906" t="n">
        <v>3</v>
      </c>
      <c r="M906" t="inlineStr">
        <is>
          <t>2026-06-23 14:26:15</t>
        </is>
      </c>
      <c r="N906" t="inlineStr">
        <is>
          <t>system</t>
        </is>
      </c>
      <c r="O906" t="inlineStr">
        <is>
          <t>2026-06-19 07:10:32</t>
        </is>
      </c>
      <c r="P906" t="inlineStr">
        <is>
          <t>2026-06-19 07:10:32</t>
        </is>
      </c>
      <c r="Y906" t="inlineStr">
        <is>
          <t>27713498795</t>
        </is>
      </c>
    </row>
    <row r="907">
      <c r="A907" t="inlineStr">
        <is>
          <t>14942924</t>
        </is>
      </c>
      <c r="B907" t="inlineStr">
        <is>
          <t>d0022c8a-93b8-4c87-a38d-c9b6edc8a5bc</t>
        </is>
      </c>
      <c r="D907" t="inlineStr">
        <is>
          <t>30001087</t>
        </is>
      </c>
      <c r="E907" t="inlineStr">
        <is>
          <t>ussd_funeral_leads_altitude_20260619</t>
        </is>
      </c>
      <c r="J907" t="inlineStr">
        <is>
          <t>AA</t>
        </is>
      </c>
      <c r="K907" t="inlineStr">
        <is>
          <t>Answering Machine Autodial</t>
        </is>
      </c>
      <c r="L907" t="n">
        <v>3</v>
      </c>
      <c r="M907" t="inlineStr">
        <is>
          <t>2026-06-23 14:26:13</t>
        </is>
      </c>
      <c r="N907" t="inlineStr">
        <is>
          <t>system</t>
        </is>
      </c>
      <c r="O907" t="inlineStr">
        <is>
          <t>2026-06-19 07:10:32</t>
        </is>
      </c>
      <c r="P907" t="inlineStr">
        <is>
          <t>2026-06-19 07:10:32</t>
        </is>
      </c>
      <c r="Y907" t="inlineStr">
        <is>
          <t>27606114457</t>
        </is>
      </c>
    </row>
    <row r="908">
      <c r="A908" t="inlineStr">
        <is>
          <t>14942923</t>
        </is>
      </c>
      <c r="B908" t="inlineStr">
        <is>
          <t>ba01aad5-80eb-4952-a68b-b8f8008a3b42</t>
        </is>
      </c>
      <c r="D908" t="inlineStr">
        <is>
          <t>30001087</t>
        </is>
      </c>
      <c r="E908" t="inlineStr">
        <is>
          <t>ussd_funeral_leads_altitude_20260619</t>
        </is>
      </c>
      <c r="J908" t="inlineStr">
        <is>
          <t>ADC</t>
        </is>
      </c>
      <c r="K908" t="inlineStr">
        <is>
          <t>Auto Dial Disconnected</t>
        </is>
      </c>
      <c r="L908" t="n">
        <v>3</v>
      </c>
      <c r="M908" t="inlineStr">
        <is>
          <t>2026-06-23 14:26:09</t>
        </is>
      </c>
      <c r="N908" t="inlineStr">
        <is>
          <t>system</t>
        </is>
      </c>
      <c r="O908" t="inlineStr">
        <is>
          <t>2026-06-19 07:10:32</t>
        </is>
      </c>
      <c r="P908" t="inlineStr">
        <is>
          <t>2026-06-19 07:10:32</t>
        </is>
      </c>
      <c r="Y908" t="inlineStr">
        <is>
          <t>27664905101</t>
        </is>
      </c>
    </row>
    <row r="909">
      <c r="A909" t="inlineStr">
        <is>
          <t>14942920</t>
        </is>
      </c>
      <c r="B909" t="inlineStr">
        <is>
          <t>82ce29a3-0f59-4c7f-b51d-1f28ef178b9b</t>
        </is>
      </c>
      <c r="D909" t="inlineStr">
        <is>
          <t>30001087</t>
        </is>
      </c>
      <c r="E909" t="inlineStr">
        <is>
          <t>ussd_funeral_leads_altitude_20260619</t>
        </is>
      </c>
      <c r="H909" t="inlineStr">
        <is>
          <t>27665650857</t>
        </is>
      </c>
      <c r="J909" t="inlineStr">
        <is>
          <t>AA</t>
        </is>
      </c>
      <c r="K909" t="inlineStr">
        <is>
          <t>Answering Machine Autodial</t>
        </is>
      </c>
      <c r="L909" t="n">
        <v>3</v>
      </c>
      <c r="M909" t="inlineStr">
        <is>
          <t>2026-06-23 14:26:08</t>
        </is>
      </c>
      <c r="N909" t="inlineStr">
        <is>
          <t>system</t>
        </is>
      </c>
      <c r="O909" t="inlineStr">
        <is>
          <t>2026-06-19 07:10:32</t>
        </is>
      </c>
      <c r="P909" t="inlineStr">
        <is>
          <t>2026-06-19 07:10:32</t>
        </is>
      </c>
      <c r="Y909" t="inlineStr">
        <is>
          <t>27665650857</t>
        </is>
      </c>
    </row>
    <row r="910">
      <c r="A910" t="inlineStr">
        <is>
          <t>14942921</t>
        </is>
      </c>
      <c r="B910" t="inlineStr">
        <is>
          <t>18feb0f0-1929-4ccd-b04b-32f4a3590441</t>
        </is>
      </c>
      <c r="D910" t="inlineStr">
        <is>
          <t>30001087</t>
        </is>
      </c>
      <c r="E910" t="inlineStr">
        <is>
          <t>ussd_funeral_leads_altitude_20260619</t>
        </is>
      </c>
      <c r="J910" t="inlineStr">
        <is>
          <t>AA</t>
        </is>
      </c>
      <c r="K910" t="inlineStr">
        <is>
          <t>Answering Machine Autodial</t>
        </is>
      </c>
      <c r="L910" t="n">
        <v>3</v>
      </c>
      <c r="M910" t="inlineStr">
        <is>
          <t>2026-06-23 14:26:08</t>
        </is>
      </c>
      <c r="N910" t="inlineStr">
        <is>
          <t>system</t>
        </is>
      </c>
      <c r="O910" t="inlineStr">
        <is>
          <t>2026-06-19 07:10:32</t>
        </is>
      </c>
      <c r="P910" t="inlineStr">
        <is>
          <t>2026-06-19 07:10:32</t>
        </is>
      </c>
      <c r="Y910" t="inlineStr">
        <is>
          <t>27712379262</t>
        </is>
      </c>
    </row>
    <row r="911">
      <c r="A911" t="inlineStr">
        <is>
          <t>14942922</t>
        </is>
      </c>
      <c r="B911" t="inlineStr">
        <is>
          <t>593ebfad-7c88-4af9-b673-2fd010c9bfca</t>
        </is>
      </c>
      <c r="D911" t="inlineStr">
        <is>
          <t>30001087</t>
        </is>
      </c>
      <c r="E911" t="inlineStr">
        <is>
          <t>ussd_funeral_leads_altitude_20260619</t>
        </is>
      </c>
      <c r="J911" t="inlineStr">
        <is>
          <t>A</t>
        </is>
      </c>
      <c r="K911" t="inlineStr">
        <is>
          <t>Answering Machine</t>
        </is>
      </c>
      <c r="L911" t="n">
        <v>3</v>
      </c>
      <c r="M911" t="inlineStr">
        <is>
          <t>2026-06-23 14:26:08</t>
        </is>
      </c>
      <c r="N911" t="inlineStr">
        <is>
          <t>Lebohang Mabotja</t>
        </is>
      </c>
      <c r="O911" t="inlineStr">
        <is>
          <t>2026-06-19 07:10:32</t>
        </is>
      </c>
      <c r="P911" t="inlineStr">
        <is>
          <t>2026-06-19 07:10:32</t>
        </is>
      </c>
      <c r="Y911" t="inlineStr">
        <is>
          <t>27660786855</t>
        </is>
      </c>
    </row>
    <row r="912">
      <c r="A912" t="inlineStr">
        <is>
          <t>14942917</t>
        </is>
      </c>
      <c r="B912" t="inlineStr">
        <is>
          <t>cee748b3-09a9-4c11-82f7-e4487a7bdac3</t>
        </is>
      </c>
      <c r="D912" t="inlineStr">
        <is>
          <t>30001087</t>
        </is>
      </c>
      <c r="E912" t="inlineStr">
        <is>
          <t>ussd_funeral_leads_altitude_20260619</t>
        </is>
      </c>
      <c r="J912" t="inlineStr">
        <is>
          <t>AA</t>
        </is>
      </c>
      <c r="K912" t="inlineStr">
        <is>
          <t>Answering Machine Autodial</t>
        </is>
      </c>
      <c r="L912" t="n">
        <v>3</v>
      </c>
      <c r="M912" t="inlineStr">
        <is>
          <t>2026-06-23 14:25:41</t>
        </is>
      </c>
      <c r="N912" t="inlineStr">
        <is>
          <t>system</t>
        </is>
      </c>
      <c r="O912" t="inlineStr">
        <is>
          <t>2026-06-19 07:10:32</t>
        </is>
      </c>
      <c r="P912" t="inlineStr">
        <is>
          <t>2026-06-19 07:10:32</t>
        </is>
      </c>
      <c r="Y912" t="inlineStr">
        <is>
          <t>27647516408</t>
        </is>
      </c>
    </row>
    <row r="913">
      <c r="A913" t="inlineStr">
        <is>
          <t>14942918</t>
        </is>
      </c>
      <c r="B913" t="inlineStr">
        <is>
          <t>5594f287-8934-42b2-9cb7-b297fd1a3f24</t>
        </is>
      </c>
      <c r="D913" t="inlineStr">
        <is>
          <t>30001087</t>
        </is>
      </c>
      <c r="E913" t="inlineStr">
        <is>
          <t>ussd_funeral_leads_altitude_20260619</t>
        </is>
      </c>
      <c r="J913" t="inlineStr">
        <is>
          <t>AA</t>
        </is>
      </c>
      <c r="K913" t="inlineStr">
        <is>
          <t>Answering Machine Autodial</t>
        </is>
      </c>
      <c r="L913" t="n">
        <v>3</v>
      </c>
      <c r="M913" t="inlineStr">
        <is>
          <t>2026-06-23 14:25:41</t>
        </is>
      </c>
      <c r="N913" t="inlineStr">
        <is>
          <t>system</t>
        </is>
      </c>
      <c r="O913" t="inlineStr">
        <is>
          <t>2026-06-19 07:10:32</t>
        </is>
      </c>
      <c r="P913" t="inlineStr">
        <is>
          <t>2026-06-19 07:10:32</t>
        </is>
      </c>
      <c r="Y913" t="inlineStr">
        <is>
          <t>27720519244</t>
        </is>
      </c>
    </row>
    <row r="914">
      <c r="A914" t="inlineStr">
        <is>
          <t>14942919</t>
        </is>
      </c>
      <c r="B914" t="inlineStr">
        <is>
          <t>353be111-d470-4c04-bd50-7b63bfa1043c</t>
        </is>
      </c>
      <c r="D914" t="inlineStr">
        <is>
          <t>30001087</t>
        </is>
      </c>
      <c r="E914" t="inlineStr">
        <is>
          <t>ussd_funeral_leads_altitude_20260619</t>
        </is>
      </c>
      <c r="J914" t="inlineStr">
        <is>
          <t>AA</t>
        </is>
      </c>
      <c r="K914" t="inlineStr">
        <is>
          <t>Answering Machine Autodial</t>
        </is>
      </c>
      <c r="L914" t="n">
        <v>3</v>
      </c>
      <c r="M914" t="inlineStr">
        <is>
          <t>2026-06-23 14:25:41</t>
        </is>
      </c>
      <c r="N914" t="inlineStr">
        <is>
          <t>system</t>
        </is>
      </c>
      <c r="O914" t="inlineStr">
        <is>
          <t>2026-06-19 07:10:32</t>
        </is>
      </c>
      <c r="P914" t="inlineStr">
        <is>
          <t>2026-06-19 07:10:32</t>
        </is>
      </c>
      <c r="Y914" t="inlineStr">
        <is>
          <t>27822086859</t>
        </is>
      </c>
    </row>
    <row r="915">
      <c r="A915" t="inlineStr">
        <is>
          <t>14942914</t>
        </is>
      </c>
      <c r="B915" t="inlineStr">
        <is>
          <t>1994afc7-78b4-4efa-843d-2254a173a6ef</t>
        </is>
      </c>
      <c r="D915" t="inlineStr">
        <is>
          <t>30001087</t>
        </is>
      </c>
      <c r="E915" t="inlineStr">
        <is>
          <t>ussd_funeral_leads_altitude_20260619</t>
        </is>
      </c>
      <c r="J915" t="inlineStr">
        <is>
          <t>AA</t>
        </is>
      </c>
      <c r="K915" t="inlineStr">
        <is>
          <t>Answering Machine Autodial</t>
        </is>
      </c>
      <c r="L915" t="n">
        <v>3</v>
      </c>
      <c r="M915" t="inlineStr">
        <is>
          <t>2026-06-23 14:25:40</t>
        </is>
      </c>
      <c r="N915" t="inlineStr">
        <is>
          <t>system</t>
        </is>
      </c>
      <c r="O915" t="inlineStr">
        <is>
          <t>2026-06-19 07:10:32</t>
        </is>
      </c>
      <c r="P915" t="inlineStr">
        <is>
          <t>2026-06-19 07:10:32</t>
        </is>
      </c>
      <c r="Y915" t="inlineStr">
        <is>
          <t>27790896750</t>
        </is>
      </c>
    </row>
    <row r="916">
      <c r="A916" t="inlineStr">
        <is>
          <t>14942915</t>
        </is>
      </c>
      <c r="B916" t="inlineStr">
        <is>
          <t>6249a6a9-1ac6-4aa6-a873-1e0f184ccf7d</t>
        </is>
      </c>
      <c r="D916" t="inlineStr">
        <is>
          <t>30001087</t>
        </is>
      </c>
      <c r="E916" t="inlineStr">
        <is>
          <t>ussd_funeral_leads_altitude_20260619</t>
        </is>
      </c>
      <c r="J916" t="inlineStr">
        <is>
          <t>AE</t>
        </is>
      </c>
      <c r="K916" t="inlineStr">
        <is>
          <t>Auto Engaged</t>
        </is>
      </c>
      <c r="L916" t="n">
        <v>3</v>
      </c>
      <c r="M916" t="inlineStr">
        <is>
          <t>2026-06-23 14:25:40</t>
        </is>
      </c>
      <c r="N916" t="inlineStr">
        <is>
          <t>system</t>
        </is>
      </c>
      <c r="O916" t="inlineStr">
        <is>
          <t>2026-06-19 07:10:32</t>
        </is>
      </c>
      <c r="P916" t="inlineStr">
        <is>
          <t>2026-06-19 07:10:32</t>
        </is>
      </c>
      <c r="Y916" t="inlineStr">
        <is>
          <t>27826484946</t>
        </is>
      </c>
    </row>
    <row r="917">
      <c r="A917" t="inlineStr">
        <is>
          <t>14942916</t>
        </is>
      </c>
      <c r="B917" t="inlineStr">
        <is>
          <t>c83f3671-64b0-424b-9777-53427cebf175</t>
        </is>
      </c>
      <c r="D917" t="inlineStr">
        <is>
          <t>30001087</t>
        </is>
      </c>
      <c r="E917" t="inlineStr">
        <is>
          <t>ussd_funeral_leads_altitude_20260619</t>
        </is>
      </c>
      <c r="J917" t="inlineStr">
        <is>
          <t>AA</t>
        </is>
      </c>
      <c r="K917" t="inlineStr">
        <is>
          <t>Answering Machine Autodial</t>
        </is>
      </c>
      <c r="L917" t="n">
        <v>3</v>
      </c>
      <c r="M917" t="inlineStr">
        <is>
          <t>2026-06-23 14:25:40</t>
        </is>
      </c>
      <c r="N917" t="inlineStr">
        <is>
          <t>system</t>
        </is>
      </c>
      <c r="O917" t="inlineStr">
        <is>
          <t>2026-06-19 07:10:32</t>
        </is>
      </c>
      <c r="P917" t="inlineStr">
        <is>
          <t>2026-06-19 07:10:32</t>
        </is>
      </c>
      <c r="Y917" t="inlineStr">
        <is>
          <t>27607252748</t>
        </is>
      </c>
    </row>
    <row r="918">
      <c r="A918" t="inlineStr">
        <is>
          <t>14947337</t>
        </is>
      </c>
      <c r="B918" t="inlineStr">
        <is>
          <t>8e5bf032-d051-40fe-bf5f-efdac88b9d02</t>
        </is>
      </c>
      <c r="D918" t="inlineStr">
        <is>
          <t>30001087</t>
        </is>
      </c>
      <c r="E918" t="inlineStr">
        <is>
          <t>ussd_funeral_leads_altitude_20260619</t>
        </is>
      </c>
      <c r="J918" t="inlineStr">
        <is>
          <t>TDN</t>
        </is>
      </c>
      <c r="K918" t="inlineStr">
        <is>
          <t>Temporary Disconnected Number</t>
        </is>
      </c>
      <c r="L918" t="n">
        <v>3</v>
      </c>
      <c r="M918" t="inlineStr">
        <is>
          <t>2026-06-23 14:25:38</t>
        </is>
      </c>
      <c r="N918" t="inlineStr">
        <is>
          <t>system</t>
        </is>
      </c>
      <c r="O918" t="inlineStr">
        <is>
          <t>2026-06-19 07:10:32</t>
        </is>
      </c>
      <c r="P918" t="inlineStr">
        <is>
          <t>2026-06-19 07:10:32</t>
        </is>
      </c>
      <c r="Y918" t="inlineStr">
        <is>
          <t>27646378101</t>
        </is>
      </c>
    </row>
    <row r="919">
      <c r="A919" t="inlineStr">
        <is>
          <t>14942994</t>
        </is>
      </c>
      <c r="B919" t="inlineStr">
        <is>
          <t>8622e277-d1cb-49c2-a354-336235d19201</t>
        </is>
      </c>
      <c r="D919" t="inlineStr">
        <is>
          <t>30001087</t>
        </is>
      </c>
      <c r="E919" t="inlineStr">
        <is>
          <t>ussd_funeral_leads_altitude_20260619</t>
        </is>
      </c>
      <c r="J919" t="inlineStr">
        <is>
          <t>AA</t>
        </is>
      </c>
      <c r="K919" t="inlineStr">
        <is>
          <t>Answering Machine Autodial</t>
        </is>
      </c>
      <c r="L919" t="n">
        <v>3</v>
      </c>
      <c r="M919" t="inlineStr">
        <is>
          <t>2026-06-23 14:24:15</t>
        </is>
      </c>
      <c r="N919" t="inlineStr">
        <is>
          <t>system</t>
        </is>
      </c>
      <c r="O919" t="inlineStr">
        <is>
          <t>2026-06-19 07:10:32</t>
        </is>
      </c>
      <c r="P919" t="inlineStr">
        <is>
          <t>2026-06-19 07:10:32</t>
        </is>
      </c>
      <c r="Y919" t="inlineStr">
        <is>
          <t>27768262339</t>
        </is>
      </c>
    </row>
    <row r="920">
      <c r="A920" t="inlineStr">
        <is>
          <t>14942993</t>
        </is>
      </c>
      <c r="B920" t="inlineStr">
        <is>
          <t>fbab4196-8d6c-48a4-8b1c-4ff9e81fd736</t>
        </is>
      </c>
      <c r="D920" t="inlineStr">
        <is>
          <t>30001087</t>
        </is>
      </c>
      <c r="E920" t="inlineStr">
        <is>
          <t>ussd_funeral_leads_altitude_20260619</t>
        </is>
      </c>
      <c r="J920" t="inlineStr">
        <is>
          <t>NI</t>
        </is>
      </c>
      <c r="K920" t="inlineStr">
        <is>
          <t>Not Interested</t>
        </is>
      </c>
      <c r="L920" t="n">
        <v>3</v>
      </c>
      <c r="M920" t="inlineStr">
        <is>
          <t>2026-06-23 14:24:10</t>
        </is>
      </c>
      <c r="N920" t="inlineStr">
        <is>
          <t>Vuyiswa Nxumalo</t>
        </is>
      </c>
      <c r="O920" t="inlineStr">
        <is>
          <t>2026-06-19 07:10:32</t>
        </is>
      </c>
      <c r="P920" t="inlineStr">
        <is>
          <t>2026-06-19 07:10:32</t>
        </is>
      </c>
      <c r="Y920" t="inlineStr">
        <is>
          <t>27760399493</t>
        </is>
      </c>
    </row>
    <row r="921">
      <c r="A921" t="inlineStr">
        <is>
          <t>14942992</t>
        </is>
      </c>
      <c r="B921" t="inlineStr">
        <is>
          <t>fd2e8903-5a6a-4ffc-88c2-e167dc1d81b6</t>
        </is>
      </c>
      <c r="D921" t="inlineStr">
        <is>
          <t>30001087</t>
        </is>
      </c>
      <c r="E921" t="inlineStr">
        <is>
          <t>ussd_funeral_leads_altitude_20260619</t>
        </is>
      </c>
      <c r="J921" t="inlineStr">
        <is>
          <t>NA</t>
        </is>
      </c>
      <c r="K921" t="inlineStr">
        <is>
          <t>No Answer Autodial</t>
        </is>
      </c>
      <c r="L921" t="n">
        <v>3</v>
      </c>
      <c r="M921" t="inlineStr">
        <is>
          <t>2026-06-23 14:24:06</t>
        </is>
      </c>
      <c r="N921" t="inlineStr">
        <is>
          <t>system</t>
        </is>
      </c>
      <c r="O921" t="inlineStr">
        <is>
          <t>2026-06-19 07:10:32</t>
        </is>
      </c>
      <c r="P921" t="inlineStr">
        <is>
          <t>2026-06-19 07:10:32</t>
        </is>
      </c>
      <c r="Y921" t="inlineStr">
        <is>
          <t>27791398622</t>
        </is>
      </c>
    </row>
    <row r="922">
      <c r="A922" t="inlineStr">
        <is>
          <t>14942991</t>
        </is>
      </c>
      <c r="B922" t="inlineStr">
        <is>
          <t>f1f00d4b-e568-4d6f-b459-38ea40ad9534</t>
        </is>
      </c>
      <c r="D922" t="inlineStr">
        <is>
          <t>30001087</t>
        </is>
      </c>
      <c r="E922" t="inlineStr">
        <is>
          <t>ussd_funeral_leads_altitude_20260619</t>
        </is>
      </c>
      <c r="J922" t="inlineStr">
        <is>
          <t>ADC</t>
        </is>
      </c>
      <c r="K922" t="inlineStr">
        <is>
          <t>Auto Dial Disconnected</t>
        </is>
      </c>
      <c r="L922" t="n">
        <v>3</v>
      </c>
      <c r="M922" t="inlineStr">
        <is>
          <t>2026-06-23 14:24:05</t>
        </is>
      </c>
      <c r="N922" t="inlineStr">
        <is>
          <t>system</t>
        </is>
      </c>
      <c r="O922" t="inlineStr">
        <is>
          <t>2026-06-19 07:10:32</t>
        </is>
      </c>
      <c r="P922" t="inlineStr">
        <is>
          <t>2026-06-19 07:10:32</t>
        </is>
      </c>
      <c r="Y922" t="inlineStr">
        <is>
          <t>27791754411</t>
        </is>
      </c>
    </row>
    <row r="923">
      <c r="A923" t="inlineStr">
        <is>
          <t>14942988</t>
        </is>
      </c>
      <c r="B923" t="inlineStr">
        <is>
          <t>799b4aa6-f0aa-4ad8-b41c-fbf41d24156a</t>
        </is>
      </c>
      <c r="D923" t="inlineStr">
        <is>
          <t>30001087</t>
        </is>
      </c>
      <c r="E923" t="inlineStr">
        <is>
          <t>ussd_funeral_leads_altitude_20260619</t>
        </is>
      </c>
      <c r="J923" t="inlineStr">
        <is>
          <t>AA</t>
        </is>
      </c>
      <c r="K923" t="inlineStr">
        <is>
          <t>Answering Machine Autodial</t>
        </is>
      </c>
      <c r="L923" t="n">
        <v>3</v>
      </c>
      <c r="M923" t="inlineStr">
        <is>
          <t>2026-06-23 14:24:04</t>
        </is>
      </c>
      <c r="N923" t="inlineStr">
        <is>
          <t>system</t>
        </is>
      </c>
      <c r="O923" t="inlineStr">
        <is>
          <t>2026-06-19 07:10:32</t>
        </is>
      </c>
      <c r="P923" t="inlineStr">
        <is>
          <t>2026-06-19 07:10:32</t>
        </is>
      </c>
      <c r="Y923" t="inlineStr">
        <is>
          <t>27646116581</t>
        </is>
      </c>
    </row>
    <row r="924">
      <c r="A924" t="inlineStr">
        <is>
          <t>14942990</t>
        </is>
      </c>
      <c r="B924" t="inlineStr">
        <is>
          <t>ad4439ce-4c49-49f3-ace9-bd7796d7906d</t>
        </is>
      </c>
      <c r="D924" t="inlineStr">
        <is>
          <t>30001087</t>
        </is>
      </c>
      <c r="E924" t="inlineStr">
        <is>
          <t>ussd_funeral_leads_altitude_20260619</t>
        </is>
      </c>
      <c r="J924" t="inlineStr">
        <is>
          <t>TDN</t>
        </is>
      </c>
      <c r="K924" t="inlineStr">
        <is>
          <t>Temporary Disconnected Number</t>
        </is>
      </c>
      <c r="L924" t="n">
        <v>3</v>
      </c>
      <c r="M924" t="inlineStr">
        <is>
          <t>2026-06-23 14:24:04</t>
        </is>
      </c>
      <c r="N924" t="inlineStr">
        <is>
          <t>system</t>
        </is>
      </c>
      <c r="O924" t="inlineStr">
        <is>
          <t>2026-06-19 07:10:32</t>
        </is>
      </c>
      <c r="P924" t="inlineStr">
        <is>
          <t>2026-06-19 07:10:32</t>
        </is>
      </c>
      <c r="Y924" t="inlineStr">
        <is>
          <t>27823188722</t>
        </is>
      </c>
    </row>
    <row r="925">
      <c r="A925" t="inlineStr">
        <is>
          <t>14942987</t>
        </is>
      </c>
      <c r="B925" t="inlineStr">
        <is>
          <t>34a89ad2-2922-425b-8f3a-71a41d2cae3b</t>
        </is>
      </c>
      <c r="D925" t="inlineStr">
        <is>
          <t>30001087</t>
        </is>
      </c>
      <c r="E925" t="inlineStr">
        <is>
          <t>ussd_funeral_leads_altitude_20260619</t>
        </is>
      </c>
      <c r="J925" t="inlineStr">
        <is>
          <t>AA</t>
        </is>
      </c>
      <c r="K925" t="inlineStr">
        <is>
          <t>Answering Machine Autodial</t>
        </is>
      </c>
      <c r="L925" t="n">
        <v>3</v>
      </c>
      <c r="M925" t="inlineStr">
        <is>
          <t>2026-06-23 14:23:59</t>
        </is>
      </c>
      <c r="N925" t="inlineStr">
        <is>
          <t>system</t>
        </is>
      </c>
      <c r="O925" t="inlineStr">
        <is>
          <t>2026-06-19 07:10:32</t>
        </is>
      </c>
      <c r="P925" t="inlineStr">
        <is>
          <t>2026-06-19 07:10:32</t>
        </is>
      </c>
      <c r="Y925" t="inlineStr">
        <is>
          <t>27664212253</t>
        </is>
      </c>
    </row>
    <row r="926">
      <c r="A926" t="inlineStr">
        <is>
          <t>14942961</t>
        </is>
      </c>
      <c r="B926" t="inlineStr">
        <is>
          <t>91bda3fe-a32e-45d2-8f65-8182f75ce971</t>
        </is>
      </c>
      <c r="D926" t="inlineStr">
        <is>
          <t>30001087</t>
        </is>
      </c>
      <c r="E926" t="inlineStr">
        <is>
          <t>ussd_funeral_leads_altitude_20260619</t>
        </is>
      </c>
      <c r="J926" t="inlineStr">
        <is>
          <t>AA</t>
        </is>
      </c>
      <c r="K926" t="inlineStr">
        <is>
          <t>Answering Machine Autodial</t>
        </is>
      </c>
      <c r="L926" t="n">
        <v>3</v>
      </c>
      <c r="M926" t="inlineStr">
        <is>
          <t>2026-06-23 14:23:58</t>
        </is>
      </c>
      <c r="N926" t="inlineStr">
        <is>
          <t>system</t>
        </is>
      </c>
      <c r="O926" t="inlineStr">
        <is>
          <t>2026-06-19 07:10:32</t>
        </is>
      </c>
      <c r="P926" t="inlineStr">
        <is>
          <t>2026-06-19 07:10:32</t>
        </is>
      </c>
      <c r="Y926" t="inlineStr">
        <is>
          <t>27647652768</t>
        </is>
      </c>
    </row>
    <row r="927">
      <c r="A927" t="inlineStr">
        <is>
          <t>14942962</t>
        </is>
      </c>
      <c r="B927" t="inlineStr">
        <is>
          <t>b44b8c41-0bd5-4419-8834-c1e4882383f7</t>
        </is>
      </c>
      <c r="D927" t="inlineStr">
        <is>
          <t>30001087</t>
        </is>
      </c>
      <c r="E927" t="inlineStr">
        <is>
          <t>ussd_funeral_leads_altitude_20260619</t>
        </is>
      </c>
      <c r="J927" t="inlineStr">
        <is>
          <t>AA</t>
        </is>
      </c>
      <c r="K927" t="inlineStr">
        <is>
          <t>Answering Machine Autodial</t>
        </is>
      </c>
      <c r="L927" t="n">
        <v>3</v>
      </c>
      <c r="M927" t="inlineStr">
        <is>
          <t>2026-06-23 14:23:58</t>
        </is>
      </c>
      <c r="N927" t="inlineStr">
        <is>
          <t>system</t>
        </is>
      </c>
      <c r="O927" t="inlineStr">
        <is>
          <t>2026-06-19 07:10:32</t>
        </is>
      </c>
      <c r="P927" t="inlineStr">
        <is>
          <t>2026-06-19 07:10:32</t>
        </is>
      </c>
      <c r="Y927" t="inlineStr">
        <is>
          <t>27606437201</t>
        </is>
      </c>
    </row>
    <row r="928">
      <c r="A928" t="inlineStr">
        <is>
          <t>14942963</t>
        </is>
      </c>
      <c r="B928" t="inlineStr">
        <is>
          <t>dd0bec48-a219-4460-b22a-0f3d4d186454</t>
        </is>
      </c>
      <c r="D928" t="inlineStr">
        <is>
          <t>30001087</t>
        </is>
      </c>
      <c r="E928" t="inlineStr">
        <is>
          <t>ussd_funeral_leads_altitude_20260619</t>
        </is>
      </c>
      <c r="J928" t="inlineStr">
        <is>
          <t>ADC</t>
        </is>
      </c>
      <c r="K928" t="inlineStr">
        <is>
          <t>Auto Dial Disconnected</t>
        </is>
      </c>
      <c r="L928" t="n">
        <v>3</v>
      </c>
      <c r="M928" t="inlineStr">
        <is>
          <t>2026-06-23 14:23:58</t>
        </is>
      </c>
      <c r="N928" t="inlineStr">
        <is>
          <t>system</t>
        </is>
      </c>
      <c r="O928" t="inlineStr">
        <is>
          <t>2026-06-19 07:10:32</t>
        </is>
      </c>
      <c r="P928" t="inlineStr">
        <is>
          <t>2026-06-19 07:10:32</t>
        </is>
      </c>
      <c r="Y928" t="inlineStr">
        <is>
          <t>27723562703</t>
        </is>
      </c>
    </row>
    <row r="929">
      <c r="A929" t="inlineStr">
        <is>
          <t>14942960</t>
        </is>
      </c>
      <c r="B929" t="inlineStr">
        <is>
          <t>3d3d1542-54fa-498d-98c7-9737d6fcb3c1</t>
        </is>
      </c>
      <c r="D929" t="inlineStr">
        <is>
          <t>30001087</t>
        </is>
      </c>
      <c r="E929" t="inlineStr">
        <is>
          <t>ussd_funeral_leads_altitude_20260619</t>
        </is>
      </c>
      <c r="J929" t="inlineStr">
        <is>
          <t>AA</t>
        </is>
      </c>
      <c r="K929" t="inlineStr">
        <is>
          <t>Answering Machine Autodial</t>
        </is>
      </c>
      <c r="L929" t="n">
        <v>3</v>
      </c>
      <c r="M929" t="inlineStr">
        <is>
          <t>2026-06-23 14:23:29</t>
        </is>
      </c>
      <c r="N929" t="inlineStr">
        <is>
          <t>system</t>
        </is>
      </c>
      <c r="O929" t="inlineStr">
        <is>
          <t>2026-06-19 07:10:32</t>
        </is>
      </c>
      <c r="P929" t="inlineStr">
        <is>
          <t>2026-06-19 07:10:32</t>
        </is>
      </c>
      <c r="Y929" t="inlineStr">
        <is>
          <t>27763012608</t>
        </is>
      </c>
    </row>
    <row r="930">
      <c r="A930" t="inlineStr">
        <is>
          <t>14942959</t>
        </is>
      </c>
      <c r="B930" t="inlineStr">
        <is>
          <t>021350dd-7ff6-4523-be69-447347ae14ad</t>
        </is>
      </c>
      <c r="D930" t="inlineStr">
        <is>
          <t>30001087</t>
        </is>
      </c>
      <c r="E930" t="inlineStr">
        <is>
          <t>ussd_funeral_leads_altitude_20260619</t>
        </is>
      </c>
      <c r="J930" t="inlineStr">
        <is>
          <t>ADC</t>
        </is>
      </c>
      <c r="K930" t="inlineStr">
        <is>
          <t>Auto Dial Disconnected</t>
        </is>
      </c>
      <c r="L930" t="n">
        <v>3</v>
      </c>
      <c r="M930" t="inlineStr">
        <is>
          <t>2026-06-23 14:23:28</t>
        </is>
      </c>
      <c r="N930" t="inlineStr">
        <is>
          <t>system</t>
        </is>
      </c>
      <c r="O930" t="inlineStr">
        <is>
          <t>2026-06-19 07:10:32</t>
        </is>
      </c>
      <c r="P930" t="inlineStr">
        <is>
          <t>2026-06-19 07:10:32</t>
        </is>
      </c>
      <c r="Y930" t="inlineStr">
        <is>
          <t>27712241413</t>
        </is>
      </c>
    </row>
    <row r="931">
      <c r="A931" t="inlineStr">
        <is>
          <t>14942957</t>
        </is>
      </c>
      <c r="B931" t="inlineStr">
        <is>
          <t>655d7ff2-dede-4554-8f8e-97e6f9764a39</t>
        </is>
      </c>
      <c r="D931" t="inlineStr">
        <is>
          <t>30001087</t>
        </is>
      </c>
      <c r="E931" t="inlineStr">
        <is>
          <t>ussd_funeral_leads_altitude_20260619</t>
        </is>
      </c>
      <c r="J931" t="inlineStr">
        <is>
          <t>AA</t>
        </is>
      </c>
      <c r="K931" t="inlineStr">
        <is>
          <t>Answering Machine Autodial</t>
        </is>
      </c>
      <c r="L931" t="n">
        <v>3</v>
      </c>
      <c r="M931" t="inlineStr">
        <is>
          <t>2026-06-23 14:23:22</t>
        </is>
      </c>
      <c r="N931" t="inlineStr">
        <is>
          <t>system</t>
        </is>
      </c>
      <c r="O931" t="inlineStr">
        <is>
          <t>2026-06-19 07:10:32</t>
        </is>
      </c>
      <c r="P931" t="inlineStr">
        <is>
          <t>2026-06-19 07:10:32</t>
        </is>
      </c>
      <c r="Y931" t="inlineStr">
        <is>
          <t>27772735057</t>
        </is>
      </c>
    </row>
    <row r="932">
      <c r="A932" t="inlineStr">
        <is>
          <t>14942958</t>
        </is>
      </c>
      <c r="B932" t="inlineStr">
        <is>
          <t>febd0ccf-8f07-482c-ae09-89f2ed6255ed</t>
        </is>
      </c>
      <c r="D932" t="inlineStr">
        <is>
          <t>30001087</t>
        </is>
      </c>
      <c r="E932" t="inlineStr">
        <is>
          <t>ussd_funeral_leads_altitude_20260619</t>
        </is>
      </c>
      <c r="J932" t="inlineStr">
        <is>
          <t>AA</t>
        </is>
      </c>
      <c r="K932" t="inlineStr">
        <is>
          <t>Answering Machine Autodial</t>
        </is>
      </c>
      <c r="L932" t="n">
        <v>3</v>
      </c>
      <c r="M932" t="inlineStr">
        <is>
          <t>2026-06-23 14:23:22</t>
        </is>
      </c>
      <c r="N932" t="inlineStr">
        <is>
          <t>system</t>
        </is>
      </c>
      <c r="O932" t="inlineStr">
        <is>
          <t>2026-06-19 07:10:32</t>
        </is>
      </c>
      <c r="P932" t="inlineStr">
        <is>
          <t>2026-06-19 07:10:32</t>
        </is>
      </c>
      <c r="Y932" t="inlineStr">
        <is>
          <t>27760759671</t>
        </is>
      </c>
    </row>
    <row r="933">
      <c r="A933" t="inlineStr">
        <is>
          <t>14942952</t>
        </is>
      </c>
      <c r="B933" t="inlineStr">
        <is>
          <t>b77205d3-dc23-4d2a-ac8c-192c1de42cf3</t>
        </is>
      </c>
      <c r="D933" t="inlineStr">
        <is>
          <t>30001087</t>
        </is>
      </c>
      <c r="E933" t="inlineStr">
        <is>
          <t>ussd_funeral_leads_altitude_20260619</t>
        </is>
      </c>
      <c r="J933" t="inlineStr">
        <is>
          <t>CU</t>
        </is>
      </c>
      <c r="K933" t="inlineStr">
        <is>
          <t>Client Hung Up</t>
        </is>
      </c>
      <c r="L933" t="n">
        <v>3</v>
      </c>
      <c r="M933" t="inlineStr">
        <is>
          <t>2026-06-23 14:23:21</t>
        </is>
      </c>
      <c r="N933" t="inlineStr">
        <is>
          <t>Dimakatso Nkomo</t>
        </is>
      </c>
      <c r="O933" t="inlineStr">
        <is>
          <t>2026-06-19 07:10:32</t>
        </is>
      </c>
      <c r="P933" t="inlineStr">
        <is>
          <t>2026-06-19 07:10:32</t>
        </is>
      </c>
      <c r="Y933" t="inlineStr">
        <is>
          <t>27797477718</t>
        </is>
      </c>
    </row>
    <row r="934">
      <c r="A934" t="inlineStr">
        <is>
          <t>14942953</t>
        </is>
      </c>
      <c r="B934" t="inlineStr">
        <is>
          <t>345a3b4b-9967-4dc5-a984-2dbfe862376c</t>
        </is>
      </c>
      <c r="D934" t="inlineStr">
        <is>
          <t>30001087</t>
        </is>
      </c>
      <c r="E934" t="inlineStr">
        <is>
          <t>ussd_funeral_leads_altitude_20260619</t>
        </is>
      </c>
      <c r="J934" t="inlineStr">
        <is>
          <t>CU</t>
        </is>
      </c>
      <c r="K934" t="inlineStr">
        <is>
          <t>Client Hung Up</t>
        </is>
      </c>
      <c r="L934" t="n">
        <v>3</v>
      </c>
      <c r="M934" t="inlineStr">
        <is>
          <t>2026-06-23 14:23:21</t>
        </is>
      </c>
      <c r="N934" t="inlineStr">
        <is>
          <t>Vuyiswa Nxumalo</t>
        </is>
      </c>
      <c r="O934" t="inlineStr">
        <is>
          <t>2026-06-19 07:10:32</t>
        </is>
      </c>
      <c r="P934" t="inlineStr">
        <is>
          <t>2026-06-19 07:10:32</t>
        </is>
      </c>
      <c r="Y934" t="inlineStr">
        <is>
          <t>27673547104</t>
        </is>
      </c>
    </row>
    <row r="935">
      <c r="A935" t="inlineStr">
        <is>
          <t>14942954</t>
        </is>
      </c>
      <c r="B935" t="inlineStr">
        <is>
          <t>1c0e83a9-8ae8-4406-81f5-3168052aea49</t>
        </is>
      </c>
      <c r="D935" t="inlineStr">
        <is>
          <t>30001087</t>
        </is>
      </c>
      <c r="E935" t="inlineStr">
        <is>
          <t>ussd_funeral_leads_altitude_20260619</t>
        </is>
      </c>
      <c r="J935" t="inlineStr">
        <is>
          <t>NA</t>
        </is>
      </c>
      <c r="K935" t="inlineStr">
        <is>
          <t>No Answer Autodial</t>
        </is>
      </c>
      <c r="L935" t="n">
        <v>3</v>
      </c>
      <c r="M935" t="inlineStr">
        <is>
          <t>2026-06-23 14:23:21</t>
        </is>
      </c>
      <c r="N935" t="inlineStr">
        <is>
          <t>system</t>
        </is>
      </c>
      <c r="O935" t="inlineStr">
        <is>
          <t>2026-06-19 07:10:32</t>
        </is>
      </c>
      <c r="P935" t="inlineStr">
        <is>
          <t>2026-06-19 07:10:32</t>
        </is>
      </c>
      <c r="Y935" t="inlineStr">
        <is>
          <t>27818585151</t>
        </is>
      </c>
    </row>
    <row r="936">
      <c r="A936" t="inlineStr">
        <is>
          <t>14942955</t>
        </is>
      </c>
      <c r="B936" t="inlineStr">
        <is>
          <t>3eabf8ba-349c-4cf3-b03a-567bede7d54f</t>
        </is>
      </c>
      <c r="D936" t="inlineStr">
        <is>
          <t>30001087</t>
        </is>
      </c>
      <c r="E936" t="inlineStr">
        <is>
          <t>ussd_funeral_leads_altitude_20260619</t>
        </is>
      </c>
      <c r="J936" t="inlineStr">
        <is>
          <t>A</t>
        </is>
      </c>
      <c r="K936" t="inlineStr">
        <is>
          <t>Answering Machine</t>
        </is>
      </c>
      <c r="L936" t="n">
        <v>3</v>
      </c>
      <c r="M936" t="inlineStr">
        <is>
          <t>2026-06-23 14:23:21</t>
        </is>
      </c>
      <c r="N936" t="inlineStr">
        <is>
          <t>Lebohang Mabotja</t>
        </is>
      </c>
      <c r="O936" t="inlineStr">
        <is>
          <t>2026-06-19 07:10:32</t>
        </is>
      </c>
      <c r="P936" t="inlineStr">
        <is>
          <t>2026-06-19 07:10:32</t>
        </is>
      </c>
      <c r="Y936" t="inlineStr">
        <is>
          <t>27713491563</t>
        </is>
      </c>
    </row>
    <row r="937">
      <c r="A937" t="inlineStr">
        <is>
          <t>14942956</t>
        </is>
      </c>
      <c r="B937" t="inlineStr">
        <is>
          <t>b24f607f-e622-4496-a716-aafbee91f736</t>
        </is>
      </c>
      <c r="D937" t="inlineStr">
        <is>
          <t>30001087</t>
        </is>
      </c>
      <c r="E937" t="inlineStr">
        <is>
          <t>ussd_funeral_leads_altitude_20260619</t>
        </is>
      </c>
      <c r="J937" t="inlineStr">
        <is>
          <t>AA</t>
        </is>
      </c>
      <c r="K937" t="inlineStr">
        <is>
          <t>Answering Machine Autodial</t>
        </is>
      </c>
      <c r="L937" t="n">
        <v>3</v>
      </c>
      <c r="M937" t="inlineStr">
        <is>
          <t>2026-06-23 14:23:21</t>
        </is>
      </c>
      <c r="N937" t="inlineStr">
        <is>
          <t>system</t>
        </is>
      </c>
      <c r="O937" t="inlineStr">
        <is>
          <t>2026-06-19 07:10:32</t>
        </is>
      </c>
      <c r="P937" t="inlineStr">
        <is>
          <t>2026-06-19 07:10:32</t>
        </is>
      </c>
      <c r="Y937" t="inlineStr">
        <is>
          <t>27637938231</t>
        </is>
      </c>
    </row>
    <row r="938">
      <c r="A938" t="inlineStr">
        <is>
          <t>14942948</t>
        </is>
      </c>
      <c r="B938" t="inlineStr">
        <is>
          <t>aa8068cd-7466-401c-8705-71d77a624619</t>
        </is>
      </c>
      <c r="D938" t="inlineStr">
        <is>
          <t>30001087</t>
        </is>
      </c>
      <c r="E938" t="inlineStr">
        <is>
          <t>ussd_funeral_leads_altitude_20260619</t>
        </is>
      </c>
      <c r="J938" t="inlineStr">
        <is>
          <t>CU</t>
        </is>
      </c>
      <c r="K938" t="inlineStr">
        <is>
          <t>Client Hung Up</t>
        </is>
      </c>
      <c r="L938" t="n">
        <v>3</v>
      </c>
      <c r="M938" t="inlineStr">
        <is>
          <t>2026-06-23 14:23:18</t>
        </is>
      </c>
      <c r="N938" t="inlineStr">
        <is>
          <t>Virginia Letsatsi</t>
        </is>
      </c>
      <c r="O938" t="inlineStr">
        <is>
          <t>2026-06-19 07:10:32</t>
        </is>
      </c>
      <c r="P938" t="inlineStr">
        <is>
          <t>2026-06-19 07:10:32</t>
        </is>
      </c>
      <c r="Y938" t="inlineStr">
        <is>
          <t>27766506622</t>
        </is>
      </c>
    </row>
    <row r="939">
      <c r="A939" t="inlineStr">
        <is>
          <t>14942949</t>
        </is>
      </c>
      <c r="B939" t="inlineStr">
        <is>
          <t>57c4abe4-d5fd-4150-b8e2-96a7270fdfbe</t>
        </is>
      </c>
      <c r="D939" t="inlineStr">
        <is>
          <t>30001087</t>
        </is>
      </c>
      <c r="E939" t="inlineStr">
        <is>
          <t>ussd_funeral_leads_altitude_20260619</t>
        </is>
      </c>
      <c r="J939" t="inlineStr">
        <is>
          <t>NA</t>
        </is>
      </c>
      <c r="K939" t="inlineStr">
        <is>
          <t>No Answer Autodial</t>
        </is>
      </c>
      <c r="L939" t="n">
        <v>3</v>
      </c>
      <c r="M939" t="inlineStr">
        <is>
          <t>2026-06-23 14:23:18</t>
        </is>
      </c>
      <c r="N939" t="inlineStr">
        <is>
          <t>system</t>
        </is>
      </c>
      <c r="O939" t="inlineStr">
        <is>
          <t>2026-06-19 07:10:32</t>
        </is>
      </c>
      <c r="P939" t="inlineStr">
        <is>
          <t>2026-06-19 07:10:32</t>
        </is>
      </c>
      <c r="Y939" t="inlineStr">
        <is>
          <t>27648034274</t>
        </is>
      </c>
    </row>
    <row r="940">
      <c r="A940" t="inlineStr">
        <is>
          <t>14942950</t>
        </is>
      </c>
      <c r="B940" t="inlineStr">
        <is>
          <t>38afc222-1d95-497c-97f4-38d3baa99609</t>
        </is>
      </c>
      <c r="D940" t="inlineStr">
        <is>
          <t>30001087</t>
        </is>
      </c>
      <c r="E940" t="inlineStr">
        <is>
          <t>ussd_funeral_leads_altitude_20260619</t>
        </is>
      </c>
      <c r="J940" t="inlineStr">
        <is>
          <t>TDN</t>
        </is>
      </c>
      <c r="K940" t="inlineStr">
        <is>
          <t>Temporary Disconnected Number</t>
        </is>
      </c>
      <c r="L940" t="n">
        <v>3</v>
      </c>
      <c r="M940" t="inlineStr">
        <is>
          <t>2026-06-23 14:23:18</t>
        </is>
      </c>
      <c r="N940" t="inlineStr">
        <is>
          <t>system</t>
        </is>
      </c>
      <c r="O940" t="inlineStr">
        <is>
          <t>2026-06-19 07:10:32</t>
        </is>
      </c>
      <c r="P940" t="inlineStr">
        <is>
          <t>2026-06-19 07:10:32</t>
        </is>
      </c>
      <c r="Y940" t="inlineStr">
        <is>
          <t>27761161856</t>
        </is>
      </c>
    </row>
    <row r="941">
      <c r="A941" t="inlineStr">
        <is>
          <t>14942951</t>
        </is>
      </c>
      <c r="B941" t="inlineStr">
        <is>
          <t>7bf0e84c-04f1-4770-86dc-396b1512ea08</t>
        </is>
      </c>
      <c r="D941" t="inlineStr">
        <is>
          <t>30001087</t>
        </is>
      </c>
      <c r="E941" t="inlineStr">
        <is>
          <t>ussd_funeral_leads_altitude_20260619</t>
        </is>
      </c>
      <c r="J941" t="inlineStr">
        <is>
          <t>AE</t>
        </is>
      </c>
      <c r="K941" t="inlineStr">
        <is>
          <t>Auto Engaged</t>
        </is>
      </c>
      <c r="L941" t="n">
        <v>3</v>
      </c>
      <c r="M941" t="inlineStr">
        <is>
          <t>2026-06-23 14:23:18</t>
        </is>
      </c>
      <c r="N941" t="inlineStr">
        <is>
          <t>system</t>
        </is>
      </c>
      <c r="O941" t="inlineStr">
        <is>
          <t>2026-06-19 07:10:32</t>
        </is>
      </c>
      <c r="P941" t="inlineStr">
        <is>
          <t>2026-06-19 07:10:32</t>
        </is>
      </c>
      <c r="Y941" t="inlineStr">
        <is>
          <t>27818929900</t>
        </is>
      </c>
    </row>
    <row r="942">
      <c r="A942" t="inlineStr">
        <is>
          <t>14947620</t>
        </is>
      </c>
      <c r="B942" t="inlineStr">
        <is>
          <t>a91f4984-fa2b-4736-9b1e-9b9a5f1d4dea</t>
        </is>
      </c>
      <c r="D942" t="inlineStr">
        <is>
          <t>30001087</t>
        </is>
      </c>
      <c r="E942" t="inlineStr">
        <is>
          <t>ussd_funeral_leads_altitude_20260619</t>
        </is>
      </c>
      <c r="H942" t="inlineStr">
        <is>
          <t>27827303754</t>
        </is>
      </c>
      <c r="J942" t="inlineStr">
        <is>
          <t>CU</t>
        </is>
      </c>
      <c r="K942" t="inlineStr">
        <is>
          <t>Client Hung Up</t>
        </is>
      </c>
      <c r="L942" t="n">
        <v>2</v>
      </c>
      <c r="M942" t="inlineStr">
        <is>
          <t>2026-06-23 14:22:52</t>
        </is>
      </c>
      <c r="N942" t="inlineStr">
        <is>
          <t>Dimakatso Nkomo</t>
        </is>
      </c>
      <c r="O942" t="inlineStr">
        <is>
          <t>2026-06-19 07:10:32</t>
        </is>
      </c>
      <c r="P942" t="inlineStr">
        <is>
          <t>2026-06-19 07:10:32</t>
        </is>
      </c>
      <c r="Y942" t="inlineStr">
        <is>
          <t>27827303754</t>
        </is>
      </c>
    </row>
    <row r="943">
      <c r="A943" t="inlineStr">
        <is>
          <t>14942944</t>
        </is>
      </c>
      <c r="B943" t="inlineStr">
        <is>
          <t>b9cbf33e-276b-40ed-b1d5-d523136163e3</t>
        </is>
      </c>
      <c r="D943" t="inlineStr">
        <is>
          <t>30001087</t>
        </is>
      </c>
      <c r="E943" t="inlineStr">
        <is>
          <t>ussd_funeral_leads_altitude_20260619</t>
        </is>
      </c>
      <c r="J943" t="inlineStr">
        <is>
          <t>AA</t>
        </is>
      </c>
      <c r="K943" t="inlineStr">
        <is>
          <t>Answering Machine Autodial</t>
        </is>
      </c>
      <c r="L943" t="n">
        <v>3</v>
      </c>
      <c r="M943" t="inlineStr">
        <is>
          <t>2026-06-23 14:22:37</t>
        </is>
      </c>
      <c r="N943" t="inlineStr">
        <is>
          <t>system</t>
        </is>
      </c>
      <c r="O943" t="inlineStr">
        <is>
          <t>2026-06-19 07:10:32</t>
        </is>
      </c>
      <c r="P943" t="inlineStr">
        <is>
          <t>2026-06-19 07:10:32</t>
        </is>
      </c>
      <c r="Y943" t="inlineStr">
        <is>
          <t>27607680423</t>
        </is>
      </c>
    </row>
    <row r="944">
      <c r="A944" t="inlineStr">
        <is>
          <t>14942945</t>
        </is>
      </c>
      <c r="B944" t="inlineStr">
        <is>
          <t>428b6f1e-cba9-45b4-842a-8d1933e122f0</t>
        </is>
      </c>
      <c r="D944" t="inlineStr">
        <is>
          <t>30001087</t>
        </is>
      </c>
      <c r="E944" t="inlineStr">
        <is>
          <t>ussd_funeral_leads_altitude_20260619</t>
        </is>
      </c>
      <c r="J944" t="inlineStr">
        <is>
          <t>DROP</t>
        </is>
      </c>
      <c r="K944" t="inlineStr">
        <is>
          <t>Dropped</t>
        </is>
      </c>
      <c r="L944" t="n">
        <v>3</v>
      </c>
      <c r="M944" t="inlineStr">
        <is>
          <t>2026-06-23 14:22:37</t>
        </is>
      </c>
      <c r="N944" t="inlineStr">
        <is>
          <t>system</t>
        </is>
      </c>
      <c r="O944" t="inlineStr">
        <is>
          <t>2026-06-19 07:10:32</t>
        </is>
      </c>
      <c r="P944" t="inlineStr">
        <is>
          <t>2026-06-19 07:10:32</t>
        </is>
      </c>
      <c r="Y944" t="inlineStr">
        <is>
          <t>27769127704</t>
        </is>
      </c>
    </row>
    <row r="945">
      <c r="A945" t="inlineStr">
        <is>
          <t>14942946</t>
        </is>
      </c>
      <c r="B945" t="inlineStr">
        <is>
          <t>9e291c7a-8c90-4858-a457-f3fc5d083635</t>
        </is>
      </c>
      <c r="D945" t="inlineStr">
        <is>
          <t>30001087</t>
        </is>
      </c>
      <c r="E945" t="inlineStr">
        <is>
          <t>ussd_funeral_leads_altitude_20260619</t>
        </is>
      </c>
      <c r="J945" t="inlineStr">
        <is>
          <t>AA</t>
        </is>
      </c>
      <c r="K945" t="inlineStr">
        <is>
          <t>Answering Machine Autodial</t>
        </is>
      </c>
      <c r="L945" t="n">
        <v>3</v>
      </c>
      <c r="M945" t="inlineStr">
        <is>
          <t>2026-06-23 14:22:37</t>
        </is>
      </c>
      <c r="N945" t="inlineStr">
        <is>
          <t>system</t>
        </is>
      </c>
      <c r="O945" t="inlineStr">
        <is>
          <t>2026-06-19 07:10:32</t>
        </is>
      </c>
      <c r="P945" t="inlineStr">
        <is>
          <t>2026-06-19 07:10:32</t>
        </is>
      </c>
      <c r="Y945" t="inlineStr">
        <is>
          <t>27675304567</t>
        </is>
      </c>
    </row>
    <row r="946">
      <c r="A946" t="inlineStr">
        <is>
          <t>14942947</t>
        </is>
      </c>
      <c r="B946" t="inlineStr">
        <is>
          <t>bc7e0791-54a6-4408-8078-cc454867f1bd</t>
        </is>
      </c>
      <c r="D946" t="inlineStr">
        <is>
          <t>30001087</t>
        </is>
      </c>
      <c r="E946" t="inlineStr">
        <is>
          <t>ussd_funeral_leads_altitude_20260619</t>
        </is>
      </c>
      <c r="J946" t="inlineStr">
        <is>
          <t>LANG</t>
        </is>
      </c>
      <c r="K946" t="inlineStr">
        <is>
          <t>Language Barrier</t>
        </is>
      </c>
      <c r="L946" t="n">
        <v>3</v>
      </c>
      <c r="M946" t="inlineStr">
        <is>
          <t>2026-06-23 14:22:37</t>
        </is>
      </c>
      <c r="N946" t="inlineStr">
        <is>
          <t>Lebohang Mabotja</t>
        </is>
      </c>
      <c r="O946" t="inlineStr">
        <is>
          <t>2026-06-19 07:10:32</t>
        </is>
      </c>
      <c r="P946" t="inlineStr">
        <is>
          <t>2026-06-19 07:10:32</t>
        </is>
      </c>
      <c r="Y946" t="inlineStr">
        <is>
          <t>27795757745</t>
        </is>
      </c>
    </row>
    <row r="947">
      <c r="A947" t="inlineStr">
        <is>
          <t>14947330</t>
        </is>
      </c>
      <c r="B947" t="inlineStr">
        <is>
          <t>4dc55e5c-b02a-4099-a0ae-27b79d94754d</t>
        </is>
      </c>
      <c r="D947" t="inlineStr">
        <is>
          <t>30001087</t>
        </is>
      </c>
      <c r="E947" t="inlineStr">
        <is>
          <t>ussd_funeral_leads_altitude_20260619</t>
        </is>
      </c>
      <c r="J947" t="inlineStr">
        <is>
          <t>AA</t>
        </is>
      </c>
      <c r="K947" t="inlineStr">
        <is>
          <t>Answering Machine Autodial</t>
        </is>
      </c>
      <c r="L947" t="n">
        <v>3</v>
      </c>
      <c r="M947" t="inlineStr">
        <is>
          <t>2026-06-23 14:22:36</t>
        </is>
      </c>
      <c r="N947" t="inlineStr">
        <is>
          <t>system</t>
        </is>
      </c>
      <c r="O947" t="inlineStr">
        <is>
          <t>2026-06-19 07:10:32</t>
        </is>
      </c>
      <c r="P947" t="inlineStr">
        <is>
          <t>2026-06-19 07:10:32</t>
        </is>
      </c>
      <c r="Y947" t="inlineStr">
        <is>
          <t>27772558534</t>
        </is>
      </c>
    </row>
    <row r="948">
      <c r="A948" t="inlineStr">
        <is>
          <t>14942986</t>
        </is>
      </c>
      <c r="B948" t="inlineStr">
        <is>
          <t>f5e4d100-0cb3-48b2-b085-fed00836fffd</t>
        </is>
      </c>
      <c r="D948" t="inlineStr">
        <is>
          <t>30001087</t>
        </is>
      </c>
      <c r="E948" t="inlineStr">
        <is>
          <t>ussd_funeral_leads_altitude_20260619</t>
        </is>
      </c>
      <c r="J948" t="inlineStr">
        <is>
          <t>AA</t>
        </is>
      </c>
      <c r="K948" t="inlineStr">
        <is>
          <t>Answering Machine Autodial</t>
        </is>
      </c>
      <c r="L948" t="n">
        <v>3</v>
      </c>
      <c r="M948" t="inlineStr">
        <is>
          <t>2026-06-23 14:22:23</t>
        </is>
      </c>
      <c r="N948" t="inlineStr">
        <is>
          <t>system</t>
        </is>
      </c>
      <c r="O948" t="inlineStr">
        <is>
          <t>2026-06-19 07:10:32</t>
        </is>
      </c>
      <c r="P948" t="inlineStr">
        <is>
          <t>2026-06-19 07:10:32</t>
        </is>
      </c>
      <c r="Y948" t="inlineStr">
        <is>
          <t>27795522030</t>
        </is>
      </c>
    </row>
    <row r="949">
      <c r="A949" t="inlineStr">
        <is>
          <t>14942985</t>
        </is>
      </c>
      <c r="B949" t="inlineStr">
        <is>
          <t>2de7eaea-14fd-4023-8d16-86dc9bee8f04</t>
        </is>
      </c>
      <c r="D949" t="inlineStr">
        <is>
          <t>30001087</t>
        </is>
      </c>
      <c r="E949" t="inlineStr">
        <is>
          <t>ussd_funeral_leads_altitude_20260619</t>
        </is>
      </c>
      <c r="J949" t="inlineStr">
        <is>
          <t>NA</t>
        </is>
      </c>
      <c r="K949" t="inlineStr">
        <is>
          <t>No Answer Autodial</t>
        </is>
      </c>
      <c r="L949" t="n">
        <v>3</v>
      </c>
      <c r="M949" t="inlineStr">
        <is>
          <t>2026-06-23 14:22:22</t>
        </is>
      </c>
      <c r="N949" t="inlineStr">
        <is>
          <t>system</t>
        </is>
      </c>
      <c r="O949" t="inlineStr">
        <is>
          <t>2026-06-19 07:10:32</t>
        </is>
      </c>
      <c r="P949" t="inlineStr">
        <is>
          <t>2026-06-19 07:10:32</t>
        </is>
      </c>
      <c r="Y949" t="inlineStr">
        <is>
          <t>27720894223</t>
        </is>
      </c>
    </row>
    <row r="950">
      <c r="A950" t="inlineStr">
        <is>
          <t>14942983</t>
        </is>
      </c>
      <c r="B950" t="inlineStr">
        <is>
          <t>9d529ffb-ff69-43b6-8080-0b87e99833bf</t>
        </is>
      </c>
      <c r="D950" t="inlineStr">
        <is>
          <t>30001087</t>
        </is>
      </c>
      <c r="E950" t="inlineStr">
        <is>
          <t>ussd_funeral_leads_altitude_20260619</t>
        </is>
      </c>
      <c r="J950" t="inlineStr">
        <is>
          <t>AA</t>
        </is>
      </c>
      <c r="K950" t="inlineStr">
        <is>
          <t>Answering Machine Autodial</t>
        </is>
      </c>
      <c r="L950" t="n">
        <v>3</v>
      </c>
      <c r="M950" t="inlineStr">
        <is>
          <t>2026-06-23 14:22:21</t>
        </is>
      </c>
      <c r="N950" t="inlineStr">
        <is>
          <t>system</t>
        </is>
      </c>
      <c r="O950" t="inlineStr">
        <is>
          <t>2026-06-19 07:10:32</t>
        </is>
      </c>
      <c r="P950" t="inlineStr">
        <is>
          <t>2026-06-19 07:10:32</t>
        </is>
      </c>
      <c r="Y950" t="inlineStr">
        <is>
          <t>27769611536</t>
        </is>
      </c>
    </row>
    <row r="951">
      <c r="A951" t="inlineStr">
        <is>
          <t>14942984</t>
        </is>
      </c>
      <c r="B951" t="inlineStr">
        <is>
          <t>d846ccbd-38c0-423d-9901-860f6b762391</t>
        </is>
      </c>
      <c r="D951" t="inlineStr">
        <is>
          <t>30001087</t>
        </is>
      </c>
      <c r="E951" t="inlineStr">
        <is>
          <t>ussd_funeral_leads_altitude_20260619</t>
        </is>
      </c>
      <c r="J951" t="inlineStr">
        <is>
          <t>AA</t>
        </is>
      </c>
      <c r="K951" t="inlineStr">
        <is>
          <t>Answering Machine Autodial</t>
        </is>
      </c>
      <c r="L951" t="n">
        <v>3</v>
      </c>
      <c r="M951" t="inlineStr">
        <is>
          <t>2026-06-23 14:22:21</t>
        </is>
      </c>
      <c r="N951" t="inlineStr">
        <is>
          <t>system</t>
        </is>
      </c>
      <c r="O951" t="inlineStr">
        <is>
          <t>2026-06-19 07:10:32</t>
        </is>
      </c>
      <c r="P951" t="inlineStr">
        <is>
          <t>2026-06-19 07:10:32</t>
        </is>
      </c>
      <c r="Y951" t="inlineStr">
        <is>
          <t>27764795957</t>
        </is>
      </c>
    </row>
    <row r="952">
      <c r="A952" t="inlineStr">
        <is>
          <t>14942974</t>
        </is>
      </c>
      <c r="B952" t="inlineStr">
        <is>
          <t>3d953555-b8f7-4e66-8b86-2c8284c0eaae</t>
        </is>
      </c>
      <c r="D952" t="inlineStr">
        <is>
          <t>30001087</t>
        </is>
      </c>
      <c r="E952" t="inlineStr">
        <is>
          <t>ussd_funeral_leads_altitude_20260619</t>
        </is>
      </c>
      <c r="J952" t="inlineStr">
        <is>
          <t>TDN</t>
        </is>
      </c>
      <c r="K952" t="inlineStr">
        <is>
          <t>Temporary Disconnected Number</t>
        </is>
      </c>
      <c r="L952" t="n">
        <v>3</v>
      </c>
      <c r="M952" t="inlineStr">
        <is>
          <t>2026-06-23 14:22:20</t>
        </is>
      </c>
      <c r="N952" t="inlineStr">
        <is>
          <t>system</t>
        </is>
      </c>
      <c r="O952" t="inlineStr">
        <is>
          <t>2026-06-19 07:10:32</t>
        </is>
      </c>
      <c r="P952" t="inlineStr">
        <is>
          <t>2026-06-19 07:10:32</t>
        </is>
      </c>
      <c r="Y952" t="inlineStr">
        <is>
          <t>27763298727</t>
        </is>
      </c>
    </row>
    <row r="953">
      <c r="A953" t="inlineStr">
        <is>
          <t>14942978</t>
        </is>
      </c>
      <c r="B953" t="inlineStr">
        <is>
          <t>6df37f1d-d51f-4d32-a40a-b22d0e8edaa7</t>
        </is>
      </c>
      <c r="D953" t="inlineStr">
        <is>
          <t>30001087</t>
        </is>
      </c>
      <c r="E953" t="inlineStr">
        <is>
          <t>ussd_funeral_leads_altitude_20260619</t>
        </is>
      </c>
      <c r="J953" t="inlineStr">
        <is>
          <t>NA</t>
        </is>
      </c>
      <c r="K953" t="inlineStr">
        <is>
          <t>No Answer Autodial</t>
        </is>
      </c>
      <c r="L953" t="n">
        <v>3</v>
      </c>
      <c r="M953" t="inlineStr">
        <is>
          <t>2026-06-23 14:22:20</t>
        </is>
      </c>
      <c r="N953" t="inlineStr">
        <is>
          <t>system</t>
        </is>
      </c>
      <c r="O953" t="inlineStr">
        <is>
          <t>2026-06-19 07:10:32</t>
        </is>
      </c>
      <c r="P953" t="inlineStr">
        <is>
          <t>2026-06-19 07:10:32</t>
        </is>
      </c>
      <c r="Y953" t="inlineStr">
        <is>
          <t>27791282123</t>
        </is>
      </c>
    </row>
    <row r="954">
      <c r="A954" t="inlineStr">
        <is>
          <t>14942979</t>
        </is>
      </c>
      <c r="B954" t="inlineStr">
        <is>
          <t>cdd7d240-412e-46e1-9291-738a7f59255c</t>
        </is>
      </c>
      <c r="D954" t="inlineStr">
        <is>
          <t>30001087</t>
        </is>
      </c>
      <c r="E954" t="inlineStr">
        <is>
          <t>ussd_funeral_leads_altitude_20260619</t>
        </is>
      </c>
      <c r="J954" t="inlineStr">
        <is>
          <t>NA</t>
        </is>
      </c>
      <c r="K954" t="inlineStr">
        <is>
          <t>No Answer Autodial</t>
        </is>
      </c>
      <c r="L954" t="n">
        <v>3</v>
      </c>
      <c r="M954" t="inlineStr">
        <is>
          <t>2026-06-23 14:22:20</t>
        </is>
      </c>
      <c r="N954" t="inlineStr">
        <is>
          <t>system</t>
        </is>
      </c>
      <c r="O954" t="inlineStr">
        <is>
          <t>2026-06-19 07:10:32</t>
        </is>
      </c>
      <c r="P954" t="inlineStr">
        <is>
          <t>2026-06-19 07:10:32</t>
        </is>
      </c>
      <c r="Y954" t="inlineStr">
        <is>
          <t>27761080020</t>
        </is>
      </c>
    </row>
    <row r="955">
      <c r="A955" t="inlineStr">
        <is>
          <t>14942980</t>
        </is>
      </c>
      <c r="B955" t="inlineStr">
        <is>
          <t>477a7d5d-fc0e-42d6-adb8-ddd3260ef8ef</t>
        </is>
      </c>
      <c r="D955" t="inlineStr">
        <is>
          <t>30001087</t>
        </is>
      </c>
      <c r="E955" t="inlineStr">
        <is>
          <t>ussd_funeral_leads_altitude_20260619</t>
        </is>
      </c>
      <c r="J955" t="inlineStr">
        <is>
          <t>LANG</t>
        </is>
      </c>
      <c r="K955" t="inlineStr">
        <is>
          <t>Language Barrier</t>
        </is>
      </c>
      <c r="L955" t="n">
        <v>3</v>
      </c>
      <c r="M955" t="inlineStr">
        <is>
          <t>2026-06-23 14:22:20</t>
        </is>
      </c>
      <c r="N955" t="inlineStr">
        <is>
          <t>Goitsimang Mogwasa</t>
        </is>
      </c>
      <c r="O955" t="inlineStr">
        <is>
          <t>2026-06-19 07:10:32</t>
        </is>
      </c>
      <c r="P955" t="inlineStr">
        <is>
          <t>2026-06-19 07:10:32</t>
        </is>
      </c>
      <c r="Y955" t="inlineStr">
        <is>
          <t>27793745204</t>
        </is>
      </c>
    </row>
    <row r="956">
      <c r="A956" t="inlineStr">
        <is>
          <t>14942981</t>
        </is>
      </c>
      <c r="B956" t="inlineStr">
        <is>
          <t>78233669-c52d-4c29-b295-c974a6e3f1f2</t>
        </is>
      </c>
      <c r="D956" t="inlineStr">
        <is>
          <t>30001087</t>
        </is>
      </c>
      <c r="E956" t="inlineStr">
        <is>
          <t>ussd_funeral_leads_altitude_20260619</t>
        </is>
      </c>
      <c r="J956" t="inlineStr">
        <is>
          <t>AE</t>
        </is>
      </c>
      <c r="K956" t="inlineStr">
        <is>
          <t>Auto Engaged</t>
        </is>
      </c>
      <c r="L956" t="n">
        <v>3</v>
      </c>
      <c r="M956" t="inlineStr">
        <is>
          <t>2026-06-23 14:22:20</t>
        </is>
      </c>
      <c r="N956" t="inlineStr">
        <is>
          <t>system</t>
        </is>
      </c>
      <c r="O956" t="inlineStr">
        <is>
          <t>2026-06-19 07:10:32</t>
        </is>
      </c>
      <c r="P956" t="inlineStr">
        <is>
          <t>2026-06-19 07:10:32</t>
        </is>
      </c>
      <c r="Y956" t="inlineStr">
        <is>
          <t>27665402753</t>
        </is>
      </c>
    </row>
    <row r="957">
      <c r="A957" t="inlineStr">
        <is>
          <t>14900000</t>
        </is>
      </c>
      <c r="B957" t="inlineStr">
        <is>
          <t>e376bfd2-c1a0-4f8e-a4c7-fbc54a29cdaf</t>
        </is>
      </c>
      <c r="D957" t="inlineStr">
        <is>
          <t>30001087</t>
        </is>
      </c>
      <c r="E957" t="inlineStr">
        <is>
          <t>ussd_funeral_leads_altitude_20260619</t>
        </is>
      </c>
      <c r="J957" t="inlineStr">
        <is>
          <t>TDN</t>
        </is>
      </c>
      <c r="K957" t="inlineStr">
        <is>
          <t>Temporary Disconnected Number</t>
        </is>
      </c>
      <c r="L957" t="n">
        <v>3</v>
      </c>
      <c r="M957" t="inlineStr">
        <is>
          <t>2026-06-23 14:22:20</t>
        </is>
      </c>
      <c r="N957" t="inlineStr">
        <is>
          <t>system</t>
        </is>
      </c>
      <c r="O957" t="inlineStr">
        <is>
          <t>2026-06-19 07:10:32</t>
        </is>
      </c>
      <c r="P957" t="inlineStr">
        <is>
          <t>2026-06-19 07:10:32</t>
        </is>
      </c>
      <c r="Y957" t="inlineStr">
        <is>
          <t>27724588359</t>
        </is>
      </c>
    </row>
    <row r="958">
      <c r="A958" t="inlineStr">
        <is>
          <t>14942970</t>
        </is>
      </c>
      <c r="B958" t="inlineStr">
        <is>
          <t>af4fa312-96ee-4e56-b2a5-55ad66cc8dd6</t>
        </is>
      </c>
      <c r="D958" t="inlineStr">
        <is>
          <t>30001087</t>
        </is>
      </c>
      <c r="E958" t="inlineStr">
        <is>
          <t>ussd_funeral_leads_altitude_20260619</t>
        </is>
      </c>
      <c r="J958" t="inlineStr">
        <is>
          <t>AA</t>
        </is>
      </c>
      <c r="K958" t="inlineStr">
        <is>
          <t>Answering Machine Autodial</t>
        </is>
      </c>
      <c r="L958" t="n">
        <v>3</v>
      </c>
      <c r="M958" t="inlineStr">
        <is>
          <t>2026-06-23 14:22:19</t>
        </is>
      </c>
      <c r="N958" t="inlineStr">
        <is>
          <t>system</t>
        </is>
      </c>
      <c r="O958" t="inlineStr">
        <is>
          <t>2026-06-19 07:10:32</t>
        </is>
      </c>
      <c r="P958" t="inlineStr">
        <is>
          <t>2026-06-19 07:10:32</t>
        </is>
      </c>
      <c r="Y958" t="inlineStr">
        <is>
          <t>27607826757</t>
        </is>
      </c>
    </row>
    <row r="959">
      <c r="A959" t="inlineStr">
        <is>
          <t>14942971</t>
        </is>
      </c>
      <c r="B959" t="inlineStr">
        <is>
          <t>6fe3bcfb-e8e6-48ed-a92f-eff1fc337bc0</t>
        </is>
      </c>
      <c r="D959" t="inlineStr">
        <is>
          <t>30001087</t>
        </is>
      </c>
      <c r="E959" t="inlineStr">
        <is>
          <t>ussd_funeral_leads_altitude_20260619</t>
        </is>
      </c>
      <c r="J959" t="inlineStr">
        <is>
          <t>AE</t>
        </is>
      </c>
      <c r="K959" t="inlineStr">
        <is>
          <t>Auto Engaged</t>
        </is>
      </c>
      <c r="L959" t="n">
        <v>3</v>
      </c>
      <c r="M959" t="inlineStr">
        <is>
          <t>2026-06-23 14:22:19</t>
        </is>
      </c>
      <c r="N959" t="inlineStr">
        <is>
          <t>system</t>
        </is>
      </c>
      <c r="O959" t="inlineStr">
        <is>
          <t>2026-06-19 07:10:32</t>
        </is>
      </c>
      <c r="P959" t="inlineStr">
        <is>
          <t>2026-06-19 07:10:32</t>
        </is>
      </c>
      <c r="Y959" t="inlineStr">
        <is>
          <t>27646813990</t>
        </is>
      </c>
    </row>
    <row r="960">
      <c r="A960" t="inlineStr">
        <is>
          <t>14942973</t>
        </is>
      </c>
      <c r="B960" t="inlineStr">
        <is>
          <t>b7593f85-91b9-4a3b-af2a-db9772ffc634</t>
        </is>
      </c>
      <c r="D960" t="inlineStr">
        <is>
          <t>30001087</t>
        </is>
      </c>
      <c r="E960" t="inlineStr">
        <is>
          <t>ussd_funeral_leads_altitude_20260619</t>
        </is>
      </c>
      <c r="J960" t="inlineStr">
        <is>
          <t>ADC</t>
        </is>
      </c>
      <c r="K960" t="inlineStr">
        <is>
          <t>Auto Dial Disconnected</t>
        </is>
      </c>
      <c r="L960" t="n">
        <v>3</v>
      </c>
      <c r="M960" t="inlineStr">
        <is>
          <t>2026-06-23 14:22:19</t>
        </is>
      </c>
      <c r="N960" t="inlineStr">
        <is>
          <t>system</t>
        </is>
      </c>
      <c r="O960" t="inlineStr">
        <is>
          <t>2026-06-19 07:10:32</t>
        </is>
      </c>
      <c r="P960" t="inlineStr">
        <is>
          <t>2026-06-19 07:10:32</t>
        </is>
      </c>
      <c r="Y960" t="inlineStr">
        <is>
          <t>27609542427</t>
        </is>
      </c>
    </row>
    <row r="961">
      <c r="A961" t="inlineStr">
        <is>
          <t>14942975</t>
        </is>
      </c>
      <c r="B961" t="inlineStr">
        <is>
          <t>c44a6aad-213f-4552-a903-a18d4d688c45</t>
        </is>
      </c>
      <c r="D961" t="inlineStr">
        <is>
          <t>30001087</t>
        </is>
      </c>
      <c r="E961" t="inlineStr">
        <is>
          <t>ussd_funeral_leads_altitude_20260619</t>
        </is>
      </c>
      <c r="J961" t="inlineStr">
        <is>
          <t>AA</t>
        </is>
      </c>
      <c r="K961" t="inlineStr">
        <is>
          <t>Answering Machine Autodial</t>
        </is>
      </c>
      <c r="L961" t="n">
        <v>3</v>
      </c>
      <c r="M961" t="inlineStr">
        <is>
          <t>2026-06-23 14:22:19</t>
        </is>
      </c>
      <c r="N961" t="inlineStr">
        <is>
          <t>system</t>
        </is>
      </c>
      <c r="O961" t="inlineStr">
        <is>
          <t>2026-06-19 07:10:32</t>
        </is>
      </c>
      <c r="P961" t="inlineStr">
        <is>
          <t>2026-06-19 07:10:32</t>
        </is>
      </c>
      <c r="Y961" t="inlineStr">
        <is>
          <t>27606832174</t>
        </is>
      </c>
    </row>
    <row r="962">
      <c r="A962" t="inlineStr">
        <is>
          <t>14942977</t>
        </is>
      </c>
      <c r="B962" t="inlineStr">
        <is>
          <t>611eb814-9de9-493e-8ea0-643954e00b8a</t>
        </is>
      </c>
      <c r="D962" t="inlineStr">
        <is>
          <t>30001087</t>
        </is>
      </c>
      <c r="E962" t="inlineStr">
        <is>
          <t>ussd_funeral_leads_altitude_20260619</t>
        </is>
      </c>
      <c r="J962" t="inlineStr">
        <is>
          <t>CU</t>
        </is>
      </c>
      <c r="K962" t="inlineStr">
        <is>
          <t>Client Hung Up</t>
        </is>
      </c>
      <c r="L962" t="n">
        <v>3</v>
      </c>
      <c r="M962" t="inlineStr">
        <is>
          <t>2026-06-23 14:22:19</t>
        </is>
      </c>
      <c r="N962" t="inlineStr">
        <is>
          <t>Dimakatso Nkomo</t>
        </is>
      </c>
      <c r="O962" t="inlineStr">
        <is>
          <t>2026-06-19 07:10:32</t>
        </is>
      </c>
      <c r="P962" t="inlineStr">
        <is>
          <t>2026-06-19 07:10:32</t>
        </is>
      </c>
      <c r="Y962" t="inlineStr">
        <is>
          <t>27767941854</t>
        </is>
      </c>
    </row>
    <row r="963">
      <c r="A963" t="inlineStr">
        <is>
          <t>14942964</t>
        </is>
      </c>
      <c r="B963" t="inlineStr">
        <is>
          <t>0cdd6966-04ef-4d92-af6f-365cdd966ef1</t>
        </is>
      </c>
      <c r="D963" t="inlineStr">
        <is>
          <t>30001087</t>
        </is>
      </c>
      <c r="E963" t="inlineStr">
        <is>
          <t>ussd_funeral_leads_altitude_20260619</t>
        </is>
      </c>
      <c r="J963" t="inlineStr">
        <is>
          <t>AA</t>
        </is>
      </c>
      <c r="K963" t="inlineStr">
        <is>
          <t>Answering Machine Autodial</t>
        </is>
      </c>
      <c r="L963" t="n">
        <v>3</v>
      </c>
      <c r="M963" t="inlineStr">
        <is>
          <t>2026-06-23 14:22:18</t>
        </is>
      </c>
      <c r="N963" t="inlineStr">
        <is>
          <t>system</t>
        </is>
      </c>
      <c r="O963" t="inlineStr">
        <is>
          <t>2026-06-19 07:10:32</t>
        </is>
      </c>
      <c r="P963" t="inlineStr">
        <is>
          <t>2026-06-19 07:10:32</t>
        </is>
      </c>
      <c r="Y963" t="inlineStr">
        <is>
          <t>27799420795</t>
        </is>
      </c>
    </row>
    <row r="964">
      <c r="A964" t="inlineStr">
        <is>
          <t>14942967</t>
        </is>
      </c>
      <c r="B964" t="inlineStr">
        <is>
          <t>ba999a5a-ace9-4abd-93f0-4ea130a1e06f</t>
        </is>
      </c>
      <c r="D964" t="inlineStr">
        <is>
          <t>30001087</t>
        </is>
      </c>
      <c r="E964" t="inlineStr">
        <is>
          <t>ussd_funeral_leads_altitude_20260619</t>
        </is>
      </c>
      <c r="J964" t="inlineStr">
        <is>
          <t>ADC</t>
        </is>
      </c>
      <c r="K964" t="inlineStr">
        <is>
          <t>Auto Dial Disconnected</t>
        </is>
      </c>
      <c r="L964" t="n">
        <v>3</v>
      </c>
      <c r="M964" t="inlineStr">
        <is>
          <t>2026-06-23 14:22:18</t>
        </is>
      </c>
      <c r="N964" t="inlineStr">
        <is>
          <t>system</t>
        </is>
      </c>
      <c r="O964" t="inlineStr">
        <is>
          <t>2026-06-19 07:10:32</t>
        </is>
      </c>
      <c r="P964" t="inlineStr">
        <is>
          <t>2026-06-19 07:10:32</t>
        </is>
      </c>
      <c r="Y964" t="inlineStr">
        <is>
          <t>27724974990</t>
        </is>
      </c>
    </row>
    <row r="965">
      <c r="A965" t="inlineStr">
        <is>
          <t>14942968</t>
        </is>
      </c>
      <c r="B965" t="inlineStr">
        <is>
          <t>c554e616-068f-4bd5-bb5b-30794ed5f457</t>
        </is>
      </c>
      <c r="D965" t="inlineStr">
        <is>
          <t>30001087</t>
        </is>
      </c>
      <c r="E965" t="inlineStr">
        <is>
          <t>ussd_funeral_leads_altitude_20260619</t>
        </is>
      </c>
      <c r="J965" t="inlineStr">
        <is>
          <t>ADC</t>
        </is>
      </c>
      <c r="K965" t="inlineStr">
        <is>
          <t>Auto Dial Disconnected</t>
        </is>
      </c>
      <c r="L965" t="n">
        <v>3</v>
      </c>
      <c r="M965" t="inlineStr">
        <is>
          <t>2026-06-23 14:22:18</t>
        </is>
      </c>
      <c r="N965" t="inlineStr">
        <is>
          <t>system</t>
        </is>
      </c>
      <c r="O965" t="inlineStr">
        <is>
          <t>2026-06-19 07:10:32</t>
        </is>
      </c>
      <c r="P965" t="inlineStr">
        <is>
          <t>2026-06-19 07:10:32</t>
        </is>
      </c>
      <c r="Y965" t="inlineStr">
        <is>
          <t>27721062853</t>
        </is>
      </c>
    </row>
    <row r="966">
      <c r="A966" t="inlineStr">
        <is>
          <t>14942965</t>
        </is>
      </c>
      <c r="B966" t="inlineStr">
        <is>
          <t>497f92d1-2c45-4b95-93e1-2bcb3cc8cac6</t>
        </is>
      </c>
      <c r="D966" t="inlineStr">
        <is>
          <t>30001087</t>
        </is>
      </c>
      <c r="E966" t="inlineStr">
        <is>
          <t>ussd_funeral_leads_altitude_20260619</t>
        </is>
      </c>
      <c r="J966" t="inlineStr">
        <is>
          <t>NA</t>
        </is>
      </c>
      <c r="K966" t="inlineStr">
        <is>
          <t>No Answer Autodial</t>
        </is>
      </c>
      <c r="L966" t="n">
        <v>3</v>
      </c>
      <c r="M966" t="inlineStr">
        <is>
          <t>2026-06-23 14:22:17</t>
        </is>
      </c>
      <c r="N966" t="inlineStr">
        <is>
          <t>system</t>
        </is>
      </c>
      <c r="O966" t="inlineStr">
        <is>
          <t>2026-06-19 07:10:32</t>
        </is>
      </c>
      <c r="P966" t="inlineStr">
        <is>
          <t>2026-06-19 07:10:32</t>
        </is>
      </c>
      <c r="Y966" t="inlineStr">
        <is>
          <t>27768990426</t>
        </is>
      </c>
    </row>
    <row r="967">
      <c r="A967" t="inlineStr">
        <is>
          <t>14942966</t>
        </is>
      </c>
      <c r="B967" t="inlineStr">
        <is>
          <t>688b32ea-69e2-46ef-93fd-8f531eab4613</t>
        </is>
      </c>
      <c r="D967" t="inlineStr">
        <is>
          <t>30001087</t>
        </is>
      </c>
      <c r="E967" t="inlineStr">
        <is>
          <t>ussd_funeral_leads_altitude_20260619</t>
        </is>
      </c>
      <c r="J967" t="inlineStr">
        <is>
          <t>AA</t>
        </is>
      </c>
      <c r="K967" t="inlineStr">
        <is>
          <t>Answering Machine Autodial</t>
        </is>
      </c>
      <c r="L967" t="n">
        <v>3</v>
      </c>
      <c r="M967" t="inlineStr">
        <is>
          <t>2026-06-23 14:22:17</t>
        </is>
      </c>
      <c r="N967" t="inlineStr">
        <is>
          <t>system</t>
        </is>
      </c>
      <c r="O967" t="inlineStr">
        <is>
          <t>2026-06-19 07:10:32</t>
        </is>
      </c>
      <c r="P967" t="inlineStr">
        <is>
          <t>2026-06-19 07:10:32</t>
        </is>
      </c>
      <c r="Y967" t="inlineStr">
        <is>
          <t>27636170828</t>
        </is>
      </c>
    </row>
    <row r="968">
      <c r="A968" t="inlineStr">
        <is>
          <t>14947325</t>
        </is>
      </c>
      <c r="B968" t="inlineStr">
        <is>
          <t>09615e6f-3a79-4f69-97c5-bccf013f3a95</t>
        </is>
      </c>
      <c r="D968" t="inlineStr">
        <is>
          <t>30001087</t>
        </is>
      </c>
      <c r="E968" t="inlineStr">
        <is>
          <t>ussd_funeral_leads_altitude_20260619</t>
        </is>
      </c>
      <c r="J968" t="inlineStr">
        <is>
          <t>ADC</t>
        </is>
      </c>
      <c r="K968" t="inlineStr">
        <is>
          <t>Auto Dial Disconnected</t>
        </is>
      </c>
      <c r="L968" t="n">
        <v>3</v>
      </c>
      <c r="M968" t="inlineStr">
        <is>
          <t>2026-06-23 14:22:17</t>
        </is>
      </c>
      <c r="N968" t="inlineStr">
        <is>
          <t>system</t>
        </is>
      </c>
      <c r="O968" t="inlineStr">
        <is>
          <t>2026-06-19 07:10:32</t>
        </is>
      </c>
      <c r="P968" t="inlineStr">
        <is>
          <t>2026-06-19 07:10:32</t>
        </is>
      </c>
      <c r="Y968" t="inlineStr">
        <is>
          <t>27609581125</t>
        </is>
      </c>
    </row>
    <row r="969">
      <c r="A969" t="inlineStr">
        <is>
          <t>14944390</t>
        </is>
      </c>
      <c r="B969" t="inlineStr">
        <is>
          <t>d5fb79b9-7a55-4601-9030-a912b0eeb0fa</t>
        </is>
      </c>
      <c r="D969" t="inlineStr">
        <is>
          <t>30001087</t>
        </is>
      </c>
      <c r="E969" t="inlineStr">
        <is>
          <t>ussd_funeral_leads_altitude_20260619</t>
        </is>
      </c>
      <c r="H969" t="inlineStr">
        <is>
          <t>27722641597</t>
        </is>
      </c>
      <c r="J969" t="inlineStr">
        <is>
          <t>A</t>
        </is>
      </c>
      <c r="K969" t="inlineStr">
        <is>
          <t>Answering Machine</t>
        </is>
      </c>
      <c r="L969" t="n">
        <v>4</v>
      </c>
      <c r="M969" t="inlineStr">
        <is>
          <t>2026-06-23 14:21:51</t>
        </is>
      </c>
      <c r="N969" t="inlineStr">
        <is>
          <t>Vuyiswa Nxumalo</t>
        </is>
      </c>
      <c r="O969" t="inlineStr">
        <is>
          <t>2026-06-19 07:10:32</t>
        </is>
      </c>
      <c r="P969" t="inlineStr">
        <is>
          <t>2026-06-19 07:10:32</t>
        </is>
      </c>
      <c r="Y969" t="inlineStr">
        <is>
          <t>27722641597</t>
        </is>
      </c>
    </row>
    <row r="970">
      <c r="A970" t="inlineStr">
        <is>
          <t>14947324</t>
        </is>
      </c>
      <c r="B970" t="inlineStr">
        <is>
          <t>256f6d4d-a60e-4bc4-a9c9-68f466779b43</t>
        </is>
      </c>
      <c r="D970" t="inlineStr">
        <is>
          <t>30001087</t>
        </is>
      </c>
      <c r="E970" t="inlineStr">
        <is>
          <t>ussd_funeral_leads_altitude_20260619</t>
        </is>
      </c>
      <c r="J970" t="inlineStr">
        <is>
          <t>AA</t>
        </is>
      </c>
      <c r="K970" t="inlineStr">
        <is>
          <t>Answering Machine Autodial</t>
        </is>
      </c>
      <c r="L970" t="n">
        <v>3</v>
      </c>
      <c r="M970" t="inlineStr">
        <is>
          <t>2026-06-23 14:21:20</t>
        </is>
      </c>
      <c r="N970" t="inlineStr">
        <is>
          <t>system</t>
        </is>
      </c>
      <c r="O970" t="inlineStr">
        <is>
          <t>2026-06-19 07:10:32</t>
        </is>
      </c>
      <c r="P970" t="inlineStr">
        <is>
          <t>2026-06-19 07:10:32</t>
        </is>
      </c>
      <c r="Y970" t="inlineStr">
        <is>
          <t>27760625379</t>
        </is>
      </c>
    </row>
    <row r="971">
      <c r="A971" t="inlineStr">
        <is>
          <t>14943867</t>
        </is>
      </c>
      <c r="B971" t="inlineStr">
        <is>
          <t>3e21e97e-24bd-43ad-b513-4115b7274cf8</t>
        </is>
      </c>
      <c r="D971" t="inlineStr">
        <is>
          <t>30001087</t>
        </is>
      </c>
      <c r="E971" t="inlineStr">
        <is>
          <t>ussd_funeral_leads_altitude_20260619</t>
        </is>
      </c>
      <c r="J971" t="inlineStr">
        <is>
          <t>NA</t>
        </is>
      </c>
      <c r="K971" t="inlineStr">
        <is>
          <t>No Answer Autodial</t>
        </is>
      </c>
      <c r="L971" t="n">
        <v>3</v>
      </c>
      <c r="M971" t="inlineStr">
        <is>
          <t>2026-06-23 14:20:17</t>
        </is>
      </c>
      <c r="N971" t="inlineStr">
        <is>
          <t>system</t>
        </is>
      </c>
      <c r="O971" t="inlineStr">
        <is>
          <t>2026-06-19 07:10:32</t>
        </is>
      </c>
      <c r="P971" t="inlineStr">
        <is>
          <t>2026-06-19 07:10:32</t>
        </is>
      </c>
      <c r="Y971" t="inlineStr">
        <is>
          <t>27606480245</t>
        </is>
      </c>
    </row>
    <row r="972">
      <c r="A972" t="inlineStr">
        <is>
          <t>14943868</t>
        </is>
      </c>
      <c r="B972" t="inlineStr">
        <is>
          <t>b111c313-4d3c-4e04-a4fa-0c4734830d99</t>
        </is>
      </c>
      <c r="D972" t="inlineStr">
        <is>
          <t>30001087</t>
        </is>
      </c>
      <c r="E972" t="inlineStr">
        <is>
          <t>ussd_funeral_leads_altitude_20260619</t>
        </is>
      </c>
      <c r="J972" t="inlineStr">
        <is>
          <t>U</t>
        </is>
      </c>
      <c r="K972" t="inlineStr">
        <is>
          <t>Unemployed</t>
        </is>
      </c>
      <c r="L972" t="n">
        <v>3</v>
      </c>
      <c r="M972" t="inlineStr">
        <is>
          <t>2026-06-23 14:20:17</t>
        </is>
      </c>
      <c r="N972" t="inlineStr">
        <is>
          <t>Bongiwe Precious Cele</t>
        </is>
      </c>
      <c r="O972" t="inlineStr">
        <is>
          <t>2026-06-19 07:10:32</t>
        </is>
      </c>
      <c r="P972" t="inlineStr">
        <is>
          <t>2026-06-19 07:10:32</t>
        </is>
      </c>
      <c r="Y972" t="inlineStr">
        <is>
          <t>27606509367</t>
        </is>
      </c>
    </row>
    <row r="973">
      <c r="A973" t="inlineStr">
        <is>
          <t>14943865</t>
        </is>
      </c>
      <c r="B973" t="inlineStr">
        <is>
          <t>75b6d802-89eb-40ce-9344-e99a1ac32331</t>
        </is>
      </c>
      <c r="D973" t="inlineStr">
        <is>
          <t>30001087</t>
        </is>
      </c>
      <c r="E973" t="inlineStr">
        <is>
          <t>ussd_funeral_leads_altitude_20260619</t>
        </is>
      </c>
      <c r="J973" t="inlineStr">
        <is>
          <t>ADC</t>
        </is>
      </c>
      <c r="K973" t="inlineStr">
        <is>
          <t>Auto Dial Disconnected</t>
        </is>
      </c>
      <c r="L973" t="n">
        <v>3</v>
      </c>
      <c r="M973" t="inlineStr">
        <is>
          <t>2026-06-23 14:20:16</t>
        </is>
      </c>
      <c r="N973" t="inlineStr">
        <is>
          <t>system</t>
        </is>
      </c>
      <c r="O973" t="inlineStr">
        <is>
          <t>2026-06-19 07:10:32</t>
        </is>
      </c>
      <c r="P973" t="inlineStr">
        <is>
          <t>2026-06-19 07:10:32</t>
        </is>
      </c>
      <c r="Y973" t="inlineStr">
        <is>
          <t>27648119595</t>
        </is>
      </c>
    </row>
    <row r="974">
      <c r="A974" t="inlineStr">
        <is>
          <t>14943866</t>
        </is>
      </c>
      <c r="B974" t="inlineStr">
        <is>
          <t>ce1d03d3-5035-40b2-8da7-339c51c18237</t>
        </is>
      </c>
      <c r="D974" t="inlineStr">
        <is>
          <t>30001087</t>
        </is>
      </c>
      <c r="E974" t="inlineStr">
        <is>
          <t>ussd_funeral_leads_altitude_20260619</t>
        </is>
      </c>
      <c r="J974" t="inlineStr">
        <is>
          <t>AA</t>
        </is>
      </c>
      <c r="K974" t="inlineStr">
        <is>
          <t>Answering Machine Autodial</t>
        </is>
      </c>
      <c r="L974" t="n">
        <v>3</v>
      </c>
      <c r="M974" t="inlineStr">
        <is>
          <t>2026-06-23 14:20:16</t>
        </is>
      </c>
      <c r="N974" t="inlineStr">
        <is>
          <t>system</t>
        </is>
      </c>
      <c r="O974" t="inlineStr">
        <is>
          <t>2026-06-19 07:10:32</t>
        </is>
      </c>
      <c r="P974" t="inlineStr">
        <is>
          <t>2026-06-19 07:10:32</t>
        </is>
      </c>
      <c r="Y974" t="inlineStr">
        <is>
          <t>27825976293</t>
        </is>
      </c>
    </row>
    <row r="975">
      <c r="A975" t="inlineStr">
        <is>
          <t>14943858</t>
        </is>
      </c>
      <c r="B975" t="inlineStr">
        <is>
          <t>c2d10469-b57c-4548-8af5-ba78e9733fbf</t>
        </is>
      </c>
      <c r="D975" t="inlineStr">
        <is>
          <t>30001087</t>
        </is>
      </c>
      <c r="E975" t="inlineStr">
        <is>
          <t>ussd_funeral_leads_altitude_20260619</t>
        </is>
      </c>
      <c r="J975" t="inlineStr">
        <is>
          <t>AA</t>
        </is>
      </c>
      <c r="K975" t="inlineStr">
        <is>
          <t>Answering Machine Autodial</t>
        </is>
      </c>
      <c r="L975" t="n">
        <v>3</v>
      </c>
      <c r="M975" t="inlineStr">
        <is>
          <t>2026-06-23 14:20:12</t>
        </is>
      </c>
      <c r="N975" t="inlineStr">
        <is>
          <t>system</t>
        </is>
      </c>
      <c r="O975" t="inlineStr">
        <is>
          <t>2026-06-19 07:10:32</t>
        </is>
      </c>
      <c r="P975" t="inlineStr">
        <is>
          <t>2026-06-19 07:10:32</t>
        </is>
      </c>
      <c r="Y975" t="inlineStr">
        <is>
          <t>27795764756</t>
        </is>
      </c>
    </row>
    <row r="976">
      <c r="A976" t="inlineStr">
        <is>
          <t>14943859</t>
        </is>
      </c>
      <c r="B976" t="inlineStr">
        <is>
          <t>8abb6c7b-df23-4742-94b1-14752b52386a</t>
        </is>
      </c>
      <c r="D976" t="inlineStr">
        <is>
          <t>30001087</t>
        </is>
      </c>
      <c r="E976" t="inlineStr">
        <is>
          <t>ussd_funeral_leads_altitude_20260619</t>
        </is>
      </c>
      <c r="J976" t="inlineStr">
        <is>
          <t>ADC</t>
        </is>
      </c>
      <c r="K976" t="inlineStr">
        <is>
          <t>Auto Dial Disconnected</t>
        </is>
      </c>
      <c r="L976" t="n">
        <v>3</v>
      </c>
      <c r="M976" t="inlineStr">
        <is>
          <t>2026-06-23 14:20:12</t>
        </is>
      </c>
      <c r="N976" t="inlineStr">
        <is>
          <t>system</t>
        </is>
      </c>
      <c r="O976" t="inlineStr">
        <is>
          <t>2026-06-19 07:10:32</t>
        </is>
      </c>
      <c r="P976" t="inlineStr">
        <is>
          <t>2026-06-19 07:10:32</t>
        </is>
      </c>
      <c r="Y976" t="inlineStr">
        <is>
          <t>27728276696</t>
        </is>
      </c>
    </row>
    <row r="977">
      <c r="A977" t="inlineStr">
        <is>
          <t>14900000</t>
        </is>
      </c>
      <c r="B977" t="inlineStr">
        <is>
          <t>e7666146-8bbb-4be1-b782-846edc188c74</t>
        </is>
      </c>
      <c r="D977" t="inlineStr">
        <is>
          <t>30001087</t>
        </is>
      </c>
      <c r="E977" t="inlineStr">
        <is>
          <t>ussd_funeral_leads_altitude_20260619</t>
        </is>
      </c>
      <c r="J977" t="inlineStr">
        <is>
          <t>TDN</t>
        </is>
      </c>
      <c r="K977" t="inlineStr">
        <is>
          <t>Temporary Disconnected Number</t>
        </is>
      </c>
      <c r="L977" t="n">
        <v>3</v>
      </c>
      <c r="M977" t="inlineStr">
        <is>
          <t>2026-06-23 14:20:12</t>
        </is>
      </c>
      <c r="N977" t="inlineStr">
        <is>
          <t>system</t>
        </is>
      </c>
      <c r="O977" t="inlineStr">
        <is>
          <t>2026-06-19 07:10:32</t>
        </is>
      </c>
      <c r="P977" t="inlineStr">
        <is>
          <t>2026-06-19 07:10:32</t>
        </is>
      </c>
      <c r="Y977" t="inlineStr">
        <is>
          <t>27728989158</t>
        </is>
      </c>
    </row>
    <row r="978">
      <c r="A978" t="inlineStr">
        <is>
          <t>14943862</t>
        </is>
      </c>
      <c r="B978" t="inlineStr">
        <is>
          <t>34619b54-3254-48a9-84b6-15c5b755df13</t>
        </is>
      </c>
      <c r="D978" t="inlineStr">
        <is>
          <t>30001087</t>
        </is>
      </c>
      <c r="E978" t="inlineStr">
        <is>
          <t>ussd_funeral_leads_altitude_20260619</t>
        </is>
      </c>
      <c r="J978" t="inlineStr">
        <is>
          <t>AA</t>
        </is>
      </c>
      <c r="K978" t="inlineStr">
        <is>
          <t>Answering Machine Autodial</t>
        </is>
      </c>
      <c r="L978" t="n">
        <v>3</v>
      </c>
      <c r="M978" t="inlineStr">
        <is>
          <t>2026-06-23 14:20:12</t>
        </is>
      </c>
      <c r="N978" t="inlineStr">
        <is>
          <t>system</t>
        </is>
      </c>
      <c r="O978" t="inlineStr">
        <is>
          <t>2026-06-19 07:10:32</t>
        </is>
      </c>
      <c r="P978" t="inlineStr">
        <is>
          <t>2026-06-19 07:10:32</t>
        </is>
      </c>
      <c r="Y978" t="inlineStr">
        <is>
          <t>27796967609</t>
        </is>
      </c>
    </row>
    <row r="979">
      <c r="A979" t="inlineStr">
        <is>
          <t>14943864</t>
        </is>
      </c>
      <c r="B979" t="inlineStr">
        <is>
          <t>2a7009c5-2a0d-4d33-b30d-c88fa615d4f9</t>
        </is>
      </c>
      <c r="D979" t="inlineStr">
        <is>
          <t>30001087</t>
        </is>
      </c>
      <c r="E979" t="inlineStr">
        <is>
          <t>ussd_funeral_leads_altitude_20260619</t>
        </is>
      </c>
      <c r="J979" t="inlineStr">
        <is>
          <t>AA</t>
        </is>
      </c>
      <c r="K979" t="inlineStr">
        <is>
          <t>Answering Machine Autodial</t>
        </is>
      </c>
      <c r="L979" t="n">
        <v>3</v>
      </c>
      <c r="M979" t="inlineStr">
        <is>
          <t>2026-06-23 14:20:11</t>
        </is>
      </c>
      <c r="N979" t="inlineStr">
        <is>
          <t>system</t>
        </is>
      </c>
      <c r="O979" t="inlineStr">
        <is>
          <t>2026-06-19 07:10:32</t>
        </is>
      </c>
      <c r="P979" t="inlineStr">
        <is>
          <t>2026-06-19 07:10:32</t>
        </is>
      </c>
      <c r="Y979" t="inlineStr">
        <is>
          <t>27792236308</t>
        </is>
      </c>
    </row>
    <row r="980">
      <c r="A980" t="inlineStr">
        <is>
          <t>14943863</t>
        </is>
      </c>
      <c r="B980" t="inlineStr">
        <is>
          <t>12269b86-fe83-4d6c-a058-0605cbcc30fb</t>
        </is>
      </c>
      <c r="D980" t="inlineStr">
        <is>
          <t>30001087</t>
        </is>
      </c>
      <c r="E980" t="inlineStr">
        <is>
          <t>ussd_funeral_leads_altitude_20260619</t>
        </is>
      </c>
      <c r="J980" t="inlineStr">
        <is>
          <t>AA</t>
        </is>
      </c>
      <c r="K980" t="inlineStr">
        <is>
          <t>Answering Machine Autodial</t>
        </is>
      </c>
      <c r="L980" t="n">
        <v>3</v>
      </c>
      <c r="M980" t="inlineStr">
        <is>
          <t>2026-06-23 14:20:10</t>
        </is>
      </c>
      <c r="N980" t="inlineStr">
        <is>
          <t>system</t>
        </is>
      </c>
      <c r="O980" t="inlineStr">
        <is>
          <t>2026-06-19 07:10:32</t>
        </is>
      </c>
      <c r="P980" t="inlineStr">
        <is>
          <t>2026-06-19 07:10:32</t>
        </is>
      </c>
      <c r="Y980" t="inlineStr">
        <is>
          <t>27828306859</t>
        </is>
      </c>
    </row>
    <row r="981">
      <c r="A981" t="inlineStr">
        <is>
          <t>14943857</t>
        </is>
      </c>
      <c r="B981" t="inlineStr">
        <is>
          <t>185f1546-efe6-4e30-9a20-cf9f67404b05</t>
        </is>
      </c>
      <c r="D981" t="inlineStr">
        <is>
          <t>30001087</t>
        </is>
      </c>
      <c r="E981" t="inlineStr">
        <is>
          <t>ussd_funeral_leads_altitude_20260619</t>
        </is>
      </c>
      <c r="J981" t="inlineStr">
        <is>
          <t>ADC</t>
        </is>
      </c>
      <c r="K981" t="inlineStr">
        <is>
          <t>Auto Dial Disconnected</t>
        </is>
      </c>
      <c r="L981" t="n">
        <v>3</v>
      </c>
      <c r="M981" t="inlineStr">
        <is>
          <t>2026-06-23 14:20:09</t>
        </is>
      </c>
      <c r="N981" t="inlineStr">
        <is>
          <t>system</t>
        </is>
      </c>
      <c r="O981" t="inlineStr">
        <is>
          <t>2026-06-19 07:10:32</t>
        </is>
      </c>
      <c r="P981" t="inlineStr">
        <is>
          <t>2026-06-19 07:10:32</t>
        </is>
      </c>
      <c r="Y981" t="inlineStr">
        <is>
          <t>27792862533</t>
        </is>
      </c>
    </row>
    <row r="982">
      <c r="A982" t="inlineStr">
        <is>
          <t>14943856</t>
        </is>
      </c>
      <c r="B982" t="inlineStr">
        <is>
          <t>3bfa7fb4-1567-4e11-83a2-441de8067bd1</t>
        </is>
      </c>
      <c r="D982" t="inlineStr">
        <is>
          <t>30001087</t>
        </is>
      </c>
      <c r="E982" t="inlineStr">
        <is>
          <t>ussd_funeral_leads_altitude_20260619</t>
        </is>
      </c>
      <c r="J982" t="inlineStr">
        <is>
          <t>AA</t>
        </is>
      </c>
      <c r="K982" t="inlineStr">
        <is>
          <t>Answering Machine Autodial</t>
        </is>
      </c>
      <c r="L982" t="n">
        <v>3</v>
      </c>
      <c r="M982" t="inlineStr">
        <is>
          <t>2026-06-23 14:20:04</t>
        </is>
      </c>
      <c r="N982" t="inlineStr">
        <is>
          <t>system</t>
        </is>
      </c>
      <c r="O982" t="inlineStr">
        <is>
          <t>2026-06-19 07:10:32</t>
        </is>
      </c>
      <c r="P982" t="inlineStr">
        <is>
          <t>2026-06-19 07:10:32</t>
        </is>
      </c>
      <c r="Y982" t="inlineStr">
        <is>
          <t>27713932551</t>
        </is>
      </c>
    </row>
    <row r="983">
      <c r="A983" t="inlineStr">
        <is>
          <t>14943853</t>
        </is>
      </c>
      <c r="B983" t="inlineStr">
        <is>
          <t>1b6824ce-e605-4f1e-b170-ba47ec3ea388</t>
        </is>
      </c>
      <c r="D983" t="inlineStr">
        <is>
          <t>30001087</t>
        </is>
      </c>
      <c r="E983" t="inlineStr">
        <is>
          <t>ussd_funeral_leads_altitude_20260619</t>
        </is>
      </c>
      <c r="J983" t="inlineStr">
        <is>
          <t>AA</t>
        </is>
      </c>
      <c r="K983" t="inlineStr">
        <is>
          <t>Answering Machine Autodial</t>
        </is>
      </c>
      <c r="L983" t="n">
        <v>3</v>
      </c>
      <c r="M983" t="inlineStr">
        <is>
          <t>2026-06-23 14:20:03</t>
        </is>
      </c>
      <c r="N983" t="inlineStr">
        <is>
          <t>system</t>
        </is>
      </c>
      <c r="O983" t="inlineStr">
        <is>
          <t>2026-06-19 07:10:32</t>
        </is>
      </c>
      <c r="P983" t="inlineStr">
        <is>
          <t>2026-06-19 07:10:32</t>
        </is>
      </c>
      <c r="Y983" t="inlineStr">
        <is>
          <t>27828648561</t>
        </is>
      </c>
    </row>
    <row r="984">
      <c r="A984" t="inlineStr">
        <is>
          <t>14943855</t>
        </is>
      </c>
      <c r="B984" t="inlineStr">
        <is>
          <t>23711556-02c5-4e6b-bd1c-95e45470bbcc</t>
        </is>
      </c>
      <c r="D984" t="inlineStr">
        <is>
          <t>30001087</t>
        </is>
      </c>
      <c r="E984" t="inlineStr">
        <is>
          <t>ussd_funeral_leads_altitude_20260619</t>
        </is>
      </c>
      <c r="J984" t="inlineStr">
        <is>
          <t>AA</t>
        </is>
      </c>
      <c r="K984" t="inlineStr">
        <is>
          <t>Answering Machine Autodial</t>
        </is>
      </c>
      <c r="L984" t="n">
        <v>3</v>
      </c>
      <c r="M984" t="inlineStr">
        <is>
          <t>2026-06-23 14:20:03</t>
        </is>
      </c>
      <c r="N984" t="inlineStr">
        <is>
          <t>system</t>
        </is>
      </c>
      <c r="O984" t="inlineStr">
        <is>
          <t>2026-06-19 07:10:32</t>
        </is>
      </c>
      <c r="P984" t="inlineStr">
        <is>
          <t>2026-06-19 07:10:32</t>
        </is>
      </c>
      <c r="Y984" t="inlineStr">
        <is>
          <t>27609380393</t>
        </is>
      </c>
    </row>
    <row r="985">
      <c r="A985" t="inlineStr">
        <is>
          <t>14943850</t>
        </is>
      </c>
      <c r="B985" t="inlineStr">
        <is>
          <t>1cf99744-08c6-4635-bde4-8d6373559775</t>
        </is>
      </c>
      <c r="D985" t="inlineStr">
        <is>
          <t>30001087</t>
        </is>
      </c>
      <c r="E985" t="inlineStr">
        <is>
          <t>ussd_funeral_leads_altitude_20260619</t>
        </is>
      </c>
      <c r="J985" t="inlineStr">
        <is>
          <t>AA</t>
        </is>
      </c>
      <c r="K985" t="inlineStr">
        <is>
          <t>Answering Machine Autodial</t>
        </is>
      </c>
      <c r="L985" t="n">
        <v>3</v>
      </c>
      <c r="M985" t="inlineStr">
        <is>
          <t>2026-06-23 14:20:02</t>
        </is>
      </c>
      <c r="N985" t="inlineStr">
        <is>
          <t>system</t>
        </is>
      </c>
      <c r="O985" t="inlineStr">
        <is>
          <t>2026-06-19 07:10:32</t>
        </is>
      </c>
      <c r="P985" t="inlineStr">
        <is>
          <t>2026-06-19 07:10:32</t>
        </is>
      </c>
      <c r="Y985" t="inlineStr">
        <is>
          <t>27608279721</t>
        </is>
      </c>
    </row>
    <row r="986">
      <c r="A986" t="inlineStr">
        <is>
          <t>14943851</t>
        </is>
      </c>
      <c r="B986" t="inlineStr">
        <is>
          <t>730b2d16-5620-45cc-86b7-f14337d9adc2</t>
        </is>
      </c>
      <c r="D986" t="inlineStr">
        <is>
          <t>30001087</t>
        </is>
      </c>
      <c r="E986" t="inlineStr">
        <is>
          <t>ussd_funeral_leads_altitude_20260619</t>
        </is>
      </c>
      <c r="J986" t="inlineStr">
        <is>
          <t>AA</t>
        </is>
      </c>
      <c r="K986" t="inlineStr">
        <is>
          <t>Answering Machine Autodial</t>
        </is>
      </c>
      <c r="L986" t="n">
        <v>3</v>
      </c>
      <c r="M986" t="inlineStr">
        <is>
          <t>2026-06-23 14:20:02</t>
        </is>
      </c>
      <c r="N986" t="inlineStr">
        <is>
          <t>system</t>
        </is>
      </c>
      <c r="O986" t="inlineStr">
        <is>
          <t>2026-06-19 07:10:32</t>
        </is>
      </c>
      <c r="P986" t="inlineStr">
        <is>
          <t>2026-06-19 07:10:32</t>
        </is>
      </c>
      <c r="Y986" t="inlineStr">
        <is>
          <t>27649100735</t>
        </is>
      </c>
    </row>
    <row r="987">
      <c r="A987" t="inlineStr">
        <is>
          <t>14943854</t>
        </is>
      </c>
      <c r="B987" t="inlineStr">
        <is>
          <t>f692f9ee-e9ed-456d-bab2-b1f267fd609a</t>
        </is>
      </c>
      <c r="D987" t="inlineStr">
        <is>
          <t>30001087</t>
        </is>
      </c>
      <c r="E987" t="inlineStr">
        <is>
          <t>ussd_funeral_leads_altitude_20260619</t>
        </is>
      </c>
      <c r="J987" t="inlineStr">
        <is>
          <t>AA</t>
        </is>
      </c>
      <c r="K987" t="inlineStr">
        <is>
          <t>Answering Machine Autodial</t>
        </is>
      </c>
      <c r="L987" t="n">
        <v>3</v>
      </c>
      <c r="M987" t="inlineStr">
        <is>
          <t>2026-06-23 14:20:02</t>
        </is>
      </c>
      <c r="N987" t="inlineStr">
        <is>
          <t>system</t>
        </is>
      </c>
      <c r="O987" t="inlineStr">
        <is>
          <t>2026-06-19 07:10:32</t>
        </is>
      </c>
      <c r="P987" t="inlineStr">
        <is>
          <t>2026-06-19 07:10:32</t>
        </is>
      </c>
      <c r="Y987" t="inlineStr">
        <is>
          <t>27673814854</t>
        </is>
      </c>
    </row>
    <row r="988">
      <c r="A988" t="inlineStr">
        <is>
          <t>14943847</t>
        </is>
      </c>
      <c r="B988" t="inlineStr">
        <is>
          <t>7745555f-37ec-4605-9bb4-d1ff0095cb34</t>
        </is>
      </c>
      <c r="D988" t="inlineStr">
        <is>
          <t>30001087</t>
        </is>
      </c>
      <c r="E988" t="inlineStr">
        <is>
          <t>ussd_funeral_leads_altitude_20260619</t>
        </is>
      </c>
      <c r="J988" t="inlineStr">
        <is>
          <t>NA</t>
        </is>
      </c>
      <c r="K988" t="inlineStr">
        <is>
          <t>No Answer Autodial</t>
        </is>
      </c>
      <c r="L988" t="n">
        <v>3</v>
      </c>
      <c r="M988" t="inlineStr">
        <is>
          <t>2026-06-23 14:19:58</t>
        </is>
      </c>
      <c r="N988" t="inlineStr">
        <is>
          <t>system</t>
        </is>
      </c>
      <c r="O988" t="inlineStr">
        <is>
          <t>2026-06-19 07:10:32</t>
        </is>
      </c>
      <c r="P988" t="inlineStr">
        <is>
          <t>2026-06-19 07:10:32</t>
        </is>
      </c>
      <c r="Y988" t="inlineStr">
        <is>
          <t>27714202280</t>
        </is>
      </c>
    </row>
    <row r="989">
      <c r="A989" t="inlineStr">
        <is>
          <t>14943848</t>
        </is>
      </c>
      <c r="B989" t="inlineStr">
        <is>
          <t>401f2036-724d-40db-9f02-243dc8f0ebc5</t>
        </is>
      </c>
      <c r="D989" t="inlineStr">
        <is>
          <t>30001087</t>
        </is>
      </c>
      <c r="E989" t="inlineStr">
        <is>
          <t>ussd_funeral_leads_altitude_20260619</t>
        </is>
      </c>
      <c r="J989" t="inlineStr">
        <is>
          <t>AA</t>
        </is>
      </c>
      <c r="K989" t="inlineStr">
        <is>
          <t>Answering Machine Autodial</t>
        </is>
      </c>
      <c r="L989" t="n">
        <v>3</v>
      </c>
      <c r="M989" t="inlineStr">
        <is>
          <t>2026-06-23 14:19:58</t>
        </is>
      </c>
      <c r="N989" t="inlineStr">
        <is>
          <t>system</t>
        </is>
      </c>
      <c r="O989" t="inlineStr">
        <is>
          <t>2026-06-19 07:10:32</t>
        </is>
      </c>
      <c r="P989" t="inlineStr">
        <is>
          <t>2026-06-19 07:10:32</t>
        </is>
      </c>
      <c r="Y989" t="inlineStr">
        <is>
          <t>27607661308</t>
        </is>
      </c>
    </row>
    <row r="990">
      <c r="A990" t="inlineStr">
        <is>
          <t>14943849</t>
        </is>
      </c>
      <c r="B990" t="inlineStr">
        <is>
          <t>4824821c-bcc4-4cc7-9521-10a614f878a6</t>
        </is>
      </c>
      <c r="D990" t="inlineStr">
        <is>
          <t>30001087</t>
        </is>
      </c>
      <c r="E990" t="inlineStr">
        <is>
          <t>ussd_funeral_leads_altitude_20260619</t>
        </is>
      </c>
      <c r="J990" t="inlineStr">
        <is>
          <t>AA</t>
        </is>
      </c>
      <c r="K990" t="inlineStr">
        <is>
          <t>Answering Machine Autodial</t>
        </is>
      </c>
      <c r="L990" t="n">
        <v>3</v>
      </c>
      <c r="M990" t="inlineStr">
        <is>
          <t>2026-06-23 14:19:58</t>
        </is>
      </c>
      <c r="N990" t="inlineStr">
        <is>
          <t>system</t>
        </is>
      </c>
      <c r="O990" t="inlineStr">
        <is>
          <t>2026-06-19 07:10:32</t>
        </is>
      </c>
      <c r="P990" t="inlineStr">
        <is>
          <t>2026-06-19 07:10:32</t>
        </is>
      </c>
      <c r="Y990" t="inlineStr">
        <is>
          <t>27774183197</t>
        </is>
      </c>
    </row>
    <row r="991">
      <c r="A991" t="inlineStr">
        <is>
          <t>14943845</t>
        </is>
      </c>
      <c r="B991" t="inlineStr">
        <is>
          <t>ac25d60f-4217-4915-8d74-7dad10a7a90f</t>
        </is>
      </c>
      <c r="D991" t="inlineStr">
        <is>
          <t>30001087</t>
        </is>
      </c>
      <c r="E991" t="inlineStr">
        <is>
          <t>ussd_funeral_leads_altitude_20260619</t>
        </is>
      </c>
      <c r="J991" t="inlineStr">
        <is>
          <t>AA</t>
        </is>
      </c>
      <c r="K991" t="inlineStr">
        <is>
          <t>Answering Machine Autodial</t>
        </is>
      </c>
      <c r="L991" t="n">
        <v>3</v>
      </c>
      <c r="M991" t="inlineStr">
        <is>
          <t>2026-06-23 14:19:57</t>
        </is>
      </c>
      <c r="N991" t="inlineStr">
        <is>
          <t>system</t>
        </is>
      </c>
      <c r="O991" t="inlineStr">
        <is>
          <t>2026-06-19 07:10:32</t>
        </is>
      </c>
      <c r="P991" t="inlineStr">
        <is>
          <t>2026-06-19 07:10:32</t>
        </is>
      </c>
      <c r="Y991" t="inlineStr">
        <is>
          <t>27729096630</t>
        </is>
      </c>
    </row>
    <row r="992">
      <c r="A992" t="inlineStr">
        <is>
          <t>14943846</t>
        </is>
      </c>
      <c r="B992" t="inlineStr">
        <is>
          <t>132ad3bc-f3fd-4af0-86be-beef000a8ff0</t>
        </is>
      </c>
      <c r="D992" t="inlineStr">
        <is>
          <t>30001087</t>
        </is>
      </c>
      <c r="E992" t="inlineStr">
        <is>
          <t>ussd_funeral_leads_altitude_20260619</t>
        </is>
      </c>
      <c r="J992" t="inlineStr">
        <is>
          <t>CUA</t>
        </is>
      </c>
      <c r="K992" t="inlineStr">
        <is>
          <t>Client Underage</t>
        </is>
      </c>
      <c r="L992" t="n">
        <v>3</v>
      </c>
      <c r="M992" t="inlineStr">
        <is>
          <t>2026-06-23 14:19:57</t>
        </is>
      </c>
      <c r="N992" t="inlineStr">
        <is>
          <t>Goitsimang Mogwasa</t>
        </is>
      </c>
      <c r="O992" t="inlineStr">
        <is>
          <t>2026-06-19 07:10:32</t>
        </is>
      </c>
      <c r="P992" t="inlineStr">
        <is>
          <t>2026-06-19 07:10:32</t>
        </is>
      </c>
      <c r="Y992" t="inlineStr">
        <is>
          <t>27673895201</t>
        </is>
      </c>
    </row>
    <row r="993">
      <c r="A993" t="inlineStr">
        <is>
          <t>14943844</t>
        </is>
      </c>
      <c r="B993" t="inlineStr">
        <is>
          <t>b98131ed-f573-487d-911c-b8b9a94bc2a5</t>
        </is>
      </c>
      <c r="D993" t="inlineStr">
        <is>
          <t>30001087</t>
        </is>
      </c>
      <c r="E993" t="inlineStr">
        <is>
          <t>ussd_funeral_leads_altitude_20260619</t>
        </is>
      </c>
      <c r="J993" t="inlineStr">
        <is>
          <t>NA</t>
        </is>
      </c>
      <c r="K993" t="inlineStr">
        <is>
          <t>No Answer Autodial</t>
        </is>
      </c>
      <c r="L993" t="n">
        <v>3</v>
      </c>
      <c r="M993" t="inlineStr">
        <is>
          <t>2026-06-23 14:19:56</t>
        </is>
      </c>
      <c r="N993" t="inlineStr">
        <is>
          <t>system</t>
        </is>
      </c>
      <c r="O993" t="inlineStr">
        <is>
          <t>2026-06-19 07:10:32</t>
        </is>
      </c>
      <c r="P993" t="inlineStr">
        <is>
          <t>2026-06-19 07:10:32</t>
        </is>
      </c>
      <c r="Y993" t="inlineStr">
        <is>
          <t>27795659341</t>
        </is>
      </c>
    </row>
    <row r="994">
      <c r="A994" t="inlineStr">
        <is>
          <t>14944032</t>
        </is>
      </c>
      <c r="B994" t="inlineStr">
        <is>
          <t>5d377b3b-e564-4429-83a0-a2a159e36962</t>
        </is>
      </c>
      <c r="D994" t="inlineStr">
        <is>
          <t>30001087</t>
        </is>
      </c>
      <c r="E994" t="inlineStr">
        <is>
          <t>ussd_funeral_leads_altitude_20260619</t>
        </is>
      </c>
      <c r="J994" t="inlineStr">
        <is>
          <t>AA</t>
        </is>
      </c>
      <c r="K994" t="inlineStr">
        <is>
          <t>Answering Machine Autodial</t>
        </is>
      </c>
      <c r="L994" t="n">
        <v>3</v>
      </c>
      <c r="M994" t="inlineStr">
        <is>
          <t>2026-06-23 14:19:55</t>
        </is>
      </c>
      <c r="N994" t="inlineStr">
        <is>
          <t>system</t>
        </is>
      </c>
      <c r="O994" t="inlineStr">
        <is>
          <t>2026-06-19 07:10:32</t>
        </is>
      </c>
      <c r="P994" t="inlineStr">
        <is>
          <t>2026-06-19 07:10:32</t>
        </is>
      </c>
      <c r="Y994" t="inlineStr">
        <is>
          <t>27724063413</t>
        </is>
      </c>
    </row>
    <row r="995">
      <c r="A995" t="inlineStr">
        <is>
          <t>14944033</t>
        </is>
      </c>
      <c r="B995" t="inlineStr">
        <is>
          <t>35255255-57d3-4fc8-a8a6-455679b29d59</t>
        </is>
      </c>
      <c r="D995" t="inlineStr">
        <is>
          <t>30001087</t>
        </is>
      </c>
      <c r="E995" t="inlineStr">
        <is>
          <t>ussd_funeral_leads_altitude_20260619</t>
        </is>
      </c>
      <c r="J995" t="inlineStr">
        <is>
          <t>AA</t>
        </is>
      </c>
      <c r="K995" t="inlineStr">
        <is>
          <t>Answering Machine Autodial</t>
        </is>
      </c>
      <c r="L995" t="n">
        <v>3</v>
      </c>
      <c r="M995" t="inlineStr">
        <is>
          <t>2026-06-23 14:19:55</t>
        </is>
      </c>
      <c r="N995" t="inlineStr">
        <is>
          <t>system</t>
        </is>
      </c>
      <c r="O995" t="inlineStr">
        <is>
          <t>2026-06-19 07:10:32</t>
        </is>
      </c>
      <c r="P995" t="inlineStr">
        <is>
          <t>2026-06-19 07:10:32</t>
        </is>
      </c>
      <c r="Y995" t="inlineStr">
        <is>
          <t>27664853809</t>
        </is>
      </c>
    </row>
    <row r="996">
      <c r="A996" t="inlineStr">
        <is>
          <t>14944034</t>
        </is>
      </c>
      <c r="B996" t="inlineStr">
        <is>
          <t>ff642811-cb82-4fbf-a6b8-cff9980f6947</t>
        </is>
      </c>
      <c r="D996" t="inlineStr">
        <is>
          <t>30001087</t>
        </is>
      </c>
      <c r="E996" t="inlineStr">
        <is>
          <t>ussd_funeral_leads_altitude_20260619</t>
        </is>
      </c>
      <c r="J996" t="inlineStr">
        <is>
          <t>AA</t>
        </is>
      </c>
      <c r="K996" t="inlineStr">
        <is>
          <t>Answering Machine Autodial</t>
        </is>
      </c>
      <c r="L996" t="n">
        <v>3</v>
      </c>
      <c r="M996" t="inlineStr">
        <is>
          <t>2026-06-23 14:19:55</t>
        </is>
      </c>
      <c r="N996" t="inlineStr">
        <is>
          <t>system</t>
        </is>
      </c>
      <c r="O996" t="inlineStr">
        <is>
          <t>2026-06-19 07:10:32</t>
        </is>
      </c>
      <c r="P996" t="inlineStr">
        <is>
          <t>2026-06-19 07:10:32</t>
        </is>
      </c>
      <c r="Y996" t="inlineStr">
        <is>
          <t>27665521866</t>
        </is>
      </c>
    </row>
    <row r="997">
      <c r="A997" t="inlineStr">
        <is>
          <t>14944035</t>
        </is>
      </c>
      <c r="B997" t="inlineStr">
        <is>
          <t>fd4c5f2e-8922-421b-b733-46d518ca8b6b</t>
        </is>
      </c>
      <c r="D997" t="inlineStr">
        <is>
          <t>30001087</t>
        </is>
      </c>
      <c r="E997" t="inlineStr">
        <is>
          <t>ussd_funeral_leads_altitude_20260619</t>
        </is>
      </c>
      <c r="J997" t="inlineStr">
        <is>
          <t>AA</t>
        </is>
      </c>
      <c r="K997" t="inlineStr">
        <is>
          <t>Answering Machine Autodial</t>
        </is>
      </c>
      <c r="L997" t="n">
        <v>3</v>
      </c>
      <c r="M997" t="inlineStr">
        <is>
          <t>2026-06-23 14:19:55</t>
        </is>
      </c>
      <c r="N997" t="inlineStr">
        <is>
          <t>system</t>
        </is>
      </c>
      <c r="O997" t="inlineStr">
        <is>
          <t>2026-06-19 07:10:32</t>
        </is>
      </c>
      <c r="P997" t="inlineStr">
        <is>
          <t>2026-06-19 07:10:32</t>
        </is>
      </c>
      <c r="Y997" t="inlineStr">
        <is>
          <t>27664485992</t>
        </is>
      </c>
    </row>
    <row r="998">
      <c r="A998" t="inlineStr">
        <is>
          <t>14944036</t>
        </is>
      </c>
      <c r="B998" t="inlineStr">
        <is>
          <t>5ea106e7-6297-427b-bd1e-1f44e453eb87</t>
        </is>
      </c>
      <c r="D998" t="inlineStr">
        <is>
          <t>30001087</t>
        </is>
      </c>
      <c r="E998" t="inlineStr">
        <is>
          <t>ussd_funeral_leads_altitude_20260619</t>
        </is>
      </c>
      <c r="J998" t="inlineStr">
        <is>
          <t>NA</t>
        </is>
      </c>
      <c r="K998" t="inlineStr">
        <is>
          <t>No Answer Autodial</t>
        </is>
      </c>
      <c r="L998" t="n">
        <v>3</v>
      </c>
      <c r="M998" t="inlineStr">
        <is>
          <t>2026-06-23 14:19:55</t>
        </is>
      </c>
      <c r="N998" t="inlineStr">
        <is>
          <t>system</t>
        </is>
      </c>
      <c r="O998" t="inlineStr">
        <is>
          <t>2026-06-19 07:10:32</t>
        </is>
      </c>
      <c r="P998" t="inlineStr">
        <is>
          <t>2026-06-19 07:10:32</t>
        </is>
      </c>
      <c r="Y998" t="inlineStr">
        <is>
          <t>27763676702</t>
        </is>
      </c>
    </row>
    <row r="999">
      <c r="A999" t="inlineStr">
        <is>
          <t>14900000</t>
        </is>
      </c>
      <c r="B999" t="inlineStr">
        <is>
          <t>65e71817-79c1-4425-87ea-0f5f25c7b153</t>
        </is>
      </c>
      <c r="D999" t="inlineStr">
        <is>
          <t>30001087</t>
        </is>
      </c>
      <c r="E999" t="inlineStr">
        <is>
          <t>ussd_funeral_leads_altitude_20260619</t>
        </is>
      </c>
      <c r="J999" t="inlineStr">
        <is>
          <t>AA</t>
        </is>
      </c>
      <c r="K999" t="inlineStr">
        <is>
          <t>Answering Machine Autodial</t>
        </is>
      </c>
      <c r="L999" t="n">
        <v>3</v>
      </c>
      <c r="M999" t="inlineStr">
        <is>
          <t>2026-06-23 14:19:52</t>
        </is>
      </c>
      <c r="N999" t="inlineStr">
        <is>
          <t>system</t>
        </is>
      </c>
      <c r="O999" t="inlineStr">
        <is>
          <t>2026-06-19 07:10:32</t>
        </is>
      </c>
      <c r="P999" t="inlineStr">
        <is>
          <t>2026-06-19 07:10:32</t>
        </is>
      </c>
      <c r="Y999" t="inlineStr">
        <is>
          <t>27769592453</t>
        </is>
      </c>
    </row>
    <row r="1000">
      <c r="A1000" t="inlineStr">
        <is>
          <t>14944030</t>
        </is>
      </c>
      <c r="B1000" t="inlineStr">
        <is>
          <t>4ea44a8e-3f28-4439-9e93-cd39dafcb1b0</t>
        </is>
      </c>
      <c r="D1000" t="inlineStr">
        <is>
          <t>30001087</t>
        </is>
      </c>
      <c r="E1000" t="inlineStr">
        <is>
          <t>ussd_funeral_leads_altitude_20260619</t>
        </is>
      </c>
      <c r="J1000" t="inlineStr">
        <is>
          <t>TDN</t>
        </is>
      </c>
      <c r="K1000" t="inlineStr">
        <is>
          <t>Temporary Disconnected Number</t>
        </is>
      </c>
      <c r="L1000" t="n">
        <v>3</v>
      </c>
      <c r="M1000" t="inlineStr">
        <is>
          <t>2026-06-23 14:19:52</t>
        </is>
      </c>
      <c r="N1000" t="inlineStr">
        <is>
          <t>system</t>
        </is>
      </c>
      <c r="O1000" t="inlineStr">
        <is>
          <t>2026-06-19 07:10:32</t>
        </is>
      </c>
      <c r="P1000" t="inlineStr">
        <is>
          <t>2026-06-19 07:10:32</t>
        </is>
      </c>
      <c r="Y1000" t="inlineStr">
        <is>
          <t>27790895812</t>
        </is>
      </c>
    </row>
    <row r="1001">
      <c r="A1001" t="inlineStr">
        <is>
          <t>14944025</t>
        </is>
      </c>
      <c r="B1001" t="inlineStr">
        <is>
          <t>8ae6eb3d-f00b-49da-910f-2e5bb5b360d1</t>
        </is>
      </c>
      <c r="D1001" t="inlineStr">
        <is>
          <t>30001087</t>
        </is>
      </c>
      <c r="E1001" t="inlineStr">
        <is>
          <t>ussd_funeral_leads_altitude_20260619</t>
        </is>
      </c>
      <c r="J1001" t="inlineStr">
        <is>
          <t>AA</t>
        </is>
      </c>
      <c r="K1001" t="inlineStr">
        <is>
          <t>Answering Machine Autodial</t>
        </is>
      </c>
      <c r="L1001" t="n">
        <v>3</v>
      </c>
      <c r="M1001" t="inlineStr">
        <is>
          <t>2026-06-23 14:19:51</t>
        </is>
      </c>
      <c r="N1001" t="inlineStr">
        <is>
          <t>system</t>
        </is>
      </c>
      <c r="O1001" t="inlineStr">
        <is>
          <t>2026-06-19 07:10:32</t>
        </is>
      </c>
      <c r="P1001" t="inlineStr">
        <is>
          <t>2026-06-19 07:10:32</t>
        </is>
      </c>
      <c r="Y1001" t="inlineStr">
        <is>
          <t>27674088442</t>
        </is>
      </c>
    </row>
    <row r="1002">
      <c r="A1002" t="inlineStr">
        <is>
          <t>14944026</t>
        </is>
      </c>
      <c r="B1002" t="inlineStr">
        <is>
          <t>f9da66b0-343f-4291-893a-13dd57dc7a41</t>
        </is>
      </c>
      <c r="D1002" t="inlineStr">
        <is>
          <t>30001087</t>
        </is>
      </c>
      <c r="E1002" t="inlineStr">
        <is>
          <t>ussd_funeral_leads_altitude_20260619</t>
        </is>
      </c>
      <c r="J1002" t="inlineStr">
        <is>
          <t>NA</t>
        </is>
      </c>
      <c r="K1002" t="inlineStr">
        <is>
          <t>No Answer Autodial</t>
        </is>
      </c>
      <c r="L1002" t="n">
        <v>3</v>
      </c>
      <c r="M1002" t="inlineStr">
        <is>
          <t>2026-06-23 14:19:51</t>
        </is>
      </c>
      <c r="N1002" t="inlineStr">
        <is>
          <t>system</t>
        </is>
      </c>
      <c r="O1002" t="inlineStr">
        <is>
          <t>2026-06-19 07:10:32</t>
        </is>
      </c>
      <c r="P1002" t="inlineStr">
        <is>
          <t>2026-06-19 07:10:32</t>
        </is>
      </c>
      <c r="Y1002" t="inlineStr">
        <is>
          <t>27774197648</t>
        </is>
      </c>
    </row>
    <row r="1003">
      <c r="A1003" t="inlineStr">
        <is>
          <t>14944027</t>
        </is>
      </c>
      <c r="B1003" t="inlineStr">
        <is>
          <t>312db7ba-9160-411a-b567-6111cd3dd831</t>
        </is>
      </c>
      <c r="D1003" t="inlineStr">
        <is>
          <t>30001087</t>
        </is>
      </c>
      <c r="E1003" t="inlineStr">
        <is>
          <t>ussd_funeral_leads_altitude_20260619</t>
        </is>
      </c>
      <c r="J1003" t="inlineStr">
        <is>
          <t>AA</t>
        </is>
      </c>
      <c r="K1003" t="inlineStr">
        <is>
          <t>Answering Machine Autodial</t>
        </is>
      </c>
      <c r="L1003" t="n">
        <v>3</v>
      </c>
      <c r="M1003" t="inlineStr">
        <is>
          <t>2026-06-23 14:19:51</t>
        </is>
      </c>
      <c r="N1003" t="inlineStr">
        <is>
          <t>system</t>
        </is>
      </c>
      <c r="O1003" t="inlineStr">
        <is>
          <t>2026-06-19 07:10:32</t>
        </is>
      </c>
      <c r="P1003" t="inlineStr">
        <is>
          <t>2026-06-19 07:10:32</t>
        </is>
      </c>
      <c r="Y1003" t="inlineStr">
        <is>
          <t>27794497992</t>
        </is>
      </c>
    </row>
    <row r="1004">
      <c r="A1004" t="inlineStr">
        <is>
          <t>14944028</t>
        </is>
      </c>
      <c r="B1004" t="inlineStr">
        <is>
          <t>33c411f1-ef58-4be5-a342-041e744df516</t>
        </is>
      </c>
      <c r="D1004" t="inlineStr">
        <is>
          <t>30001087</t>
        </is>
      </c>
      <c r="E1004" t="inlineStr">
        <is>
          <t>ussd_funeral_leads_altitude_20260619</t>
        </is>
      </c>
      <c r="J1004" t="inlineStr">
        <is>
          <t>AA</t>
        </is>
      </c>
      <c r="K1004" t="inlineStr">
        <is>
          <t>Answering Machine Autodial</t>
        </is>
      </c>
      <c r="L1004" t="n">
        <v>3</v>
      </c>
      <c r="M1004" t="inlineStr">
        <is>
          <t>2026-06-23 14:19:51</t>
        </is>
      </c>
      <c r="N1004" t="inlineStr">
        <is>
          <t>system</t>
        </is>
      </c>
      <c r="O1004" t="inlineStr">
        <is>
          <t>2026-06-19 07:10:32</t>
        </is>
      </c>
      <c r="P1004" t="inlineStr">
        <is>
          <t>2026-06-19 07:10:32</t>
        </is>
      </c>
      <c r="Y1004" t="inlineStr">
        <is>
          <t>27795963646</t>
        </is>
      </c>
    </row>
    <row r="1005">
      <c r="A1005" t="inlineStr">
        <is>
          <t>14944024</t>
        </is>
      </c>
      <c r="B1005" t="inlineStr">
        <is>
          <t>3c17fffb-c09c-4798-9db5-fabab0cb40d3</t>
        </is>
      </c>
      <c r="D1005" t="inlineStr">
        <is>
          <t>30001087</t>
        </is>
      </c>
      <c r="E1005" t="inlineStr">
        <is>
          <t>ussd_funeral_leads_altitude_20260619</t>
        </is>
      </c>
      <c r="J1005" t="inlineStr">
        <is>
          <t>AA</t>
        </is>
      </c>
      <c r="K1005" t="inlineStr">
        <is>
          <t>Answering Machine Autodial</t>
        </is>
      </c>
      <c r="L1005" t="n">
        <v>3</v>
      </c>
      <c r="M1005" t="inlineStr">
        <is>
          <t>2026-06-23 14:19:45</t>
        </is>
      </c>
      <c r="N1005" t="inlineStr">
        <is>
          <t>system</t>
        </is>
      </c>
      <c r="O1005" t="inlineStr">
        <is>
          <t>2026-06-19 07:10:32</t>
        </is>
      </c>
      <c r="P1005" t="inlineStr">
        <is>
          <t>2026-06-19 07:10:32</t>
        </is>
      </c>
      <c r="Y1005" t="inlineStr">
        <is>
          <t>27772053962</t>
        </is>
      </c>
    </row>
    <row r="1006">
      <c r="A1006" t="inlineStr">
        <is>
          <t>14944021</t>
        </is>
      </c>
      <c r="B1006" t="inlineStr">
        <is>
          <t>f77a3e3a-14ed-4a8e-a5bc-f1e73d6f8ac2</t>
        </is>
      </c>
      <c r="D1006" t="inlineStr">
        <is>
          <t>30001087</t>
        </is>
      </c>
      <c r="E1006" t="inlineStr">
        <is>
          <t>ussd_funeral_leads_altitude_20260619</t>
        </is>
      </c>
      <c r="J1006" t="inlineStr">
        <is>
          <t>AA</t>
        </is>
      </c>
      <c r="K1006" t="inlineStr">
        <is>
          <t>Answering Machine Autodial</t>
        </is>
      </c>
      <c r="L1006" t="n">
        <v>3</v>
      </c>
      <c r="M1006" t="inlineStr">
        <is>
          <t>2026-06-23 14:19:40</t>
        </is>
      </c>
      <c r="N1006" t="inlineStr">
        <is>
          <t>system</t>
        </is>
      </c>
      <c r="O1006" t="inlineStr">
        <is>
          <t>2026-06-19 07:10:32</t>
        </is>
      </c>
      <c r="P1006" t="inlineStr">
        <is>
          <t>2026-06-19 07:10:32</t>
        </is>
      </c>
      <c r="Y1006" t="inlineStr">
        <is>
          <t>27722944928</t>
        </is>
      </c>
    </row>
    <row r="1007">
      <c r="A1007" t="inlineStr">
        <is>
          <t>14944023</t>
        </is>
      </c>
      <c r="B1007" t="inlineStr">
        <is>
          <t>c81282a1-3aac-43b3-b861-149cc5726edd</t>
        </is>
      </c>
      <c r="D1007" t="inlineStr">
        <is>
          <t>30001087</t>
        </is>
      </c>
      <c r="E1007" t="inlineStr">
        <is>
          <t>ussd_funeral_leads_altitude_20260619</t>
        </is>
      </c>
      <c r="J1007" t="inlineStr">
        <is>
          <t>ADC</t>
        </is>
      </c>
      <c r="K1007" t="inlineStr">
        <is>
          <t>Auto Dial Disconnected</t>
        </is>
      </c>
      <c r="L1007" t="n">
        <v>3</v>
      </c>
      <c r="M1007" t="inlineStr">
        <is>
          <t>2026-06-23 14:19:40</t>
        </is>
      </c>
      <c r="N1007" t="inlineStr">
        <is>
          <t>system</t>
        </is>
      </c>
      <c r="O1007" t="inlineStr">
        <is>
          <t>2026-06-19 07:10:32</t>
        </is>
      </c>
      <c r="P1007" t="inlineStr">
        <is>
          <t>2026-06-19 07:10:32</t>
        </is>
      </c>
      <c r="Y1007" t="inlineStr">
        <is>
          <t>27790932342</t>
        </is>
      </c>
    </row>
    <row r="1008">
      <c r="A1008" t="inlineStr">
        <is>
          <t>14943972</t>
        </is>
      </c>
      <c r="B1008" t="inlineStr">
        <is>
          <t>c9532635-1c29-416a-9a9c-9aa61d7aafa8</t>
        </is>
      </c>
      <c r="D1008" t="inlineStr">
        <is>
          <t>30001087</t>
        </is>
      </c>
      <c r="E1008" t="inlineStr">
        <is>
          <t>ussd_funeral_leads_altitude_20260619</t>
        </is>
      </c>
      <c r="H1008" t="inlineStr">
        <is>
          <t>27663843219</t>
        </is>
      </c>
      <c r="J1008" t="inlineStr">
        <is>
          <t>CU</t>
        </is>
      </c>
      <c r="K1008" t="inlineStr">
        <is>
          <t>Client Hung Up</t>
        </is>
      </c>
      <c r="L1008" t="n">
        <v>3</v>
      </c>
      <c r="M1008" t="inlineStr">
        <is>
          <t>2026-06-23 14:18:28</t>
        </is>
      </c>
      <c r="N1008" t="inlineStr">
        <is>
          <t>Goitsimang Mogwasa</t>
        </is>
      </c>
      <c r="O1008" t="inlineStr">
        <is>
          <t>2026-06-19 07:10:32</t>
        </is>
      </c>
      <c r="P1008" t="inlineStr">
        <is>
          <t>2026-06-19 07:10:32</t>
        </is>
      </c>
      <c r="Y1008" t="inlineStr">
        <is>
          <t>27663843219</t>
        </is>
      </c>
    </row>
    <row r="1009">
      <c r="A1009" t="inlineStr">
        <is>
          <t>14944110</t>
        </is>
      </c>
      <c r="B1009" t="inlineStr">
        <is>
          <t>0ebab7a0-1c78-4d5f-b930-930644448cca</t>
        </is>
      </c>
      <c r="D1009" t="inlineStr">
        <is>
          <t>30001087</t>
        </is>
      </c>
      <c r="E1009" t="inlineStr">
        <is>
          <t>ussd_funeral_leads_altitude_20260619</t>
        </is>
      </c>
      <c r="J1009" t="inlineStr">
        <is>
          <t>AA</t>
        </is>
      </c>
      <c r="K1009" t="inlineStr">
        <is>
          <t>Answering Machine Autodial</t>
        </is>
      </c>
      <c r="L1009" t="n">
        <v>3</v>
      </c>
      <c r="M1009" t="inlineStr">
        <is>
          <t>2026-06-23 14:18:23</t>
        </is>
      </c>
      <c r="N1009" t="inlineStr">
        <is>
          <t>system</t>
        </is>
      </c>
      <c r="O1009" t="inlineStr">
        <is>
          <t>2026-06-19 07:10:32</t>
        </is>
      </c>
      <c r="P1009" t="inlineStr">
        <is>
          <t>2026-06-19 07:10:32</t>
        </is>
      </c>
      <c r="Y1009" t="inlineStr">
        <is>
          <t>27636120984</t>
        </is>
      </c>
    </row>
    <row r="1010">
      <c r="A1010" t="inlineStr">
        <is>
          <t>14943905</t>
        </is>
      </c>
      <c r="B1010" t="inlineStr">
        <is>
          <t>a9bea6ab-8bb0-4835-b8c7-770cd0537a38</t>
        </is>
      </c>
      <c r="D1010" t="inlineStr">
        <is>
          <t>30001087</t>
        </is>
      </c>
      <c r="E1010" t="inlineStr">
        <is>
          <t>ussd_funeral_leads_altitude_20260619</t>
        </is>
      </c>
      <c r="J1010" t="inlineStr">
        <is>
          <t>AA</t>
        </is>
      </c>
      <c r="K1010" t="inlineStr">
        <is>
          <t>Answering Machine Autodial</t>
        </is>
      </c>
      <c r="L1010" t="n">
        <v>3</v>
      </c>
      <c r="M1010" t="inlineStr">
        <is>
          <t>2026-06-23 14:18:19</t>
        </is>
      </c>
      <c r="N1010" t="inlineStr">
        <is>
          <t>system</t>
        </is>
      </c>
      <c r="O1010" t="inlineStr">
        <is>
          <t>2026-06-19 07:10:32</t>
        </is>
      </c>
      <c r="P1010" t="inlineStr">
        <is>
          <t>2026-06-19 07:10:32</t>
        </is>
      </c>
      <c r="Y1010" t="inlineStr">
        <is>
          <t>27729777198</t>
        </is>
      </c>
    </row>
    <row r="1011">
      <c r="A1011" t="inlineStr">
        <is>
          <t>14943906</t>
        </is>
      </c>
      <c r="B1011" t="inlineStr">
        <is>
          <t>c8e99576-59fa-450f-8221-69dee7a5c84a</t>
        </is>
      </c>
      <c r="D1011" t="inlineStr">
        <is>
          <t>30001087</t>
        </is>
      </c>
      <c r="E1011" t="inlineStr">
        <is>
          <t>ussd_funeral_leads_altitude_20260619</t>
        </is>
      </c>
      <c r="J1011" t="inlineStr">
        <is>
          <t>CU</t>
        </is>
      </c>
      <c r="K1011" t="inlineStr">
        <is>
          <t>Client Hung Up</t>
        </is>
      </c>
      <c r="L1011" t="n">
        <v>3</v>
      </c>
      <c r="M1011" t="inlineStr">
        <is>
          <t>2026-06-23 14:18:19</t>
        </is>
      </c>
      <c r="N1011" t="inlineStr">
        <is>
          <t>Lebohang Mabotja</t>
        </is>
      </c>
      <c r="O1011" t="inlineStr">
        <is>
          <t>2026-06-19 07:10:32</t>
        </is>
      </c>
      <c r="P1011" t="inlineStr">
        <is>
          <t>2026-06-19 07:10:32</t>
        </is>
      </c>
      <c r="Y1011" t="inlineStr">
        <is>
          <t>27711989492</t>
        </is>
      </c>
    </row>
    <row r="1012">
      <c r="A1012" t="inlineStr">
        <is>
          <t>14943907</t>
        </is>
      </c>
      <c r="B1012" t="inlineStr">
        <is>
          <t>5e161c83-40a9-4047-9ec2-ea02bf4f4ff3</t>
        </is>
      </c>
      <c r="D1012" t="inlineStr">
        <is>
          <t>30001087</t>
        </is>
      </c>
      <c r="E1012" t="inlineStr">
        <is>
          <t>ussd_funeral_leads_altitude_20260619</t>
        </is>
      </c>
      <c r="J1012" t="inlineStr">
        <is>
          <t>CU</t>
        </is>
      </c>
      <c r="K1012" t="inlineStr">
        <is>
          <t>Client Hung Up</t>
        </is>
      </c>
      <c r="L1012" t="n">
        <v>3</v>
      </c>
      <c r="M1012" t="inlineStr">
        <is>
          <t>2026-06-23 14:18:19</t>
        </is>
      </c>
      <c r="N1012" t="inlineStr">
        <is>
          <t>Vuyiswa Nxumalo</t>
        </is>
      </c>
      <c r="O1012" t="inlineStr">
        <is>
          <t>2026-06-19 07:10:32</t>
        </is>
      </c>
      <c r="P1012" t="inlineStr">
        <is>
          <t>2026-06-19 07:10:32</t>
        </is>
      </c>
      <c r="Y1012" t="inlineStr">
        <is>
          <t>27772709879</t>
        </is>
      </c>
    </row>
    <row r="1013">
      <c r="A1013" t="inlineStr">
        <is>
          <t>14943908</t>
        </is>
      </c>
      <c r="B1013" t="inlineStr">
        <is>
          <t>d448422c-2535-4242-9d5e-4fd68d09021a</t>
        </is>
      </c>
      <c r="D1013" t="inlineStr">
        <is>
          <t>30001087</t>
        </is>
      </c>
      <c r="E1013" t="inlineStr">
        <is>
          <t>ussd_funeral_leads_altitude_20260619</t>
        </is>
      </c>
      <c r="J1013" t="inlineStr">
        <is>
          <t>AA</t>
        </is>
      </c>
      <c r="K1013" t="inlineStr">
        <is>
          <t>Answering Machine Autodial</t>
        </is>
      </c>
      <c r="L1013" t="n">
        <v>3</v>
      </c>
      <c r="M1013" t="inlineStr">
        <is>
          <t>2026-06-23 14:18:19</t>
        </is>
      </c>
      <c r="N1013" t="inlineStr">
        <is>
          <t>system</t>
        </is>
      </c>
      <c r="O1013" t="inlineStr">
        <is>
          <t>2026-06-19 07:10:32</t>
        </is>
      </c>
      <c r="P1013" t="inlineStr">
        <is>
          <t>2026-06-19 07:10:32</t>
        </is>
      </c>
      <c r="Y1013" t="inlineStr">
        <is>
          <t>27648855617</t>
        </is>
      </c>
    </row>
    <row r="1014">
      <c r="A1014" t="inlineStr">
        <is>
          <t>14943969</t>
        </is>
      </c>
      <c r="B1014" t="inlineStr">
        <is>
          <t>6d3f69e4-c2cf-4d6d-9886-03dae460c298</t>
        </is>
      </c>
      <c r="D1014" t="inlineStr">
        <is>
          <t>30001087</t>
        </is>
      </c>
      <c r="E1014" t="inlineStr">
        <is>
          <t>ussd_funeral_leads_altitude_20260619</t>
        </is>
      </c>
      <c r="J1014" t="inlineStr">
        <is>
          <t>AA</t>
        </is>
      </c>
      <c r="K1014" t="inlineStr">
        <is>
          <t>Answering Machine Autodial</t>
        </is>
      </c>
      <c r="L1014" t="n">
        <v>3</v>
      </c>
      <c r="M1014" t="inlineStr">
        <is>
          <t>2026-06-23 14:18:19</t>
        </is>
      </c>
      <c r="N1014" t="inlineStr">
        <is>
          <t>system</t>
        </is>
      </c>
      <c r="O1014" t="inlineStr">
        <is>
          <t>2026-06-19 07:10:32</t>
        </is>
      </c>
      <c r="P1014" t="inlineStr">
        <is>
          <t>2026-06-19 07:10:32</t>
        </is>
      </c>
      <c r="Y1014" t="inlineStr">
        <is>
          <t>27797315199</t>
        </is>
      </c>
    </row>
    <row r="1015">
      <c r="A1015" t="inlineStr">
        <is>
          <t>14943903</t>
        </is>
      </c>
      <c r="B1015" t="inlineStr">
        <is>
          <t>6670fe36-3b17-4b2f-9e16-fb7a92b96730</t>
        </is>
      </c>
      <c r="D1015" t="inlineStr">
        <is>
          <t>30001087</t>
        </is>
      </c>
      <c r="E1015" t="inlineStr">
        <is>
          <t>ussd_funeral_leads_altitude_20260619</t>
        </is>
      </c>
      <c r="J1015" t="inlineStr">
        <is>
          <t>AA</t>
        </is>
      </c>
      <c r="K1015" t="inlineStr">
        <is>
          <t>Answering Machine Autodial</t>
        </is>
      </c>
      <c r="L1015" t="n">
        <v>3</v>
      </c>
      <c r="M1015" t="inlineStr">
        <is>
          <t>2026-06-23 14:18:18</t>
        </is>
      </c>
      <c r="N1015" t="inlineStr">
        <is>
          <t>system</t>
        </is>
      </c>
      <c r="O1015" t="inlineStr">
        <is>
          <t>2026-06-19 07:10:32</t>
        </is>
      </c>
      <c r="P1015" t="inlineStr">
        <is>
          <t>2026-06-19 07:10:32</t>
        </is>
      </c>
      <c r="Y1015" t="inlineStr">
        <is>
          <t>27823763753</t>
        </is>
      </c>
    </row>
    <row r="1016">
      <c r="A1016" t="inlineStr">
        <is>
          <t>14943904</t>
        </is>
      </c>
      <c r="B1016" t="inlineStr">
        <is>
          <t>c4a1ccf9-ac74-4ad5-be6f-1db9f7e204bb</t>
        </is>
      </c>
      <c r="D1016" t="inlineStr">
        <is>
          <t>30001087</t>
        </is>
      </c>
      <c r="E1016" t="inlineStr">
        <is>
          <t>ussd_funeral_leads_altitude_20260619</t>
        </is>
      </c>
      <c r="J1016" t="inlineStr">
        <is>
          <t>AA</t>
        </is>
      </c>
      <c r="K1016" t="inlineStr">
        <is>
          <t>Answering Machine Autodial</t>
        </is>
      </c>
      <c r="L1016" t="n">
        <v>3</v>
      </c>
      <c r="M1016" t="inlineStr">
        <is>
          <t>2026-06-23 14:18:18</t>
        </is>
      </c>
      <c r="N1016" t="inlineStr">
        <is>
          <t>system</t>
        </is>
      </c>
      <c r="O1016" t="inlineStr">
        <is>
          <t>2026-06-19 07:10:32</t>
        </is>
      </c>
      <c r="P1016" t="inlineStr">
        <is>
          <t>2026-06-19 07:10:32</t>
        </is>
      </c>
      <c r="Y1016" t="inlineStr">
        <is>
          <t>27726893125</t>
        </is>
      </c>
    </row>
    <row r="1017">
      <c r="A1017" t="inlineStr">
        <is>
          <t>14943909</t>
        </is>
      </c>
      <c r="B1017" t="inlineStr">
        <is>
          <t>278e91c3-b944-4412-a136-8ae768dece5a</t>
        </is>
      </c>
      <c r="D1017" t="inlineStr">
        <is>
          <t>30001087</t>
        </is>
      </c>
      <c r="E1017" t="inlineStr">
        <is>
          <t>ussd_funeral_leads_altitude_20260619</t>
        </is>
      </c>
      <c r="J1017" t="inlineStr">
        <is>
          <t>AA</t>
        </is>
      </c>
      <c r="K1017" t="inlineStr">
        <is>
          <t>Answering Machine Autodial</t>
        </is>
      </c>
      <c r="L1017" t="n">
        <v>3</v>
      </c>
      <c r="M1017" t="inlineStr">
        <is>
          <t>2026-06-23 14:18:18</t>
        </is>
      </c>
      <c r="N1017" t="inlineStr">
        <is>
          <t>system</t>
        </is>
      </c>
      <c r="O1017" t="inlineStr">
        <is>
          <t>2026-06-19 07:10:32</t>
        </is>
      </c>
      <c r="P1017" t="inlineStr">
        <is>
          <t>2026-06-19 07:10:32</t>
        </is>
      </c>
      <c r="Y1017" t="inlineStr">
        <is>
          <t>27818218391</t>
        </is>
      </c>
    </row>
    <row r="1018">
      <c r="A1018" t="inlineStr">
        <is>
          <t>14943970</t>
        </is>
      </c>
      <c r="B1018" t="inlineStr">
        <is>
          <t>d4fa13b0-a109-4c4c-8d9d-6a2e6e5c9a84</t>
        </is>
      </c>
      <c r="D1018" t="inlineStr">
        <is>
          <t>30001087</t>
        </is>
      </c>
      <c r="E1018" t="inlineStr">
        <is>
          <t>ussd_funeral_leads_altitude_20260619</t>
        </is>
      </c>
      <c r="J1018" t="inlineStr">
        <is>
          <t>AA</t>
        </is>
      </c>
      <c r="K1018" t="inlineStr">
        <is>
          <t>Answering Machine Autodial</t>
        </is>
      </c>
      <c r="L1018" t="n">
        <v>3</v>
      </c>
      <c r="M1018" t="inlineStr">
        <is>
          <t>2026-06-23 14:18:18</t>
        </is>
      </c>
      <c r="N1018" t="inlineStr">
        <is>
          <t>system</t>
        </is>
      </c>
      <c r="O1018" t="inlineStr">
        <is>
          <t>2026-06-19 07:10:32</t>
        </is>
      </c>
      <c r="P1018" t="inlineStr">
        <is>
          <t>2026-06-19 07:10:32</t>
        </is>
      </c>
      <c r="Y1018" t="inlineStr">
        <is>
          <t>27766895834</t>
        </is>
      </c>
    </row>
    <row r="1019">
      <c r="A1019" t="inlineStr">
        <is>
          <t>14943901</t>
        </is>
      </c>
      <c r="B1019" t="inlineStr">
        <is>
          <t>96527ed0-ca9a-4306-b323-c7ec0bf39513</t>
        </is>
      </c>
      <c r="D1019" t="inlineStr">
        <is>
          <t>30001087</t>
        </is>
      </c>
      <c r="E1019" t="inlineStr">
        <is>
          <t>ussd_funeral_leads_altitude_20260619</t>
        </is>
      </c>
      <c r="J1019" t="inlineStr">
        <is>
          <t>AA</t>
        </is>
      </c>
      <c r="K1019" t="inlineStr">
        <is>
          <t>Answering Machine Autodial</t>
        </is>
      </c>
      <c r="L1019" t="n">
        <v>3</v>
      </c>
      <c r="M1019" t="inlineStr">
        <is>
          <t>2026-06-23 14:18:16</t>
        </is>
      </c>
      <c r="N1019" t="inlineStr">
        <is>
          <t>system</t>
        </is>
      </c>
      <c r="O1019" t="inlineStr">
        <is>
          <t>2026-06-19 07:10:32</t>
        </is>
      </c>
      <c r="P1019" t="inlineStr">
        <is>
          <t>2026-06-19 07:10:32</t>
        </is>
      </c>
      <c r="Y1019" t="inlineStr">
        <is>
          <t>27713703194</t>
        </is>
      </c>
    </row>
    <row r="1020">
      <c r="A1020" t="inlineStr">
        <is>
          <t>14943899</t>
        </is>
      </c>
      <c r="B1020" t="inlineStr">
        <is>
          <t>32972082-95e3-4fb8-bfcf-74bba9fa552b</t>
        </is>
      </c>
      <c r="D1020" t="inlineStr">
        <is>
          <t>30001087</t>
        </is>
      </c>
      <c r="E1020" t="inlineStr">
        <is>
          <t>ussd_funeral_leads_altitude_20260619</t>
        </is>
      </c>
      <c r="J1020" t="inlineStr">
        <is>
          <t>AA</t>
        </is>
      </c>
      <c r="K1020" t="inlineStr">
        <is>
          <t>Answering Machine Autodial</t>
        </is>
      </c>
      <c r="L1020" t="n">
        <v>3</v>
      </c>
      <c r="M1020" t="inlineStr">
        <is>
          <t>2026-06-23 14:18:13</t>
        </is>
      </c>
      <c r="N1020" t="inlineStr">
        <is>
          <t>system</t>
        </is>
      </c>
      <c r="O1020" t="inlineStr">
        <is>
          <t>2026-06-19 07:10:32</t>
        </is>
      </c>
      <c r="P1020" t="inlineStr">
        <is>
          <t>2026-06-19 07:10:32</t>
        </is>
      </c>
      <c r="Y1020" t="inlineStr">
        <is>
          <t>27675796622</t>
        </is>
      </c>
    </row>
    <row r="1021">
      <c r="A1021" t="inlineStr">
        <is>
          <t>14943900</t>
        </is>
      </c>
      <c r="B1021" t="inlineStr">
        <is>
          <t>fca91271-065d-48a5-a8ba-78907ad30e8a</t>
        </is>
      </c>
      <c r="D1021" t="inlineStr">
        <is>
          <t>30001087</t>
        </is>
      </c>
      <c r="E1021" t="inlineStr">
        <is>
          <t>ussd_funeral_leads_altitude_20260619</t>
        </is>
      </c>
      <c r="J1021" t="inlineStr">
        <is>
          <t>AA</t>
        </is>
      </c>
      <c r="K1021" t="inlineStr">
        <is>
          <t>Answering Machine Autodial</t>
        </is>
      </c>
      <c r="L1021" t="n">
        <v>3</v>
      </c>
      <c r="M1021" t="inlineStr">
        <is>
          <t>2026-06-23 14:18:13</t>
        </is>
      </c>
      <c r="N1021" t="inlineStr">
        <is>
          <t>system</t>
        </is>
      </c>
      <c r="O1021" t="inlineStr">
        <is>
          <t>2026-06-19 07:10:32</t>
        </is>
      </c>
      <c r="P1021" t="inlineStr">
        <is>
          <t>2026-06-19 07:10:32</t>
        </is>
      </c>
      <c r="Y1021" t="inlineStr">
        <is>
          <t>27795806256</t>
        </is>
      </c>
    </row>
    <row r="1022">
      <c r="A1022" t="inlineStr">
        <is>
          <t>14943897</t>
        </is>
      </c>
      <c r="B1022" t="inlineStr">
        <is>
          <t>ecb02792-0c95-436f-8d92-1eb201741470</t>
        </is>
      </c>
      <c r="D1022" t="inlineStr">
        <is>
          <t>30001087</t>
        </is>
      </c>
      <c r="E1022" t="inlineStr">
        <is>
          <t>ussd_funeral_leads_altitude_20260619</t>
        </is>
      </c>
      <c r="J1022" t="inlineStr">
        <is>
          <t>TDN</t>
        </is>
      </c>
      <c r="K1022" t="inlineStr">
        <is>
          <t>Temporary Disconnected Number</t>
        </is>
      </c>
      <c r="L1022" t="n">
        <v>3</v>
      </c>
      <c r="M1022" t="inlineStr">
        <is>
          <t>2026-06-23 14:18:11</t>
        </is>
      </c>
      <c r="N1022" t="inlineStr">
        <is>
          <t>system</t>
        </is>
      </c>
      <c r="O1022" t="inlineStr">
        <is>
          <t>2026-06-19 07:10:32</t>
        </is>
      </c>
      <c r="P1022" t="inlineStr">
        <is>
          <t>2026-06-19 07:10:32</t>
        </is>
      </c>
      <c r="Y1022" t="inlineStr">
        <is>
          <t>27760648128</t>
        </is>
      </c>
    </row>
    <row r="1023">
      <c r="A1023" t="inlineStr">
        <is>
          <t>14943895</t>
        </is>
      </c>
      <c r="B1023" t="inlineStr">
        <is>
          <t>fb60d82c-70d7-41f0-81e7-62a7066d2d94</t>
        </is>
      </c>
      <c r="D1023" t="inlineStr">
        <is>
          <t>30001087</t>
        </is>
      </c>
      <c r="E1023" t="inlineStr">
        <is>
          <t>ussd_funeral_leads_altitude_20260619</t>
        </is>
      </c>
      <c r="J1023" t="inlineStr">
        <is>
          <t>NA</t>
        </is>
      </c>
      <c r="K1023" t="inlineStr">
        <is>
          <t>No Answer Autodial</t>
        </is>
      </c>
      <c r="L1023" t="n">
        <v>3</v>
      </c>
      <c r="M1023" t="inlineStr">
        <is>
          <t>2026-06-23 14:18:09</t>
        </is>
      </c>
      <c r="N1023" t="inlineStr">
        <is>
          <t>system</t>
        </is>
      </c>
      <c r="O1023" t="inlineStr">
        <is>
          <t>2026-06-19 07:10:32</t>
        </is>
      </c>
      <c r="P1023" t="inlineStr">
        <is>
          <t>2026-06-19 07:10:32</t>
        </is>
      </c>
      <c r="Y1023" t="inlineStr">
        <is>
          <t>27791361441</t>
        </is>
      </c>
    </row>
    <row r="1024">
      <c r="A1024" t="inlineStr">
        <is>
          <t>14943896</t>
        </is>
      </c>
      <c r="B1024" t="inlineStr">
        <is>
          <t>552f6969-9347-41e1-b2e0-f89426bfface</t>
        </is>
      </c>
      <c r="D1024" t="inlineStr">
        <is>
          <t>30001087</t>
        </is>
      </c>
      <c r="E1024" t="inlineStr">
        <is>
          <t>ussd_funeral_leads_altitude_20260619</t>
        </is>
      </c>
      <c r="J1024" t="inlineStr">
        <is>
          <t>ADC</t>
        </is>
      </c>
      <c r="K1024" t="inlineStr">
        <is>
          <t>Auto Dial Disconnected</t>
        </is>
      </c>
      <c r="L1024" t="n">
        <v>3</v>
      </c>
      <c r="M1024" t="inlineStr">
        <is>
          <t>2026-06-23 14:18:09</t>
        </is>
      </c>
      <c r="N1024" t="inlineStr">
        <is>
          <t>system</t>
        </is>
      </c>
      <c r="O1024" t="inlineStr">
        <is>
          <t>2026-06-19 07:10:32</t>
        </is>
      </c>
      <c r="P1024" t="inlineStr">
        <is>
          <t>2026-06-19 07:10:32</t>
        </is>
      </c>
      <c r="Y1024" t="inlineStr">
        <is>
          <t>27637529709</t>
        </is>
      </c>
    </row>
    <row r="1025">
      <c r="A1025" t="inlineStr">
        <is>
          <t>14943973</t>
        </is>
      </c>
      <c r="B1025" t="inlineStr">
        <is>
          <t>9253c886-a3d6-47ef-ba92-2c8e2db5110c</t>
        </is>
      </c>
      <c r="D1025" t="inlineStr">
        <is>
          <t>30001087</t>
        </is>
      </c>
      <c r="E1025" t="inlineStr">
        <is>
          <t>ussd_funeral_leads_altitude_20260619</t>
        </is>
      </c>
      <c r="J1025" t="inlineStr">
        <is>
          <t>ADC</t>
        </is>
      </c>
      <c r="K1025" t="inlineStr">
        <is>
          <t>Auto Dial Disconnected</t>
        </is>
      </c>
      <c r="L1025" t="n">
        <v>3</v>
      </c>
      <c r="M1025" t="inlineStr">
        <is>
          <t>2026-06-23 14:18:08</t>
        </is>
      </c>
      <c r="N1025" t="inlineStr">
        <is>
          <t>system</t>
        </is>
      </c>
      <c r="O1025" t="inlineStr">
        <is>
          <t>2026-06-19 07:10:32</t>
        </is>
      </c>
      <c r="P1025" t="inlineStr">
        <is>
          <t>2026-06-19 07:10:32</t>
        </is>
      </c>
      <c r="Y1025" t="inlineStr">
        <is>
          <t>27724609115</t>
        </is>
      </c>
    </row>
    <row r="1026">
      <c r="A1026" t="inlineStr">
        <is>
          <t>14943893</t>
        </is>
      </c>
      <c r="B1026" t="inlineStr">
        <is>
          <t>08c1b114-e5c4-411a-a0c7-04a23ceedfa5</t>
        </is>
      </c>
      <c r="D1026" t="inlineStr">
        <is>
          <t>30001087</t>
        </is>
      </c>
      <c r="E1026" t="inlineStr">
        <is>
          <t>ussd_funeral_leads_altitude_20260619</t>
        </is>
      </c>
      <c r="J1026" t="inlineStr">
        <is>
          <t>ADC</t>
        </is>
      </c>
      <c r="K1026" t="inlineStr">
        <is>
          <t>Auto Dial Disconnected</t>
        </is>
      </c>
      <c r="L1026" t="n">
        <v>3</v>
      </c>
      <c r="M1026" t="inlineStr">
        <is>
          <t>2026-06-23 14:18:08</t>
        </is>
      </c>
      <c r="N1026" t="inlineStr">
        <is>
          <t>system</t>
        </is>
      </c>
      <c r="O1026" t="inlineStr">
        <is>
          <t>2026-06-19 07:10:32</t>
        </is>
      </c>
      <c r="P1026" t="inlineStr">
        <is>
          <t>2026-06-19 07:10:32</t>
        </is>
      </c>
      <c r="Y1026" t="inlineStr">
        <is>
          <t>27721611337</t>
        </is>
      </c>
    </row>
    <row r="1027">
      <c r="A1027" t="inlineStr">
        <is>
          <t>14943894</t>
        </is>
      </c>
      <c r="B1027" t="inlineStr">
        <is>
          <t>ebb5e3ff-8fa9-45f9-b6cb-0ef85e388e76</t>
        </is>
      </c>
      <c r="D1027" t="inlineStr">
        <is>
          <t>30001087</t>
        </is>
      </c>
      <c r="E1027" t="inlineStr">
        <is>
          <t>ussd_funeral_leads_altitude_20260619</t>
        </is>
      </c>
      <c r="J1027" t="inlineStr">
        <is>
          <t>AA</t>
        </is>
      </c>
      <c r="K1027" t="inlineStr">
        <is>
          <t>Answering Machine Autodial</t>
        </is>
      </c>
      <c r="L1027" t="n">
        <v>3</v>
      </c>
      <c r="M1027" t="inlineStr">
        <is>
          <t>2026-06-23 14:18:08</t>
        </is>
      </c>
      <c r="N1027" t="inlineStr">
        <is>
          <t>system</t>
        </is>
      </c>
      <c r="O1027" t="inlineStr">
        <is>
          <t>2026-06-19 07:10:32</t>
        </is>
      </c>
      <c r="P1027" t="inlineStr">
        <is>
          <t>2026-06-19 07:10:32</t>
        </is>
      </c>
      <c r="Y1027" t="inlineStr">
        <is>
          <t>27797217160</t>
        </is>
      </c>
    </row>
    <row r="1028">
      <c r="A1028" t="inlineStr">
        <is>
          <t>14943891</t>
        </is>
      </c>
      <c r="B1028" t="inlineStr">
        <is>
          <t>6bbe1c79-5b21-4c0a-a6fd-e84fd7957a5b</t>
        </is>
      </c>
      <c r="D1028" t="inlineStr">
        <is>
          <t>30001087</t>
        </is>
      </c>
      <c r="E1028" t="inlineStr">
        <is>
          <t>ussd_funeral_leads_altitude_20260619</t>
        </is>
      </c>
      <c r="J1028" t="inlineStr">
        <is>
          <t>ADC</t>
        </is>
      </c>
      <c r="K1028" t="inlineStr">
        <is>
          <t>Auto Dial Disconnected</t>
        </is>
      </c>
      <c r="L1028" t="n">
        <v>3</v>
      </c>
      <c r="M1028" t="inlineStr">
        <is>
          <t>2026-06-23 14:18:04</t>
        </is>
      </c>
      <c r="N1028" t="inlineStr">
        <is>
          <t>system</t>
        </is>
      </c>
      <c r="O1028" t="inlineStr">
        <is>
          <t>2026-06-19 07:10:32</t>
        </is>
      </c>
      <c r="P1028" t="inlineStr">
        <is>
          <t>2026-06-19 07:10:32</t>
        </is>
      </c>
      <c r="Y1028" t="inlineStr">
        <is>
          <t>27796750908</t>
        </is>
      </c>
    </row>
    <row r="1029">
      <c r="A1029" t="inlineStr">
        <is>
          <t>14943890</t>
        </is>
      </c>
      <c r="B1029" t="inlineStr">
        <is>
          <t>56cd33bb-cafd-4e04-a40a-8531a04c6198</t>
        </is>
      </c>
      <c r="D1029" t="inlineStr">
        <is>
          <t>30001087</t>
        </is>
      </c>
      <c r="E1029" t="inlineStr">
        <is>
          <t>ussd_funeral_leads_altitude_20260619</t>
        </is>
      </c>
      <c r="J1029" t="inlineStr">
        <is>
          <t>NA</t>
        </is>
      </c>
      <c r="K1029" t="inlineStr">
        <is>
          <t>No Answer Autodial</t>
        </is>
      </c>
      <c r="L1029" t="n">
        <v>3</v>
      </c>
      <c r="M1029" t="inlineStr">
        <is>
          <t>2026-06-23 14:17:26</t>
        </is>
      </c>
      <c r="N1029" t="inlineStr">
        <is>
          <t>system</t>
        </is>
      </c>
      <c r="O1029" t="inlineStr">
        <is>
          <t>2026-06-19 07:10:32</t>
        </is>
      </c>
      <c r="P1029" t="inlineStr">
        <is>
          <t>2026-06-19 07:10:32</t>
        </is>
      </c>
      <c r="Y1029" t="inlineStr">
        <is>
          <t>27772927113</t>
        </is>
      </c>
    </row>
    <row r="1030">
      <c r="A1030" t="inlineStr">
        <is>
          <t>14943889</t>
        </is>
      </c>
      <c r="B1030" t="inlineStr">
        <is>
          <t>8de0e714-0a95-43a5-a452-7556b08f6acd</t>
        </is>
      </c>
      <c r="D1030" t="inlineStr">
        <is>
          <t>30001087</t>
        </is>
      </c>
      <c r="E1030" t="inlineStr">
        <is>
          <t>ussd_funeral_leads_altitude_20260619</t>
        </is>
      </c>
      <c r="J1030" t="inlineStr">
        <is>
          <t>A</t>
        </is>
      </c>
      <c r="K1030" t="inlineStr">
        <is>
          <t>Answering Machine</t>
        </is>
      </c>
      <c r="L1030" t="n">
        <v>3</v>
      </c>
      <c r="M1030" t="inlineStr">
        <is>
          <t>2026-06-23 14:17:24</t>
        </is>
      </c>
      <c r="N1030" t="inlineStr">
        <is>
          <t>Lebohang Mabotja</t>
        </is>
      </c>
      <c r="O1030" t="inlineStr">
        <is>
          <t>2026-06-19 07:10:32</t>
        </is>
      </c>
      <c r="P1030" t="inlineStr">
        <is>
          <t>2026-06-19 07:10:32</t>
        </is>
      </c>
      <c r="Y1030" t="inlineStr">
        <is>
          <t>27607347510</t>
        </is>
      </c>
    </row>
    <row r="1031">
      <c r="A1031" t="inlineStr">
        <is>
          <t>14943888</t>
        </is>
      </c>
      <c r="B1031" t="inlineStr">
        <is>
          <t>62deae40-631e-4b4e-acf0-f034104394f3</t>
        </is>
      </c>
      <c r="D1031" t="inlineStr">
        <is>
          <t>30001087</t>
        </is>
      </c>
      <c r="E1031" t="inlineStr">
        <is>
          <t>ussd_funeral_leads_altitude_20260619</t>
        </is>
      </c>
      <c r="J1031" t="inlineStr">
        <is>
          <t>AA</t>
        </is>
      </c>
      <c r="K1031" t="inlineStr">
        <is>
          <t>Answering Machine Autodial</t>
        </is>
      </c>
      <c r="L1031" t="n">
        <v>3</v>
      </c>
      <c r="M1031" t="inlineStr">
        <is>
          <t>2026-06-23 14:17:23</t>
        </is>
      </c>
      <c r="N1031" t="inlineStr">
        <is>
          <t>system</t>
        </is>
      </c>
      <c r="O1031" t="inlineStr">
        <is>
          <t>2026-06-19 07:10:32</t>
        </is>
      </c>
      <c r="P1031" t="inlineStr">
        <is>
          <t>2026-06-19 07:10:32</t>
        </is>
      </c>
      <c r="Y1031" t="inlineStr">
        <is>
          <t>27606174008</t>
        </is>
      </c>
    </row>
    <row r="1032">
      <c r="A1032" t="inlineStr">
        <is>
          <t>14943974</t>
        </is>
      </c>
      <c r="B1032" t="inlineStr">
        <is>
          <t>830ec465-a8ab-4a71-a85d-9224371fb77d</t>
        </is>
      </c>
      <c r="D1032" t="inlineStr">
        <is>
          <t>30001087</t>
        </is>
      </c>
      <c r="E1032" t="inlineStr">
        <is>
          <t>ussd_funeral_leads_altitude_20260619</t>
        </is>
      </c>
      <c r="J1032" t="inlineStr">
        <is>
          <t>AA</t>
        </is>
      </c>
      <c r="K1032" t="inlineStr">
        <is>
          <t>Answering Machine Autodial</t>
        </is>
      </c>
      <c r="L1032" t="n">
        <v>3</v>
      </c>
      <c r="M1032" t="inlineStr">
        <is>
          <t>2026-06-23 14:17:18</t>
        </is>
      </c>
      <c r="N1032" t="inlineStr">
        <is>
          <t>system</t>
        </is>
      </c>
      <c r="O1032" t="inlineStr">
        <is>
          <t>2026-06-19 07:10:32</t>
        </is>
      </c>
      <c r="P1032" t="inlineStr">
        <is>
          <t>2026-06-19 07:10:32</t>
        </is>
      </c>
      <c r="Y1032" t="inlineStr">
        <is>
          <t>27790652251</t>
        </is>
      </c>
    </row>
    <row r="1033">
      <c r="A1033" t="inlineStr">
        <is>
          <t>14943886</t>
        </is>
      </c>
      <c r="B1033" t="inlineStr">
        <is>
          <t>ded5a61f-5baf-4d0f-8fa4-fc8e001774cf</t>
        </is>
      </c>
      <c r="D1033" t="inlineStr">
        <is>
          <t>30001087</t>
        </is>
      </c>
      <c r="E1033" t="inlineStr">
        <is>
          <t>ussd_funeral_leads_altitude_20260619</t>
        </is>
      </c>
      <c r="J1033" t="inlineStr">
        <is>
          <t>AA</t>
        </is>
      </c>
      <c r="K1033" t="inlineStr">
        <is>
          <t>Answering Machine Autodial</t>
        </is>
      </c>
      <c r="L1033" t="n">
        <v>3</v>
      </c>
      <c r="M1033" t="inlineStr">
        <is>
          <t>2026-06-23 14:17:18</t>
        </is>
      </c>
      <c r="N1033" t="inlineStr">
        <is>
          <t>system</t>
        </is>
      </c>
      <c r="O1033" t="inlineStr">
        <is>
          <t>2026-06-19 07:10:32</t>
        </is>
      </c>
      <c r="P1033" t="inlineStr">
        <is>
          <t>2026-06-19 07:10:32</t>
        </is>
      </c>
      <c r="Y1033" t="inlineStr">
        <is>
          <t>27727460332</t>
        </is>
      </c>
    </row>
    <row r="1034">
      <c r="A1034" t="inlineStr">
        <is>
          <t>14943887</t>
        </is>
      </c>
      <c r="B1034" t="inlineStr">
        <is>
          <t>246d5efc-9d5d-4cee-90ef-e521627ec030</t>
        </is>
      </c>
      <c r="D1034" t="inlineStr">
        <is>
          <t>30001087</t>
        </is>
      </c>
      <c r="E1034" t="inlineStr">
        <is>
          <t>ussd_funeral_leads_altitude_20260619</t>
        </is>
      </c>
      <c r="J1034" t="inlineStr">
        <is>
          <t>AA</t>
        </is>
      </c>
      <c r="K1034" t="inlineStr">
        <is>
          <t>Answering Machine Autodial</t>
        </is>
      </c>
      <c r="L1034" t="n">
        <v>3</v>
      </c>
      <c r="M1034" t="inlineStr">
        <is>
          <t>2026-06-23 14:17:17</t>
        </is>
      </c>
      <c r="N1034" t="inlineStr">
        <is>
          <t>system</t>
        </is>
      </c>
      <c r="O1034" t="inlineStr">
        <is>
          <t>2026-06-19 07:10:32</t>
        </is>
      </c>
      <c r="P1034" t="inlineStr">
        <is>
          <t>2026-06-19 07:10:32</t>
        </is>
      </c>
      <c r="Y1034" t="inlineStr">
        <is>
          <t>27767872130</t>
        </is>
      </c>
    </row>
    <row r="1035">
      <c r="A1035" t="inlineStr">
        <is>
          <t>14943882</t>
        </is>
      </c>
      <c r="B1035" t="inlineStr">
        <is>
          <t>4e1d0889-0e19-49e5-93d3-5bee8fb8ec22</t>
        </is>
      </c>
      <c r="D1035" t="inlineStr">
        <is>
          <t>30001087</t>
        </is>
      </c>
      <c r="E1035" t="inlineStr">
        <is>
          <t>ussd_funeral_leads_altitude_20260619</t>
        </is>
      </c>
      <c r="J1035" t="inlineStr">
        <is>
          <t>ADC</t>
        </is>
      </c>
      <c r="K1035" t="inlineStr">
        <is>
          <t>Auto Dial Disconnected</t>
        </is>
      </c>
      <c r="L1035" t="n">
        <v>3</v>
      </c>
      <c r="M1035" t="inlineStr">
        <is>
          <t>2026-06-23 14:16:59</t>
        </is>
      </c>
      <c r="N1035" t="inlineStr">
        <is>
          <t>system</t>
        </is>
      </c>
      <c r="O1035" t="inlineStr">
        <is>
          <t>2026-06-19 07:10:32</t>
        </is>
      </c>
      <c r="P1035" t="inlineStr">
        <is>
          <t>2026-06-19 07:10:32</t>
        </is>
      </c>
      <c r="Y1035" t="inlineStr">
        <is>
          <t>27728829962</t>
        </is>
      </c>
    </row>
    <row r="1036">
      <c r="A1036" t="inlineStr">
        <is>
          <t>14943884</t>
        </is>
      </c>
      <c r="B1036" t="inlineStr">
        <is>
          <t>954bcddd-88ba-4f63-b7c0-d2739f5bf8cd</t>
        </is>
      </c>
      <c r="D1036" t="inlineStr">
        <is>
          <t>30001087</t>
        </is>
      </c>
      <c r="E1036" t="inlineStr">
        <is>
          <t>ussd_funeral_leads_altitude_20260619</t>
        </is>
      </c>
      <c r="J1036" t="inlineStr">
        <is>
          <t>ADC</t>
        </is>
      </c>
      <c r="K1036" t="inlineStr">
        <is>
          <t>Auto Dial Disconnected</t>
        </is>
      </c>
      <c r="L1036" t="n">
        <v>3</v>
      </c>
      <c r="M1036" t="inlineStr">
        <is>
          <t>2026-06-23 14:16:59</t>
        </is>
      </c>
      <c r="N1036" t="inlineStr">
        <is>
          <t>system</t>
        </is>
      </c>
      <c r="O1036" t="inlineStr">
        <is>
          <t>2026-06-19 07:10:32</t>
        </is>
      </c>
      <c r="P1036" t="inlineStr">
        <is>
          <t>2026-06-19 07:10:32</t>
        </is>
      </c>
      <c r="Y1036" t="inlineStr">
        <is>
          <t>27665533719</t>
        </is>
      </c>
    </row>
    <row r="1037">
      <c r="A1037" t="inlineStr">
        <is>
          <t>14947849</t>
        </is>
      </c>
      <c r="B1037" t="inlineStr">
        <is>
          <t>82095be7-2cdc-4450-8a64-80d3d8f1e5b8</t>
        </is>
      </c>
      <c r="D1037" t="inlineStr">
        <is>
          <t>30001087</t>
        </is>
      </c>
      <c r="E1037" t="inlineStr">
        <is>
          <t>ussd_funeral_leads_altitude_20260619</t>
        </is>
      </c>
      <c r="J1037" t="inlineStr">
        <is>
          <t>AA</t>
        </is>
      </c>
      <c r="K1037" t="inlineStr">
        <is>
          <t>Answering Machine Autodial</t>
        </is>
      </c>
      <c r="L1037" t="n">
        <v>3</v>
      </c>
      <c r="M1037" t="inlineStr">
        <is>
          <t>2026-06-23 14:16:13</t>
        </is>
      </c>
      <c r="N1037" t="inlineStr">
        <is>
          <t>system</t>
        </is>
      </c>
      <c r="O1037" t="inlineStr">
        <is>
          <t>2026-06-19 07:10:32</t>
        </is>
      </c>
      <c r="P1037" t="inlineStr">
        <is>
          <t>2026-06-19 07:10:32</t>
        </is>
      </c>
      <c r="Y1037" t="inlineStr">
        <is>
          <t>27711486416</t>
        </is>
      </c>
    </row>
    <row r="1038">
      <c r="A1038" t="inlineStr">
        <is>
          <t>14947850</t>
        </is>
      </c>
      <c r="B1038" t="inlineStr">
        <is>
          <t>01e0e9c1-2602-489e-97ec-51a5d9afa4ef</t>
        </is>
      </c>
      <c r="D1038" t="inlineStr">
        <is>
          <t>30001087</t>
        </is>
      </c>
      <c r="E1038" t="inlineStr">
        <is>
          <t>ussd_funeral_leads_altitude_20260619</t>
        </is>
      </c>
      <c r="J1038" t="inlineStr">
        <is>
          <t>NA</t>
        </is>
      </c>
      <c r="K1038" t="inlineStr">
        <is>
          <t>No Answer Autodial</t>
        </is>
      </c>
      <c r="L1038" t="n">
        <v>3</v>
      </c>
      <c r="M1038" t="inlineStr">
        <is>
          <t>2026-06-23 14:16:12</t>
        </is>
      </c>
      <c r="N1038" t="inlineStr">
        <is>
          <t>system</t>
        </is>
      </c>
      <c r="O1038" t="inlineStr">
        <is>
          <t>2026-06-19 07:10:32</t>
        </is>
      </c>
      <c r="P1038" t="inlineStr">
        <is>
          <t>2026-06-19 07:10:32</t>
        </is>
      </c>
      <c r="Y1038" t="inlineStr">
        <is>
          <t>27726851433</t>
        </is>
      </c>
    </row>
    <row r="1039">
      <c r="A1039" t="inlineStr">
        <is>
          <t>14947851</t>
        </is>
      </c>
      <c r="B1039" t="inlineStr">
        <is>
          <t>6d83dfe3-9bef-4132-8266-4eb6705cf9c7</t>
        </is>
      </c>
      <c r="D1039" t="inlineStr">
        <is>
          <t>30001087</t>
        </is>
      </c>
      <c r="E1039" t="inlineStr">
        <is>
          <t>ussd_funeral_leads_altitude_20260619</t>
        </is>
      </c>
      <c r="J1039" t="inlineStr">
        <is>
          <t>AA</t>
        </is>
      </c>
      <c r="K1039" t="inlineStr">
        <is>
          <t>Answering Machine Autodial</t>
        </is>
      </c>
      <c r="L1039" t="n">
        <v>3</v>
      </c>
      <c r="M1039" t="inlineStr">
        <is>
          <t>2026-06-23 14:16:12</t>
        </is>
      </c>
      <c r="N1039" t="inlineStr">
        <is>
          <t>system</t>
        </is>
      </c>
      <c r="O1039" t="inlineStr">
        <is>
          <t>2026-06-19 07:10:32</t>
        </is>
      </c>
      <c r="P1039" t="inlineStr">
        <is>
          <t>2026-06-19 07:10:32</t>
        </is>
      </c>
      <c r="Y1039" t="inlineStr">
        <is>
          <t>27790808059</t>
        </is>
      </c>
    </row>
    <row r="1040">
      <c r="A1040" t="inlineStr">
        <is>
          <t>14947852</t>
        </is>
      </c>
      <c r="B1040" t="inlineStr">
        <is>
          <t>0d01634a-c8ab-47f6-957e-7fc308094862</t>
        </is>
      </c>
      <c r="D1040" t="inlineStr">
        <is>
          <t>30001087</t>
        </is>
      </c>
      <c r="E1040" t="inlineStr">
        <is>
          <t>ussd_funeral_leads_altitude_20260619</t>
        </is>
      </c>
      <c r="J1040" t="inlineStr">
        <is>
          <t>ADC</t>
        </is>
      </c>
      <c r="K1040" t="inlineStr">
        <is>
          <t>Auto Dial Disconnected</t>
        </is>
      </c>
      <c r="L1040" t="n">
        <v>3</v>
      </c>
      <c r="M1040" t="inlineStr">
        <is>
          <t>2026-06-23 14:16:12</t>
        </is>
      </c>
      <c r="N1040" t="inlineStr">
        <is>
          <t>system</t>
        </is>
      </c>
      <c r="O1040" t="inlineStr">
        <is>
          <t>2026-06-19 07:10:32</t>
        </is>
      </c>
      <c r="P1040" t="inlineStr">
        <is>
          <t>2026-06-19 07:10:32</t>
        </is>
      </c>
      <c r="Y1040" t="inlineStr">
        <is>
          <t>27647882504</t>
        </is>
      </c>
    </row>
    <row r="1041">
      <c r="A1041" t="inlineStr">
        <is>
          <t>14947853</t>
        </is>
      </c>
      <c r="B1041" t="inlineStr">
        <is>
          <t>889d168e-810b-4e78-9c55-6c639d9a89f6</t>
        </is>
      </c>
      <c r="D1041" t="inlineStr">
        <is>
          <t>30001087</t>
        </is>
      </c>
      <c r="E1041" t="inlineStr">
        <is>
          <t>ussd_funeral_leads_altitude_20260619</t>
        </is>
      </c>
      <c r="J1041" t="inlineStr">
        <is>
          <t>ADC</t>
        </is>
      </c>
      <c r="K1041" t="inlineStr">
        <is>
          <t>Auto Dial Disconnected</t>
        </is>
      </c>
      <c r="L1041" t="n">
        <v>3</v>
      </c>
      <c r="M1041" t="inlineStr">
        <is>
          <t>2026-06-23 14:16:12</t>
        </is>
      </c>
      <c r="N1041" t="inlineStr">
        <is>
          <t>system</t>
        </is>
      </c>
      <c r="O1041" t="inlineStr">
        <is>
          <t>2026-06-19 07:10:32</t>
        </is>
      </c>
      <c r="P1041" t="inlineStr">
        <is>
          <t>2026-06-19 07:10:32</t>
        </is>
      </c>
      <c r="Y1041" t="inlineStr">
        <is>
          <t>27664545932</t>
        </is>
      </c>
    </row>
    <row r="1042">
      <c r="A1042" t="inlineStr">
        <is>
          <t>14947854</t>
        </is>
      </c>
      <c r="B1042" t="inlineStr">
        <is>
          <t>cbc9f442-05e9-4209-a3d5-aea7763cfbe4</t>
        </is>
      </c>
      <c r="D1042" t="inlineStr">
        <is>
          <t>30001087</t>
        </is>
      </c>
      <c r="E1042" t="inlineStr">
        <is>
          <t>ussd_funeral_leads_altitude_20260619</t>
        </is>
      </c>
      <c r="J1042" t="inlineStr">
        <is>
          <t>AA</t>
        </is>
      </c>
      <c r="K1042" t="inlineStr">
        <is>
          <t>Answering Machine Autodial</t>
        </is>
      </c>
      <c r="L1042" t="n">
        <v>3</v>
      </c>
      <c r="M1042" t="inlineStr">
        <is>
          <t>2026-06-23 14:16:08</t>
        </is>
      </c>
      <c r="N1042" t="inlineStr">
        <is>
          <t>system</t>
        </is>
      </c>
      <c r="O1042" t="inlineStr">
        <is>
          <t>2026-06-19 07:10:32</t>
        </is>
      </c>
      <c r="P1042" t="inlineStr">
        <is>
          <t>2026-06-19 07:10:32</t>
        </is>
      </c>
      <c r="Y1042" t="inlineStr">
        <is>
          <t>27711830763</t>
        </is>
      </c>
    </row>
    <row r="1043">
      <c r="A1043" t="inlineStr">
        <is>
          <t>14900000</t>
        </is>
      </c>
      <c r="B1043" t="inlineStr">
        <is>
          <t>e600dec8-6aef-4152-b514-9e12141f9183</t>
        </is>
      </c>
      <c r="D1043" t="inlineStr">
        <is>
          <t>30001087</t>
        </is>
      </c>
      <c r="E1043" t="inlineStr">
        <is>
          <t>ussd_funeral_leads_altitude_20260619</t>
        </is>
      </c>
      <c r="H1043" t="inlineStr">
        <is>
          <t>27637242042</t>
        </is>
      </c>
      <c r="J1043" t="inlineStr">
        <is>
          <t>AA</t>
        </is>
      </c>
      <c r="K1043" t="inlineStr">
        <is>
          <t>Answering Machine Autodial</t>
        </is>
      </c>
      <c r="L1043" t="n">
        <v>3</v>
      </c>
      <c r="M1043" t="inlineStr">
        <is>
          <t>2026-06-23 14:16:08</t>
        </is>
      </c>
      <c r="N1043" t="inlineStr">
        <is>
          <t>system</t>
        </is>
      </c>
      <c r="O1043" t="inlineStr">
        <is>
          <t>2026-06-19 07:10:32</t>
        </is>
      </c>
      <c r="P1043" t="inlineStr">
        <is>
          <t>2026-06-19 07:10:32</t>
        </is>
      </c>
      <c r="Y1043" t="inlineStr">
        <is>
          <t>27637242042</t>
        </is>
      </c>
    </row>
    <row r="1044">
      <c r="A1044" t="inlineStr">
        <is>
          <t>14947856</t>
        </is>
      </c>
      <c r="B1044" t="inlineStr">
        <is>
          <t>9ce18017-40cf-4a5d-907a-51689345af8e</t>
        </is>
      </c>
      <c r="D1044" t="inlineStr">
        <is>
          <t>30001087</t>
        </is>
      </c>
      <c r="E1044" t="inlineStr">
        <is>
          <t>ussd_funeral_leads_altitude_20260619</t>
        </is>
      </c>
      <c r="J1044" t="inlineStr">
        <is>
          <t>AA</t>
        </is>
      </c>
      <c r="K1044" t="inlineStr">
        <is>
          <t>Answering Machine Autodial</t>
        </is>
      </c>
      <c r="L1044" t="n">
        <v>3</v>
      </c>
      <c r="M1044" t="inlineStr">
        <is>
          <t>2026-06-23 14:15:53</t>
        </is>
      </c>
      <c r="N1044" t="inlineStr">
        <is>
          <t>system</t>
        </is>
      </c>
      <c r="O1044" t="inlineStr">
        <is>
          <t>2026-06-19 07:10:32</t>
        </is>
      </c>
      <c r="P1044" t="inlineStr">
        <is>
          <t>2026-06-19 07:10:32</t>
        </is>
      </c>
      <c r="Y1044" t="inlineStr">
        <is>
          <t>27774810964</t>
        </is>
      </c>
    </row>
    <row r="1045">
      <c r="A1045" t="inlineStr">
        <is>
          <t>14947857</t>
        </is>
      </c>
      <c r="B1045" t="inlineStr">
        <is>
          <t>90dffa6a-39b2-49c8-b701-acc19d98e344</t>
        </is>
      </c>
      <c r="D1045" t="inlineStr">
        <is>
          <t>30001087</t>
        </is>
      </c>
      <c r="E1045" t="inlineStr">
        <is>
          <t>ussd_funeral_leads_altitude_20260619</t>
        </is>
      </c>
      <c r="J1045" t="inlineStr">
        <is>
          <t>LANG</t>
        </is>
      </c>
      <c r="K1045" t="inlineStr">
        <is>
          <t>Language Barrier</t>
        </is>
      </c>
      <c r="L1045" t="n">
        <v>3</v>
      </c>
      <c r="M1045" t="inlineStr">
        <is>
          <t>2026-06-23 14:15:53</t>
        </is>
      </c>
      <c r="N1045" t="inlineStr">
        <is>
          <t>Lebohang Mabotja</t>
        </is>
      </c>
      <c r="O1045" t="inlineStr">
        <is>
          <t>2026-06-19 07:10:32</t>
        </is>
      </c>
      <c r="P1045" t="inlineStr">
        <is>
          <t>2026-06-19 07:10:32</t>
        </is>
      </c>
      <c r="Y1045" t="inlineStr">
        <is>
          <t>27723494208</t>
        </is>
      </c>
    </row>
    <row r="1046">
      <c r="A1046" t="inlineStr">
        <is>
          <t>14947858</t>
        </is>
      </c>
      <c r="B1046" t="inlineStr">
        <is>
          <t>c2ef162c-719b-4bfa-a0a5-6b05d397d11a</t>
        </is>
      </c>
      <c r="D1046" t="inlineStr">
        <is>
          <t>30001087</t>
        </is>
      </c>
      <c r="E1046" t="inlineStr">
        <is>
          <t>ussd_funeral_leads_altitude_20260619</t>
        </is>
      </c>
      <c r="J1046" t="inlineStr">
        <is>
          <t>AA</t>
        </is>
      </c>
      <c r="K1046" t="inlineStr">
        <is>
          <t>Answering Machine Autodial</t>
        </is>
      </c>
      <c r="L1046" t="n">
        <v>3</v>
      </c>
      <c r="M1046" t="inlineStr">
        <is>
          <t>2026-06-23 14:15:51</t>
        </is>
      </c>
      <c r="N1046" t="inlineStr">
        <is>
          <t>system</t>
        </is>
      </c>
      <c r="O1046" t="inlineStr">
        <is>
          <t>2026-06-19 07:10:32</t>
        </is>
      </c>
      <c r="P1046" t="inlineStr">
        <is>
          <t>2026-06-19 07:10:32</t>
        </is>
      </c>
      <c r="Y1046" t="inlineStr">
        <is>
          <t>27665728182</t>
        </is>
      </c>
    </row>
    <row r="1047">
      <c r="A1047" t="inlineStr">
        <is>
          <t>14947859</t>
        </is>
      </c>
      <c r="B1047" t="inlineStr">
        <is>
          <t>134a090e-bd70-4e64-bc53-ddad70f7ab9f</t>
        </is>
      </c>
      <c r="D1047" t="inlineStr">
        <is>
          <t>30001087</t>
        </is>
      </c>
      <c r="E1047" t="inlineStr">
        <is>
          <t>ussd_funeral_leads_altitude_20260619</t>
        </is>
      </c>
      <c r="J1047" t="inlineStr">
        <is>
          <t>ADC</t>
        </is>
      </c>
      <c r="K1047" t="inlineStr">
        <is>
          <t>Auto Dial Disconnected</t>
        </is>
      </c>
      <c r="L1047" t="n">
        <v>3</v>
      </c>
      <c r="M1047" t="inlineStr">
        <is>
          <t>2026-06-23 14:15:51</t>
        </is>
      </c>
      <c r="N1047" t="inlineStr">
        <is>
          <t>system</t>
        </is>
      </c>
      <c r="O1047" t="inlineStr">
        <is>
          <t>2026-06-19 07:10:32</t>
        </is>
      </c>
      <c r="P1047" t="inlineStr">
        <is>
          <t>2026-06-19 07:10:32</t>
        </is>
      </c>
      <c r="Y1047" t="inlineStr">
        <is>
          <t>27722035273</t>
        </is>
      </c>
    </row>
    <row r="1048">
      <c r="A1048" t="inlineStr">
        <is>
          <t>14947860</t>
        </is>
      </c>
      <c r="B1048" t="inlineStr">
        <is>
          <t>8958110e-020f-4fe9-b577-9d32d1fb3736</t>
        </is>
      </c>
      <c r="D1048" t="inlineStr">
        <is>
          <t>30001087</t>
        </is>
      </c>
      <c r="E1048" t="inlineStr">
        <is>
          <t>ussd_funeral_leads_altitude_20260619</t>
        </is>
      </c>
      <c r="J1048" t="inlineStr">
        <is>
          <t>TDN</t>
        </is>
      </c>
      <c r="K1048" t="inlineStr">
        <is>
          <t>Temporary Disconnected Number</t>
        </is>
      </c>
      <c r="L1048" t="n">
        <v>3</v>
      </c>
      <c r="M1048" t="inlineStr">
        <is>
          <t>2026-06-23 14:15:51</t>
        </is>
      </c>
      <c r="N1048" t="inlineStr">
        <is>
          <t>system</t>
        </is>
      </c>
      <c r="O1048" t="inlineStr">
        <is>
          <t>2026-06-19 07:10:32</t>
        </is>
      </c>
      <c r="P1048" t="inlineStr">
        <is>
          <t>2026-06-19 07:10:32</t>
        </is>
      </c>
      <c r="Y1048" t="inlineStr">
        <is>
          <t>27729711103</t>
        </is>
      </c>
    </row>
    <row r="1049">
      <c r="A1049" t="inlineStr">
        <is>
          <t>14947862</t>
        </is>
      </c>
      <c r="B1049" t="inlineStr">
        <is>
          <t>0c5c726f-6dc6-45ca-85dd-488e72ca7f39</t>
        </is>
      </c>
      <c r="D1049" t="inlineStr">
        <is>
          <t>30001087</t>
        </is>
      </c>
      <c r="E1049" t="inlineStr">
        <is>
          <t>ussd_funeral_leads_altitude_20260619</t>
        </is>
      </c>
      <c r="J1049" t="inlineStr">
        <is>
          <t>ADC</t>
        </is>
      </c>
      <c r="K1049" t="inlineStr">
        <is>
          <t>Auto Dial Disconnected</t>
        </is>
      </c>
      <c r="L1049" t="n">
        <v>3</v>
      </c>
      <c r="M1049" t="inlineStr">
        <is>
          <t>2026-06-23 14:15:50</t>
        </is>
      </c>
      <c r="N1049" t="inlineStr">
        <is>
          <t>system</t>
        </is>
      </c>
      <c r="O1049" t="inlineStr">
        <is>
          <t>2026-06-19 07:10:32</t>
        </is>
      </c>
      <c r="P1049" t="inlineStr">
        <is>
          <t>2026-06-19 07:10:32</t>
        </is>
      </c>
      <c r="Y1049" t="inlineStr">
        <is>
          <t>27724044464</t>
        </is>
      </c>
    </row>
    <row r="1050">
      <c r="A1050" t="inlineStr">
        <is>
          <t>14947863</t>
        </is>
      </c>
      <c r="B1050" t="inlineStr">
        <is>
          <t>4169a930-75c0-4a8a-b61f-b574aef4e41d</t>
        </is>
      </c>
      <c r="D1050" t="inlineStr">
        <is>
          <t>30001087</t>
        </is>
      </c>
      <c r="E1050" t="inlineStr">
        <is>
          <t>ussd_funeral_leads_altitude_20260619</t>
        </is>
      </c>
      <c r="J1050" t="inlineStr">
        <is>
          <t>CU</t>
        </is>
      </c>
      <c r="K1050" t="inlineStr">
        <is>
          <t>Client Hung Up</t>
        </is>
      </c>
      <c r="L1050" t="n">
        <v>3</v>
      </c>
      <c r="M1050" t="inlineStr">
        <is>
          <t>2026-06-23 14:15:50</t>
        </is>
      </c>
      <c r="N1050" t="inlineStr">
        <is>
          <t>Virginia Letsatsi</t>
        </is>
      </c>
      <c r="O1050" t="inlineStr">
        <is>
          <t>2026-06-19 07:10:32</t>
        </is>
      </c>
      <c r="P1050" t="inlineStr">
        <is>
          <t>2026-06-19 07:10:32</t>
        </is>
      </c>
      <c r="Y1050" t="inlineStr">
        <is>
          <t>27724797203</t>
        </is>
      </c>
    </row>
    <row r="1051">
      <c r="A1051" t="inlineStr">
        <is>
          <t>14947861</t>
        </is>
      </c>
      <c r="B1051" t="inlineStr">
        <is>
          <t>0852618c-29fc-44b7-8c3e-f4ad2657b91e</t>
        </is>
      </c>
      <c r="D1051" t="inlineStr">
        <is>
          <t>30001087</t>
        </is>
      </c>
      <c r="E1051" t="inlineStr">
        <is>
          <t>ussd_funeral_leads_altitude_20260619</t>
        </is>
      </c>
      <c r="J1051" t="inlineStr">
        <is>
          <t>NA</t>
        </is>
      </c>
      <c r="K1051" t="inlineStr">
        <is>
          <t>No Answer Autodial</t>
        </is>
      </c>
      <c r="L1051" t="n">
        <v>3</v>
      </c>
      <c r="M1051" t="inlineStr">
        <is>
          <t>2026-06-23 14:15:49</t>
        </is>
      </c>
      <c r="N1051" t="inlineStr">
        <is>
          <t>system</t>
        </is>
      </c>
      <c r="O1051" t="inlineStr">
        <is>
          <t>2026-06-19 07:10:32</t>
        </is>
      </c>
      <c r="P1051" t="inlineStr">
        <is>
          <t>2026-06-19 07:10:32</t>
        </is>
      </c>
      <c r="Y1051" t="inlineStr">
        <is>
          <t>27824026638</t>
        </is>
      </c>
    </row>
    <row r="1052">
      <c r="A1052" t="inlineStr">
        <is>
          <t>14947864</t>
        </is>
      </c>
      <c r="B1052" t="inlineStr">
        <is>
          <t>4114e099-b337-4ce4-9cc5-35928c53c50e</t>
        </is>
      </c>
      <c r="D1052" t="inlineStr">
        <is>
          <t>30001087</t>
        </is>
      </c>
      <c r="E1052" t="inlineStr">
        <is>
          <t>ussd_funeral_leads_altitude_20260619</t>
        </is>
      </c>
      <c r="J1052" t="inlineStr">
        <is>
          <t>AA</t>
        </is>
      </c>
      <c r="K1052" t="inlineStr">
        <is>
          <t>Answering Machine Autodial</t>
        </is>
      </c>
      <c r="L1052" t="n">
        <v>3</v>
      </c>
      <c r="M1052" t="inlineStr">
        <is>
          <t>2026-06-23 14:15:48</t>
        </is>
      </c>
      <c r="N1052" t="inlineStr">
        <is>
          <t>system</t>
        </is>
      </c>
      <c r="O1052" t="inlineStr">
        <is>
          <t>2026-06-19 07:10:32</t>
        </is>
      </c>
      <c r="P1052" t="inlineStr">
        <is>
          <t>2026-06-19 07:10:32</t>
        </is>
      </c>
      <c r="Y1052" t="inlineStr">
        <is>
          <t>27774861203</t>
        </is>
      </c>
    </row>
    <row r="1053">
      <c r="A1053" t="inlineStr">
        <is>
          <t>14947865</t>
        </is>
      </c>
      <c r="B1053" t="inlineStr">
        <is>
          <t>e8de0d8f-4ec9-4896-af78-ff0de9db281a</t>
        </is>
      </c>
      <c r="D1053" t="inlineStr">
        <is>
          <t>30001087</t>
        </is>
      </c>
      <c r="E1053" t="inlineStr">
        <is>
          <t>ussd_funeral_leads_altitude_20260619</t>
        </is>
      </c>
      <c r="J1053" t="inlineStr">
        <is>
          <t>ADC</t>
        </is>
      </c>
      <c r="K1053" t="inlineStr">
        <is>
          <t>Auto Dial Disconnected</t>
        </is>
      </c>
      <c r="L1053" t="n">
        <v>3</v>
      </c>
      <c r="M1053" t="inlineStr">
        <is>
          <t>2026-06-23 14:15:48</t>
        </is>
      </c>
      <c r="N1053" t="inlineStr">
        <is>
          <t>system</t>
        </is>
      </c>
      <c r="O1053" t="inlineStr">
        <is>
          <t>2026-06-19 07:10:32</t>
        </is>
      </c>
      <c r="P1053" t="inlineStr">
        <is>
          <t>2026-06-19 07:10:32</t>
        </is>
      </c>
      <c r="Y1053" t="inlineStr">
        <is>
          <t>27648767376</t>
        </is>
      </c>
    </row>
    <row r="1054">
      <c r="A1054" t="inlineStr">
        <is>
          <t>14947866</t>
        </is>
      </c>
      <c r="B1054" t="inlineStr">
        <is>
          <t>96e16aa7-376b-48f0-b9ff-da6619c225f6</t>
        </is>
      </c>
      <c r="D1054" t="inlineStr">
        <is>
          <t>30001087</t>
        </is>
      </c>
      <c r="E1054" t="inlineStr">
        <is>
          <t>ussd_funeral_leads_altitude_20260619</t>
        </is>
      </c>
      <c r="J1054" t="inlineStr">
        <is>
          <t>AA</t>
        </is>
      </c>
      <c r="K1054" t="inlineStr">
        <is>
          <t>Answering Machine Autodial</t>
        </is>
      </c>
      <c r="L1054" t="n">
        <v>3</v>
      </c>
      <c r="M1054" t="inlineStr">
        <is>
          <t>2026-06-23 14:15:48</t>
        </is>
      </c>
      <c r="N1054" t="inlineStr">
        <is>
          <t>system</t>
        </is>
      </c>
      <c r="O1054" t="inlineStr">
        <is>
          <t>2026-06-19 07:10:32</t>
        </is>
      </c>
      <c r="P1054" t="inlineStr">
        <is>
          <t>2026-06-19 07:10:32</t>
        </is>
      </c>
      <c r="Y1054" t="inlineStr">
        <is>
          <t>27713097238</t>
        </is>
      </c>
    </row>
    <row r="1055">
      <c r="A1055" t="inlineStr">
        <is>
          <t>14947867</t>
        </is>
      </c>
      <c r="B1055" t="inlineStr">
        <is>
          <t>4d057646-1943-4894-9313-1a822be97652</t>
        </is>
      </c>
      <c r="D1055" t="inlineStr">
        <is>
          <t>30001087</t>
        </is>
      </c>
      <c r="E1055" t="inlineStr">
        <is>
          <t>ussd_funeral_leads_altitude_20260619</t>
        </is>
      </c>
      <c r="J1055" t="inlineStr">
        <is>
          <t>ADC</t>
        </is>
      </c>
      <c r="K1055" t="inlineStr">
        <is>
          <t>Auto Dial Disconnected</t>
        </is>
      </c>
      <c r="L1055" t="n">
        <v>3</v>
      </c>
      <c r="M1055" t="inlineStr">
        <is>
          <t>2026-06-23 14:15:47</t>
        </is>
      </c>
      <c r="N1055" t="inlineStr">
        <is>
          <t>system</t>
        </is>
      </c>
      <c r="O1055" t="inlineStr">
        <is>
          <t>2026-06-19 07:10:32</t>
        </is>
      </c>
      <c r="P1055" t="inlineStr">
        <is>
          <t>2026-06-19 07:10:32</t>
        </is>
      </c>
      <c r="Y1055" t="inlineStr">
        <is>
          <t>27673244197</t>
        </is>
      </c>
    </row>
    <row r="1056">
      <c r="A1056" t="inlineStr">
        <is>
          <t>14947868</t>
        </is>
      </c>
      <c r="B1056" t="inlineStr">
        <is>
          <t>cc87510b-ec7e-43f5-9843-77eb1fac4a8b</t>
        </is>
      </c>
      <c r="D1056" t="inlineStr">
        <is>
          <t>30001087</t>
        </is>
      </c>
      <c r="E1056" t="inlineStr">
        <is>
          <t>ussd_funeral_leads_altitude_20260619</t>
        </is>
      </c>
      <c r="J1056" t="inlineStr">
        <is>
          <t>NA</t>
        </is>
      </c>
      <c r="K1056" t="inlineStr">
        <is>
          <t>No Answer Autodial</t>
        </is>
      </c>
      <c r="L1056" t="n">
        <v>3</v>
      </c>
      <c r="M1056" t="inlineStr">
        <is>
          <t>2026-06-23 14:15:43</t>
        </is>
      </c>
      <c r="N1056" t="inlineStr">
        <is>
          <t>system</t>
        </is>
      </c>
      <c r="O1056" t="inlineStr">
        <is>
          <t>2026-06-19 07:10:32</t>
        </is>
      </c>
      <c r="P1056" t="inlineStr">
        <is>
          <t>2026-06-19 07:10:32</t>
        </is>
      </c>
      <c r="Y1056" t="inlineStr">
        <is>
          <t>27729400952</t>
        </is>
      </c>
    </row>
    <row r="1057">
      <c r="A1057" t="inlineStr">
        <is>
          <t>14900000</t>
        </is>
      </c>
      <c r="B1057" t="inlineStr">
        <is>
          <t>e48154bf-fa36-4096-9961-0e2e2c19335f</t>
        </is>
      </c>
      <c r="D1057" t="inlineStr">
        <is>
          <t>30001087</t>
        </is>
      </c>
      <c r="E1057" t="inlineStr">
        <is>
          <t>ussd_funeral_leads_altitude_20260619</t>
        </is>
      </c>
      <c r="J1057" t="inlineStr">
        <is>
          <t>AA</t>
        </is>
      </c>
      <c r="K1057" t="inlineStr">
        <is>
          <t>Answering Machine Autodial</t>
        </is>
      </c>
      <c r="L1057" t="n">
        <v>3</v>
      </c>
      <c r="M1057" t="inlineStr">
        <is>
          <t>2026-06-23 14:15:43</t>
        </is>
      </c>
      <c r="N1057" t="inlineStr">
        <is>
          <t>system</t>
        </is>
      </c>
      <c r="O1057" t="inlineStr">
        <is>
          <t>2026-06-19 07:10:32</t>
        </is>
      </c>
      <c r="P1057" t="inlineStr">
        <is>
          <t>2026-06-19 07:10:32</t>
        </is>
      </c>
      <c r="Y1057" t="inlineStr">
        <is>
          <t>27675351411</t>
        </is>
      </c>
    </row>
    <row r="1058">
      <c r="A1058" t="inlineStr">
        <is>
          <t>14947870</t>
        </is>
      </c>
      <c r="B1058" t="inlineStr">
        <is>
          <t>b300b99c-c837-4a6e-bfc8-f93a56bfc6c4</t>
        </is>
      </c>
      <c r="D1058" t="inlineStr">
        <is>
          <t>30001087</t>
        </is>
      </c>
      <c r="E1058" t="inlineStr">
        <is>
          <t>ussd_funeral_leads_altitude_20260619</t>
        </is>
      </c>
      <c r="J1058" t="inlineStr">
        <is>
          <t>AA</t>
        </is>
      </c>
      <c r="K1058" t="inlineStr">
        <is>
          <t>Answering Machine Autodial</t>
        </is>
      </c>
      <c r="L1058" t="n">
        <v>3</v>
      </c>
      <c r="M1058" t="inlineStr">
        <is>
          <t>2026-06-23 14:15:43</t>
        </is>
      </c>
      <c r="N1058" t="inlineStr">
        <is>
          <t>system</t>
        </is>
      </c>
      <c r="O1058" t="inlineStr">
        <is>
          <t>2026-06-19 07:10:32</t>
        </is>
      </c>
      <c r="P1058" t="inlineStr">
        <is>
          <t>2026-06-19 07:10:32</t>
        </is>
      </c>
      <c r="Y1058" t="inlineStr">
        <is>
          <t>27711361222</t>
        </is>
      </c>
    </row>
    <row r="1059">
      <c r="A1059" t="inlineStr">
        <is>
          <t>14947871</t>
        </is>
      </c>
      <c r="B1059" t="inlineStr">
        <is>
          <t>a847ccc5-fec1-43b6-80aa-a769d9c22763</t>
        </is>
      </c>
      <c r="D1059" t="inlineStr">
        <is>
          <t>30001087</t>
        </is>
      </c>
      <c r="E1059" t="inlineStr">
        <is>
          <t>ussd_funeral_leads_altitude_20260619</t>
        </is>
      </c>
      <c r="J1059" t="inlineStr">
        <is>
          <t>AA</t>
        </is>
      </c>
      <c r="K1059" t="inlineStr">
        <is>
          <t>Answering Machine Autodial</t>
        </is>
      </c>
      <c r="L1059" t="n">
        <v>3</v>
      </c>
      <c r="M1059" t="inlineStr">
        <is>
          <t>2026-06-23 14:15:43</t>
        </is>
      </c>
      <c r="N1059" t="inlineStr">
        <is>
          <t>system</t>
        </is>
      </c>
      <c r="O1059" t="inlineStr">
        <is>
          <t>2026-06-19 07:10:32</t>
        </is>
      </c>
      <c r="P1059" t="inlineStr">
        <is>
          <t>2026-06-19 07:10:32</t>
        </is>
      </c>
      <c r="Y1059" t="inlineStr">
        <is>
          <t>27796225270</t>
        </is>
      </c>
    </row>
    <row r="1060">
      <c r="A1060" t="inlineStr">
        <is>
          <t>14947875</t>
        </is>
      </c>
      <c r="B1060" t="inlineStr">
        <is>
          <t>ba6f23f2-798b-4793-9928-e84197459d11</t>
        </is>
      </c>
      <c r="D1060" t="inlineStr">
        <is>
          <t>30001087</t>
        </is>
      </c>
      <c r="E1060" t="inlineStr">
        <is>
          <t>ussd_funeral_leads_altitude_20260619</t>
        </is>
      </c>
      <c r="J1060" t="inlineStr">
        <is>
          <t>AA</t>
        </is>
      </c>
      <c r="K1060" t="inlineStr">
        <is>
          <t>Answering Machine Autodial</t>
        </is>
      </c>
      <c r="L1060" t="n">
        <v>3</v>
      </c>
      <c r="M1060" t="inlineStr">
        <is>
          <t>2026-06-23 14:15:41</t>
        </is>
      </c>
      <c r="N1060" t="inlineStr">
        <is>
          <t>system</t>
        </is>
      </c>
      <c r="O1060" t="inlineStr">
        <is>
          <t>2026-06-19 07:10:32</t>
        </is>
      </c>
      <c r="P1060" t="inlineStr">
        <is>
          <t>2026-06-19 07:10:32</t>
        </is>
      </c>
      <c r="Y1060" t="inlineStr">
        <is>
          <t>27606794006</t>
        </is>
      </c>
    </row>
    <row r="1061">
      <c r="A1061" t="inlineStr">
        <is>
          <t>14947872</t>
        </is>
      </c>
      <c r="B1061" t="inlineStr">
        <is>
          <t>75d52a12-2aca-4c3c-a5bb-dff6dd8214a6</t>
        </is>
      </c>
      <c r="D1061" t="inlineStr">
        <is>
          <t>30001087</t>
        </is>
      </c>
      <c r="E1061" t="inlineStr">
        <is>
          <t>ussd_funeral_leads_altitude_20260619</t>
        </is>
      </c>
      <c r="J1061" t="inlineStr">
        <is>
          <t>AA</t>
        </is>
      </c>
      <c r="K1061" t="inlineStr">
        <is>
          <t>Answering Machine Autodial</t>
        </is>
      </c>
      <c r="L1061" t="n">
        <v>3</v>
      </c>
      <c r="M1061" t="inlineStr">
        <is>
          <t>2026-06-23 14:15:41</t>
        </is>
      </c>
      <c r="N1061" t="inlineStr">
        <is>
          <t>system</t>
        </is>
      </c>
      <c r="O1061" t="inlineStr">
        <is>
          <t>2026-06-19 07:10:32</t>
        </is>
      </c>
      <c r="P1061" t="inlineStr">
        <is>
          <t>2026-06-19 07:10:32</t>
        </is>
      </c>
      <c r="Y1061" t="inlineStr">
        <is>
          <t>27711431838</t>
        </is>
      </c>
    </row>
    <row r="1062">
      <c r="A1062" t="inlineStr">
        <is>
          <t>14947873</t>
        </is>
      </c>
      <c r="B1062" t="inlineStr">
        <is>
          <t>f3d085d2-0f7c-4548-bb6a-c0af94ab9a06</t>
        </is>
      </c>
      <c r="D1062" t="inlineStr">
        <is>
          <t>30001087</t>
        </is>
      </c>
      <c r="E1062" t="inlineStr">
        <is>
          <t>ussd_funeral_leads_altitude_20260619</t>
        </is>
      </c>
      <c r="J1062" t="inlineStr">
        <is>
          <t>ADC</t>
        </is>
      </c>
      <c r="K1062" t="inlineStr">
        <is>
          <t>Auto Dial Disconnected</t>
        </is>
      </c>
      <c r="L1062" t="n">
        <v>3</v>
      </c>
      <c r="M1062" t="inlineStr">
        <is>
          <t>2026-06-23 14:15:41</t>
        </is>
      </c>
      <c r="N1062" t="inlineStr">
        <is>
          <t>system</t>
        </is>
      </c>
      <c r="O1062" t="inlineStr">
        <is>
          <t>2026-06-19 07:10:32</t>
        </is>
      </c>
      <c r="P1062" t="inlineStr">
        <is>
          <t>2026-06-19 07:10:32</t>
        </is>
      </c>
      <c r="Y1062" t="inlineStr">
        <is>
          <t>27664429888</t>
        </is>
      </c>
    </row>
    <row r="1063">
      <c r="A1063" t="inlineStr">
        <is>
          <t>14947874</t>
        </is>
      </c>
      <c r="B1063" t="inlineStr">
        <is>
          <t>44c80c94-c826-43a3-ad72-ce2c4454f880</t>
        </is>
      </c>
      <c r="D1063" t="inlineStr">
        <is>
          <t>30001087</t>
        </is>
      </c>
      <c r="E1063" t="inlineStr">
        <is>
          <t>ussd_funeral_leads_altitude_20260619</t>
        </is>
      </c>
      <c r="J1063" t="inlineStr">
        <is>
          <t>ADC</t>
        </is>
      </c>
      <c r="K1063" t="inlineStr">
        <is>
          <t>Auto Dial Disconnected</t>
        </is>
      </c>
      <c r="L1063" t="n">
        <v>3</v>
      </c>
      <c r="M1063" t="inlineStr">
        <is>
          <t>2026-06-23 14:15:41</t>
        </is>
      </c>
      <c r="N1063" t="inlineStr">
        <is>
          <t>system</t>
        </is>
      </c>
      <c r="O1063" t="inlineStr">
        <is>
          <t>2026-06-19 07:10:32</t>
        </is>
      </c>
      <c r="P1063" t="inlineStr">
        <is>
          <t>2026-06-19 07:10:32</t>
        </is>
      </c>
      <c r="Y1063" t="inlineStr">
        <is>
          <t>27769484579</t>
        </is>
      </c>
    </row>
    <row r="1064">
      <c r="A1064" t="inlineStr">
        <is>
          <t>14947876</t>
        </is>
      </c>
      <c r="B1064" t="inlineStr">
        <is>
          <t>e260b2cb-7030-4c65-b9c6-001c2b612d59</t>
        </is>
      </c>
      <c r="D1064" t="inlineStr">
        <is>
          <t>30001087</t>
        </is>
      </c>
      <c r="E1064" t="inlineStr">
        <is>
          <t>ussd_funeral_leads_altitude_20260619</t>
        </is>
      </c>
      <c r="J1064" t="inlineStr">
        <is>
          <t>TDN</t>
        </is>
      </c>
      <c r="K1064" t="inlineStr">
        <is>
          <t>Temporary Disconnected Number</t>
        </is>
      </c>
      <c r="L1064" t="n">
        <v>3</v>
      </c>
      <c r="M1064" t="inlineStr">
        <is>
          <t>2026-06-23 14:15:39</t>
        </is>
      </c>
      <c r="N1064" t="inlineStr">
        <is>
          <t>system</t>
        </is>
      </c>
      <c r="O1064" t="inlineStr">
        <is>
          <t>2026-06-19 07:10:32</t>
        </is>
      </c>
      <c r="P1064" t="inlineStr">
        <is>
          <t>2026-06-19 07:10:32</t>
        </is>
      </c>
      <c r="Y1064" t="inlineStr">
        <is>
          <t>27714517531</t>
        </is>
      </c>
    </row>
    <row r="1065">
      <c r="A1065" t="inlineStr">
        <is>
          <t>14947877</t>
        </is>
      </c>
      <c r="B1065" t="inlineStr">
        <is>
          <t>f23d2047-f078-4280-876d-91b91e6b9076</t>
        </is>
      </c>
      <c r="D1065" t="inlineStr">
        <is>
          <t>30001087</t>
        </is>
      </c>
      <c r="E1065" t="inlineStr">
        <is>
          <t>ussd_funeral_leads_altitude_20260619</t>
        </is>
      </c>
      <c r="J1065" t="inlineStr">
        <is>
          <t>AA</t>
        </is>
      </c>
      <c r="K1065" t="inlineStr">
        <is>
          <t>Answering Machine Autodial</t>
        </is>
      </c>
      <c r="L1065" t="n">
        <v>3</v>
      </c>
      <c r="M1065" t="inlineStr">
        <is>
          <t>2026-06-23 14:15:38</t>
        </is>
      </c>
      <c r="N1065" t="inlineStr">
        <is>
          <t>system</t>
        </is>
      </c>
      <c r="O1065" t="inlineStr">
        <is>
          <t>2026-06-19 07:10:32</t>
        </is>
      </c>
      <c r="P1065" t="inlineStr">
        <is>
          <t>2026-06-19 07:10:32</t>
        </is>
      </c>
      <c r="Y1065" t="inlineStr">
        <is>
          <t>27713683554</t>
        </is>
      </c>
    </row>
    <row r="1066">
      <c r="A1066" t="inlineStr">
        <is>
          <t>14947878</t>
        </is>
      </c>
      <c r="B1066" t="inlineStr">
        <is>
          <t>71f7b71f-adb5-4162-a487-e107b4940365</t>
        </is>
      </c>
      <c r="D1066" t="inlineStr">
        <is>
          <t>30001087</t>
        </is>
      </c>
      <c r="E1066" t="inlineStr">
        <is>
          <t>ussd_funeral_leads_altitude_20260619</t>
        </is>
      </c>
      <c r="J1066" t="inlineStr">
        <is>
          <t>ADC</t>
        </is>
      </c>
      <c r="K1066" t="inlineStr">
        <is>
          <t>Auto Dial Disconnected</t>
        </is>
      </c>
      <c r="L1066" t="n">
        <v>3</v>
      </c>
      <c r="M1066" t="inlineStr">
        <is>
          <t>2026-06-23 14:15:37</t>
        </is>
      </c>
      <c r="N1066" t="inlineStr">
        <is>
          <t>system</t>
        </is>
      </c>
      <c r="O1066" t="inlineStr">
        <is>
          <t>2026-06-19 07:10:32</t>
        </is>
      </c>
      <c r="P1066" t="inlineStr">
        <is>
          <t>2026-06-19 07:10:32</t>
        </is>
      </c>
      <c r="Y1066" t="inlineStr">
        <is>
          <t>27720983889</t>
        </is>
      </c>
    </row>
    <row r="1067">
      <c r="A1067" t="inlineStr">
        <is>
          <t>14947879</t>
        </is>
      </c>
      <c r="B1067" t="inlineStr">
        <is>
          <t>b0f2d092-1fcd-4d5d-9eb0-4bccca42003d</t>
        </is>
      </c>
      <c r="D1067" t="inlineStr">
        <is>
          <t>30001087</t>
        </is>
      </c>
      <c r="E1067" t="inlineStr">
        <is>
          <t>ussd_funeral_leads_altitude_20260619</t>
        </is>
      </c>
      <c r="J1067" t="inlineStr">
        <is>
          <t>AA</t>
        </is>
      </c>
      <c r="K1067" t="inlineStr">
        <is>
          <t>Answering Machine Autodial</t>
        </is>
      </c>
      <c r="L1067" t="n">
        <v>3</v>
      </c>
      <c r="M1067" t="inlineStr">
        <is>
          <t>2026-06-23 14:15:36</t>
        </is>
      </c>
      <c r="N1067" t="inlineStr">
        <is>
          <t>system</t>
        </is>
      </c>
      <c r="O1067" t="inlineStr">
        <is>
          <t>2026-06-19 07:10:32</t>
        </is>
      </c>
      <c r="P1067" t="inlineStr">
        <is>
          <t>2026-06-19 07:10:32</t>
        </is>
      </c>
      <c r="Y1067" t="inlineStr">
        <is>
          <t>27796067525</t>
        </is>
      </c>
    </row>
    <row r="1068">
      <c r="A1068" t="inlineStr">
        <is>
          <t>14947880</t>
        </is>
      </c>
      <c r="B1068" t="inlineStr">
        <is>
          <t>992f0424-0b96-4a8c-9484-938a119d611a</t>
        </is>
      </c>
      <c r="D1068" t="inlineStr">
        <is>
          <t>30001087</t>
        </is>
      </c>
      <c r="E1068" t="inlineStr">
        <is>
          <t>ussd_funeral_leads_altitude_20260619</t>
        </is>
      </c>
      <c r="J1068" t="inlineStr">
        <is>
          <t>AA</t>
        </is>
      </c>
      <c r="K1068" t="inlineStr">
        <is>
          <t>Answering Machine Autodial</t>
        </is>
      </c>
      <c r="L1068" t="n">
        <v>3</v>
      </c>
      <c r="M1068" t="inlineStr">
        <is>
          <t>2026-06-23 14:15:36</t>
        </is>
      </c>
      <c r="N1068" t="inlineStr">
        <is>
          <t>system</t>
        </is>
      </c>
      <c r="O1068" t="inlineStr">
        <is>
          <t>2026-06-19 07:10:32</t>
        </is>
      </c>
      <c r="P1068" t="inlineStr">
        <is>
          <t>2026-06-19 07:10:32</t>
        </is>
      </c>
      <c r="Y1068" t="inlineStr">
        <is>
          <t>27660259886</t>
        </is>
      </c>
    </row>
    <row r="1069">
      <c r="A1069" t="inlineStr">
        <is>
          <t>14947881</t>
        </is>
      </c>
      <c r="B1069" t="inlineStr">
        <is>
          <t>62c3d9ef-4ed6-4d69-8bea-aa7b4d51952e</t>
        </is>
      </c>
      <c r="D1069" t="inlineStr">
        <is>
          <t>30001087</t>
        </is>
      </c>
      <c r="E1069" t="inlineStr">
        <is>
          <t>ussd_funeral_leads_altitude_20260619</t>
        </is>
      </c>
      <c r="J1069" t="inlineStr">
        <is>
          <t>AA</t>
        </is>
      </c>
      <c r="K1069" t="inlineStr">
        <is>
          <t>Answering Machine Autodial</t>
        </is>
      </c>
      <c r="L1069" t="n">
        <v>3</v>
      </c>
      <c r="M1069" t="inlineStr">
        <is>
          <t>2026-06-23 14:15:36</t>
        </is>
      </c>
      <c r="N1069" t="inlineStr">
        <is>
          <t>system</t>
        </is>
      </c>
      <c r="O1069" t="inlineStr">
        <is>
          <t>2026-06-19 07:10:32</t>
        </is>
      </c>
      <c r="P1069" t="inlineStr">
        <is>
          <t>2026-06-19 07:10:32</t>
        </is>
      </c>
      <c r="Y1069" t="inlineStr">
        <is>
          <t>27714914171</t>
        </is>
      </c>
    </row>
    <row r="1070">
      <c r="A1070" t="inlineStr">
        <is>
          <t>14947883</t>
        </is>
      </c>
      <c r="B1070" t="inlineStr">
        <is>
          <t>9965f4db-1657-470c-a6a4-540f3c8cf14d</t>
        </is>
      </c>
      <c r="D1070" t="inlineStr">
        <is>
          <t>30001087</t>
        </is>
      </c>
      <c r="E1070" t="inlineStr">
        <is>
          <t>ussd_funeral_leads_altitude_20260619</t>
        </is>
      </c>
      <c r="J1070" t="inlineStr">
        <is>
          <t>AA</t>
        </is>
      </c>
      <c r="K1070" t="inlineStr">
        <is>
          <t>Answering Machine Autodial</t>
        </is>
      </c>
      <c r="L1070" t="n">
        <v>3</v>
      </c>
      <c r="M1070" t="inlineStr">
        <is>
          <t>2026-06-23 14:15:35</t>
        </is>
      </c>
      <c r="N1070" t="inlineStr">
        <is>
          <t>system</t>
        </is>
      </c>
      <c r="O1070" t="inlineStr">
        <is>
          <t>2026-06-19 07:10:32</t>
        </is>
      </c>
      <c r="P1070" t="inlineStr">
        <is>
          <t>2026-06-19 07:10:32</t>
        </is>
      </c>
      <c r="Y1070" t="inlineStr">
        <is>
          <t>27674866383</t>
        </is>
      </c>
    </row>
    <row r="1071">
      <c r="A1071" t="inlineStr">
        <is>
          <t>14947884</t>
        </is>
      </c>
      <c r="B1071" t="inlineStr">
        <is>
          <t>db089c25-bb11-462d-9328-04ae2cb188aa</t>
        </is>
      </c>
      <c r="D1071" t="inlineStr">
        <is>
          <t>30001087</t>
        </is>
      </c>
      <c r="E1071" t="inlineStr">
        <is>
          <t>ussd_funeral_leads_altitude_20260619</t>
        </is>
      </c>
      <c r="J1071" t="inlineStr">
        <is>
          <t>ADC</t>
        </is>
      </c>
      <c r="K1071" t="inlineStr">
        <is>
          <t>Auto Dial Disconnected</t>
        </is>
      </c>
      <c r="L1071" t="n">
        <v>3</v>
      </c>
      <c r="M1071" t="inlineStr">
        <is>
          <t>2026-06-23 14:15:35</t>
        </is>
      </c>
      <c r="N1071" t="inlineStr">
        <is>
          <t>system</t>
        </is>
      </c>
      <c r="O1071" t="inlineStr">
        <is>
          <t>2026-06-19 07:10:32</t>
        </is>
      </c>
      <c r="P1071" t="inlineStr">
        <is>
          <t>2026-06-19 07:10:32</t>
        </is>
      </c>
      <c r="Y1071" t="inlineStr">
        <is>
          <t>27764875679</t>
        </is>
      </c>
    </row>
    <row r="1072">
      <c r="A1072" t="inlineStr">
        <is>
          <t>14947885</t>
        </is>
      </c>
      <c r="B1072" t="inlineStr">
        <is>
          <t>0acb5018-d743-4314-a222-ea0535d088d1</t>
        </is>
      </c>
      <c r="D1072" t="inlineStr">
        <is>
          <t>30001087</t>
        </is>
      </c>
      <c r="E1072" t="inlineStr">
        <is>
          <t>ussd_funeral_leads_altitude_20260619</t>
        </is>
      </c>
      <c r="J1072" t="inlineStr">
        <is>
          <t>AA</t>
        </is>
      </c>
      <c r="K1072" t="inlineStr">
        <is>
          <t>Answering Machine Autodial</t>
        </is>
      </c>
      <c r="L1072" t="n">
        <v>3</v>
      </c>
      <c r="M1072" t="inlineStr">
        <is>
          <t>2026-06-23 14:15:35</t>
        </is>
      </c>
      <c r="N1072" t="inlineStr">
        <is>
          <t>system</t>
        </is>
      </c>
      <c r="O1072" t="inlineStr">
        <is>
          <t>2026-06-19 07:10:32</t>
        </is>
      </c>
      <c r="P1072" t="inlineStr">
        <is>
          <t>2026-06-19 07:10:32</t>
        </is>
      </c>
      <c r="Y1072" t="inlineStr">
        <is>
          <t>27763398304</t>
        </is>
      </c>
    </row>
    <row r="1073">
      <c r="A1073" t="inlineStr">
        <is>
          <t>14947886</t>
        </is>
      </c>
      <c r="B1073" t="inlineStr">
        <is>
          <t>b4703f7b-67b4-4652-9454-b7e066271ae3</t>
        </is>
      </c>
      <c r="D1073" t="inlineStr">
        <is>
          <t>30001087</t>
        </is>
      </c>
      <c r="E1073" t="inlineStr">
        <is>
          <t>ussd_funeral_leads_altitude_20260619</t>
        </is>
      </c>
      <c r="J1073" t="inlineStr">
        <is>
          <t>AA</t>
        </is>
      </c>
      <c r="K1073" t="inlineStr">
        <is>
          <t>Answering Machine Autodial</t>
        </is>
      </c>
      <c r="L1073" t="n">
        <v>3</v>
      </c>
      <c r="M1073" t="inlineStr">
        <is>
          <t>2026-06-23 14:15:35</t>
        </is>
      </c>
      <c r="N1073" t="inlineStr">
        <is>
          <t>system</t>
        </is>
      </c>
      <c r="O1073" t="inlineStr">
        <is>
          <t>2026-06-19 07:10:32</t>
        </is>
      </c>
      <c r="P1073" t="inlineStr">
        <is>
          <t>2026-06-19 07:10:32</t>
        </is>
      </c>
      <c r="Y1073" t="inlineStr">
        <is>
          <t>27673969353</t>
        </is>
      </c>
    </row>
    <row r="1074">
      <c r="A1074" t="inlineStr">
        <is>
          <t>14944095</t>
        </is>
      </c>
      <c r="B1074" t="inlineStr">
        <is>
          <t>e2ee143e-e0e7-4d9a-8471-e59e34b9d1c2</t>
        </is>
      </c>
      <c r="D1074" t="inlineStr">
        <is>
          <t>30001087</t>
        </is>
      </c>
      <c r="E1074" t="inlineStr">
        <is>
          <t>ussd_funeral_leads_altitude_20260619</t>
        </is>
      </c>
      <c r="J1074" t="inlineStr">
        <is>
          <t>NA</t>
        </is>
      </c>
      <c r="K1074" t="inlineStr">
        <is>
          <t>No Answer Autodial</t>
        </is>
      </c>
      <c r="L1074" t="n">
        <v>3</v>
      </c>
      <c r="M1074" t="inlineStr">
        <is>
          <t>2026-06-23 14:15:32</t>
        </is>
      </c>
      <c r="N1074" t="inlineStr">
        <is>
          <t>system</t>
        </is>
      </c>
      <c r="O1074" t="inlineStr">
        <is>
          <t>2026-06-19 07:10:32</t>
        </is>
      </c>
      <c r="P1074" t="inlineStr">
        <is>
          <t>2026-06-19 07:10:32</t>
        </is>
      </c>
      <c r="Y1074" t="inlineStr">
        <is>
          <t>27791087872</t>
        </is>
      </c>
    </row>
    <row r="1075">
      <c r="A1075" t="inlineStr">
        <is>
          <t>14944096</t>
        </is>
      </c>
      <c r="B1075" t="inlineStr">
        <is>
          <t>3c21b2c1-0048-48a6-9799-ca68a1f10545</t>
        </is>
      </c>
      <c r="D1075" t="inlineStr">
        <is>
          <t>30001087</t>
        </is>
      </c>
      <c r="E1075" t="inlineStr">
        <is>
          <t>ussd_funeral_leads_altitude_20260619</t>
        </is>
      </c>
      <c r="J1075" t="inlineStr">
        <is>
          <t>CU</t>
        </is>
      </c>
      <c r="K1075" t="inlineStr">
        <is>
          <t>Client Hung Up</t>
        </is>
      </c>
      <c r="L1075" t="n">
        <v>3</v>
      </c>
      <c r="M1075" t="inlineStr">
        <is>
          <t>2026-06-23 14:15:32</t>
        </is>
      </c>
      <c r="N1075" t="inlineStr">
        <is>
          <t>Lebohang Mabotja</t>
        </is>
      </c>
      <c r="O1075" t="inlineStr">
        <is>
          <t>2026-06-19 07:10:32</t>
        </is>
      </c>
      <c r="P1075" t="inlineStr">
        <is>
          <t>2026-06-19 07:10:32</t>
        </is>
      </c>
      <c r="Y1075" t="inlineStr">
        <is>
          <t>27793182520</t>
        </is>
      </c>
    </row>
    <row r="1076">
      <c r="A1076" t="inlineStr">
        <is>
          <t>14947887</t>
        </is>
      </c>
      <c r="B1076" t="inlineStr">
        <is>
          <t>60b4d626-ae50-4726-96b4-fb7978a3792b</t>
        </is>
      </c>
      <c r="D1076" t="inlineStr">
        <is>
          <t>30001087</t>
        </is>
      </c>
      <c r="E1076" t="inlineStr">
        <is>
          <t>ussd_funeral_leads_altitude_20260619</t>
        </is>
      </c>
      <c r="J1076" t="inlineStr">
        <is>
          <t>AE</t>
        </is>
      </c>
      <c r="K1076" t="inlineStr">
        <is>
          <t>Auto Engaged</t>
        </is>
      </c>
      <c r="L1076" t="n">
        <v>3</v>
      </c>
      <c r="M1076" t="inlineStr">
        <is>
          <t>2026-06-23 14:15:32</t>
        </is>
      </c>
      <c r="N1076" t="inlineStr">
        <is>
          <t>system</t>
        </is>
      </c>
      <c r="O1076" t="inlineStr">
        <is>
          <t>2026-06-19 07:10:32</t>
        </is>
      </c>
      <c r="P1076" t="inlineStr">
        <is>
          <t>2026-06-19 07:10:32</t>
        </is>
      </c>
      <c r="Y1076" t="inlineStr">
        <is>
          <t>27727729367</t>
        </is>
      </c>
    </row>
    <row r="1077">
      <c r="A1077" t="inlineStr">
        <is>
          <t>14948116</t>
        </is>
      </c>
      <c r="B1077" t="inlineStr">
        <is>
          <t>b66e3624-7486-4ad1-8eb5-4f409ecdcb9a</t>
        </is>
      </c>
      <c r="D1077" t="inlineStr">
        <is>
          <t>30001087</t>
        </is>
      </c>
      <c r="E1077" t="inlineStr">
        <is>
          <t>ussd_funeral_leads_altitude_20260619</t>
        </is>
      </c>
      <c r="J1077" t="inlineStr">
        <is>
          <t>AA</t>
        </is>
      </c>
      <c r="K1077" t="inlineStr">
        <is>
          <t>Answering Machine Autodial</t>
        </is>
      </c>
      <c r="L1077" t="n">
        <v>3</v>
      </c>
      <c r="M1077" t="inlineStr">
        <is>
          <t>2026-06-23 14:15:32</t>
        </is>
      </c>
      <c r="N1077" t="inlineStr">
        <is>
          <t>system</t>
        </is>
      </c>
      <c r="O1077" t="inlineStr">
        <is>
          <t>2026-06-19 07:10:32</t>
        </is>
      </c>
      <c r="P1077" t="inlineStr">
        <is>
          <t>2026-06-19 07:10:32</t>
        </is>
      </c>
      <c r="Y1077" t="inlineStr">
        <is>
          <t>27795681202</t>
        </is>
      </c>
    </row>
    <row r="1078">
      <c r="A1078" t="inlineStr">
        <is>
          <t>14944094</t>
        </is>
      </c>
      <c r="B1078" t="inlineStr">
        <is>
          <t>beed0907-3d15-4010-8877-06805a7af9d5</t>
        </is>
      </c>
      <c r="D1078" t="inlineStr">
        <is>
          <t>30001087</t>
        </is>
      </c>
      <c r="E1078" t="inlineStr">
        <is>
          <t>ussd_funeral_leads_altitude_20260619</t>
        </is>
      </c>
      <c r="J1078" t="inlineStr">
        <is>
          <t>AA</t>
        </is>
      </c>
      <c r="K1078" t="inlineStr">
        <is>
          <t>Answering Machine Autodial</t>
        </is>
      </c>
      <c r="L1078" t="n">
        <v>3</v>
      </c>
      <c r="M1078" t="inlineStr">
        <is>
          <t>2026-06-23 14:15:31</t>
        </is>
      </c>
      <c r="N1078" t="inlineStr">
        <is>
          <t>system</t>
        </is>
      </c>
      <c r="O1078" t="inlineStr">
        <is>
          <t>2026-06-19 07:10:32</t>
        </is>
      </c>
      <c r="P1078" t="inlineStr">
        <is>
          <t>2026-06-19 07:10:32</t>
        </is>
      </c>
      <c r="Y1078" t="inlineStr">
        <is>
          <t>27715963695</t>
        </is>
      </c>
    </row>
    <row r="1079">
      <c r="A1079" t="inlineStr">
        <is>
          <t>14944087</t>
        </is>
      </c>
      <c r="B1079" t="inlineStr">
        <is>
          <t>58c699f2-ef33-4b6d-979e-b8797b929e56</t>
        </is>
      </c>
      <c r="D1079" t="inlineStr">
        <is>
          <t>30001087</t>
        </is>
      </c>
      <c r="E1079" t="inlineStr">
        <is>
          <t>ussd_funeral_leads_altitude_20260619</t>
        </is>
      </c>
      <c r="J1079" t="inlineStr">
        <is>
          <t>AA</t>
        </is>
      </c>
      <c r="K1079" t="inlineStr">
        <is>
          <t>Answering Machine Autodial</t>
        </is>
      </c>
      <c r="L1079" t="n">
        <v>3</v>
      </c>
      <c r="M1079" t="inlineStr">
        <is>
          <t>2026-06-23 14:14:39</t>
        </is>
      </c>
      <c r="N1079" t="inlineStr">
        <is>
          <t>system</t>
        </is>
      </c>
      <c r="O1079" t="inlineStr">
        <is>
          <t>2026-06-19 07:10:32</t>
        </is>
      </c>
      <c r="P1079" t="inlineStr">
        <is>
          <t>2026-06-19 07:10:32</t>
        </is>
      </c>
      <c r="Y1079" t="inlineStr">
        <is>
          <t>27823561506</t>
        </is>
      </c>
    </row>
    <row r="1080">
      <c r="A1080" t="inlineStr">
        <is>
          <t>14944088</t>
        </is>
      </c>
      <c r="B1080" t="inlineStr">
        <is>
          <t>d4be9c58-516c-48af-a289-40b4a054711e</t>
        </is>
      </c>
      <c r="D1080" t="inlineStr">
        <is>
          <t>30001087</t>
        </is>
      </c>
      <c r="E1080" t="inlineStr">
        <is>
          <t>ussd_funeral_leads_altitude_20260619</t>
        </is>
      </c>
      <c r="J1080" t="inlineStr">
        <is>
          <t>AA</t>
        </is>
      </c>
      <c r="K1080" t="inlineStr">
        <is>
          <t>Answering Machine Autodial</t>
        </is>
      </c>
      <c r="L1080" t="n">
        <v>3</v>
      </c>
      <c r="M1080" t="inlineStr">
        <is>
          <t>2026-06-23 14:14:39</t>
        </is>
      </c>
      <c r="N1080" t="inlineStr">
        <is>
          <t>system</t>
        </is>
      </c>
      <c r="O1080" t="inlineStr">
        <is>
          <t>2026-06-19 07:10:32</t>
        </is>
      </c>
      <c r="P1080" t="inlineStr">
        <is>
          <t>2026-06-19 07:10:32</t>
        </is>
      </c>
      <c r="Y1080" t="inlineStr">
        <is>
          <t>27673650298</t>
        </is>
      </c>
    </row>
    <row r="1081">
      <c r="A1081" t="inlineStr">
        <is>
          <t>14944090</t>
        </is>
      </c>
      <c r="B1081" t="inlineStr">
        <is>
          <t>3085a7fc-9e2d-43c7-a40a-a2de9eb3ef11</t>
        </is>
      </c>
      <c r="D1081" t="inlineStr">
        <is>
          <t>30001087</t>
        </is>
      </c>
      <c r="E1081" t="inlineStr">
        <is>
          <t>ussd_funeral_leads_altitude_20260619</t>
        </is>
      </c>
      <c r="J1081" t="inlineStr">
        <is>
          <t>AA</t>
        </is>
      </c>
      <c r="K1081" t="inlineStr">
        <is>
          <t>Answering Machine Autodial</t>
        </is>
      </c>
      <c r="L1081" t="n">
        <v>3</v>
      </c>
      <c r="M1081" t="inlineStr">
        <is>
          <t>2026-06-23 14:14:39</t>
        </is>
      </c>
      <c r="N1081" t="inlineStr">
        <is>
          <t>system</t>
        </is>
      </c>
      <c r="O1081" t="inlineStr">
        <is>
          <t>2026-06-19 07:10:32</t>
        </is>
      </c>
      <c r="P1081" t="inlineStr">
        <is>
          <t>2026-06-19 07:10:32</t>
        </is>
      </c>
      <c r="Y1081" t="inlineStr">
        <is>
          <t>27723325478</t>
        </is>
      </c>
    </row>
    <row r="1082">
      <c r="A1082" t="inlineStr">
        <is>
          <t>14944091</t>
        </is>
      </c>
      <c r="B1082" t="inlineStr">
        <is>
          <t>f3e38730-4084-43b5-83b6-8e2764be0c23</t>
        </is>
      </c>
      <c r="D1082" t="inlineStr">
        <is>
          <t>30001087</t>
        </is>
      </c>
      <c r="E1082" t="inlineStr">
        <is>
          <t>ussd_funeral_leads_altitude_20260619</t>
        </is>
      </c>
      <c r="J1082" t="inlineStr">
        <is>
          <t>DROP</t>
        </is>
      </c>
      <c r="K1082" t="inlineStr">
        <is>
          <t>Dropped</t>
        </is>
      </c>
      <c r="L1082" t="n">
        <v>3</v>
      </c>
      <c r="M1082" t="inlineStr">
        <is>
          <t>2026-06-23 14:14:39</t>
        </is>
      </c>
      <c r="N1082" t="inlineStr">
        <is>
          <t>system</t>
        </is>
      </c>
      <c r="O1082" t="inlineStr">
        <is>
          <t>2026-06-19 07:10:32</t>
        </is>
      </c>
      <c r="P1082" t="inlineStr">
        <is>
          <t>2026-06-19 07:10:32</t>
        </is>
      </c>
      <c r="Y1082" t="inlineStr">
        <is>
          <t>27798697002</t>
        </is>
      </c>
    </row>
    <row r="1083">
      <c r="A1083" t="inlineStr">
        <is>
          <t>14944092</t>
        </is>
      </c>
      <c r="B1083" t="inlineStr">
        <is>
          <t>d5edf329-a232-4b11-a27a-6aff0e3ec778</t>
        </is>
      </c>
      <c r="D1083" t="inlineStr">
        <is>
          <t>30001087</t>
        </is>
      </c>
      <c r="E1083" t="inlineStr">
        <is>
          <t>ussd_funeral_leads_altitude_20260619</t>
        </is>
      </c>
      <c r="J1083" t="inlineStr">
        <is>
          <t>NA</t>
        </is>
      </c>
      <c r="K1083" t="inlineStr">
        <is>
          <t>No Answer Autodial</t>
        </is>
      </c>
      <c r="L1083" t="n">
        <v>3</v>
      </c>
      <c r="M1083" t="inlineStr">
        <is>
          <t>2026-06-23 14:14:39</t>
        </is>
      </c>
      <c r="N1083" t="inlineStr">
        <is>
          <t>system</t>
        </is>
      </c>
      <c r="O1083" t="inlineStr">
        <is>
          <t>2026-06-19 07:10:32</t>
        </is>
      </c>
      <c r="P1083" t="inlineStr">
        <is>
          <t>2026-06-19 07:10:32</t>
        </is>
      </c>
      <c r="Y1083" t="inlineStr">
        <is>
          <t>27720868288</t>
        </is>
      </c>
    </row>
    <row r="1084">
      <c r="A1084" t="inlineStr">
        <is>
          <t>14944093</t>
        </is>
      </c>
      <c r="B1084" t="inlineStr">
        <is>
          <t>d46f3fdb-65d0-4eb3-9ccf-11e70aa6f10a</t>
        </is>
      </c>
      <c r="D1084" t="inlineStr">
        <is>
          <t>30001087</t>
        </is>
      </c>
      <c r="E1084" t="inlineStr">
        <is>
          <t>ussd_funeral_leads_altitude_20260619</t>
        </is>
      </c>
      <c r="J1084" t="inlineStr">
        <is>
          <t>NA</t>
        </is>
      </c>
      <c r="K1084" t="inlineStr">
        <is>
          <t>No Answer Autodial</t>
        </is>
      </c>
      <c r="L1084" t="n">
        <v>3</v>
      </c>
      <c r="M1084" t="inlineStr">
        <is>
          <t>2026-06-23 14:14:38</t>
        </is>
      </c>
      <c r="N1084" t="inlineStr">
        <is>
          <t>system</t>
        </is>
      </c>
      <c r="O1084" t="inlineStr">
        <is>
          <t>2026-06-19 07:10:32</t>
        </is>
      </c>
      <c r="P1084" t="inlineStr">
        <is>
          <t>2026-06-19 07:10:32</t>
        </is>
      </c>
      <c r="Y1084" t="inlineStr">
        <is>
          <t>27772565417</t>
        </is>
      </c>
    </row>
    <row r="1085">
      <c r="A1085" t="inlineStr">
        <is>
          <t>14944084</t>
        </is>
      </c>
      <c r="B1085" t="inlineStr">
        <is>
          <t>63c2e91b-61b0-419a-91ed-68db15db6367</t>
        </is>
      </c>
      <c r="D1085" t="inlineStr">
        <is>
          <t>30001087</t>
        </is>
      </c>
      <c r="E1085" t="inlineStr">
        <is>
          <t>ussd_funeral_leads_altitude_20260619</t>
        </is>
      </c>
      <c r="J1085" t="inlineStr">
        <is>
          <t>ADC</t>
        </is>
      </c>
      <c r="K1085" t="inlineStr">
        <is>
          <t>Auto Dial Disconnected</t>
        </is>
      </c>
      <c r="L1085" t="n">
        <v>3</v>
      </c>
      <c r="M1085" t="inlineStr">
        <is>
          <t>2026-06-23 14:14:37</t>
        </is>
      </c>
      <c r="N1085" t="inlineStr">
        <is>
          <t>system</t>
        </is>
      </c>
      <c r="O1085" t="inlineStr">
        <is>
          <t>2026-06-19 07:10:32</t>
        </is>
      </c>
      <c r="P1085" t="inlineStr">
        <is>
          <t>2026-06-19 07:10:32</t>
        </is>
      </c>
      <c r="Y1085" t="inlineStr">
        <is>
          <t>27648743966</t>
        </is>
      </c>
    </row>
    <row r="1086">
      <c r="A1086" t="inlineStr">
        <is>
          <t>14944085</t>
        </is>
      </c>
      <c r="B1086" t="inlineStr">
        <is>
          <t>765824b3-fcf5-4fe5-8b96-401c5c963eef</t>
        </is>
      </c>
      <c r="D1086" t="inlineStr">
        <is>
          <t>30001087</t>
        </is>
      </c>
      <c r="E1086" t="inlineStr">
        <is>
          <t>ussd_funeral_leads_altitude_20260619</t>
        </is>
      </c>
      <c r="J1086" t="inlineStr">
        <is>
          <t>AA</t>
        </is>
      </c>
      <c r="K1086" t="inlineStr">
        <is>
          <t>Answering Machine Autodial</t>
        </is>
      </c>
      <c r="L1086" t="n">
        <v>3</v>
      </c>
      <c r="M1086" t="inlineStr">
        <is>
          <t>2026-06-23 14:14:37</t>
        </is>
      </c>
      <c r="N1086" t="inlineStr">
        <is>
          <t>system</t>
        </is>
      </c>
      <c r="O1086" t="inlineStr">
        <is>
          <t>2026-06-19 07:10:32</t>
        </is>
      </c>
      <c r="P1086" t="inlineStr">
        <is>
          <t>2026-06-19 07:10:32</t>
        </is>
      </c>
      <c r="Y1086" t="inlineStr">
        <is>
          <t>27772585631</t>
        </is>
      </c>
    </row>
    <row r="1087">
      <c r="A1087" t="inlineStr">
        <is>
          <t>14944080</t>
        </is>
      </c>
      <c r="B1087" t="inlineStr">
        <is>
          <t>9886d22f-b5e0-4931-ba7d-251ce32ea9d1</t>
        </is>
      </c>
      <c r="D1087" t="inlineStr">
        <is>
          <t>30001087</t>
        </is>
      </c>
      <c r="E1087" t="inlineStr">
        <is>
          <t>ussd_funeral_leads_altitude_20260619</t>
        </is>
      </c>
      <c r="J1087" t="inlineStr">
        <is>
          <t>AA</t>
        </is>
      </c>
      <c r="K1087" t="inlineStr">
        <is>
          <t>Answering Machine Autodial</t>
        </is>
      </c>
      <c r="L1087" t="n">
        <v>3</v>
      </c>
      <c r="M1087" t="inlineStr">
        <is>
          <t>2026-06-23 14:14:36</t>
        </is>
      </c>
      <c r="N1087" t="inlineStr">
        <is>
          <t>system</t>
        </is>
      </c>
      <c r="O1087" t="inlineStr">
        <is>
          <t>2026-06-19 07:10:32</t>
        </is>
      </c>
      <c r="P1087" t="inlineStr">
        <is>
          <t>2026-06-19 07:10:32</t>
        </is>
      </c>
      <c r="Y1087" t="inlineStr">
        <is>
          <t>27794219113</t>
        </is>
      </c>
    </row>
    <row r="1088">
      <c r="A1088" t="inlineStr">
        <is>
          <t>14944082</t>
        </is>
      </c>
      <c r="B1088" t="inlineStr">
        <is>
          <t>afe79771-fdb7-437f-8cb6-f3a1f75e8e9f</t>
        </is>
      </c>
      <c r="D1088" t="inlineStr">
        <is>
          <t>30001087</t>
        </is>
      </c>
      <c r="E1088" t="inlineStr">
        <is>
          <t>ussd_funeral_leads_altitude_20260619</t>
        </is>
      </c>
      <c r="J1088" t="inlineStr">
        <is>
          <t>AA</t>
        </is>
      </c>
      <c r="K1088" t="inlineStr">
        <is>
          <t>Answering Machine Autodial</t>
        </is>
      </c>
      <c r="L1088" t="n">
        <v>3</v>
      </c>
      <c r="M1088" t="inlineStr">
        <is>
          <t>2026-06-23 14:14:36</t>
        </is>
      </c>
      <c r="N1088" t="inlineStr">
        <is>
          <t>system</t>
        </is>
      </c>
      <c r="O1088" t="inlineStr">
        <is>
          <t>2026-06-19 07:10:32</t>
        </is>
      </c>
      <c r="P1088" t="inlineStr">
        <is>
          <t>2026-06-19 07:10:32</t>
        </is>
      </c>
      <c r="Y1088" t="inlineStr">
        <is>
          <t>27791542030</t>
        </is>
      </c>
    </row>
    <row r="1089">
      <c r="A1089" t="inlineStr">
        <is>
          <t>14944086</t>
        </is>
      </c>
      <c r="B1089" t="inlineStr">
        <is>
          <t>2c5e867d-4d4a-493a-b2af-a005dffc20d3</t>
        </is>
      </c>
      <c r="D1089" t="inlineStr">
        <is>
          <t>30001087</t>
        </is>
      </c>
      <c r="E1089" t="inlineStr">
        <is>
          <t>ussd_funeral_leads_altitude_20260619</t>
        </is>
      </c>
      <c r="J1089" t="inlineStr">
        <is>
          <t>ADC</t>
        </is>
      </c>
      <c r="K1089" t="inlineStr">
        <is>
          <t>Auto Dial Disconnected</t>
        </is>
      </c>
      <c r="L1089" t="n">
        <v>3</v>
      </c>
      <c r="M1089" t="inlineStr">
        <is>
          <t>2026-06-23 14:14:36</t>
        </is>
      </c>
      <c r="N1089" t="inlineStr">
        <is>
          <t>system</t>
        </is>
      </c>
      <c r="O1089" t="inlineStr">
        <is>
          <t>2026-06-19 07:10:32</t>
        </is>
      </c>
      <c r="P1089" t="inlineStr">
        <is>
          <t>2026-06-19 07:10:32</t>
        </is>
      </c>
      <c r="Y1089" t="inlineStr">
        <is>
          <t>27826159453</t>
        </is>
      </c>
    </row>
    <row r="1090">
      <c r="A1090" t="inlineStr">
        <is>
          <t>14944083</t>
        </is>
      </c>
      <c r="B1090" t="inlineStr">
        <is>
          <t>d3ba4218-3432-4a44-8649-7cd6ab4abefe</t>
        </is>
      </c>
      <c r="D1090" t="inlineStr">
        <is>
          <t>30001087</t>
        </is>
      </c>
      <c r="E1090" t="inlineStr">
        <is>
          <t>ussd_funeral_leads_altitude_20260619</t>
        </is>
      </c>
      <c r="J1090" t="inlineStr">
        <is>
          <t>AA</t>
        </is>
      </c>
      <c r="K1090" t="inlineStr">
        <is>
          <t>Answering Machine Autodial</t>
        </is>
      </c>
      <c r="L1090" t="n">
        <v>3</v>
      </c>
      <c r="M1090" t="inlineStr">
        <is>
          <t>2026-06-23 14:14:32</t>
        </is>
      </c>
      <c r="N1090" t="inlineStr">
        <is>
          <t>system</t>
        </is>
      </c>
      <c r="O1090" t="inlineStr">
        <is>
          <t>2026-06-19 07:10:32</t>
        </is>
      </c>
      <c r="P1090" t="inlineStr">
        <is>
          <t>2026-06-19 07:10:32</t>
        </is>
      </c>
      <c r="Y1090" t="inlineStr">
        <is>
          <t>27826216763</t>
        </is>
      </c>
    </row>
    <row r="1091">
      <c r="A1091" t="inlineStr">
        <is>
          <t>14947888</t>
        </is>
      </c>
      <c r="B1091" t="inlineStr">
        <is>
          <t>1ba0f67d-0d03-4e57-a942-87b4462b03c8</t>
        </is>
      </c>
      <c r="D1091" t="inlineStr">
        <is>
          <t>30001087</t>
        </is>
      </c>
      <c r="E1091" t="inlineStr">
        <is>
          <t>ussd_funeral_leads_altitude_20260619</t>
        </is>
      </c>
      <c r="J1091" t="inlineStr">
        <is>
          <t>AA</t>
        </is>
      </c>
      <c r="K1091" t="inlineStr">
        <is>
          <t>Answering Machine Autodial</t>
        </is>
      </c>
      <c r="L1091" t="n">
        <v>3</v>
      </c>
      <c r="M1091" t="inlineStr">
        <is>
          <t>2026-06-23 14:14:20</t>
        </is>
      </c>
      <c r="N1091" t="inlineStr">
        <is>
          <t>system</t>
        </is>
      </c>
      <c r="O1091" t="inlineStr">
        <is>
          <t>2026-06-19 07:10:32</t>
        </is>
      </c>
      <c r="P1091" t="inlineStr">
        <is>
          <t>2026-06-19 07:10:32</t>
        </is>
      </c>
      <c r="Y1091" t="inlineStr">
        <is>
          <t>27661959807</t>
        </is>
      </c>
    </row>
    <row r="1092">
      <c r="A1092" t="inlineStr">
        <is>
          <t>14947889</t>
        </is>
      </c>
      <c r="B1092" t="inlineStr">
        <is>
          <t>a632d6ec-e2af-4959-b9c6-0472bd433351</t>
        </is>
      </c>
      <c r="D1092" t="inlineStr">
        <is>
          <t>30001087</t>
        </is>
      </c>
      <c r="E1092" t="inlineStr">
        <is>
          <t>ussd_funeral_leads_altitude_20260619</t>
        </is>
      </c>
      <c r="J1092" t="inlineStr">
        <is>
          <t>AA</t>
        </is>
      </c>
      <c r="K1092" t="inlineStr">
        <is>
          <t>Answering Machine Autodial</t>
        </is>
      </c>
      <c r="L1092" t="n">
        <v>3</v>
      </c>
      <c r="M1092" t="inlineStr">
        <is>
          <t>2026-06-23 14:14:13</t>
        </is>
      </c>
      <c r="N1092" t="inlineStr">
        <is>
          <t>system</t>
        </is>
      </c>
      <c r="O1092" t="inlineStr">
        <is>
          <t>2026-06-19 07:10:32</t>
        </is>
      </c>
      <c r="P1092" t="inlineStr">
        <is>
          <t>2026-06-19 07:10:32</t>
        </is>
      </c>
      <c r="Y1092" t="inlineStr">
        <is>
          <t>27823707233</t>
        </is>
      </c>
    </row>
    <row r="1093">
      <c r="A1093" t="inlineStr">
        <is>
          <t>14947890</t>
        </is>
      </c>
      <c r="B1093" t="inlineStr">
        <is>
          <t>c1096e5d-b138-4823-a232-aa04259517f5</t>
        </is>
      </c>
      <c r="D1093" t="inlineStr">
        <is>
          <t>30001087</t>
        </is>
      </c>
      <c r="E1093" t="inlineStr">
        <is>
          <t>ussd_funeral_leads_altitude_20260619</t>
        </is>
      </c>
      <c r="J1093" t="inlineStr">
        <is>
          <t>NA</t>
        </is>
      </c>
      <c r="K1093" t="inlineStr">
        <is>
          <t>No Answer Autodial</t>
        </is>
      </c>
      <c r="L1093" t="n">
        <v>3</v>
      </c>
      <c r="M1093" t="inlineStr">
        <is>
          <t>2026-06-23 14:14:06</t>
        </is>
      </c>
      <c r="N1093" t="inlineStr">
        <is>
          <t>system</t>
        </is>
      </c>
      <c r="O1093" t="inlineStr">
        <is>
          <t>2026-06-19 07:10:32</t>
        </is>
      </c>
      <c r="P1093" t="inlineStr">
        <is>
          <t>2026-06-19 07:10:32</t>
        </is>
      </c>
      <c r="Y1093" t="inlineStr">
        <is>
          <t>27794236812</t>
        </is>
      </c>
    </row>
    <row r="1094">
      <c r="A1094" t="inlineStr">
        <is>
          <t>14947891</t>
        </is>
      </c>
      <c r="B1094" t="inlineStr">
        <is>
          <t>39e1debf-4308-4078-ab6e-66758904b951</t>
        </is>
      </c>
      <c r="D1094" t="inlineStr">
        <is>
          <t>30001087</t>
        </is>
      </c>
      <c r="E1094" t="inlineStr">
        <is>
          <t>ussd_funeral_leads_altitude_20260619</t>
        </is>
      </c>
      <c r="J1094" t="inlineStr">
        <is>
          <t>AA</t>
        </is>
      </c>
      <c r="K1094" t="inlineStr">
        <is>
          <t>Answering Machine Autodial</t>
        </is>
      </c>
      <c r="L1094" t="n">
        <v>3</v>
      </c>
      <c r="M1094" t="inlineStr">
        <is>
          <t>2026-06-23 14:14:05</t>
        </is>
      </c>
      <c r="N1094" t="inlineStr">
        <is>
          <t>system</t>
        </is>
      </c>
      <c r="O1094" t="inlineStr">
        <is>
          <t>2026-06-19 07:10:32</t>
        </is>
      </c>
      <c r="P1094" t="inlineStr">
        <is>
          <t>2026-06-19 07:10:32</t>
        </is>
      </c>
      <c r="Y1094" t="inlineStr">
        <is>
          <t>27727164613</t>
        </is>
      </c>
    </row>
    <row r="1095">
      <c r="A1095" t="inlineStr">
        <is>
          <t>14947892</t>
        </is>
      </c>
      <c r="B1095" t="inlineStr">
        <is>
          <t>a810d4f2-e8ab-42c1-a0af-b1081b398640</t>
        </is>
      </c>
      <c r="D1095" t="inlineStr">
        <is>
          <t>30001087</t>
        </is>
      </c>
      <c r="E1095" t="inlineStr">
        <is>
          <t>ussd_funeral_leads_altitude_20260619</t>
        </is>
      </c>
      <c r="J1095" t="inlineStr">
        <is>
          <t>AA</t>
        </is>
      </c>
      <c r="K1095" t="inlineStr">
        <is>
          <t>Answering Machine Autodial</t>
        </is>
      </c>
      <c r="L1095" t="n">
        <v>3</v>
      </c>
      <c r="M1095" t="inlineStr">
        <is>
          <t>2026-06-23 14:14:05</t>
        </is>
      </c>
      <c r="N1095" t="inlineStr">
        <is>
          <t>system</t>
        </is>
      </c>
      <c r="O1095" t="inlineStr">
        <is>
          <t>2026-06-19 07:10:32</t>
        </is>
      </c>
      <c r="P1095" t="inlineStr">
        <is>
          <t>2026-06-19 07:10:32</t>
        </is>
      </c>
      <c r="Y1095" t="inlineStr">
        <is>
          <t>27798026421</t>
        </is>
      </c>
    </row>
    <row r="1096">
      <c r="A1096" t="inlineStr">
        <is>
          <t>14947893</t>
        </is>
      </c>
      <c r="B1096" t="inlineStr">
        <is>
          <t>e5db6854-e826-4fea-a5e8-09d63413a3ff</t>
        </is>
      </c>
      <c r="D1096" t="inlineStr">
        <is>
          <t>30001087</t>
        </is>
      </c>
      <c r="E1096" t="inlineStr">
        <is>
          <t>ussd_funeral_leads_altitude_20260619</t>
        </is>
      </c>
      <c r="J1096" t="inlineStr">
        <is>
          <t>ADC</t>
        </is>
      </c>
      <c r="K1096" t="inlineStr">
        <is>
          <t>Auto Dial Disconnected</t>
        </is>
      </c>
      <c r="L1096" t="n">
        <v>3</v>
      </c>
      <c r="M1096" t="inlineStr">
        <is>
          <t>2026-06-23 14:14:02</t>
        </is>
      </c>
      <c r="N1096" t="inlineStr">
        <is>
          <t>system</t>
        </is>
      </c>
      <c r="O1096" t="inlineStr">
        <is>
          <t>2026-06-19 07:10:32</t>
        </is>
      </c>
      <c r="P1096" t="inlineStr">
        <is>
          <t>2026-06-19 07:10:32</t>
        </is>
      </c>
      <c r="Y1096" t="inlineStr">
        <is>
          <t>27767592462</t>
        </is>
      </c>
    </row>
    <row r="1097">
      <c r="A1097" t="inlineStr">
        <is>
          <t>14947894</t>
        </is>
      </c>
      <c r="B1097" t="inlineStr">
        <is>
          <t>242259ef-1a5d-4a91-9863-19a1e9667d78</t>
        </is>
      </c>
      <c r="D1097" t="inlineStr">
        <is>
          <t>30001087</t>
        </is>
      </c>
      <c r="E1097" t="inlineStr">
        <is>
          <t>ussd_funeral_leads_altitude_20260619</t>
        </is>
      </c>
      <c r="J1097" t="inlineStr">
        <is>
          <t>AA</t>
        </is>
      </c>
      <c r="K1097" t="inlineStr">
        <is>
          <t>Answering Machine Autodial</t>
        </is>
      </c>
      <c r="L1097" t="n">
        <v>3</v>
      </c>
      <c r="M1097" t="inlineStr">
        <is>
          <t>2026-06-23 14:14:00</t>
        </is>
      </c>
      <c r="N1097" t="inlineStr">
        <is>
          <t>system</t>
        </is>
      </c>
      <c r="O1097" t="inlineStr">
        <is>
          <t>2026-06-19 07:10:32</t>
        </is>
      </c>
      <c r="P1097" t="inlineStr">
        <is>
          <t>2026-06-19 07:10:32</t>
        </is>
      </c>
      <c r="Y1097" t="inlineStr">
        <is>
          <t>27646686983</t>
        </is>
      </c>
    </row>
    <row r="1098">
      <c r="A1098" t="inlineStr">
        <is>
          <t>14947895</t>
        </is>
      </c>
      <c r="B1098" t="inlineStr">
        <is>
          <t>84e2bc73-7084-4d63-88d4-043414426d83</t>
        </is>
      </c>
      <c r="D1098" t="inlineStr">
        <is>
          <t>30001087</t>
        </is>
      </c>
      <c r="E1098" t="inlineStr">
        <is>
          <t>ussd_funeral_leads_altitude_20260619</t>
        </is>
      </c>
      <c r="J1098" t="inlineStr">
        <is>
          <t>A</t>
        </is>
      </c>
      <c r="K1098" t="inlineStr">
        <is>
          <t>Answering Machine</t>
        </is>
      </c>
      <c r="L1098" t="n">
        <v>3</v>
      </c>
      <c r="M1098" t="inlineStr">
        <is>
          <t>2026-06-23 14:14:00</t>
        </is>
      </c>
      <c r="N1098" t="inlineStr">
        <is>
          <t>Lebohang Mabotja</t>
        </is>
      </c>
      <c r="O1098" t="inlineStr">
        <is>
          <t>2026-06-19 07:10:32</t>
        </is>
      </c>
      <c r="P1098" t="inlineStr">
        <is>
          <t>2026-06-19 07:10:32</t>
        </is>
      </c>
      <c r="Y1098" t="inlineStr">
        <is>
          <t>27797383263</t>
        </is>
      </c>
    </row>
    <row r="1099">
      <c r="A1099" t="inlineStr">
        <is>
          <t>14947897</t>
        </is>
      </c>
      <c r="B1099" t="inlineStr">
        <is>
          <t>b123954b-c359-4ed3-b111-f9f0d43aaea3</t>
        </is>
      </c>
      <c r="D1099" t="inlineStr">
        <is>
          <t>30001087</t>
        </is>
      </c>
      <c r="E1099" t="inlineStr">
        <is>
          <t>ussd_funeral_leads_altitude_20260619</t>
        </is>
      </c>
      <c r="J1099" t="inlineStr">
        <is>
          <t>TDN</t>
        </is>
      </c>
      <c r="K1099" t="inlineStr">
        <is>
          <t>Temporary Disconnected Number</t>
        </is>
      </c>
      <c r="L1099" t="n">
        <v>3</v>
      </c>
      <c r="M1099" t="inlineStr">
        <is>
          <t>2026-06-23 14:14:00</t>
        </is>
      </c>
      <c r="N1099" t="inlineStr">
        <is>
          <t>system</t>
        </is>
      </c>
      <c r="O1099" t="inlineStr">
        <is>
          <t>2026-06-19 07:10:32</t>
        </is>
      </c>
      <c r="P1099" t="inlineStr">
        <is>
          <t>2026-06-19 07:10:32</t>
        </is>
      </c>
      <c r="Y1099" t="inlineStr">
        <is>
          <t>27818198887</t>
        </is>
      </c>
    </row>
    <row r="1100">
      <c r="A1100" t="inlineStr">
        <is>
          <t>14947898</t>
        </is>
      </c>
      <c r="B1100" t="inlineStr">
        <is>
          <t>a644ff35-c27d-47cd-9ed1-44ddbc931083</t>
        </is>
      </c>
      <c r="D1100" t="inlineStr">
        <is>
          <t>30001087</t>
        </is>
      </c>
      <c r="E1100" t="inlineStr">
        <is>
          <t>ussd_funeral_leads_altitude_20260619</t>
        </is>
      </c>
      <c r="J1100" t="inlineStr">
        <is>
          <t>TDN</t>
        </is>
      </c>
      <c r="K1100" t="inlineStr">
        <is>
          <t>Temporary Disconnected Number</t>
        </is>
      </c>
      <c r="L1100" t="n">
        <v>3</v>
      </c>
      <c r="M1100" t="inlineStr">
        <is>
          <t>2026-06-23 14:13:59</t>
        </is>
      </c>
      <c r="N1100" t="inlineStr">
        <is>
          <t>system</t>
        </is>
      </c>
      <c r="O1100" t="inlineStr">
        <is>
          <t>2026-06-19 07:10:32</t>
        </is>
      </c>
      <c r="P1100" t="inlineStr">
        <is>
          <t>2026-06-19 07:10:32</t>
        </is>
      </c>
      <c r="Y1100" t="inlineStr">
        <is>
          <t>27722821618</t>
        </is>
      </c>
    </row>
    <row r="1101">
      <c r="A1101" t="inlineStr">
        <is>
          <t>14947899</t>
        </is>
      </c>
      <c r="B1101" t="inlineStr">
        <is>
          <t>c973db09-c4bd-41f7-a210-8284826a04b9</t>
        </is>
      </c>
      <c r="D1101" t="inlineStr">
        <is>
          <t>30001087</t>
        </is>
      </c>
      <c r="E1101" t="inlineStr">
        <is>
          <t>ussd_funeral_leads_altitude_20260619</t>
        </is>
      </c>
      <c r="J1101" t="inlineStr">
        <is>
          <t>NA</t>
        </is>
      </c>
      <c r="K1101" t="inlineStr">
        <is>
          <t>No Answer Autodial</t>
        </is>
      </c>
      <c r="L1101" t="n">
        <v>3</v>
      </c>
      <c r="M1101" t="inlineStr">
        <is>
          <t>2026-06-23 14:13:55</t>
        </is>
      </c>
      <c r="N1101" t="inlineStr">
        <is>
          <t>system</t>
        </is>
      </c>
      <c r="O1101" t="inlineStr">
        <is>
          <t>2026-06-19 07:10:32</t>
        </is>
      </c>
      <c r="P1101" t="inlineStr">
        <is>
          <t>2026-06-19 07:10:32</t>
        </is>
      </c>
      <c r="Y1101" t="inlineStr">
        <is>
          <t>27769760570</t>
        </is>
      </c>
    </row>
    <row r="1102">
      <c r="A1102" t="inlineStr">
        <is>
          <t>14947900</t>
        </is>
      </c>
      <c r="B1102" t="inlineStr">
        <is>
          <t>f18b3978-3bc4-4786-b281-d4d85e8040be</t>
        </is>
      </c>
      <c r="D1102" t="inlineStr">
        <is>
          <t>30001087</t>
        </is>
      </c>
      <c r="E1102" t="inlineStr">
        <is>
          <t>ussd_funeral_leads_altitude_20260619</t>
        </is>
      </c>
      <c r="J1102" t="inlineStr">
        <is>
          <t>NA</t>
        </is>
      </c>
      <c r="K1102" t="inlineStr">
        <is>
          <t>No Answer Autodial</t>
        </is>
      </c>
      <c r="L1102" t="n">
        <v>3</v>
      </c>
      <c r="M1102" t="inlineStr">
        <is>
          <t>2026-06-23 14:13:55</t>
        </is>
      </c>
      <c r="N1102" t="inlineStr">
        <is>
          <t>system</t>
        </is>
      </c>
      <c r="O1102" t="inlineStr">
        <is>
          <t>2026-06-19 07:10:32</t>
        </is>
      </c>
      <c r="P1102" t="inlineStr">
        <is>
          <t>2026-06-19 07:10:32</t>
        </is>
      </c>
      <c r="Y1102" t="inlineStr">
        <is>
          <t>27636402814</t>
        </is>
      </c>
    </row>
    <row r="1103">
      <c r="A1103" t="inlineStr">
        <is>
          <t>14947901</t>
        </is>
      </c>
      <c r="B1103" t="inlineStr">
        <is>
          <t>dd77d612-8b51-4172-a809-e521826a0810</t>
        </is>
      </c>
      <c r="D1103" t="inlineStr">
        <is>
          <t>30001087</t>
        </is>
      </c>
      <c r="E1103" t="inlineStr">
        <is>
          <t>ussd_funeral_leads_altitude_20260619</t>
        </is>
      </c>
      <c r="J1103" t="inlineStr">
        <is>
          <t>TDN</t>
        </is>
      </c>
      <c r="K1103" t="inlineStr">
        <is>
          <t>Temporary Disconnected Number</t>
        </is>
      </c>
      <c r="L1103" t="n">
        <v>3</v>
      </c>
      <c r="M1103" t="inlineStr">
        <is>
          <t>2026-06-23 14:13:55</t>
        </is>
      </c>
      <c r="N1103" t="inlineStr">
        <is>
          <t>system</t>
        </is>
      </c>
      <c r="O1103" t="inlineStr">
        <is>
          <t>2026-06-19 07:10:32</t>
        </is>
      </c>
      <c r="P1103" t="inlineStr">
        <is>
          <t>2026-06-19 07:10:32</t>
        </is>
      </c>
      <c r="Y1103" t="inlineStr">
        <is>
          <t>27607352996</t>
        </is>
      </c>
    </row>
    <row r="1104">
      <c r="A1104" t="inlineStr">
        <is>
          <t>14947902</t>
        </is>
      </c>
      <c r="B1104" t="inlineStr">
        <is>
          <t>bd4a34e2-86d5-4e9e-999d-acbfe7bde12d</t>
        </is>
      </c>
      <c r="D1104" t="inlineStr">
        <is>
          <t>30001087</t>
        </is>
      </c>
      <c r="E1104" t="inlineStr">
        <is>
          <t>ussd_funeral_leads_altitude_20260619</t>
        </is>
      </c>
      <c r="J1104" t="inlineStr">
        <is>
          <t>TDN</t>
        </is>
      </c>
      <c r="K1104" t="inlineStr">
        <is>
          <t>Temporary Disconnected Number</t>
        </is>
      </c>
      <c r="L1104" t="n">
        <v>3</v>
      </c>
      <c r="M1104" t="inlineStr">
        <is>
          <t>2026-06-23 14:13:55</t>
        </is>
      </c>
      <c r="N1104" t="inlineStr">
        <is>
          <t>system</t>
        </is>
      </c>
      <c r="O1104" t="inlineStr">
        <is>
          <t>2026-06-19 07:10:32</t>
        </is>
      </c>
      <c r="P1104" t="inlineStr">
        <is>
          <t>2026-06-19 07:10:32</t>
        </is>
      </c>
      <c r="Y1104" t="inlineStr">
        <is>
          <t>27607618235</t>
        </is>
      </c>
    </row>
    <row r="1105">
      <c r="A1105" t="inlineStr">
        <is>
          <t>14947903</t>
        </is>
      </c>
      <c r="B1105" t="inlineStr">
        <is>
          <t>d246cf52-d855-42e1-b301-228440bae8f8</t>
        </is>
      </c>
      <c r="D1105" t="inlineStr">
        <is>
          <t>30001087</t>
        </is>
      </c>
      <c r="E1105" t="inlineStr">
        <is>
          <t>ussd_funeral_leads_altitude_20260619</t>
        </is>
      </c>
      <c r="J1105" t="inlineStr">
        <is>
          <t>ADC</t>
        </is>
      </c>
      <c r="K1105" t="inlineStr">
        <is>
          <t>Auto Dial Disconnected</t>
        </is>
      </c>
      <c r="L1105" t="n">
        <v>3</v>
      </c>
      <c r="M1105" t="inlineStr">
        <is>
          <t>2026-06-23 14:13:55</t>
        </is>
      </c>
      <c r="N1105" t="inlineStr">
        <is>
          <t>system</t>
        </is>
      </c>
      <c r="O1105" t="inlineStr">
        <is>
          <t>2026-06-19 07:10:32</t>
        </is>
      </c>
      <c r="P1105" t="inlineStr">
        <is>
          <t>2026-06-19 07:10:32</t>
        </is>
      </c>
      <c r="Y1105" t="inlineStr">
        <is>
          <t>27711444889</t>
        </is>
      </c>
    </row>
    <row r="1106">
      <c r="A1106" t="inlineStr">
        <is>
          <t>14944132</t>
        </is>
      </c>
      <c r="B1106" t="inlineStr">
        <is>
          <t>2949bc0d-bc48-4fbb-957b-1d9c80ee7c1d</t>
        </is>
      </c>
      <c r="D1106" t="inlineStr">
        <is>
          <t>30001087</t>
        </is>
      </c>
      <c r="E1106" t="inlineStr">
        <is>
          <t>ussd_funeral_leads_altitude_20260619</t>
        </is>
      </c>
      <c r="J1106" t="inlineStr">
        <is>
          <t>ADC</t>
        </is>
      </c>
      <c r="K1106" t="inlineStr">
        <is>
          <t>Auto Dial Disconnected</t>
        </is>
      </c>
      <c r="L1106" t="n">
        <v>3</v>
      </c>
      <c r="M1106" t="inlineStr">
        <is>
          <t>2026-06-23 14:13:54</t>
        </is>
      </c>
      <c r="N1106" t="inlineStr">
        <is>
          <t>system</t>
        </is>
      </c>
      <c r="O1106" t="inlineStr">
        <is>
          <t>2026-06-19 07:10:32</t>
        </is>
      </c>
      <c r="P1106" t="inlineStr">
        <is>
          <t>2026-06-19 07:10:32</t>
        </is>
      </c>
      <c r="Y1106" t="inlineStr">
        <is>
          <t>27674873944</t>
        </is>
      </c>
    </row>
    <row r="1107">
      <c r="A1107" t="inlineStr">
        <is>
          <t>14944128</t>
        </is>
      </c>
      <c r="B1107" t="inlineStr">
        <is>
          <t>2f3e8669-dabf-4917-bddf-f2dc483bc441</t>
        </is>
      </c>
      <c r="D1107" t="inlineStr">
        <is>
          <t>30001087</t>
        </is>
      </c>
      <c r="E1107" t="inlineStr">
        <is>
          <t>ussd_funeral_leads_altitude_20260619</t>
        </is>
      </c>
      <c r="J1107" t="inlineStr">
        <is>
          <t>AE</t>
        </is>
      </c>
      <c r="K1107" t="inlineStr">
        <is>
          <t>Auto Engaged</t>
        </is>
      </c>
      <c r="L1107" t="n">
        <v>3</v>
      </c>
      <c r="M1107" t="inlineStr">
        <is>
          <t>2026-06-23 14:13:53</t>
        </is>
      </c>
      <c r="N1107" t="inlineStr">
        <is>
          <t>system</t>
        </is>
      </c>
      <c r="O1107" t="inlineStr">
        <is>
          <t>2026-06-19 07:10:32</t>
        </is>
      </c>
      <c r="P1107" t="inlineStr">
        <is>
          <t>2026-06-19 07:10:32</t>
        </is>
      </c>
      <c r="Y1107" t="inlineStr">
        <is>
          <t>27787834105</t>
        </is>
      </c>
    </row>
    <row r="1108">
      <c r="A1108" t="inlineStr">
        <is>
          <t>14944129</t>
        </is>
      </c>
      <c r="B1108" t="inlineStr">
        <is>
          <t>8efcc7b2-1779-4197-968d-66f4bbf9d920</t>
        </is>
      </c>
      <c r="D1108" t="inlineStr">
        <is>
          <t>30001087</t>
        </is>
      </c>
      <c r="E1108" t="inlineStr">
        <is>
          <t>ussd_funeral_leads_altitude_20260619</t>
        </is>
      </c>
      <c r="J1108" t="inlineStr">
        <is>
          <t>AA</t>
        </is>
      </c>
      <c r="K1108" t="inlineStr">
        <is>
          <t>Answering Machine Autodial</t>
        </is>
      </c>
      <c r="L1108" t="n">
        <v>3</v>
      </c>
      <c r="M1108" t="inlineStr">
        <is>
          <t>2026-06-23 14:13:53</t>
        </is>
      </c>
      <c r="N1108" t="inlineStr">
        <is>
          <t>system</t>
        </is>
      </c>
      <c r="O1108" t="inlineStr">
        <is>
          <t>2026-06-19 07:10:32</t>
        </is>
      </c>
      <c r="P1108" t="inlineStr">
        <is>
          <t>2026-06-19 07:10:32</t>
        </is>
      </c>
      <c r="Y1108" t="inlineStr">
        <is>
          <t>27721409439</t>
        </is>
      </c>
    </row>
    <row r="1109">
      <c r="A1109" t="inlineStr">
        <is>
          <t>14944131</t>
        </is>
      </c>
      <c r="B1109" t="inlineStr">
        <is>
          <t>04740b55-202f-4c3a-b35b-14547dc220ce</t>
        </is>
      </c>
      <c r="D1109" t="inlineStr">
        <is>
          <t>30001087</t>
        </is>
      </c>
      <c r="E1109" t="inlineStr">
        <is>
          <t>ussd_funeral_leads_altitude_20260619</t>
        </is>
      </c>
      <c r="J1109" t="inlineStr">
        <is>
          <t>AA</t>
        </is>
      </c>
      <c r="K1109" t="inlineStr">
        <is>
          <t>Answering Machine Autodial</t>
        </is>
      </c>
      <c r="L1109" t="n">
        <v>3</v>
      </c>
      <c r="M1109" t="inlineStr">
        <is>
          <t>2026-06-23 14:13:53</t>
        </is>
      </c>
      <c r="N1109" t="inlineStr">
        <is>
          <t>system</t>
        </is>
      </c>
      <c r="O1109" t="inlineStr">
        <is>
          <t>2026-06-19 07:10:32</t>
        </is>
      </c>
      <c r="P1109" t="inlineStr">
        <is>
          <t>2026-06-19 07:10:32</t>
        </is>
      </c>
      <c r="Y1109" t="inlineStr">
        <is>
          <t>27796087700</t>
        </is>
      </c>
    </row>
    <row r="1110">
      <c r="A1110" t="inlineStr">
        <is>
          <t>14944125</t>
        </is>
      </c>
      <c r="B1110" t="inlineStr">
        <is>
          <t>118ff08c-65bd-4d7b-95ec-1ac66b8f0c50</t>
        </is>
      </c>
      <c r="D1110" t="inlineStr">
        <is>
          <t>30001087</t>
        </is>
      </c>
      <c r="E1110" t="inlineStr">
        <is>
          <t>ussd_funeral_leads_altitude_20260619</t>
        </is>
      </c>
      <c r="J1110" t="inlineStr">
        <is>
          <t>ADC</t>
        </is>
      </c>
      <c r="K1110" t="inlineStr">
        <is>
          <t>Auto Dial Disconnected</t>
        </is>
      </c>
      <c r="L1110" t="n">
        <v>3</v>
      </c>
      <c r="M1110" t="inlineStr">
        <is>
          <t>2026-06-23 14:13:52</t>
        </is>
      </c>
      <c r="N1110" t="inlineStr">
        <is>
          <t>system</t>
        </is>
      </c>
      <c r="O1110" t="inlineStr">
        <is>
          <t>2026-06-19 07:10:32</t>
        </is>
      </c>
      <c r="P1110" t="inlineStr">
        <is>
          <t>2026-06-19 07:10:32</t>
        </is>
      </c>
      <c r="Y1110" t="inlineStr">
        <is>
          <t>27796717374</t>
        </is>
      </c>
    </row>
    <row r="1111">
      <c r="A1111" t="inlineStr">
        <is>
          <t>14944126</t>
        </is>
      </c>
      <c r="B1111" t="inlineStr">
        <is>
          <t>1c5a2d5a-8baf-4ae6-9c94-ac8579ed4611</t>
        </is>
      </c>
      <c r="D1111" t="inlineStr">
        <is>
          <t>30001087</t>
        </is>
      </c>
      <c r="E1111" t="inlineStr">
        <is>
          <t>ussd_funeral_leads_altitude_20260619</t>
        </is>
      </c>
      <c r="J1111" t="inlineStr">
        <is>
          <t>NA</t>
        </is>
      </c>
      <c r="K1111" t="inlineStr">
        <is>
          <t>No Answer Autodial</t>
        </is>
      </c>
      <c r="L1111" t="n">
        <v>3</v>
      </c>
      <c r="M1111" t="inlineStr">
        <is>
          <t>2026-06-23 14:13:52</t>
        </is>
      </c>
      <c r="N1111" t="inlineStr">
        <is>
          <t>system</t>
        </is>
      </c>
      <c r="O1111" t="inlineStr">
        <is>
          <t>2026-06-19 07:10:32</t>
        </is>
      </c>
      <c r="P1111" t="inlineStr">
        <is>
          <t>2026-06-19 07:10:32</t>
        </is>
      </c>
      <c r="Y1111" t="inlineStr">
        <is>
          <t>27794995896</t>
        </is>
      </c>
    </row>
    <row r="1112">
      <c r="A1112" t="inlineStr">
        <is>
          <t>14944122</t>
        </is>
      </c>
      <c r="B1112" t="inlineStr">
        <is>
          <t>a11ac6e7-94f7-4136-bf60-15c01dbc2649</t>
        </is>
      </c>
      <c r="D1112" t="inlineStr">
        <is>
          <t>30001087</t>
        </is>
      </c>
      <c r="E1112" t="inlineStr">
        <is>
          <t>ussd_funeral_leads_altitude_20260619</t>
        </is>
      </c>
      <c r="J1112" t="inlineStr">
        <is>
          <t>DC</t>
        </is>
      </c>
      <c r="K1112" t="inlineStr">
        <is>
          <t>Disconnected</t>
        </is>
      </c>
      <c r="L1112" t="n">
        <v>3</v>
      </c>
      <c r="M1112" t="inlineStr">
        <is>
          <t>2026-06-23 14:13:44</t>
        </is>
      </c>
      <c r="N1112" t="inlineStr">
        <is>
          <t>Virginia Letsatsi</t>
        </is>
      </c>
      <c r="O1112" t="inlineStr">
        <is>
          <t>2026-06-19 07:10:32</t>
        </is>
      </c>
      <c r="P1112" t="inlineStr">
        <is>
          <t>2026-06-19 07:10:32</t>
        </is>
      </c>
      <c r="Y1112" t="inlineStr">
        <is>
          <t>27661854656</t>
        </is>
      </c>
    </row>
    <row r="1113">
      <c r="A1113" t="inlineStr">
        <is>
          <t>14944123</t>
        </is>
      </c>
      <c r="B1113" t="inlineStr">
        <is>
          <t>9980781b-6139-4895-bd0b-8592fde98bc2</t>
        </is>
      </c>
      <c r="D1113" t="inlineStr">
        <is>
          <t>30001087</t>
        </is>
      </c>
      <c r="E1113" t="inlineStr">
        <is>
          <t>ussd_funeral_leads_altitude_20260619</t>
        </is>
      </c>
      <c r="J1113" t="inlineStr">
        <is>
          <t>AA</t>
        </is>
      </c>
      <c r="K1113" t="inlineStr">
        <is>
          <t>Answering Machine Autodial</t>
        </is>
      </c>
      <c r="L1113" t="n">
        <v>3</v>
      </c>
      <c r="M1113" t="inlineStr">
        <is>
          <t>2026-06-23 14:13:44</t>
        </is>
      </c>
      <c r="N1113" t="inlineStr">
        <is>
          <t>system</t>
        </is>
      </c>
      <c r="O1113" t="inlineStr">
        <is>
          <t>2026-06-19 07:10:32</t>
        </is>
      </c>
      <c r="P1113" t="inlineStr">
        <is>
          <t>2026-06-19 07:10:32</t>
        </is>
      </c>
      <c r="Y1113" t="inlineStr">
        <is>
          <t>27774009401</t>
        </is>
      </c>
    </row>
    <row r="1114">
      <c r="A1114" t="inlineStr">
        <is>
          <t>14944117</t>
        </is>
      </c>
      <c r="B1114" t="inlineStr">
        <is>
          <t>aa60bcd4-22d2-4f30-9ef3-3e43ae1625fa</t>
        </is>
      </c>
      <c r="D1114" t="inlineStr">
        <is>
          <t>30001087</t>
        </is>
      </c>
      <c r="E1114" t="inlineStr">
        <is>
          <t>ussd_funeral_leads_altitude_20260619</t>
        </is>
      </c>
      <c r="J1114" t="inlineStr">
        <is>
          <t>ADC</t>
        </is>
      </c>
      <c r="K1114" t="inlineStr">
        <is>
          <t>Auto Dial Disconnected</t>
        </is>
      </c>
      <c r="L1114" t="n">
        <v>3</v>
      </c>
      <c r="M1114" t="inlineStr">
        <is>
          <t>2026-06-23 14:13:23</t>
        </is>
      </c>
      <c r="N1114" t="inlineStr">
        <is>
          <t>system</t>
        </is>
      </c>
      <c r="O1114" t="inlineStr">
        <is>
          <t>2026-06-19 07:10:32</t>
        </is>
      </c>
      <c r="P1114" t="inlineStr">
        <is>
          <t>2026-06-19 07:10:32</t>
        </is>
      </c>
      <c r="Y1114" t="inlineStr">
        <is>
          <t>27794286234</t>
        </is>
      </c>
    </row>
    <row r="1115">
      <c r="A1115" t="inlineStr">
        <is>
          <t>14944118</t>
        </is>
      </c>
      <c r="B1115" t="inlineStr">
        <is>
          <t>1dad6161-b2fa-431d-bacc-7736ced7a8e0</t>
        </is>
      </c>
      <c r="D1115" t="inlineStr">
        <is>
          <t>30001087</t>
        </is>
      </c>
      <c r="E1115" t="inlineStr">
        <is>
          <t>ussd_funeral_leads_altitude_20260619</t>
        </is>
      </c>
      <c r="J1115" t="inlineStr">
        <is>
          <t>AA</t>
        </is>
      </c>
      <c r="K1115" t="inlineStr">
        <is>
          <t>Answering Machine Autodial</t>
        </is>
      </c>
      <c r="L1115" t="n">
        <v>3</v>
      </c>
      <c r="M1115" t="inlineStr">
        <is>
          <t>2026-06-23 14:13:23</t>
        </is>
      </c>
      <c r="N1115" t="inlineStr">
        <is>
          <t>system</t>
        </is>
      </c>
      <c r="O1115" t="inlineStr">
        <is>
          <t>2026-06-19 07:10:32</t>
        </is>
      </c>
      <c r="P1115" t="inlineStr">
        <is>
          <t>2026-06-19 07:10:32</t>
        </is>
      </c>
      <c r="Y1115" t="inlineStr">
        <is>
          <t>27724412222</t>
        </is>
      </c>
    </row>
    <row r="1116">
      <c r="A1116" t="inlineStr">
        <is>
          <t>14944119</t>
        </is>
      </c>
      <c r="B1116" t="inlineStr">
        <is>
          <t>19338215-8a2c-408e-9b7d-fa7f79644d31</t>
        </is>
      </c>
      <c r="D1116" t="inlineStr">
        <is>
          <t>30001087</t>
        </is>
      </c>
      <c r="E1116" t="inlineStr">
        <is>
          <t>ussd_funeral_leads_altitude_20260619</t>
        </is>
      </c>
      <c r="J1116" t="inlineStr">
        <is>
          <t>AA</t>
        </is>
      </c>
      <c r="K1116" t="inlineStr">
        <is>
          <t>Answering Machine Autodial</t>
        </is>
      </c>
      <c r="L1116" t="n">
        <v>3</v>
      </c>
      <c r="M1116" t="inlineStr">
        <is>
          <t>2026-06-23 14:13:23</t>
        </is>
      </c>
      <c r="N1116" t="inlineStr">
        <is>
          <t>system</t>
        </is>
      </c>
      <c r="O1116" t="inlineStr">
        <is>
          <t>2026-06-19 07:10:32</t>
        </is>
      </c>
      <c r="P1116" t="inlineStr">
        <is>
          <t>2026-06-19 07:10:32</t>
        </is>
      </c>
      <c r="Y1116" t="inlineStr">
        <is>
          <t>27818387752</t>
        </is>
      </c>
    </row>
    <row r="1117">
      <c r="A1117" t="inlineStr">
        <is>
          <t>14944121</t>
        </is>
      </c>
      <c r="B1117" t="inlineStr">
        <is>
          <t>ac13c831-f2bc-4798-bf50-541e5df42dc6</t>
        </is>
      </c>
      <c r="D1117" t="inlineStr">
        <is>
          <t>30001087</t>
        </is>
      </c>
      <c r="E1117" t="inlineStr">
        <is>
          <t>ussd_funeral_leads_altitude_20260619</t>
        </is>
      </c>
      <c r="J1117" t="inlineStr">
        <is>
          <t>NI</t>
        </is>
      </c>
      <c r="K1117" t="inlineStr">
        <is>
          <t>Not Interested</t>
        </is>
      </c>
      <c r="L1117" t="n">
        <v>3</v>
      </c>
      <c r="M1117" t="inlineStr">
        <is>
          <t>2026-06-23 14:13:23</t>
        </is>
      </c>
      <c r="N1117" t="inlineStr">
        <is>
          <t>Goitsimang Mogwasa</t>
        </is>
      </c>
      <c r="O1117" t="inlineStr">
        <is>
          <t>2026-06-19 07:10:32</t>
        </is>
      </c>
      <c r="P1117" t="inlineStr">
        <is>
          <t>2026-06-19 07:10:32</t>
        </is>
      </c>
      <c r="Y1117" t="inlineStr">
        <is>
          <t>27713513938</t>
        </is>
      </c>
    </row>
    <row r="1118">
      <c r="A1118" t="inlineStr">
        <is>
          <t>14948115</t>
        </is>
      </c>
      <c r="B1118" t="inlineStr">
        <is>
          <t>a11cbf54-14c6-4935-ab45-a13c37f80d20</t>
        </is>
      </c>
      <c r="D1118" t="inlineStr">
        <is>
          <t>30001087</t>
        </is>
      </c>
      <c r="E1118" t="inlineStr">
        <is>
          <t>ussd_funeral_leads_altitude_20260619</t>
        </is>
      </c>
      <c r="J1118" t="inlineStr">
        <is>
          <t>A</t>
        </is>
      </c>
      <c r="K1118" t="inlineStr">
        <is>
          <t>Answering Machine</t>
        </is>
      </c>
      <c r="L1118" t="n">
        <v>3</v>
      </c>
      <c r="M1118" t="inlineStr">
        <is>
          <t>2026-06-23 14:13:23</t>
        </is>
      </c>
      <c r="N1118" t="inlineStr">
        <is>
          <t>Dimakatso Nkomo</t>
        </is>
      </c>
      <c r="O1118" t="inlineStr">
        <is>
          <t>2026-06-19 07:10:32</t>
        </is>
      </c>
      <c r="P1118" t="inlineStr">
        <is>
          <t>2026-06-19 07:10:32</t>
        </is>
      </c>
      <c r="Y1118" t="inlineStr">
        <is>
          <t>27714419070</t>
        </is>
      </c>
    </row>
    <row r="1119">
      <c r="A1119" t="inlineStr">
        <is>
          <t>14944116</t>
        </is>
      </c>
      <c r="B1119" t="inlineStr">
        <is>
          <t>9ec2fd8b-a8bd-4b1d-b7c1-bf0c50a23d6d</t>
        </is>
      </c>
      <c r="D1119" t="inlineStr">
        <is>
          <t>30001087</t>
        </is>
      </c>
      <c r="E1119" t="inlineStr">
        <is>
          <t>ussd_funeral_leads_altitude_20260619</t>
        </is>
      </c>
      <c r="J1119" t="inlineStr">
        <is>
          <t>CU</t>
        </is>
      </c>
      <c r="K1119" t="inlineStr">
        <is>
          <t>Client Hung Up</t>
        </is>
      </c>
      <c r="L1119" t="n">
        <v>3</v>
      </c>
      <c r="M1119" t="inlineStr">
        <is>
          <t>2026-06-23 14:12:58</t>
        </is>
      </c>
      <c r="N1119" t="inlineStr">
        <is>
          <t>Virginia Letsatsi</t>
        </is>
      </c>
      <c r="O1119" t="inlineStr">
        <is>
          <t>2026-06-19 07:10:32</t>
        </is>
      </c>
      <c r="P1119" t="inlineStr">
        <is>
          <t>2026-06-19 07:10:32</t>
        </is>
      </c>
      <c r="Y1119" t="inlineStr">
        <is>
          <t>27608669458</t>
        </is>
      </c>
    </row>
    <row r="1120">
      <c r="A1120" t="inlineStr">
        <is>
          <t>14944573</t>
        </is>
      </c>
      <c r="B1120" t="inlineStr">
        <is>
          <t>631b7b70-eee7-47b2-b717-2db36811b2b4</t>
        </is>
      </c>
      <c r="D1120" t="inlineStr">
        <is>
          <t>30001087</t>
        </is>
      </c>
      <c r="E1120" t="inlineStr">
        <is>
          <t>ussd_funeral_leads_altitude_20260619</t>
        </is>
      </c>
      <c r="H1120" t="inlineStr">
        <is>
          <t>27662062107</t>
        </is>
      </c>
      <c r="J1120" t="inlineStr">
        <is>
          <t>CU</t>
        </is>
      </c>
      <c r="K1120" t="inlineStr">
        <is>
          <t>Client Hung Up</t>
        </is>
      </c>
      <c r="L1120" t="n">
        <v>3</v>
      </c>
      <c r="M1120" t="inlineStr">
        <is>
          <t>2026-06-23 14:12:58</t>
        </is>
      </c>
      <c r="N1120" t="inlineStr">
        <is>
          <t>Lebohang Mabotja</t>
        </is>
      </c>
      <c r="O1120" t="inlineStr">
        <is>
          <t>2026-06-19 07:10:32</t>
        </is>
      </c>
      <c r="P1120" t="inlineStr">
        <is>
          <t>2026-06-19 07:10:32</t>
        </is>
      </c>
      <c r="Y1120" t="inlineStr">
        <is>
          <t>27662062107</t>
        </is>
      </c>
    </row>
    <row r="1121">
      <c r="A1121" t="inlineStr">
        <is>
          <t>14944115</t>
        </is>
      </c>
      <c r="B1121" t="inlineStr">
        <is>
          <t>6ecbcb18-c2f6-4c48-9aa6-966a52d295c8</t>
        </is>
      </c>
      <c r="D1121" t="inlineStr">
        <is>
          <t>30001087</t>
        </is>
      </c>
      <c r="E1121" t="inlineStr">
        <is>
          <t>ussd_funeral_leads_altitude_20260619</t>
        </is>
      </c>
      <c r="J1121" t="inlineStr">
        <is>
          <t>NA</t>
        </is>
      </c>
      <c r="K1121" t="inlineStr">
        <is>
          <t>No Answer Autodial</t>
        </is>
      </c>
      <c r="L1121" t="n">
        <v>3</v>
      </c>
      <c r="M1121" t="inlineStr">
        <is>
          <t>2026-06-23 14:12:55</t>
        </is>
      </c>
      <c r="N1121" t="inlineStr">
        <is>
          <t>system</t>
        </is>
      </c>
      <c r="O1121" t="inlineStr">
        <is>
          <t>2026-06-19 07:10:32</t>
        </is>
      </c>
      <c r="P1121" t="inlineStr">
        <is>
          <t>2026-06-19 07:10:32</t>
        </is>
      </c>
      <c r="Y1121" t="inlineStr">
        <is>
          <t>27663072990</t>
        </is>
      </c>
    </row>
    <row r="1122">
      <c r="A1122" t="inlineStr">
        <is>
          <t>14944112</t>
        </is>
      </c>
      <c r="B1122" t="inlineStr">
        <is>
          <t>cd79b817-3cc4-408b-aab0-f917b6be1acf</t>
        </is>
      </c>
      <c r="D1122" t="inlineStr">
        <is>
          <t>30001087</t>
        </is>
      </c>
      <c r="E1122" t="inlineStr">
        <is>
          <t>ussd_funeral_leads_altitude_20260619</t>
        </is>
      </c>
      <c r="J1122" t="inlineStr">
        <is>
          <t>NA</t>
        </is>
      </c>
      <c r="K1122" t="inlineStr">
        <is>
          <t>No Answer Autodial</t>
        </is>
      </c>
      <c r="L1122" t="n">
        <v>3</v>
      </c>
      <c r="M1122" t="inlineStr">
        <is>
          <t>2026-06-23 14:12:52</t>
        </is>
      </c>
      <c r="N1122" t="inlineStr">
        <is>
          <t>system</t>
        </is>
      </c>
      <c r="O1122" t="inlineStr">
        <is>
          <t>2026-06-19 07:10:32</t>
        </is>
      </c>
      <c r="P1122" t="inlineStr">
        <is>
          <t>2026-06-19 07:10:32</t>
        </is>
      </c>
      <c r="Y1122" t="inlineStr">
        <is>
          <t>27760474121</t>
        </is>
      </c>
    </row>
    <row r="1123">
      <c r="A1123" t="inlineStr">
        <is>
          <t>14944114</t>
        </is>
      </c>
      <c r="B1123" t="inlineStr">
        <is>
          <t>81749319-6fbe-4797-8cb0-981acb16febd</t>
        </is>
      </c>
      <c r="D1123" t="inlineStr">
        <is>
          <t>30001087</t>
        </is>
      </c>
      <c r="E1123" t="inlineStr">
        <is>
          <t>ussd_funeral_leads_altitude_20260619</t>
        </is>
      </c>
      <c r="J1123" t="inlineStr">
        <is>
          <t>AA</t>
        </is>
      </c>
      <c r="K1123" t="inlineStr">
        <is>
          <t>Answering Machine Autodial</t>
        </is>
      </c>
      <c r="L1123" t="n">
        <v>3</v>
      </c>
      <c r="M1123" t="inlineStr">
        <is>
          <t>2026-06-23 14:12:52</t>
        </is>
      </c>
      <c r="N1123" t="inlineStr">
        <is>
          <t>system</t>
        </is>
      </c>
      <c r="O1123" t="inlineStr">
        <is>
          <t>2026-06-19 07:10:32</t>
        </is>
      </c>
      <c r="P1123" t="inlineStr">
        <is>
          <t>2026-06-19 07:10:32</t>
        </is>
      </c>
      <c r="Y1123" t="inlineStr">
        <is>
          <t>27725983833</t>
        </is>
      </c>
    </row>
    <row r="1124">
      <c r="A1124" t="inlineStr">
        <is>
          <t>14947905</t>
        </is>
      </c>
      <c r="B1124" t="inlineStr">
        <is>
          <t>35ec971d-afd1-4519-a264-37aa10a9a21e</t>
        </is>
      </c>
      <c r="D1124" t="inlineStr">
        <is>
          <t>30001087</t>
        </is>
      </c>
      <c r="E1124" t="inlineStr">
        <is>
          <t>ussd_funeral_leads_altitude_20260619</t>
        </is>
      </c>
      <c r="J1124" t="inlineStr">
        <is>
          <t>AA</t>
        </is>
      </c>
      <c r="K1124" t="inlineStr">
        <is>
          <t>Answering Machine Autodial</t>
        </is>
      </c>
      <c r="L1124" t="n">
        <v>3</v>
      </c>
      <c r="M1124" t="inlineStr">
        <is>
          <t>2026-06-23 14:12:18</t>
        </is>
      </c>
      <c r="N1124" t="inlineStr">
        <is>
          <t>system</t>
        </is>
      </c>
      <c r="O1124" t="inlineStr">
        <is>
          <t>2026-06-19 07:10:32</t>
        </is>
      </c>
      <c r="P1124" t="inlineStr">
        <is>
          <t>2026-06-19 07:10:32</t>
        </is>
      </c>
      <c r="Y1124" t="inlineStr">
        <is>
          <t>27725443084</t>
        </is>
      </c>
    </row>
    <row r="1125">
      <c r="A1125" t="inlineStr">
        <is>
          <t>14900000</t>
        </is>
      </c>
      <c r="B1125" t="inlineStr">
        <is>
          <t>e1102b82-1938-4d55-bc2f-ca95f54d52d4</t>
        </is>
      </c>
      <c r="D1125" t="inlineStr">
        <is>
          <t>30001087</t>
        </is>
      </c>
      <c r="E1125" t="inlineStr">
        <is>
          <t>ussd_funeral_leads_altitude_20260619</t>
        </is>
      </c>
      <c r="J1125" t="inlineStr">
        <is>
          <t>TDN</t>
        </is>
      </c>
      <c r="K1125" t="inlineStr">
        <is>
          <t>Temporary Disconnected Number</t>
        </is>
      </c>
      <c r="L1125" t="n">
        <v>3</v>
      </c>
      <c r="M1125" t="inlineStr">
        <is>
          <t>2026-06-23 14:12:17</t>
        </is>
      </c>
      <c r="N1125" t="inlineStr">
        <is>
          <t>system</t>
        </is>
      </c>
      <c r="O1125" t="inlineStr">
        <is>
          <t>2026-06-19 07:10:32</t>
        </is>
      </c>
      <c r="P1125" t="inlineStr">
        <is>
          <t>2026-06-19 07:10:32</t>
        </is>
      </c>
      <c r="Y1125" t="inlineStr">
        <is>
          <t>27767000402</t>
        </is>
      </c>
    </row>
    <row r="1126">
      <c r="A1126" t="inlineStr">
        <is>
          <t>14947906</t>
        </is>
      </c>
      <c r="B1126" t="inlineStr">
        <is>
          <t>438cde38-a69e-4cac-8e7d-e3eb6f96c5cf</t>
        </is>
      </c>
      <c r="D1126" t="inlineStr">
        <is>
          <t>30001087</t>
        </is>
      </c>
      <c r="E1126" t="inlineStr">
        <is>
          <t>ussd_funeral_leads_altitude_20260619</t>
        </is>
      </c>
      <c r="J1126" t="inlineStr">
        <is>
          <t>CU</t>
        </is>
      </c>
      <c r="K1126" t="inlineStr">
        <is>
          <t>Client Hung Up</t>
        </is>
      </c>
      <c r="L1126" t="n">
        <v>3</v>
      </c>
      <c r="M1126" t="inlineStr">
        <is>
          <t>2026-06-23 14:12:14</t>
        </is>
      </c>
      <c r="N1126" t="inlineStr">
        <is>
          <t>Virginia Letsatsi</t>
        </is>
      </c>
      <c r="O1126" t="inlineStr">
        <is>
          <t>2026-06-19 07:10:32</t>
        </is>
      </c>
      <c r="P1126" t="inlineStr">
        <is>
          <t>2026-06-19 07:10:32</t>
        </is>
      </c>
      <c r="Y1126" t="inlineStr">
        <is>
          <t>27716886786</t>
        </is>
      </c>
    </row>
    <row r="1127">
      <c r="A1127" t="inlineStr">
        <is>
          <t>14947907</t>
        </is>
      </c>
      <c r="B1127" t="inlineStr">
        <is>
          <t>5c592c0b-68c8-488d-8ce3-d2f01888cf8e</t>
        </is>
      </c>
      <c r="D1127" t="inlineStr">
        <is>
          <t>30001087</t>
        </is>
      </c>
      <c r="E1127" t="inlineStr">
        <is>
          <t>ussd_funeral_leads_altitude_20260619</t>
        </is>
      </c>
      <c r="J1127" t="inlineStr">
        <is>
          <t>CU</t>
        </is>
      </c>
      <c r="K1127" t="inlineStr">
        <is>
          <t>Client Hung Up</t>
        </is>
      </c>
      <c r="L1127" t="n">
        <v>3</v>
      </c>
      <c r="M1127" t="inlineStr">
        <is>
          <t>2026-06-23 14:12:14</t>
        </is>
      </c>
      <c r="N1127" t="inlineStr">
        <is>
          <t>Lebohang Mabotja</t>
        </is>
      </c>
      <c r="O1127" t="inlineStr">
        <is>
          <t>2026-06-19 07:10:32</t>
        </is>
      </c>
      <c r="P1127" t="inlineStr">
        <is>
          <t>2026-06-19 07:10:32</t>
        </is>
      </c>
      <c r="Y1127" t="inlineStr">
        <is>
          <t>27637991898</t>
        </is>
      </c>
    </row>
    <row r="1128">
      <c r="A1128" t="inlineStr">
        <is>
          <t>14947908</t>
        </is>
      </c>
      <c r="B1128" t="inlineStr">
        <is>
          <t>fda410c2-fe94-444a-9940-acb4039e9999</t>
        </is>
      </c>
      <c r="D1128" t="inlineStr">
        <is>
          <t>30001087</t>
        </is>
      </c>
      <c r="E1128" t="inlineStr">
        <is>
          <t>ussd_funeral_leads_altitude_20260619</t>
        </is>
      </c>
      <c r="J1128" t="inlineStr">
        <is>
          <t>AA</t>
        </is>
      </c>
      <c r="K1128" t="inlineStr">
        <is>
          <t>Answering Machine Autodial</t>
        </is>
      </c>
      <c r="L1128" t="n">
        <v>3</v>
      </c>
      <c r="M1128" t="inlineStr">
        <is>
          <t>2026-06-23 14:12:13</t>
        </is>
      </c>
      <c r="N1128" t="inlineStr">
        <is>
          <t>system</t>
        </is>
      </c>
      <c r="O1128" t="inlineStr">
        <is>
          <t>2026-06-19 07:10:32</t>
        </is>
      </c>
      <c r="P1128" t="inlineStr">
        <is>
          <t>2026-06-19 07:10:32</t>
        </is>
      </c>
      <c r="Y1128" t="inlineStr">
        <is>
          <t>27797285434</t>
        </is>
      </c>
    </row>
    <row r="1129">
      <c r="A1129" t="inlineStr">
        <is>
          <t>14947909</t>
        </is>
      </c>
      <c r="B1129" t="inlineStr">
        <is>
          <t>0e96a363-5733-4337-9cc9-b8037a5e54b4</t>
        </is>
      </c>
      <c r="D1129" t="inlineStr">
        <is>
          <t>30001087</t>
        </is>
      </c>
      <c r="E1129" t="inlineStr">
        <is>
          <t>ussd_funeral_leads_altitude_20260619</t>
        </is>
      </c>
      <c r="J1129" t="inlineStr">
        <is>
          <t>NA</t>
        </is>
      </c>
      <c r="K1129" t="inlineStr">
        <is>
          <t>No Answer Autodial</t>
        </is>
      </c>
      <c r="L1129" t="n">
        <v>3</v>
      </c>
      <c r="M1129" t="inlineStr">
        <is>
          <t>2026-06-23 14:12:13</t>
        </is>
      </c>
      <c r="N1129" t="inlineStr">
        <is>
          <t>system</t>
        </is>
      </c>
      <c r="O1129" t="inlineStr">
        <is>
          <t>2026-06-19 07:10:32</t>
        </is>
      </c>
      <c r="P1129" t="inlineStr">
        <is>
          <t>2026-06-19 07:10:32</t>
        </is>
      </c>
      <c r="Y1129" t="inlineStr">
        <is>
          <t>27820834874</t>
        </is>
      </c>
    </row>
    <row r="1130">
      <c r="A1130" t="inlineStr">
        <is>
          <t>14947910</t>
        </is>
      </c>
      <c r="B1130" t="inlineStr">
        <is>
          <t>2d535d30-fd42-41fa-8113-b12450c8fc79</t>
        </is>
      </c>
      <c r="D1130" t="inlineStr">
        <is>
          <t>30001087</t>
        </is>
      </c>
      <c r="E1130" t="inlineStr">
        <is>
          <t>ussd_funeral_leads_altitude_20260619</t>
        </is>
      </c>
      <c r="J1130" t="inlineStr">
        <is>
          <t>AA</t>
        </is>
      </c>
      <c r="K1130" t="inlineStr">
        <is>
          <t>Answering Machine Autodial</t>
        </is>
      </c>
      <c r="L1130" t="n">
        <v>3</v>
      </c>
      <c r="M1130" t="inlineStr">
        <is>
          <t>2026-06-23 14:12:13</t>
        </is>
      </c>
      <c r="N1130" t="inlineStr">
        <is>
          <t>system</t>
        </is>
      </c>
      <c r="O1130" t="inlineStr">
        <is>
          <t>2026-06-19 07:10:32</t>
        </is>
      </c>
      <c r="P1130" t="inlineStr">
        <is>
          <t>2026-06-19 07:10:32</t>
        </is>
      </c>
      <c r="Y1130" t="inlineStr">
        <is>
          <t>27763051132</t>
        </is>
      </c>
    </row>
    <row r="1131">
      <c r="A1131" t="inlineStr">
        <is>
          <t>14947912</t>
        </is>
      </c>
      <c r="B1131" t="inlineStr">
        <is>
          <t>0eb193ba-7cdb-4c88-8dc3-1ef4cc25fd8e</t>
        </is>
      </c>
      <c r="D1131" t="inlineStr">
        <is>
          <t>30001087</t>
        </is>
      </c>
      <c r="E1131" t="inlineStr">
        <is>
          <t>ussd_funeral_leads_altitude_20260619</t>
        </is>
      </c>
      <c r="J1131" t="inlineStr">
        <is>
          <t>TDN</t>
        </is>
      </c>
      <c r="K1131" t="inlineStr">
        <is>
          <t>Temporary Disconnected Number</t>
        </is>
      </c>
      <c r="L1131" t="n">
        <v>3</v>
      </c>
      <c r="M1131" t="inlineStr">
        <is>
          <t>2026-06-23 14:12:10</t>
        </is>
      </c>
      <c r="N1131" t="inlineStr">
        <is>
          <t>system</t>
        </is>
      </c>
      <c r="O1131" t="inlineStr">
        <is>
          <t>2026-06-19 07:10:32</t>
        </is>
      </c>
      <c r="P1131" t="inlineStr">
        <is>
          <t>2026-06-19 07:10:32</t>
        </is>
      </c>
      <c r="Y1131" t="inlineStr">
        <is>
          <t>27716677402</t>
        </is>
      </c>
    </row>
    <row r="1132">
      <c r="A1132" t="inlineStr">
        <is>
          <t>14947913</t>
        </is>
      </c>
      <c r="B1132" t="inlineStr">
        <is>
          <t>3de506eb-3fdb-4ddb-9e7c-9915b681e588</t>
        </is>
      </c>
      <c r="D1132" t="inlineStr">
        <is>
          <t>30001087</t>
        </is>
      </c>
      <c r="E1132" t="inlineStr">
        <is>
          <t>ussd_funeral_leads_altitude_20260619</t>
        </is>
      </c>
      <c r="J1132" t="inlineStr">
        <is>
          <t>A</t>
        </is>
      </c>
      <c r="K1132" t="inlineStr">
        <is>
          <t>Answering Machine</t>
        </is>
      </c>
      <c r="L1132" t="n">
        <v>3</v>
      </c>
      <c r="M1132" t="inlineStr">
        <is>
          <t>2026-06-23 14:11:55</t>
        </is>
      </c>
      <c r="N1132" t="inlineStr">
        <is>
          <t>Lebohang Mabotja</t>
        </is>
      </c>
      <c r="O1132" t="inlineStr">
        <is>
          <t>2026-06-19 07:10:32</t>
        </is>
      </c>
      <c r="P1132" t="inlineStr">
        <is>
          <t>2026-06-19 07:10:32</t>
        </is>
      </c>
      <c r="Y1132" t="inlineStr">
        <is>
          <t>27763424735</t>
        </is>
      </c>
    </row>
    <row r="1133">
      <c r="A1133" t="inlineStr">
        <is>
          <t>14900000</t>
        </is>
      </c>
      <c r="B1133" t="inlineStr">
        <is>
          <t>9e766feb-bde3-45ed-b067-8fb13b6712d0</t>
        </is>
      </c>
      <c r="D1133" t="inlineStr">
        <is>
          <t>30001087</t>
        </is>
      </c>
      <c r="E1133" t="inlineStr">
        <is>
          <t>ussd_funeral_leads_altitude_20260619</t>
        </is>
      </c>
      <c r="J1133" t="inlineStr">
        <is>
          <t>ADC</t>
        </is>
      </c>
      <c r="K1133" t="inlineStr">
        <is>
          <t>Auto Dial Disconnected</t>
        </is>
      </c>
      <c r="L1133" t="n">
        <v>3</v>
      </c>
      <c r="M1133" t="inlineStr">
        <is>
          <t>2026-06-23 14:11:55</t>
        </is>
      </c>
      <c r="N1133" t="inlineStr">
        <is>
          <t>system</t>
        </is>
      </c>
      <c r="O1133" t="inlineStr">
        <is>
          <t>2026-06-19 07:10:32</t>
        </is>
      </c>
      <c r="P1133" t="inlineStr">
        <is>
          <t>2026-06-19 07:10:32</t>
        </is>
      </c>
      <c r="Y1133" t="inlineStr">
        <is>
          <t>27774895838</t>
        </is>
      </c>
    </row>
    <row r="1134">
      <c r="A1134" t="inlineStr">
        <is>
          <t>14947915</t>
        </is>
      </c>
      <c r="B1134" t="inlineStr">
        <is>
          <t>1697d5b0-0923-45b7-8348-9ad1bc76669f</t>
        </is>
      </c>
      <c r="D1134" t="inlineStr">
        <is>
          <t>30001087</t>
        </is>
      </c>
      <c r="E1134" t="inlineStr">
        <is>
          <t>ussd_funeral_leads_altitude_20260619</t>
        </is>
      </c>
      <c r="J1134" t="inlineStr">
        <is>
          <t>NA</t>
        </is>
      </c>
      <c r="K1134" t="inlineStr">
        <is>
          <t>No Answer Autodial</t>
        </is>
      </c>
      <c r="L1134" t="n">
        <v>3</v>
      </c>
      <c r="M1134" t="inlineStr">
        <is>
          <t>2026-06-23 14:11:54</t>
        </is>
      </c>
      <c r="N1134" t="inlineStr">
        <is>
          <t>system</t>
        </is>
      </c>
      <c r="O1134" t="inlineStr">
        <is>
          <t>2026-06-19 07:10:32</t>
        </is>
      </c>
      <c r="P1134" t="inlineStr">
        <is>
          <t>2026-06-19 07:10:32</t>
        </is>
      </c>
      <c r="Y1134" t="inlineStr">
        <is>
          <t>27715754818</t>
        </is>
      </c>
    </row>
    <row r="1135">
      <c r="A1135" t="inlineStr">
        <is>
          <t>14947917</t>
        </is>
      </c>
      <c r="B1135" t="inlineStr">
        <is>
          <t>6e2adafe-2c6a-49f9-a177-f4f74042a1d5</t>
        </is>
      </c>
      <c r="D1135" t="inlineStr">
        <is>
          <t>30001087</t>
        </is>
      </c>
      <c r="E1135" t="inlineStr">
        <is>
          <t>ussd_funeral_leads_altitude_20260619</t>
        </is>
      </c>
      <c r="J1135" t="inlineStr">
        <is>
          <t>ADC</t>
        </is>
      </c>
      <c r="K1135" t="inlineStr">
        <is>
          <t>Auto Dial Disconnected</t>
        </is>
      </c>
      <c r="L1135" t="n">
        <v>3</v>
      </c>
      <c r="M1135" t="inlineStr">
        <is>
          <t>2026-06-23 14:11:54</t>
        </is>
      </c>
      <c r="N1135" t="inlineStr">
        <is>
          <t>system</t>
        </is>
      </c>
      <c r="O1135" t="inlineStr">
        <is>
          <t>2026-06-19 07:10:32</t>
        </is>
      </c>
      <c r="P1135" t="inlineStr">
        <is>
          <t>2026-06-19 07:10:32</t>
        </is>
      </c>
      <c r="Y1135" t="inlineStr">
        <is>
          <t>27606373294</t>
        </is>
      </c>
    </row>
    <row r="1136">
      <c r="A1136" t="inlineStr">
        <is>
          <t>14947918</t>
        </is>
      </c>
      <c r="B1136" t="inlineStr">
        <is>
          <t>4c66f2a6-9776-49d6-a0dc-25d3e1a025dc</t>
        </is>
      </c>
      <c r="D1136" t="inlineStr">
        <is>
          <t>30001087</t>
        </is>
      </c>
      <c r="E1136" t="inlineStr">
        <is>
          <t>ussd_funeral_leads_altitude_20260619</t>
        </is>
      </c>
      <c r="J1136" t="inlineStr">
        <is>
          <t>AA</t>
        </is>
      </c>
      <c r="K1136" t="inlineStr">
        <is>
          <t>Answering Machine Autodial</t>
        </is>
      </c>
      <c r="L1136" t="n">
        <v>3</v>
      </c>
      <c r="M1136" t="inlineStr">
        <is>
          <t>2026-06-23 14:11:54</t>
        </is>
      </c>
      <c r="N1136" t="inlineStr">
        <is>
          <t>system</t>
        </is>
      </c>
      <c r="O1136" t="inlineStr">
        <is>
          <t>2026-06-19 07:10:32</t>
        </is>
      </c>
      <c r="P1136" t="inlineStr">
        <is>
          <t>2026-06-19 07:10:32</t>
        </is>
      </c>
      <c r="Y1136" t="inlineStr">
        <is>
          <t>27763398084</t>
        </is>
      </c>
    </row>
    <row r="1137">
      <c r="A1137" t="inlineStr">
        <is>
          <t>14947919</t>
        </is>
      </c>
      <c r="B1137" t="inlineStr">
        <is>
          <t>7e6d6c55-df20-4339-8259-69d321d4149c</t>
        </is>
      </c>
      <c r="D1137" t="inlineStr">
        <is>
          <t>30001087</t>
        </is>
      </c>
      <c r="E1137" t="inlineStr">
        <is>
          <t>ussd_funeral_leads_altitude_20260619</t>
        </is>
      </c>
      <c r="J1137" t="inlineStr">
        <is>
          <t>CU</t>
        </is>
      </c>
      <c r="K1137" t="inlineStr">
        <is>
          <t>Client Hung Up</t>
        </is>
      </c>
      <c r="L1137" t="n">
        <v>3</v>
      </c>
      <c r="M1137" t="inlineStr">
        <is>
          <t>2026-06-23 14:11:54</t>
        </is>
      </c>
      <c r="N1137" t="inlineStr">
        <is>
          <t>Dimakatso Nkomo</t>
        </is>
      </c>
      <c r="O1137" t="inlineStr">
        <is>
          <t>2026-06-19 07:10:32</t>
        </is>
      </c>
      <c r="P1137" t="inlineStr">
        <is>
          <t>2026-06-19 07:10:32</t>
        </is>
      </c>
      <c r="Y1137" t="inlineStr">
        <is>
          <t>27797306137</t>
        </is>
      </c>
    </row>
    <row r="1138">
      <c r="A1138" t="inlineStr">
        <is>
          <t>14947920</t>
        </is>
      </c>
      <c r="B1138" t="inlineStr">
        <is>
          <t>81349fb7-6543-4087-8a52-d78f2192d6bd</t>
        </is>
      </c>
      <c r="D1138" t="inlineStr">
        <is>
          <t>30001087</t>
        </is>
      </c>
      <c r="E1138" t="inlineStr">
        <is>
          <t>ussd_funeral_leads_altitude_20260619</t>
        </is>
      </c>
      <c r="J1138" t="inlineStr">
        <is>
          <t>AA</t>
        </is>
      </c>
      <c r="K1138" t="inlineStr">
        <is>
          <t>Answering Machine Autodial</t>
        </is>
      </c>
      <c r="L1138" t="n">
        <v>3</v>
      </c>
      <c r="M1138" t="inlineStr">
        <is>
          <t>2026-06-23 14:11:53</t>
        </is>
      </c>
      <c r="N1138" t="inlineStr">
        <is>
          <t>system</t>
        </is>
      </c>
      <c r="O1138" t="inlineStr">
        <is>
          <t>2026-06-19 07:10:32</t>
        </is>
      </c>
      <c r="P1138" t="inlineStr">
        <is>
          <t>2026-06-19 07:10:32</t>
        </is>
      </c>
      <c r="Y1138" t="inlineStr">
        <is>
          <t>27711114521</t>
        </is>
      </c>
    </row>
    <row r="1139">
      <c r="A1139" t="inlineStr">
        <is>
          <t>14947921</t>
        </is>
      </c>
      <c r="B1139" t="inlineStr">
        <is>
          <t>fe74b4fb-b8e1-49c8-bef6-bf5cadffeaca</t>
        </is>
      </c>
      <c r="D1139" t="inlineStr">
        <is>
          <t>30001087</t>
        </is>
      </c>
      <c r="E1139" t="inlineStr">
        <is>
          <t>ussd_funeral_leads_altitude_20260619</t>
        </is>
      </c>
      <c r="J1139" t="inlineStr">
        <is>
          <t>NA</t>
        </is>
      </c>
      <c r="K1139" t="inlineStr">
        <is>
          <t>No Answer Autodial</t>
        </is>
      </c>
      <c r="L1139" t="n">
        <v>3</v>
      </c>
      <c r="M1139" t="inlineStr">
        <is>
          <t>2026-06-23 14:11:52</t>
        </is>
      </c>
      <c r="N1139" t="inlineStr">
        <is>
          <t>system</t>
        </is>
      </c>
      <c r="O1139" t="inlineStr">
        <is>
          <t>2026-06-19 07:10:32</t>
        </is>
      </c>
      <c r="P1139" t="inlineStr">
        <is>
          <t>2026-06-19 07:10:32</t>
        </is>
      </c>
      <c r="Y1139" t="inlineStr">
        <is>
          <t>27826461493</t>
        </is>
      </c>
    </row>
    <row r="1140">
      <c r="A1140" t="inlineStr">
        <is>
          <t>14947922</t>
        </is>
      </c>
      <c r="B1140" t="inlineStr">
        <is>
          <t>d3d00b9a-91ea-4c57-bdf6-20fce51ac8b3</t>
        </is>
      </c>
      <c r="D1140" t="inlineStr">
        <is>
          <t>30001087</t>
        </is>
      </c>
      <c r="E1140" t="inlineStr">
        <is>
          <t>ussd_funeral_leads_altitude_20260619</t>
        </is>
      </c>
      <c r="J1140" t="inlineStr">
        <is>
          <t>AA</t>
        </is>
      </c>
      <c r="K1140" t="inlineStr">
        <is>
          <t>Answering Machine Autodial</t>
        </is>
      </c>
      <c r="L1140" t="n">
        <v>3</v>
      </c>
      <c r="M1140" t="inlineStr">
        <is>
          <t>2026-06-23 14:11:52</t>
        </is>
      </c>
      <c r="N1140" t="inlineStr">
        <is>
          <t>system</t>
        </is>
      </c>
      <c r="O1140" t="inlineStr">
        <is>
          <t>2026-06-19 07:10:32</t>
        </is>
      </c>
      <c r="P1140" t="inlineStr">
        <is>
          <t>2026-06-19 07:10:32</t>
        </is>
      </c>
      <c r="Y1140" t="inlineStr">
        <is>
          <t>27662032215</t>
        </is>
      </c>
    </row>
    <row r="1141">
      <c r="A1141" t="inlineStr">
        <is>
          <t>14947923</t>
        </is>
      </c>
      <c r="B1141" t="inlineStr">
        <is>
          <t>5f733b0a-9d7f-4fb2-b5bc-81143d53fded</t>
        </is>
      </c>
      <c r="D1141" t="inlineStr">
        <is>
          <t>30001087</t>
        </is>
      </c>
      <c r="E1141" t="inlineStr">
        <is>
          <t>ussd_funeral_leads_altitude_20260619</t>
        </is>
      </c>
      <c r="J1141" t="inlineStr">
        <is>
          <t>TDN</t>
        </is>
      </c>
      <c r="K1141" t="inlineStr">
        <is>
          <t>Temporary Disconnected Number</t>
        </is>
      </c>
      <c r="L1141" t="n">
        <v>3</v>
      </c>
      <c r="M1141" t="inlineStr">
        <is>
          <t>2026-06-23 14:11:52</t>
        </is>
      </c>
      <c r="N1141" t="inlineStr">
        <is>
          <t>system</t>
        </is>
      </c>
      <c r="O1141" t="inlineStr">
        <is>
          <t>2026-06-19 07:10:32</t>
        </is>
      </c>
      <c r="P1141" t="inlineStr">
        <is>
          <t>2026-06-19 07:10:32</t>
        </is>
      </c>
      <c r="Y1141" t="inlineStr">
        <is>
          <t>27798374362</t>
        </is>
      </c>
    </row>
    <row r="1142">
      <c r="A1142" t="inlineStr">
        <is>
          <t>14947924</t>
        </is>
      </c>
      <c r="B1142" t="inlineStr">
        <is>
          <t>48edaaae-3a65-4f26-ac41-b3b1d8aaab0a</t>
        </is>
      </c>
      <c r="D1142" t="inlineStr">
        <is>
          <t>30001087</t>
        </is>
      </c>
      <c r="E1142" t="inlineStr">
        <is>
          <t>ussd_funeral_leads_altitude_20260619</t>
        </is>
      </c>
      <c r="J1142" t="inlineStr">
        <is>
          <t>ADC</t>
        </is>
      </c>
      <c r="K1142" t="inlineStr">
        <is>
          <t>Auto Dial Disconnected</t>
        </is>
      </c>
      <c r="L1142" t="n">
        <v>3</v>
      </c>
      <c r="M1142" t="inlineStr">
        <is>
          <t>2026-06-23 14:11:52</t>
        </is>
      </c>
      <c r="N1142" t="inlineStr">
        <is>
          <t>system</t>
        </is>
      </c>
      <c r="O1142" t="inlineStr">
        <is>
          <t>2026-06-19 07:10:32</t>
        </is>
      </c>
      <c r="P1142" t="inlineStr">
        <is>
          <t>2026-06-19 07:10:32</t>
        </is>
      </c>
      <c r="Y1142" t="inlineStr">
        <is>
          <t>27823816354</t>
        </is>
      </c>
    </row>
    <row r="1143">
      <c r="A1143" t="inlineStr">
        <is>
          <t>14900000</t>
        </is>
      </c>
      <c r="B1143" t="inlineStr">
        <is>
          <t>e1227c57-17f1-4d34-9a4d-b128893ee3af</t>
        </is>
      </c>
      <c r="D1143" t="inlineStr">
        <is>
          <t>30001087</t>
        </is>
      </c>
      <c r="E1143" t="inlineStr">
        <is>
          <t>ussd_funeral_leads_altitude_20260619</t>
        </is>
      </c>
      <c r="J1143" t="inlineStr">
        <is>
          <t>ADC</t>
        </is>
      </c>
      <c r="K1143" t="inlineStr">
        <is>
          <t>Auto Dial Disconnected</t>
        </is>
      </c>
      <c r="L1143" t="n">
        <v>3</v>
      </c>
      <c r="M1143" t="inlineStr">
        <is>
          <t>2026-06-23 14:11:52</t>
        </is>
      </c>
      <c r="N1143" t="inlineStr">
        <is>
          <t>system</t>
        </is>
      </c>
      <c r="O1143" t="inlineStr">
        <is>
          <t>2026-06-19 07:10:32</t>
        </is>
      </c>
      <c r="P1143" t="inlineStr">
        <is>
          <t>2026-06-19 07:10:32</t>
        </is>
      </c>
      <c r="Y1143" t="inlineStr">
        <is>
          <t>27792359102</t>
        </is>
      </c>
    </row>
    <row r="1144">
      <c r="A1144" t="inlineStr">
        <is>
          <t>14947927</t>
        </is>
      </c>
      <c r="B1144" t="inlineStr">
        <is>
          <t>adf01057-14f7-48bf-92cc-61b3b76a1269</t>
        </is>
      </c>
      <c r="D1144" t="inlineStr">
        <is>
          <t>30001087</t>
        </is>
      </c>
      <c r="E1144" t="inlineStr">
        <is>
          <t>ussd_funeral_leads_altitude_20260619</t>
        </is>
      </c>
      <c r="J1144" t="inlineStr">
        <is>
          <t>AA</t>
        </is>
      </c>
      <c r="K1144" t="inlineStr">
        <is>
          <t>Answering Machine Autodial</t>
        </is>
      </c>
      <c r="L1144" t="n">
        <v>3</v>
      </c>
      <c r="M1144" t="inlineStr">
        <is>
          <t>2026-06-23 14:11:47</t>
        </is>
      </c>
      <c r="N1144" t="inlineStr">
        <is>
          <t>system</t>
        </is>
      </c>
      <c r="O1144" t="inlineStr">
        <is>
          <t>2026-06-19 07:10:32</t>
        </is>
      </c>
      <c r="P1144" t="inlineStr">
        <is>
          <t>2026-06-19 07:10:32</t>
        </is>
      </c>
      <c r="Y1144" t="inlineStr">
        <is>
          <t>27793501392</t>
        </is>
      </c>
    </row>
    <row r="1145">
      <c r="A1145" t="inlineStr">
        <is>
          <t>14947928</t>
        </is>
      </c>
      <c r="B1145" t="inlineStr">
        <is>
          <t>306b27d6-d849-433a-ac23-3d488059f1d9</t>
        </is>
      </c>
      <c r="D1145" t="inlineStr">
        <is>
          <t>30001087</t>
        </is>
      </c>
      <c r="E1145" t="inlineStr">
        <is>
          <t>ussd_funeral_leads_altitude_20260619</t>
        </is>
      </c>
      <c r="J1145" t="inlineStr">
        <is>
          <t>AA</t>
        </is>
      </c>
      <c r="K1145" t="inlineStr">
        <is>
          <t>Answering Machine Autodial</t>
        </is>
      </c>
      <c r="L1145" t="n">
        <v>3</v>
      </c>
      <c r="M1145" t="inlineStr">
        <is>
          <t>2026-06-23 14:11:46</t>
        </is>
      </c>
      <c r="N1145" t="inlineStr">
        <is>
          <t>system</t>
        </is>
      </c>
      <c r="O1145" t="inlineStr">
        <is>
          <t>2026-06-19 07:10:32</t>
        </is>
      </c>
      <c r="P1145" t="inlineStr">
        <is>
          <t>2026-06-19 07:10:32</t>
        </is>
      </c>
      <c r="Y1145" t="inlineStr">
        <is>
          <t>27833832024</t>
        </is>
      </c>
    </row>
    <row r="1146">
      <c r="A1146" t="inlineStr">
        <is>
          <t>14947929</t>
        </is>
      </c>
      <c r="B1146" t="inlineStr">
        <is>
          <t>b61e2a8b-1ef3-4db8-a83e-9f97dadc57a5</t>
        </is>
      </c>
      <c r="D1146" t="inlineStr">
        <is>
          <t>30001087</t>
        </is>
      </c>
      <c r="E1146" t="inlineStr">
        <is>
          <t>ussd_funeral_leads_altitude_20260619</t>
        </is>
      </c>
      <c r="J1146" t="inlineStr">
        <is>
          <t>TDN</t>
        </is>
      </c>
      <c r="K1146" t="inlineStr">
        <is>
          <t>Temporary Disconnected Number</t>
        </is>
      </c>
      <c r="L1146" t="n">
        <v>3</v>
      </c>
      <c r="M1146" t="inlineStr">
        <is>
          <t>2026-06-23 14:11:46</t>
        </is>
      </c>
      <c r="N1146" t="inlineStr">
        <is>
          <t>system</t>
        </is>
      </c>
      <c r="O1146" t="inlineStr">
        <is>
          <t>2026-06-19 07:10:32</t>
        </is>
      </c>
      <c r="P1146" t="inlineStr">
        <is>
          <t>2026-06-19 07:10:32</t>
        </is>
      </c>
      <c r="Y1146" t="inlineStr">
        <is>
          <t>27606216758</t>
        </is>
      </c>
    </row>
    <row r="1147">
      <c r="A1147" t="inlineStr">
        <is>
          <t>14946157</t>
        </is>
      </c>
      <c r="B1147" t="inlineStr">
        <is>
          <t>bbe2bba4-8abb-4b66-80e6-99a50f31c306</t>
        </is>
      </c>
      <c r="D1147" t="inlineStr">
        <is>
          <t>30001087</t>
        </is>
      </c>
      <c r="E1147" t="inlineStr">
        <is>
          <t>ussd_funeral_leads_altitude_20260619</t>
        </is>
      </c>
      <c r="J1147" t="inlineStr">
        <is>
          <t>N</t>
        </is>
      </c>
      <c r="K1147" t="inlineStr">
        <is>
          <t>No Answer</t>
        </is>
      </c>
      <c r="L1147" t="n">
        <v>3</v>
      </c>
      <c r="M1147" t="inlineStr">
        <is>
          <t>2026-06-23 14:11:26</t>
        </is>
      </c>
      <c r="N1147" t="inlineStr">
        <is>
          <t>Vuyiswa Nxumalo</t>
        </is>
      </c>
      <c r="O1147" t="inlineStr">
        <is>
          <t>2026-06-19 07:10:32</t>
        </is>
      </c>
      <c r="P1147" t="inlineStr">
        <is>
          <t>2026-06-19 07:10:32</t>
        </is>
      </c>
      <c r="Y1147" t="inlineStr">
        <is>
          <t>27647317523</t>
        </is>
      </c>
    </row>
    <row r="1148">
      <c r="A1148" t="inlineStr">
        <is>
          <t>14947931</t>
        </is>
      </c>
      <c r="B1148" t="inlineStr">
        <is>
          <t>32456d1d-99f9-4078-8712-7259e3137344</t>
        </is>
      </c>
      <c r="D1148" t="inlineStr">
        <is>
          <t>30001087</t>
        </is>
      </c>
      <c r="E1148" t="inlineStr">
        <is>
          <t>ussd_funeral_leads_altitude_20260619</t>
        </is>
      </c>
      <c r="J1148" t="inlineStr">
        <is>
          <t>AA</t>
        </is>
      </c>
      <c r="K1148" t="inlineStr">
        <is>
          <t>Answering Machine Autodial</t>
        </is>
      </c>
      <c r="L1148" t="n">
        <v>3</v>
      </c>
      <c r="M1148" t="inlineStr">
        <is>
          <t>2026-06-23 14:11:25</t>
        </is>
      </c>
      <c r="N1148" t="inlineStr">
        <is>
          <t>system</t>
        </is>
      </c>
      <c r="O1148" t="inlineStr">
        <is>
          <t>2026-06-19 07:10:32</t>
        </is>
      </c>
      <c r="P1148" t="inlineStr">
        <is>
          <t>2026-06-19 07:10:32</t>
        </is>
      </c>
      <c r="Y1148" t="inlineStr">
        <is>
          <t>27818401217</t>
        </is>
      </c>
    </row>
    <row r="1149">
      <c r="A1149" t="inlineStr">
        <is>
          <t>14947932</t>
        </is>
      </c>
      <c r="B1149" t="inlineStr">
        <is>
          <t>4b7897ef-ff95-476b-b366-b33bf32b9b50</t>
        </is>
      </c>
      <c r="D1149" t="inlineStr">
        <is>
          <t>30001087</t>
        </is>
      </c>
      <c r="E1149" t="inlineStr">
        <is>
          <t>ussd_funeral_leads_altitude_20260619</t>
        </is>
      </c>
      <c r="J1149" t="inlineStr">
        <is>
          <t>AA</t>
        </is>
      </c>
      <c r="K1149" t="inlineStr">
        <is>
          <t>Answering Machine Autodial</t>
        </is>
      </c>
      <c r="L1149" t="n">
        <v>3</v>
      </c>
      <c r="M1149" t="inlineStr">
        <is>
          <t>2026-06-23 14:11:23</t>
        </is>
      </c>
      <c r="N1149" t="inlineStr">
        <is>
          <t>system</t>
        </is>
      </c>
      <c r="O1149" t="inlineStr">
        <is>
          <t>2026-06-19 07:10:32</t>
        </is>
      </c>
      <c r="P1149" t="inlineStr">
        <is>
          <t>2026-06-19 07:10:32</t>
        </is>
      </c>
      <c r="Y1149" t="inlineStr">
        <is>
          <t>27716504735</t>
        </is>
      </c>
    </row>
    <row r="1150">
      <c r="A1150" t="inlineStr">
        <is>
          <t>14900000</t>
        </is>
      </c>
      <c r="B1150" t="inlineStr">
        <is>
          <t>04e06941-d4d8-49f2-9859-7c55e07f9b7d</t>
        </is>
      </c>
      <c r="D1150" t="inlineStr">
        <is>
          <t>30001087</t>
        </is>
      </c>
      <c r="E1150" t="inlineStr">
        <is>
          <t>ussd_funeral_leads_altitude_20260619</t>
        </is>
      </c>
      <c r="J1150" t="inlineStr">
        <is>
          <t>DROP</t>
        </is>
      </c>
      <c r="K1150" t="inlineStr">
        <is>
          <t>Dropped</t>
        </is>
      </c>
      <c r="L1150" t="n">
        <v>3</v>
      </c>
      <c r="M1150" t="inlineStr">
        <is>
          <t>2026-06-23 14:11:21</t>
        </is>
      </c>
      <c r="N1150" t="inlineStr">
        <is>
          <t>system</t>
        </is>
      </c>
      <c r="O1150" t="inlineStr">
        <is>
          <t>2026-06-19 07:10:32</t>
        </is>
      </c>
      <c r="P1150" t="inlineStr">
        <is>
          <t>2026-06-19 07:10:32</t>
        </is>
      </c>
      <c r="Y1150" t="inlineStr">
        <is>
          <t>27797122603</t>
        </is>
      </c>
    </row>
    <row r="1151">
      <c r="A1151" t="inlineStr">
        <is>
          <t>14947934</t>
        </is>
      </c>
      <c r="B1151" t="inlineStr">
        <is>
          <t>9063e3be-6122-48f5-ab05-c959751217c7</t>
        </is>
      </c>
      <c r="D1151" t="inlineStr">
        <is>
          <t>30001087</t>
        </is>
      </c>
      <c r="E1151" t="inlineStr">
        <is>
          <t>ussd_funeral_leads_altitude_20260619</t>
        </is>
      </c>
      <c r="J1151" t="inlineStr">
        <is>
          <t>TDN</t>
        </is>
      </c>
      <c r="K1151" t="inlineStr">
        <is>
          <t>Temporary Disconnected Number</t>
        </is>
      </c>
      <c r="L1151" t="n">
        <v>3</v>
      </c>
      <c r="M1151" t="inlineStr">
        <is>
          <t>2026-06-23 14:11:21</t>
        </is>
      </c>
      <c r="N1151" t="inlineStr">
        <is>
          <t>system</t>
        </is>
      </c>
      <c r="O1151" t="inlineStr">
        <is>
          <t>2026-06-19 07:10:32</t>
        </is>
      </c>
      <c r="P1151" t="inlineStr">
        <is>
          <t>2026-06-19 07:10:32</t>
        </is>
      </c>
      <c r="Y1151" t="inlineStr">
        <is>
          <t>27714858721</t>
        </is>
      </c>
    </row>
    <row r="1152">
      <c r="A1152" t="inlineStr">
        <is>
          <t>14947935</t>
        </is>
      </c>
      <c r="B1152" t="inlineStr">
        <is>
          <t>cbabbc8d-1b19-49c1-9184-af268c52da42</t>
        </is>
      </c>
      <c r="D1152" t="inlineStr">
        <is>
          <t>30001087</t>
        </is>
      </c>
      <c r="E1152" t="inlineStr">
        <is>
          <t>ussd_funeral_leads_altitude_20260619</t>
        </is>
      </c>
      <c r="J1152" t="inlineStr">
        <is>
          <t>AA</t>
        </is>
      </c>
      <c r="K1152" t="inlineStr">
        <is>
          <t>Answering Machine Autodial</t>
        </is>
      </c>
      <c r="L1152" t="n">
        <v>3</v>
      </c>
      <c r="M1152" t="inlineStr">
        <is>
          <t>2026-06-23 14:11:21</t>
        </is>
      </c>
      <c r="N1152" t="inlineStr">
        <is>
          <t>system</t>
        </is>
      </c>
      <c r="O1152" t="inlineStr">
        <is>
          <t>2026-06-19 07:10:32</t>
        </is>
      </c>
      <c r="P1152" t="inlineStr">
        <is>
          <t>2026-06-19 07:10:32</t>
        </is>
      </c>
      <c r="Y1152" t="inlineStr">
        <is>
          <t>27637905936</t>
        </is>
      </c>
    </row>
    <row r="1153">
      <c r="A1153" t="inlineStr">
        <is>
          <t>14900000</t>
        </is>
      </c>
      <c r="B1153" t="inlineStr">
        <is>
          <t>40e744b6-db8c-49ed-8a61-fe40c302d130</t>
        </is>
      </c>
      <c r="D1153" t="inlineStr">
        <is>
          <t>30001087</t>
        </is>
      </c>
      <c r="E1153" t="inlineStr">
        <is>
          <t>ussd_funeral_leads_altitude_20260619</t>
        </is>
      </c>
      <c r="J1153" t="inlineStr">
        <is>
          <t>AE</t>
        </is>
      </c>
      <c r="K1153" t="inlineStr">
        <is>
          <t>Auto Engaged</t>
        </is>
      </c>
      <c r="L1153" t="n">
        <v>3</v>
      </c>
      <c r="M1153" t="inlineStr">
        <is>
          <t>2026-06-23 14:11:16</t>
        </is>
      </c>
      <c r="N1153" t="inlineStr">
        <is>
          <t>system</t>
        </is>
      </c>
      <c r="O1153" t="inlineStr">
        <is>
          <t>2026-06-19 07:10:32</t>
        </is>
      </c>
      <c r="P1153" t="inlineStr">
        <is>
          <t>2026-06-19 07:10:32</t>
        </is>
      </c>
      <c r="Y1153" t="inlineStr">
        <is>
          <t>27826298852</t>
        </is>
      </c>
    </row>
    <row r="1154">
      <c r="A1154" t="inlineStr">
        <is>
          <t>14944183</t>
        </is>
      </c>
      <c r="B1154" t="inlineStr">
        <is>
          <t>39643f6c-de9d-4055-9956-d1dc104dfa94</t>
        </is>
      </c>
      <c r="D1154" t="inlineStr">
        <is>
          <t>30001087</t>
        </is>
      </c>
      <c r="E1154" t="inlineStr">
        <is>
          <t>ussd_funeral_leads_altitude_20260619</t>
        </is>
      </c>
      <c r="J1154" t="inlineStr">
        <is>
          <t>AA</t>
        </is>
      </c>
      <c r="K1154" t="inlineStr">
        <is>
          <t>Answering Machine Autodial</t>
        </is>
      </c>
      <c r="L1154" t="n">
        <v>3</v>
      </c>
      <c r="M1154" t="inlineStr">
        <is>
          <t>2026-06-23 14:11:16</t>
        </is>
      </c>
      <c r="N1154" t="inlineStr">
        <is>
          <t>system</t>
        </is>
      </c>
      <c r="O1154" t="inlineStr">
        <is>
          <t>2026-06-19 07:10:32</t>
        </is>
      </c>
      <c r="P1154" t="inlineStr">
        <is>
          <t>2026-06-19 07:10:32</t>
        </is>
      </c>
      <c r="Y1154" t="inlineStr">
        <is>
          <t>27772536138</t>
        </is>
      </c>
    </row>
    <row r="1155">
      <c r="A1155" t="inlineStr">
        <is>
          <t>14944184</t>
        </is>
      </c>
      <c r="B1155" t="inlineStr">
        <is>
          <t>6b008a6b-2446-4567-8f38-06dc249a9c6d</t>
        </is>
      </c>
      <c r="D1155" t="inlineStr">
        <is>
          <t>30001087</t>
        </is>
      </c>
      <c r="E1155" t="inlineStr">
        <is>
          <t>ussd_funeral_leads_altitude_20260619</t>
        </is>
      </c>
      <c r="J1155" t="inlineStr">
        <is>
          <t>CU</t>
        </is>
      </c>
      <c r="K1155" t="inlineStr">
        <is>
          <t>Client Hung Up</t>
        </is>
      </c>
      <c r="L1155" t="n">
        <v>3</v>
      </c>
      <c r="M1155" t="inlineStr">
        <is>
          <t>2026-06-23 14:11:16</t>
        </is>
      </c>
      <c r="N1155" t="inlineStr">
        <is>
          <t>Lebohang Mabotja</t>
        </is>
      </c>
      <c r="O1155" t="inlineStr">
        <is>
          <t>2026-06-19 07:10:32</t>
        </is>
      </c>
      <c r="P1155" t="inlineStr">
        <is>
          <t>2026-06-19 07:10:32</t>
        </is>
      </c>
      <c r="Y1155" t="inlineStr">
        <is>
          <t>27797034042</t>
        </is>
      </c>
    </row>
    <row r="1156">
      <c r="A1156" t="inlineStr">
        <is>
          <t>14947936</t>
        </is>
      </c>
      <c r="B1156" t="inlineStr">
        <is>
          <t>777bf08c-8012-43a4-967a-29c12c312d94</t>
        </is>
      </c>
      <c r="D1156" t="inlineStr">
        <is>
          <t>30001087</t>
        </is>
      </c>
      <c r="E1156" t="inlineStr">
        <is>
          <t>ussd_funeral_leads_altitude_20260619</t>
        </is>
      </c>
      <c r="J1156" t="inlineStr">
        <is>
          <t>NA</t>
        </is>
      </c>
      <c r="K1156" t="inlineStr">
        <is>
          <t>No Answer Autodial</t>
        </is>
      </c>
      <c r="L1156" t="n">
        <v>3</v>
      </c>
      <c r="M1156" t="inlineStr">
        <is>
          <t>2026-06-23 14:11:16</t>
        </is>
      </c>
      <c r="N1156" t="inlineStr">
        <is>
          <t>system</t>
        </is>
      </c>
      <c r="O1156" t="inlineStr">
        <is>
          <t>2026-06-19 07:10:32</t>
        </is>
      </c>
      <c r="P1156" t="inlineStr">
        <is>
          <t>2026-06-19 07:10:32</t>
        </is>
      </c>
      <c r="Y1156" t="inlineStr">
        <is>
          <t>27675406966</t>
        </is>
      </c>
    </row>
    <row r="1157">
      <c r="A1157" t="inlineStr">
        <is>
          <t>14947938</t>
        </is>
      </c>
      <c r="B1157" t="inlineStr">
        <is>
          <t>327a9c83-9e04-45cf-acb5-88780d939bc0</t>
        </is>
      </c>
      <c r="D1157" t="inlineStr">
        <is>
          <t>30001087</t>
        </is>
      </c>
      <c r="E1157" t="inlineStr">
        <is>
          <t>ussd_funeral_leads_altitude_20260619</t>
        </is>
      </c>
      <c r="J1157" t="inlineStr">
        <is>
          <t>AE</t>
        </is>
      </c>
      <c r="K1157" t="inlineStr">
        <is>
          <t>Auto Engaged</t>
        </is>
      </c>
      <c r="L1157" t="n">
        <v>3</v>
      </c>
      <c r="M1157" t="inlineStr">
        <is>
          <t>2026-06-23 14:11:16</t>
        </is>
      </c>
      <c r="N1157" t="inlineStr">
        <is>
          <t>system</t>
        </is>
      </c>
      <c r="O1157" t="inlineStr">
        <is>
          <t>2026-06-19 07:10:32</t>
        </is>
      </c>
      <c r="P1157" t="inlineStr">
        <is>
          <t>2026-06-19 07:10:32</t>
        </is>
      </c>
      <c r="Y1157" t="inlineStr">
        <is>
          <t>27794477191</t>
        </is>
      </c>
    </row>
    <row r="1158">
      <c r="A1158" t="inlineStr">
        <is>
          <t>14947937</t>
        </is>
      </c>
      <c r="B1158" t="inlineStr">
        <is>
          <t>dd1a9005-3f0f-4a61-93f3-a76515621d33</t>
        </is>
      </c>
      <c r="D1158" t="inlineStr">
        <is>
          <t>30001087</t>
        </is>
      </c>
      <c r="E1158" t="inlineStr">
        <is>
          <t>ussd_funeral_leads_altitude_20260619</t>
        </is>
      </c>
      <c r="J1158" t="inlineStr">
        <is>
          <t>DROP</t>
        </is>
      </c>
      <c r="K1158" t="inlineStr">
        <is>
          <t>Dropped</t>
        </is>
      </c>
      <c r="L1158" t="n">
        <v>3</v>
      </c>
      <c r="M1158" t="inlineStr">
        <is>
          <t>2026-06-23 14:11:15</t>
        </is>
      </c>
      <c r="N1158" t="inlineStr">
        <is>
          <t>system</t>
        </is>
      </c>
      <c r="O1158" t="inlineStr">
        <is>
          <t>2026-06-19 07:10:32</t>
        </is>
      </c>
      <c r="P1158" t="inlineStr">
        <is>
          <t>2026-06-19 07:10:32</t>
        </is>
      </c>
      <c r="Y1158" t="inlineStr">
        <is>
          <t>27825389654</t>
        </is>
      </c>
    </row>
    <row r="1159">
      <c r="A1159" t="inlineStr">
        <is>
          <t>14944181</t>
        </is>
      </c>
      <c r="B1159" t="inlineStr">
        <is>
          <t>c6c88eb1-c7e9-4985-ab31-bd993cd8e031</t>
        </is>
      </c>
      <c r="D1159" t="inlineStr">
        <is>
          <t>30001087</t>
        </is>
      </c>
      <c r="E1159" t="inlineStr">
        <is>
          <t>ussd_funeral_leads_altitude_20260619</t>
        </is>
      </c>
      <c r="J1159" t="inlineStr">
        <is>
          <t>TDN</t>
        </is>
      </c>
      <c r="K1159" t="inlineStr">
        <is>
          <t>Temporary Disconnected Number</t>
        </is>
      </c>
      <c r="L1159" t="n">
        <v>3</v>
      </c>
      <c r="M1159" t="inlineStr">
        <is>
          <t>2026-06-23 14:11:09</t>
        </is>
      </c>
      <c r="N1159" t="inlineStr">
        <is>
          <t>system</t>
        </is>
      </c>
      <c r="O1159" t="inlineStr">
        <is>
          <t>2026-06-19 07:10:32</t>
        </is>
      </c>
      <c r="P1159" t="inlineStr">
        <is>
          <t>2026-06-19 07:10:32</t>
        </is>
      </c>
      <c r="Y1159" t="inlineStr">
        <is>
          <t>27716652479</t>
        </is>
      </c>
    </row>
    <row r="1160">
      <c r="A1160" t="inlineStr">
        <is>
          <t>14944177</t>
        </is>
      </c>
      <c r="B1160" t="inlineStr">
        <is>
          <t>b1bacd4f-4cf6-4ae3-95ae-88b7a5192639</t>
        </is>
      </c>
      <c r="D1160" t="inlineStr">
        <is>
          <t>30001087</t>
        </is>
      </c>
      <c r="E1160" t="inlineStr">
        <is>
          <t>ussd_funeral_leads_altitude_20260619</t>
        </is>
      </c>
      <c r="J1160" t="inlineStr">
        <is>
          <t>AA</t>
        </is>
      </c>
      <c r="K1160" t="inlineStr">
        <is>
          <t>Answering Machine Autodial</t>
        </is>
      </c>
      <c r="L1160" t="n">
        <v>3</v>
      </c>
      <c r="M1160" t="inlineStr">
        <is>
          <t>2026-06-23 14:11:08</t>
        </is>
      </c>
      <c r="N1160" t="inlineStr">
        <is>
          <t>system</t>
        </is>
      </c>
      <c r="O1160" t="inlineStr">
        <is>
          <t>2026-06-19 07:10:32</t>
        </is>
      </c>
      <c r="P1160" t="inlineStr">
        <is>
          <t>2026-06-19 07:10:32</t>
        </is>
      </c>
      <c r="Y1160" t="inlineStr">
        <is>
          <t>27794554445</t>
        </is>
      </c>
    </row>
    <row r="1161">
      <c r="A1161" t="inlineStr">
        <is>
          <t>14944180</t>
        </is>
      </c>
      <c r="B1161" t="inlineStr">
        <is>
          <t>6cf670a2-b0cf-4edd-809c-685f52fae2ee</t>
        </is>
      </c>
      <c r="D1161" t="inlineStr">
        <is>
          <t>30001087</t>
        </is>
      </c>
      <c r="E1161" t="inlineStr">
        <is>
          <t>ussd_funeral_leads_altitude_20260619</t>
        </is>
      </c>
      <c r="J1161" t="inlineStr">
        <is>
          <t>ADC</t>
        </is>
      </c>
      <c r="K1161" t="inlineStr">
        <is>
          <t>Auto Dial Disconnected</t>
        </is>
      </c>
      <c r="L1161" t="n">
        <v>3</v>
      </c>
      <c r="M1161" t="inlineStr">
        <is>
          <t>2026-06-23 14:11:07</t>
        </is>
      </c>
      <c r="N1161" t="inlineStr">
        <is>
          <t>system</t>
        </is>
      </c>
      <c r="O1161" t="inlineStr">
        <is>
          <t>2026-06-19 07:10:32</t>
        </is>
      </c>
      <c r="P1161" t="inlineStr">
        <is>
          <t>2026-06-19 07:10:32</t>
        </is>
      </c>
      <c r="Y1161" t="inlineStr">
        <is>
          <t>27766263038</t>
        </is>
      </c>
    </row>
    <row r="1162">
      <c r="A1162" t="inlineStr">
        <is>
          <t>14944178</t>
        </is>
      </c>
      <c r="B1162" t="inlineStr">
        <is>
          <t>671d2ecd-ed2b-4e5b-ad87-18f9fb8b80b2</t>
        </is>
      </c>
      <c r="D1162" t="inlineStr">
        <is>
          <t>30001087</t>
        </is>
      </c>
      <c r="E1162" t="inlineStr">
        <is>
          <t>ussd_funeral_leads_altitude_20260619</t>
        </is>
      </c>
      <c r="J1162" t="inlineStr">
        <is>
          <t>AA</t>
        </is>
      </c>
      <c r="K1162" t="inlineStr">
        <is>
          <t>Answering Machine Autodial</t>
        </is>
      </c>
      <c r="L1162" t="n">
        <v>3</v>
      </c>
      <c r="M1162" t="inlineStr">
        <is>
          <t>2026-06-23 14:11:06</t>
        </is>
      </c>
      <c r="N1162" t="inlineStr">
        <is>
          <t>system</t>
        </is>
      </c>
      <c r="O1162" t="inlineStr">
        <is>
          <t>2026-06-19 07:10:32</t>
        </is>
      </c>
      <c r="P1162" t="inlineStr">
        <is>
          <t>2026-06-19 07:10:32</t>
        </is>
      </c>
      <c r="Y1162" t="inlineStr">
        <is>
          <t>27766600832</t>
        </is>
      </c>
    </row>
    <row r="1163">
      <c r="A1163" t="inlineStr">
        <is>
          <t>14944179</t>
        </is>
      </c>
      <c r="B1163" t="inlineStr">
        <is>
          <t>0d409433-015a-4597-ab9a-131b37c36644</t>
        </is>
      </c>
      <c r="D1163" t="inlineStr">
        <is>
          <t>30001087</t>
        </is>
      </c>
      <c r="E1163" t="inlineStr">
        <is>
          <t>ussd_funeral_leads_altitude_20260619</t>
        </is>
      </c>
      <c r="J1163" t="inlineStr">
        <is>
          <t>AA</t>
        </is>
      </c>
      <c r="K1163" t="inlineStr">
        <is>
          <t>Answering Machine Autodial</t>
        </is>
      </c>
      <c r="L1163" t="n">
        <v>3</v>
      </c>
      <c r="M1163" t="inlineStr">
        <is>
          <t>2026-06-23 14:11:06</t>
        </is>
      </c>
      <c r="N1163" t="inlineStr">
        <is>
          <t>system</t>
        </is>
      </c>
      <c r="O1163" t="inlineStr">
        <is>
          <t>2026-06-19 07:10:32</t>
        </is>
      </c>
      <c r="P1163" t="inlineStr">
        <is>
          <t>2026-06-19 07:10:32</t>
        </is>
      </c>
      <c r="Y1163" t="inlineStr">
        <is>
          <t>27636979420</t>
        </is>
      </c>
    </row>
    <row r="1164">
      <c r="A1164" t="inlineStr">
        <is>
          <t>14944174</t>
        </is>
      </c>
      <c r="B1164" t="inlineStr">
        <is>
          <t>b4ff7a36-09c4-42f6-a603-283f6eb34ca9</t>
        </is>
      </c>
      <c r="D1164" t="inlineStr">
        <is>
          <t>30001087</t>
        </is>
      </c>
      <c r="E1164" t="inlineStr">
        <is>
          <t>ussd_funeral_leads_altitude_20260619</t>
        </is>
      </c>
      <c r="J1164" t="inlineStr">
        <is>
          <t>NA</t>
        </is>
      </c>
      <c r="K1164" t="inlineStr">
        <is>
          <t>No Answer Autodial</t>
        </is>
      </c>
      <c r="L1164" t="n">
        <v>3</v>
      </c>
      <c r="M1164" t="inlineStr">
        <is>
          <t>2026-06-23 14:11:04</t>
        </is>
      </c>
      <c r="N1164" t="inlineStr">
        <is>
          <t>system</t>
        </is>
      </c>
      <c r="O1164" t="inlineStr">
        <is>
          <t>2026-06-19 07:10:32</t>
        </is>
      </c>
      <c r="P1164" t="inlineStr">
        <is>
          <t>2026-06-19 07:10:32</t>
        </is>
      </c>
      <c r="Y1164" t="inlineStr">
        <is>
          <t>27825474016</t>
        </is>
      </c>
    </row>
    <row r="1165">
      <c r="A1165" t="inlineStr">
        <is>
          <t>14944175</t>
        </is>
      </c>
      <c r="B1165" t="inlineStr">
        <is>
          <t>ee4c7255-f883-4d28-a275-0652597a7e30</t>
        </is>
      </c>
      <c r="D1165" t="inlineStr">
        <is>
          <t>30001087</t>
        </is>
      </c>
      <c r="E1165" t="inlineStr">
        <is>
          <t>ussd_funeral_leads_altitude_20260619</t>
        </is>
      </c>
      <c r="J1165" t="inlineStr">
        <is>
          <t>ADC</t>
        </is>
      </c>
      <c r="K1165" t="inlineStr">
        <is>
          <t>Auto Dial Disconnected</t>
        </is>
      </c>
      <c r="L1165" t="n">
        <v>3</v>
      </c>
      <c r="M1165" t="inlineStr">
        <is>
          <t>2026-06-23 14:11:04</t>
        </is>
      </c>
      <c r="N1165" t="inlineStr">
        <is>
          <t>system</t>
        </is>
      </c>
      <c r="O1165" t="inlineStr">
        <is>
          <t>2026-06-19 07:10:32</t>
        </is>
      </c>
      <c r="P1165" t="inlineStr">
        <is>
          <t>2026-06-19 07:10:32</t>
        </is>
      </c>
      <c r="Y1165" t="inlineStr">
        <is>
          <t>27722013182</t>
        </is>
      </c>
    </row>
    <row r="1166">
      <c r="A1166" t="inlineStr">
        <is>
          <t>14944176</t>
        </is>
      </c>
      <c r="B1166" t="inlineStr">
        <is>
          <t>9c0577d7-2d0d-4766-af34-23c0272f01d3</t>
        </is>
      </c>
      <c r="D1166" t="inlineStr">
        <is>
          <t>30001087</t>
        </is>
      </c>
      <c r="E1166" t="inlineStr">
        <is>
          <t>ussd_funeral_leads_altitude_20260619</t>
        </is>
      </c>
      <c r="J1166" t="inlineStr">
        <is>
          <t>AA</t>
        </is>
      </c>
      <c r="K1166" t="inlineStr">
        <is>
          <t>Answering Machine Autodial</t>
        </is>
      </c>
      <c r="L1166" t="n">
        <v>3</v>
      </c>
      <c r="M1166" t="inlineStr">
        <is>
          <t>2026-06-23 14:11:04</t>
        </is>
      </c>
      <c r="N1166" t="inlineStr">
        <is>
          <t>system</t>
        </is>
      </c>
      <c r="O1166" t="inlineStr">
        <is>
          <t>2026-06-19 07:10:32</t>
        </is>
      </c>
      <c r="P1166" t="inlineStr">
        <is>
          <t>2026-06-19 07:10:32</t>
        </is>
      </c>
      <c r="Y1166" t="inlineStr">
        <is>
          <t>27663628966</t>
        </is>
      </c>
    </row>
    <row r="1167">
      <c r="A1167" t="inlineStr">
        <is>
          <t>14944173</t>
        </is>
      </c>
      <c r="B1167" t="inlineStr">
        <is>
          <t>e9d009e5-92b7-4a69-8aeb-8cac4dd49e61</t>
        </is>
      </c>
      <c r="D1167" t="inlineStr">
        <is>
          <t>30001087</t>
        </is>
      </c>
      <c r="E1167" t="inlineStr">
        <is>
          <t>ussd_funeral_leads_altitude_20260619</t>
        </is>
      </c>
      <c r="J1167" t="inlineStr">
        <is>
          <t>AA</t>
        </is>
      </c>
      <c r="K1167" t="inlineStr">
        <is>
          <t>Answering Machine Autodial</t>
        </is>
      </c>
      <c r="L1167" t="n">
        <v>3</v>
      </c>
      <c r="M1167" t="inlineStr">
        <is>
          <t>2026-06-23 14:11:03</t>
        </is>
      </c>
      <c r="N1167" t="inlineStr">
        <is>
          <t>system</t>
        </is>
      </c>
      <c r="O1167" t="inlineStr">
        <is>
          <t>2026-06-19 07:10:32</t>
        </is>
      </c>
      <c r="P1167" t="inlineStr">
        <is>
          <t>2026-06-19 07:10:32</t>
        </is>
      </c>
      <c r="Y1167" t="inlineStr">
        <is>
          <t>27761485427</t>
        </is>
      </c>
    </row>
    <row r="1168">
      <c r="A1168" t="inlineStr">
        <is>
          <t>14944170</t>
        </is>
      </c>
      <c r="B1168" t="inlineStr">
        <is>
          <t>00d2ba73-365e-4e08-aba2-e3b4b2e5afc5</t>
        </is>
      </c>
      <c r="D1168" t="inlineStr">
        <is>
          <t>30001087</t>
        </is>
      </c>
      <c r="E1168" t="inlineStr">
        <is>
          <t>ussd_funeral_leads_altitude_20260619</t>
        </is>
      </c>
      <c r="J1168" t="inlineStr">
        <is>
          <t>AA</t>
        </is>
      </c>
      <c r="K1168" t="inlineStr">
        <is>
          <t>Answering Machine Autodial</t>
        </is>
      </c>
      <c r="L1168" t="n">
        <v>3</v>
      </c>
      <c r="M1168" t="inlineStr">
        <is>
          <t>2026-06-23 14:11:02</t>
        </is>
      </c>
      <c r="N1168" t="inlineStr">
        <is>
          <t>system</t>
        </is>
      </c>
      <c r="O1168" t="inlineStr">
        <is>
          <t>2026-06-19 07:10:32</t>
        </is>
      </c>
      <c r="P1168" t="inlineStr">
        <is>
          <t>2026-06-19 07:10:32</t>
        </is>
      </c>
      <c r="Y1168" t="inlineStr">
        <is>
          <t>27823432513</t>
        </is>
      </c>
    </row>
    <row r="1169">
      <c r="A1169" t="inlineStr">
        <is>
          <t>14944171</t>
        </is>
      </c>
      <c r="B1169" t="inlineStr">
        <is>
          <t>38ac1cb7-a674-45cc-ace8-9391e56b1866</t>
        </is>
      </c>
      <c r="D1169" t="inlineStr">
        <is>
          <t>30001087</t>
        </is>
      </c>
      <c r="E1169" t="inlineStr">
        <is>
          <t>ussd_funeral_leads_altitude_20260619</t>
        </is>
      </c>
      <c r="J1169" t="inlineStr">
        <is>
          <t>AA</t>
        </is>
      </c>
      <c r="K1169" t="inlineStr">
        <is>
          <t>Answering Machine Autodial</t>
        </is>
      </c>
      <c r="L1169" t="n">
        <v>3</v>
      </c>
      <c r="M1169" t="inlineStr">
        <is>
          <t>2026-06-23 14:11:02</t>
        </is>
      </c>
      <c r="N1169" t="inlineStr">
        <is>
          <t>system</t>
        </is>
      </c>
      <c r="O1169" t="inlineStr">
        <is>
          <t>2026-06-19 07:10:32</t>
        </is>
      </c>
      <c r="P1169" t="inlineStr">
        <is>
          <t>2026-06-19 07:10:32</t>
        </is>
      </c>
      <c r="Y1169" t="inlineStr">
        <is>
          <t>27818819081</t>
        </is>
      </c>
    </row>
    <row r="1170">
      <c r="A1170" t="inlineStr">
        <is>
          <t>14944172</t>
        </is>
      </c>
      <c r="B1170" t="inlineStr">
        <is>
          <t>f41893ec-fd7e-46fe-9c36-1c1bbf5f5a3d</t>
        </is>
      </c>
      <c r="D1170" t="inlineStr">
        <is>
          <t>30001087</t>
        </is>
      </c>
      <c r="E1170" t="inlineStr">
        <is>
          <t>ussd_funeral_leads_altitude_20260619</t>
        </is>
      </c>
      <c r="J1170" t="inlineStr">
        <is>
          <t>AA</t>
        </is>
      </c>
      <c r="K1170" t="inlineStr">
        <is>
          <t>Answering Machine Autodial</t>
        </is>
      </c>
      <c r="L1170" t="n">
        <v>3</v>
      </c>
      <c r="M1170" t="inlineStr">
        <is>
          <t>2026-06-23 14:11:01</t>
        </is>
      </c>
      <c r="N1170" t="inlineStr">
        <is>
          <t>system</t>
        </is>
      </c>
      <c r="O1170" t="inlineStr">
        <is>
          <t>2026-06-19 07:10:32</t>
        </is>
      </c>
      <c r="P1170" t="inlineStr">
        <is>
          <t>2026-06-19 07:10:32</t>
        </is>
      </c>
      <c r="Y1170" t="inlineStr">
        <is>
          <t>27606145298</t>
        </is>
      </c>
    </row>
    <row r="1171">
      <c r="A1171" t="inlineStr">
        <is>
          <t>14944169</t>
        </is>
      </c>
      <c r="B1171" t="inlineStr">
        <is>
          <t>21808130-5963-42f8-a2d9-e844000367d6</t>
        </is>
      </c>
      <c r="D1171" t="inlineStr">
        <is>
          <t>30001087</t>
        </is>
      </c>
      <c r="E1171" t="inlineStr">
        <is>
          <t>ussd_funeral_leads_altitude_20260619</t>
        </is>
      </c>
      <c r="J1171" t="inlineStr">
        <is>
          <t>ADC</t>
        </is>
      </c>
      <c r="K1171" t="inlineStr">
        <is>
          <t>Auto Dial Disconnected</t>
        </is>
      </c>
      <c r="L1171" t="n">
        <v>3</v>
      </c>
      <c r="M1171" t="inlineStr">
        <is>
          <t>2026-06-23 14:10:57</t>
        </is>
      </c>
      <c r="N1171" t="inlineStr">
        <is>
          <t>system</t>
        </is>
      </c>
      <c r="O1171" t="inlineStr">
        <is>
          <t>2026-06-19 07:10:32</t>
        </is>
      </c>
      <c r="P1171" t="inlineStr">
        <is>
          <t>2026-06-19 07:10:32</t>
        </is>
      </c>
      <c r="Y1171" t="inlineStr">
        <is>
          <t>27637038270</t>
        </is>
      </c>
    </row>
    <row r="1172">
      <c r="A1172" t="inlineStr">
        <is>
          <t>14944167</t>
        </is>
      </c>
      <c r="B1172" t="inlineStr">
        <is>
          <t>93c457ab-e7e0-457b-a735-610f03742945</t>
        </is>
      </c>
      <c r="D1172" t="inlineStr">
        <is>
          <t>30001087</t>
        </is>
      </c>
      <c r="E1172" t="inlineStr">
        <is>
          <t>ussd_funeral_leads_altitude_20260619</t>
        </is>
      </c>
      <c r="J1172" t="inlineStr">
        <is>
          <t>AA</t>
        </is>
      </c>
      <c r="K1172" t="inlineStr">
        <is>
          <t>Answering Machine Autodial</t>
        </is>
      </c>
      <c r="L1172" t="n">
        <v>3</v>
      </c>
      <c r="M1172" t="inlineStr">
        <is>
          <t>2026-06-23 14:10:56</t>
        </is>
      </c>
      <c r="N1172" t="inlineStr">
        <is>
          <t>system</t>
        </is>
      </c>
      <c r="O1172" t="inlineStr">
        <is>
          <t>2026-06-19 07:10:32</t>
        </is>
      </c>
      <c r="P1172" t="inlineStr">
        <is>
          <t>2026-06-19 07:10:32</t>
        </is>
      </c>
      <c r="Y1172" t="inlineStr">
        <is>
          <t>27674603391</t>
        </is>
      </c>
    </row>
    <row r="1173">
      <c r="A1173" t="inlineStr">
        <is>
          <t>14947939</t>
        </is>
      </c>
      <c r="B1173" t="inlineStr">
        <is>
          <t>324d7f47-d213-44ec-995a-e08afa1b9a99</t>
        </is>
      </c>
      <c r="D1173" t="inlineStr">
        <is>
          <t>30001087</t>
        </is>
      </c>
      <c r="E1173" t="inlineStr">
        <is>
          <t>ussd_funeral_leads_altitude_20260619</t>
        </is>
      </c>
      <c r="J1173" t="inlineStr">
        <is>
          <t>TDN</t>
        </is>
      </c>
      <c r="K1173" t="inlineStr">
        <is>
          <t>Temporary Disconnected Number</t>
        </is>
      </c>
      <c r="L1173" t="n">
        <v>3</v>
      </c>
      <c r="M1173" t="inlineStr">
        <is>
          <t>2026-06-23 14:09:49</t>
        </is>
      </c>
      <c r="N1173" t="inlineStr">
        <is>
          <t>system</t>
        </is>
      </c>
      <c r="O1173" t="inlineStr">
        <is>
          <t>2026-06-19 07:10:32</t>
        </is>
      </c>
      <c r="P1173" t="inlineStr">
        <is>
          <t>2026-06-19 07:10:32</t>
        </is>
      </c>
      <c r="Y1173" t="inlineStr">
        <is>
          <t>27664350051</t>
        </is>
      </c>
    </row>
    <row r="1174">
      <c r="A1174" t="inlineStr">
        <is>
          <t>14947942</t>
        </is>
      </c>
      <c r="B1174" t="inlineStr">
        <is>
          <t>b9a1aba3-380e-4eeb-b81e-648bba966255</t>
        </is>
      </c>
      <c r="D1174" t="inlineStr">
        <is>
          <t>30001087</t>
        </is>
      </c>
      <c r="E1174" t="inlineStr">
        <is>
          <t>ussd_funeral_leads_altitude_20260619</t>
        </is>
      </c>
      <c r="J1174" t="inlineStr">
        <is>
          <t>AA</t>
        </is>
      </c>
      <c r="K1174" t="inlineStr">
        <is>
          <t>Answering Machine Autodial</t>
        </is>
      </c>
      <c r="L1174" t="n">
        <v>3</v>
      </c>
      <c r="M1174" t="inlineStr">
        <is>
          <t>2026-06-23 14:09:49</t>
        </is>
      </c>
      <c r="N1174" t="inlineStr">
        <is>
          <t>system</t>
        </is>
      </c>
      <c r="O1174" t="inlineStr">
        <is>
          <t>2026-06-19 07:10:32</t>
        </is>
      </c>
      <c r="P1174" t="inlineStr">
        <is>
          <t>2026-06-19 07:10:32</t>
        </is>
      </c>
      <c r="Y1174" t="inlineStr">
        <is>
          <t>27647725840</t>
        </is>
      </c>
    </row>
    <row r="1175">
      <c r="A1175" t="inlineStr">
        <is>
          <t>14947941</t>
        </is>
      </c>
      <c r="B1175" t="inlineStr">
        <is>
          <t>70187b37-e9e5-4ddf-b05b-69bac8d57f4f</t>
        </is>
      </c>
      <c r="D1175" t="inlineStr">
        <is>
          <t>30001087</t>
        </is>
      </c>
      <c r="E1175" t="inlineStr">
        <is>
          <t>ussd_funeral_leads_altitude_20260619</t>
        </is>
      </c>
      <c r="J1175" t="inlineStr">
        <is>
          <t>AA</t>
        </is>
      </c>
      <c r="K1175" t="inlineStr">
        <is>
          <t>Answering Machine Autodial</t>
        </is>
      </c>
      <c r="L1175" t="n">
        <v>3</v>
      </c>
      <c r="M1175" t="inlineStr">
        <is>
          <t>2026-06-23 14:09:48</t>
        </is>
      </c>
      <c r="N1175" t="inlineStr">
        <is>
          <t>system</t>
        </is>
      </c>
      <c r="O1175" t="inlineStr">
        <is>
          <t>2026-06-19 07:10:32</t>
        </is>
      </c>
      <c r="P1175" t="inlineStr">
        <is>
          <t>2026-06-19 07:10:32</t>
        </is>
      </c>
      <c r="Y1175" t="inlineStr">
        <is>
          <t>27768249607</t>
        </is>
      </c>
    </row>
    <row r="1176">
      <c r="A1176" t="inlineStr">
        <is>
          <t>14947943</t>
        </is>
      </c>
      <c r="B1176" t="inlineStr">
        <is>
          <t>6cf10dc7-8b78-4f7b-ae9a-cf44394485e6</t>
        </is>
      </c>
      <c r="D1176" t="inlineStr">
        <is>
          <t>30001087</t>
        </is>
      </c>
      <c r="E1176" t="inlineStr">
        <is>
          <t>ussd_funeral_leads_altitude_20260619</t>
        </is>
      </c>
      <c r="J1176" t="inlineStr">
        <is>
          <t>ADC</t>
        </is>
      </c>
      <c r="K1176" t="inlineStr">
        <is>
          <t>Auto Dial Disconnected</t>
        </is>
      </c>
      <c r="L1176" t="n">
        <v>3</v>
      </c>
      <c r="M1176" t="inlineStr">
        <is>
          <t>2026-06-23 14:09:48</t>
        </is>
      </c>
      <c r="N1176" t="inlineStr">
        <is>
          <t>system</t>
        </is>
      </c>
      <c r="O1176" t="inlineStr">
        <is>
          <t>2026-06-19 07:10:32</t>
        </is>
      </c>
      <c r="P1176" t="inlineStr">
        <is>
          <t>2026-06-19 07:10:32</t>
        </is>
      </c>
      <c r="Y1176" t="inlineStr">
        <is>
          <t>27791974073</t>
        </is>
      </c>
    </row>
    <row r="1177">
      <c r="A1177" t="inlineStr">
        <is>
          <t>14947944</t>
        </is>
      </c>
      <c r="B1177" t="inlineStr">
        <is>
          <t>fa7e9c46-03ff-44a2-8e48-9ec29f0c208d</t>
        </is>
      </c>
      <c r="D1177" t="inlineStr">
        <is>
          <t>30001087</t>
        </is>
      </c>
      <c r="E1177" t="inlineStr">
        <is>
          <t>ussd_funeral_leads_altitude_20260619</t>
        </is>
      </c>
      <c r="J1177" t="inlineStr">
        <is>
          <t>AA</t>
        </is>
      </c>
      <c r="K1177" t="inlineStr">
        <is>
          <t>Answering Machine Autodial</t>
        </is>
      </c>
      <c r="L1177" t="n">
        <v>3</v>
      </c>
      <c r="M1177" t="inlineStr">
        <is>
          <t>2026-06-23 14:09:48</t>
        </is>
      </c>
      <c r="N1177" t="inlineStr">
        <is>
          <t>system</t>
        </is>
      </c>
      <c r="O1177" t="inlineStr">
        <is>
          <t>2026-06-19 07:10:32</t>
        </is>
      </c>
      <c r="P1177" t="inlineStr">
        <is>
          <t>2026-06-19 07:10:32</t>
        </is>
      </c>
      <c r="Y1177" t="inlineStr">
        <is>
          <t>27792809064</t>
        </is>
      </c>
    </row>
    <row r="1178">
      <c r="A1178" t="inlineStr">
        <is>
          <t>14947945</t>
        </is>
      </c>
      <c r="B1178" t="inlineStr">
        <is>
          <t>496c880d-f37d-46bc-8c11-f3cd20607cda</t>
        </is>
      </c>
      <c r="D1178" t="inlineStr">
        <is>
          <t>30001087</t>
        </is>
      </c>
      <c r="E1178" t="inlineStr">
        <is>
          <t>ussd_funeral_leads_altitude_20260619</t>
        </is>
      </c>
      <c r="J1178" t="inlineStr">
        <is>
          <t>NA</t>
        </is>
      </c>
      <c r="K1178" t="inlineStr">
        <is>
          <t>No Answer Autodial</t>
        </is>
      </c>
      <c r="L1178" t="n">
        <v>3</v>
      </c>
      <c r="M1178" t="inlineStr">
        <is>
          <t>2026-06-23 14:09:45</t>
        </is>
      </c>
      <c r="N1178" t="inlineStr">
        <is>
          <t>system</t>
        </is>
      </c>
      <c r="O1178" t="inlineStr">
        <is>
          <t>2026-06-19 07:10:32</t>
        </is>
      </c>
      <c r="P1178" t="inlineStr">
        <is>
          <t>2026-06-19 07:10:32</t>
        </is>
      </c>
      <c r="Y1178" t="inlineStr">
        <is>
          <t>27762424379</t>
        </is>
      </c>
    </row>
    <row r="1179">
      <c r="A1179" t="inlineStr">
        <is>
          <t>14947946</t>
        </is>
      </c>
      <c r="B1179" t="inlineStr">
        <is>
          <t>49c20763-f68d-4ebe-b5b4-a39e3cf7a508</t>
        </is>
      </c>
      <c r="D1179" t="inlineStr">
        <is>
          <t>30001087</t>
        </is>
      </c>
      <c r="E1179" t="inlineStr">
        <is>
          <t>ussd_funeral_leads_altitude_20260619</t>
        </is>
      </c>
      <c r="J1179" t="inlineStr">
        <is>
          <t>AA</t>
        </is>
      </c>
      <c r="K1179" t="inlineStr">
        <is>
          <t>Answering Machine Autodial</t>
        </is>
      </c>
      <c r="L1179" t="n">
        <v>3</v>
      </c>
      <c r="M1179" t="inlineStr">
        <is>
          <t>2026-06-23 14:09:45</t>
        </is>
      </c>
      <c r="N1179" t="inlineStr">
        <is>
          <t>system</t>
        </is>
      </c>
      <c r="O1179" t="inlineStr">
        <is>
          <t>2026-06-19 07:10:32</t>
        </is>
      </c>
      <c r="P1179" t="inlineStr">
        <is>
          <t>2026-06-19 07:10:32</t>
        </is>
      </c>
      <c r="Y1179" t="inlineStr">
        <is>
          <t>27665660162</t>
        </is>
      </c>
    </row>
    <row r="1180">
      <c r="A1180" t="inlineStr">
        <is>
          <t>14947947</t>
        </is>
      </c>
      <c r="B1180" t="inlineStr">
        <is>
          <t>bd6463a5-cc47-4849-94d0-bacffebd2ca4</t>
        </is>
      </c>
      <c r="D1180" t="inlineStr">
        <is>
          <t>30001087</t>
        </is>
      </c>
      <c r="E1180" t="inlineStr">
        <is>
          <t>ussd_funeral_leads_altitude_20260619</t>
        </is>
      </c>
      <c r="J1180" t="inlineStr">
        <is>
          <t>ADC</t>
        </is>
      </c>
      <c r="K1180" t="inlineStr">
        <is>
          <t>Auto Dial Disconnected</t>
        </is>
      </c>
      <c r="L1180" t="n">
        <v>3</v>
      </c>
      <c r="M1180" t="inlineStr">
        <is>
          <t>2026-06-23 14:09:44</t>
        </is>
      </c>
      <c r="N1180" t="inlineStr">
        <is>
          <t>system</t>
        </is>
      </c>
      <c r="O1180" t="inlineStr">
        <is>
          <t>2026-06-19 07:10:32</t>
        </is>
      </c>
      <c r="P1180" t="inlineStr">
        <is>
          <t>2026-06-19 07:10:32</t>
        </is>
      </c>
      <c r="Y1180" t="inlineStr">
        <is>
          <t>27715567521</t>
        </is>
      </c>
    </row>
    <row r="1181">
      <c r="A1181" t="inlineStr">
        <is>
          <t>14947949</t>
        </is>
      </c>
      <c r="B1181" t="inlineStr">
        <is>
          <t>7bf4c4fb-baa9-42d4-83c1-82ff0bea563a</t>
        </is>
      </c>
      <c r="D1181" t="inlineStr">
        <is>
          <t>30001087</t>
        </is>
      </c>
      <c r="E1181" t="inlineStr">
        <is>
          <t>ussd_funeral_leads_altitude_20260619</t>
        </is>
      </c>
      <c r="H1181" t="inlineStr">
        <is>
          <t>27794744284</t>
        </is>
      </c>
      <c r="J1181" t="inlineStr">
        <is>
          <t>NA</t>
        </is>
      </c>
      <c r="K1181" t="inlineStr">
        <is>
          <t>No Answer Autodial</t>
        </is>
      </c>
      <c r="L1181" t="n">
        <v>3</v>
      </c>
      <c r="M1181" t="inlineStr">
        <is>
          <t>2026-06-23 14:09:44</t>
        </is>
      </c>
      <c r="N1181" t="inlineStr">
        <is>
          <t>system</t>
        </is>
      </c>
      <c r="O1181" t="inlineStr">
        <is>
          <t>2026-06-19 07:10:32</t>
        </is>
      </c>
      <c r="P1181" t="inlineStr">
        <is>
          <t>2026-06-19 07:10:32</t>
        </is>
      </c>
      <c r="Y1181" t="inlineStr">
        <is>
          <t>27794744284</t>
        </is>
      </c>
    </row>
    <row r="1182">
      <c r="A1182" t="inlineStr">
        <is>
          <t>14947948</t>
        </is>
      </c>
      <c r="B1182" t="inlineStr">
        <is>
          <t>ac491c06-566c-4859-87ff-da56cae4d6cc</t>
        </is>
      </c>
      <c r="D1182" t="inlineStr">
        <is>
          <t>30001087</t>
        </is>
      </c>
      <c r="E1182" t="inlineStr">
        <is>
          <t>ussd_funeral_leads_altitude_20260619</t>
        </is>
      </c>
      <c r="J1182" t="inlineStr">
        <is>
          <t>NI</t>
        </is>
      </c>
      <c r="K1182" t="inlineStr">
        <is>
          <t>Not Interested</t>
        </is>
      </c>
      <c r="L1182" t="n">
        <v>3</v>
      </c>
      <c r="M1182" t="inlineStr">
        <is>
          <t>2026-06-23 14:09:43</t>
        </is>
      </c>
      <c r="N1182" t="inlineStr">
        <is>
          <t>Lebohang Mabotja</t>
        </is>
      </c>
      <c r="O1182" t="inlineStr">
        <is>
          <t>2026-06-19 07:10:32</t>
        </is>
      </c>
      <c r="P1182" t="inlineStr">
        <is>
          <t>2026-06-19 07:10:32</t>
        </is>
      </c>
      <c r="Y1182" t="inlineStr">
        <is>
          <t>27673478442</t>
        </is>
      </c>
    </row>
    <row r="1183">
      <c r="A1183" t="inlineStr">
        <is>
          <t>14944235</t>
        </is>
      </c>
      <c r="B1183" t="inlineStr">
        <is>
          <t>97e1a8ae-3805-4404-8a32-ff4554be03e4</t>
        </is>
      </c>
      <c r="D1183" t="inlineStr">
        <is>
          <t>30001087</t>
        </is>
      </c>
      <c r="E1183" t="inlineStr">
        <is>
          <t>ussd_funeral_leads_altitude_20260619</t>
        </is>
      </c>
      <c r="J1183" t="inlineStr">
        <is>
          <t>CUA</t>
        </is>
      </c>
      <c r="K1183" t="inlineStr">
        <is>
          <t>Client Underage</t>
        </is>
      </c>
      <c r="L1183" t="n">
        <v>3</v>
      </c>
      <c r="M1183" t="inlineStr">
        <is>
          <t>2026-06-23 14:09:41</t>
        </is>
      </c>
      <c r="N1183" t="inlineStr">
        <is>
          <t>Dimakatso Nkomo</t>
        </is>
      </c>
      <c r="O1183" t="inlineStr">
        <is>
          <t>2026-06-19 07:10:32</t>
        </is>
      </c>
      <c r="P1183" t="inlineStr">
        <is>
          <t>2026-06-19 07:10:32</t>
        </is>
      </c>
      <c r="Y1183" t="inlineStr">
        <is>
          <t>27765843058</t>
        </is>
      </c>
    </row>
    <row r="1184">
      <c r="A1184" t="inlineStr">
        <is>
          <t>14944236</t>
        </is>
      </c>
      <c r="B1184" t="inlineStr">
        <is>
          <t>55d8762b-7452-4d7d-90e3-54f400242e9c</t>
        </is>
      </c>
      <c r="D1184" t="inlineStr">
        <is>
          <t>30001087</t>
        </is>
      </c>
      <c r="E1184" t="inlineStr">
        <is>
          <t>ussd_funeral_leads_altitude_20260619</t>
        </is>
      </c>
      <c r="J1184" t="inlineStr">
        <is>
          <t>ADC</t>
        </is>
      </c>
      <c r="K1184" t="inlineStr">
        <is>
          <t>Auto Dial Disconnected</t>
        </is>
      </c>
      <c r="L1184" t="n">
        <v>3</v>
      </c>
      <c r="M1184" t="inlineStr">
        <is>
          <t>2026-06-23 14:09:41</t>
        </is>
      </c>
      <c r="N1184" t="inlineStr">
        <is>
          <t>system</t>
        </is>
      </c>
      <c r="O1184" t="inlineStr">
        <is>
          <t>2026-06-19 07:10:32</t>
        </is>
      </c>
      <c r="P1184" t="inlineStr">
        <is>
          <t>2026-06-19 07:10:32</t>
        </is>
      </c>
      <c r="Y1184" t="inlineStr">
        <is>
          <t>27795341748</t>
        </is>
      </c>
    </row>
    <row r="1185">
      <c r="A1185" t="inlineStr">
        <is>
          <t>14944234</t>
        </is>
      </c>
      <c r="B1185" t="inlineStr">
        <is>
          <t>d083c0fb-46a6-4236-bd49-4a233ed91419</t>
        </is>
      </c>
      <c r="D1185" t="inlineStr">
        <is>
          <t>30001087</t>
        </is>
      </c>
      <c r="E1185" t="inlineStr">
        <is>
          <t>ussd_funeral_leads_altitude_20260619</t>
        </is>
      </c>
      <c r="J1185" t="inlineStr">
        <is>
          <t>AA</t>
        </is>
      </c>
      <c r="K1185" t="inlineStr">
        <is>
          <t>Answering Machine Autodial</t>
        </is>
      </c>
      <c r="L1185" t="n">
        <v>3</v>
      </c>
      <c r="M1185" t="inlineStr">
        <is>
          <t>2026-06-23 14:09:39</t>
        </is>
      </c>
      <c r="N1185" t="inlineStr">
        <is>
          <t>system</t>
        </is>
      </c>
      <c r="O1185" t="inlineStr">
        <is>
          <t>2026-06-19 07:10:32</t>
        </is>
      </c>
      <c r="P1185" t="inlineStr">
        <is>
          <t>2026-06-19 07:10:32</t>
        </is>
      </c>
      <c r="Y1185" t="inlineStr">
        <is>
          <t>27823796503</t>
        </is>
      </c>
    </row>
    <row r="1186">
      <c r="A1186" t="inlineStr">
        <is>
          <t>14944233</t>
        </is>
      </c>
      <c r="B1186" t="inlineStr">
        <is>
          <t>6c61287f-d0b6-40af-82c2-5513c3fecd61</t>
        </is>
      </c>
      <c r="D1186" t="inlineStr">
        <is>
          <t>30001087</t>
        </is>
      </c>
      <c r="E1186" t="inlineStr">
        <is>
          <t>ussd_funeral_leads_altitude_20260619</t>
        </is>
      </c>
      <c r="J1186" t="inlineStr">
        <is>
          <t>AA</t>
        </is>
      </c>
      <c r="K1186" t="inlineStr">
        <is>
          <t>Answering Machine Autodial</t>
        </is>
      </c>
      <c r="L1186" t="n">
        <v>3</v>
      </c>
      <c r="M1186" t="inlineStr">
        <is>
          <t>2026-06-23 14:09:38</t>
        </is>
      </c>
      <c r="N1186" t="inlineStr">
        <is>
          <t>system</t>
        </is>
      </c>
      <c r="O1186" t="inlineStr">
        <is>
          <t>2026-06-19 07:10:32</t>
        </is>
      </c>
      <c r="P1186" t="inlineStr">
        <is>
          <t>2026-06-19 07:10:32</t>
        </is>
      </c>
      <c r="Y1186" t="inlineStr">
        <is>
          <t>27648133174</t>
        </is>
      </c>
    </row>
    <row r="1187">
      <c r="A1187" t="inlineStr">
        <is>
          <t>14944231</t>
        </is>
      </c>
      <c r="B1187" t="inlineStr">
        <is>
          <t>e5cf9898-9306-4226-8e13-a40ff150bd61</t>
        </is>
      </c>
      <c r="D1187" t="inlineStr">
        <is>
          <t>30001087</t>
        </is>
      </c>
      <c r="E1187" t="inlineStr">
        <is>
          <t>ussd_funeral_leads_altitude_20260619</t>
        </is>
      </c>
      <c r="J1187" t="inlineStr">
        <is>
          <t>AA</t>
        </is>
      </c>
      <c r="K1187" t="inlineStr">
        <is>
          <t>Answering Machine Autodial</t>
        </is>
      </c>
      <c r="L1187" t="n">
        <v>3</v>
      </c>
      <c r="M1187" t="inlineStr">
        <is>
          <t>2026-06-23 14:09:37</t>
        </is>
      </c>
      <c r="N1187" t="inlineStr">
        <is>
          <t>system</t>
        </is>
      </c>
      <c r="O1187" t="inlineStr">
        <is>
          <t>2026-06-19 07:10:32</t>
        </is>
      </c>
      <c r="P1187" t="inlineStr">
        <is>
          <t>2026-06-19 07:10:32</t>
        </is>
      </c>
      <c r="Y1187" t="inlineStr">
        <is>
          <t>27768306550</t>
        </is>
      </c>
    </row>
    <row r="1188">
      <c r="A1188" t="inlineStr">
        <is>
          <t>14944232</t>
        </is>
      </c>
      <c r="B1188" t="inlineStr">
        <is>
          <t>d9937946-7414-4c2e-b12c-7f45c93e6d3f</t>
        </is>
      </c>
      <c r="D1188" t="inlineStr">
        <is>
          <t>30001087</t>
        </is>
      </c>
      <c r="E1188" t="inlineStr">
        <is>
          <t>ussd_funeral_leads_altitude_20260619</t>
        </is>
      </c>
      <c r="J1188" t="inlineStr">
        <is>
          <t>AA</t>
        </is>
      </c>
      <c r="K1188" t="inlineStr">
        <is>
          <t>Answering Machine Autodial</t>
        </is>
      </c>
      <c r="L1188" t="n">
        <v>3</v>
      </c>
      <c r="M1188" t="inlineStr">
        <is>
          <t>2026-06-23 14:09:37</t>
        </is>
      </c>
      <c r="N1188" t="inlineStr">
        <is>
          <t>system</t>
        </is>
      </c>
      <c r="O1188" t="inlineStr">
        <is>
          <t>2026-06-19 07:10:32</t>
        </is>
      </c>
      <c r="P1188" t="inlineStr">
        <is>
          <t>2026-06-19 07:10:32</t>
        </is>
      </c>
      <c r="Y1188" t="inlineStr">
        <is>
          <t>27795983409</t>
        </is>
      </c>
    </row>
    <row r="1189">
      <c r="A1189" t="inlineStr">
        <is>
          <t>14944230</t>
        </is>
      </c>
      <c r="B1189" t="inlineStr">
        <is>
          <t>207d83fe-1fc8-44f5-9046-4d99f4128792</t>
        </is>
      </c>
      <c r="D1189" t="inlineStr">
        <is>
          <t>30001087</t>
        </is>
      </c>
      <c r="E1189" t="inlineStr">
        <is>
          <t>ussd_funeral_leads_altitude_20260619</t>
        </is>
      </c>
      <c r="J1189" t="inlineStr">
        <is>
          <t>ADC</t>
        </is>
      </c>
      <c r="K1189" t="inlineStr">
        <is>
          <t>Auto Dial Disconnected</t>
        </is>
      </c>
      <c r="L1189" t="n">
        <v>3</v>
      </c>
      <c r="M1189" t="inlineStr">
        <is>
          <t>2026-06-23 14:09:36</t>
        </is>
      </c>
      <c r="N1189" t="inlineStr">
        <is>
          <t>system</t>
        </is>
      </c>
      <c r="O1189" t="inlineStr">
        <is>
          <t>2026-06-19 07:10:32</t>
        </is>
      </c>
      <c r="P1189" t="inlineStr">
        <is>
          <t>2026-06-19 07:10:32</t>
        </is>
      </c>
      <c r="Y1189" t="inlineStr">
        <is>
          <t>27726351452</t>
        </is>
      </c>
    </row>
    <row r="1190">
      <c r="A1190" t="inlineStr">
        <is>
          <t>14944229</t>
        </is>
      </c>
      <c r="B1190" t="inlineStr">
        <is>
          <t>31d40c23-24aa-470a-bcea-4f9b7923df33</t>
        </is>
      </c>
      <c r="D1190" t="inlineStr">
        <is>
          <t>30001087</t>
        </is>
      </c>
      <c r="E1190" t="inlineStr">
        <is>
          <t>ussd_funeral_leads_altitude_20260619</t>
        </is>
      </c>
      <c r="J1190" t="inlineStr">
        <is>
          <t>AA</t>
        </is>
      </c>
      <c r="K1190" t="inlineStr">
        <is>
          <t>Answering Machine Autodial</t>
        </is>
      </c>
      <c r="L1190" t="n">
        <v>3</v>
      </c>
      <c r="M1190" t="inlineStr">
        <is>
          <t>2026-06-23 14:09:35</t>
        </is>
      </c>
      <c r="N1190" t="inlineStr">
        <is>
          <t>system</t>
        </is>
      </c>
      <c r="O1190" t="inlineStr">
        <is>
          <t>2026-06-19 07:10:32</t>
        </is>
      </c>
      <c r="P1190" t="inlineStr">
        <is>
          <t>2026-06-19 07:10:32</t>
        </is>
      </c>
      <c r="Y1190" t="inlineStr">
        <is>
          <t>27663213801</t>
        </is>
      </c>
    </row>
    <row r="1191">
      <c r="A1191" t="inlineStr">
        <is>
          <t>14944226</t>
        </is>
      </c>
      <c r="B1191" t="inlineStr">
        <is>
          <t>7b6dc76d-16bf-4f4f-a2c6-06612ec99ff6</t>
        </is>
      </c>
      <c r="D1191" t="inlineStr">
        <is>
          <t>30001087</t>
        </is>
      </c>
      <c r="E1191" t="inlineStr">
        <is>
          <t>ussd_funeral_leads_altitude_20260619</t>
        </is>
      </c>
      <c r="J1191" t="inlineStr">
        <is>
          <t>AA</t>
        </is>
      </c>
      <c r="K1191" t="inlineStr">
        <is>
          <t>Answering Machine Autodial</t>
        </is>
      </c>
      <c r="L1191" t="n">
        <v>3</v>
      </c>
      <c r="M1191" t="inlineStr">
        <is>
          <t>2026-06-23 14:09:28</t>
        </is>
      </c>
      <c r="N1191" t="inlineStr">
        <is>
          <t>system</t>
        </is>
      </c>
      <c r="O1191" t="inlineStr">
        <is>
          <t>2026-06-19 07:10:32</t>
        </is>
      </c>
      <c r="P1191" t="inlineStr">
        <is>
          <t>2026-06-19 07:10:32</t>
        </is>
      </c>
      <c r="Y1191" t="inlineStr">
        <is>
          <t>27722208432</t>
        </is>
      </c>
    </row>
    <row r="1192">
      <c r="A1192" t="inlineStr">
        <is>
          <t>14944227</t>
        </is>
      </c>
      <c r="B1192" t="inlineStr">
        <is>
          <t>91086d8c-c850-4740-b4ad-1040c8495c32</t>
        </is>
      </c>
      <c r="D1192" t="inlineStr">
        <is>
          <t>30001087</t>
        </is>
      </c>
      <c r="E1192" t="inlineStr">
        <is>
          <t>ussd_funeral_leads_altitude_20260619</t>
        </is>
      </c>
      <c r="J1192" t="inlineStr">
        <is>
          <t>AE</t>
        </is>
      </c>
      <c r="K1192" t="inlineStr">
        <is>
          <t>Auto Engaged</t>
        </is>
      </c>
      <c r="L1192" t="n">
        <v>3</v>
      </c>
      <c r="M1192" t="inlineStr">
        <is>
          <t>2026-06-23 14:09:28</t>
        </is>
      </c>
      <c r="N1192" t="inlineStr">
        <is>
          <t>system</t>
        </is>
      </c>
      <c r="O1192" t="inlineStr">
        <is>
          <t>2026-06-19 07:10:32</t>
        </is>
      </c>
      <c r="P1192" t="inlineStr">
        <is>
          <t>2026-06-19 07:10:32</t>
        </is>
      </c>
      <c r="Y1192" t="inlineStr">
        <is>
          <t>27769682320</t>
        </is>
      </c>
    </row>
    <row r="1193">
      <c r="A1193" t="inlineStr">
        <is>
          <t>14948114</t>
        </is>
      </c>
      <c r="B1193" t="inlineStr">
        <is>
          <t>f94ae278-eaa2-4626-b8c1-12ff744e7f90</t>
        </is>
      </c>
      <c r="D1193" t="inlineStr">
        <is>
          <t>30001087</t>
        </is>
      </c>
      <c r="E1193" t="inlineStr">
        <is>
          <t>ussd_funeral_leads_altitude_20260619</t>
        </is>
      </c>
      <c r="J1193" t="inlineStr">
        <is>
          <t>ADC</t>
        </is>
      </c>
      <c r="K1193" t="inlineStr">
        <is>
          <t>Auto Dial Disconnected</t>
        </is>
      </c>
      <c r="L1193" t="n">
        <v>3</v>
      </c>
      <c r="M1193" t="inlineStr">
        <is>
          <t>2026-06-23 14:09:28</t>
        </is>
      </c>
      <c r="N1193" t="inlineStr">
        <is>
          <t>system</t>
        </is>
      </c>
      <c r="O1193" t="inlineStr">
        <is>
          <t>2026-06-19 07:10:32</t>
        </is>
      </c>
      <c r="P1193" t="inlineStr">
        <is>
          <t>2026-06-19 07:10:32</t>
        </is>
      </c>
      <c r="Y1193" t="inlineStr">
        <is>
          <t>27793377251</t>
        </is>
      </c>
    </row>
    <row r="1194">
      <c r="A1194" t="inlineStr">
        <is>
          <t>14944222</t>
        </is>
      </c>
      <c r="B1194" t="inlineStr">
        <is>
          <t>4df7a855-c462-47c0-982b-a91596754ba7</t>
        </is>
      </c>
      <c r="D1194" t="inlineStr">
        <is>
          <t>30001087</t>
        </is>
      </c>
      <c r="E1194" t="inlineStr">
        <is>
          <t>ussd_funeral_leads_altitude_20260619</t>
        </is>
      </c>
      <c r="J1194" t="inlineStr">
        <is>
          <t>AA</t>
        </is>
      </c>
      <c r="K1194" t="inlineStr">
        <is>
          <t>Answering Machine Autodial</t>
        </is>
      </c>
      <c r="L1194" t="n">
        <v>3</v>
      </c>
      <c r="M1194" t="inlineStr">
        <is>
          <t>2026-06-23 14:09:25</t>
        </is>
      </c>
      <c r="N1194" t="inlineStr">
        <is>
          <t>system</t>
        </is>
      </c>
      <c r="O1194" t="inlineStr">
        <is>
          <t>2026-06-19 07:10:32</t>
        </is>
      </c>
      <c r="P1194" t="inlineStr">
        <is>
          <t>2026-06-19 07:10:32</t>
        </is>
      </c>
      <c r="Y1194" t="inlineStr">
        <is>
          <t>27714350929</t>
        </is>
      </c>
    </row>
    <row r="1195">
      <c r="A1195" t="inlineStr">
        <is>
          <t>14944223</t>
        </is>
      </c>
      <c r="B1195" t="inlineStr">
        <is>
          <t>f36ea076-7649-4d26-81c5-87be3de94ea3</t>
        </is>
      </c>
      <c r="D1195" t="inlineStr">
        <is>
          <t>30001087</t>
        </is>
      </c>
      <c r="E1195" t="inlineStr">
        <is>
          <t>ussd_funeral_leads_altitude_20260619</t>
        </is>
      </c>
      <c r="J1195" t="inlineStr">
        <is>
          <t>NA</t>
        </is>
      </c>
      <c r="K1195" t="inlineStr">
        <is>
          <t>No Answer Autodial</t>
        </is>
      </c>
      <c r="L1195" t="n">
        <v>3</v>
      </c>
      <c r="M1195" t="inlineStr">
        <is>
          <t>2026-06-23 14:09:25</t>
        </is>
      </c>
      <c r="N1195" t="inlineStr">
        <is>
          <t>system</t>
        </is>
      </c>
      <c r="O1195" t="inlineStr">
        <is>
          <t>2026-06-19 07:10:32</t>
        </is>
      </c>
      <c r="P1195" t="inlineStr">
        <is>
          <t>2026-06-19 07:10:32</t>
        </is>
      </c>
      <c r="Y1195" t="inlineStr">
        <is>
          <t>27793846526</t>
        </is>
      </c>
    </row>
    <row r="1196">
      <c r="A1196" t="inlineStr">
        <is>
          <t>14944224</t>
        </is>
      </c>
      <c r="B1196" t="inlineStr">
        <is>
          <t>fd60191b-7864-4183-934f-6956dd45830c</t>
        </is>
      </c>
      <c r="D1196" t="inlineStr">
        <is>
          <t>30001087</t>
        </is>
      </c>
      <c r="E1196" t="inlineStr">
        <is>
          <t>ussd_funeral_leads_altitude_20260619</t>
        </is>
      </c>
      <c r="J1196" t="inlineStr">
        <is>
          <t>ADC</t>
        </is>
      </c>
      <c r="K1196" t="inlineStr">
        <is>
          <t>Auto Dial Disconnected</t>
        </is>
      </c>
      <c r="L1196" t="n">
        <v>3</v>
      </c>
      <c r="M1196" t="inlineStr">
        <is>
          <t>2026-06-23 14:09:25</t>
        </is>
      </c>
      <c r="N1196" t="inlineStr">
        <is>
          <t>system</t>
        </is>
      </c>
      <c r="O1196" t="inlineStr">
        <is>
          <t>2026-06-19 07:10:32</t>
        </is>
      </c>
      <c r="P1196" t="inlineStr">
        <is>
          <t>2026-06-19 07:10:32</t>
        </is>
      </c>
      <c r="Y1196" t="inlineStr">
        <is>
          <t>27796161030</t>
        </is>
      </c>
    </row>
    <row r="1197">
      <c r="A1197" t="inlineStr">
        <is>
          <t>14944198</t>
        </is>
      </c>
      <c r="B1197" t="inlineStr">
        <is>
          <t>43ce1d85-a930-4460-bd83-c9e9004611a5</t>
        </is>
      </c>
      <c r="D1197" t="inlineStr">
        <is>
          <t>30001087</t>
        </is>
      </c>
      <c r="E1197" t="inlineStr">
        <is>
          <t>ussd_funeral_leads_altitude_20260619</t>
        </is>
      </c>
      <c r="J1197" t="inlineStr">
        <is>
          <t>A</t>
        </is>
      </c>
      <c r="K1197" t="inlineStr">
        <is>
          <t>Answering Machine</t>
        </is>
      </c>
      <c r="L1197" t="n">
        <v>3</v>
      </c>
      <c r="M1197" t="inlineStr">
        <is>
          <t>2026-06-23 14:09:22</t>
        </is>
      </c>
      <c r="N1197" t="inlineStr">
        <is>
          <t>Vuyiswa Nxumalo</t>
        </is>
      </c>
      <c r="O1197" t="inlineStr">
        <is>
          <t>2026-06-19 07:10:32</t>
        </is>
      </c>
      <c r="P1197" t="inlineStr">
        <is>
          <t>2026-06-19 07:10:32</t>
        </is>
      </c>
      <c r="Y1197" t="inlineStr">
        <is>
          <t>27646974304</t>
        </is>
      </c>
    </row>
    <row r="1198">
      <c r="A1198" t="inlineStr">
        <is>
          <t>14944221</t>
        </is>
      </c>
      <c r="B1198" t="inlineStr">
        <is>
          <t>6f51e127-ecda-4abb-9d89-17d25870a970</t>
        </is>
      </c>
      <c r="D1198" t="inlineStr">
        <is>
          <t>30001087</t>
        </is>
      </c>
      <c r="E1198" t="inlineStr">
        <is>
          <t>ussd_funeral_leads_altitude_20260619</t>
        </is>
      </c>
      <c r="J1198" t="inlineStr">
        <is>
          <t>NA</t>
        </is>
      </c>
      <c r="K1198" t="inlineStr">
        <is>
          <t>No Answer Autodial</t>
        </is>
      </c>
      <c r="L1198" t="n">
        <v>3</v>
      </c>
      <c r="M1198" t="inlineStr">
        <is>
          <t>2026-06-23 14:09:22</t>
        </is>
      </c>
      <c r="N1198" t="inlineStr">
        <is>
          <t>system</t>
        </is>
      </c>
      <c r="O1198" t="inlineStr">
        <is>
          <t>2026-06-19 07:10:32</t>
        </is>
      </c>
      <c r="P1198" t="inlineStr">
        <is>
          <t>2026-06-19 07:10:32</t>
        </is>
      </c>
      <c r="Y1198" t="inlineStr">
        <is>
          <t>27662933991</t>
        </is>
      </c>
    </row>
    <row r="1199">
      <c r="A1199" t="inlineStr">
        <is>
          <t>14944195</t>
        </is>
      </c>
      <c r="B1199" t="inlineStr">
        <is>
          <t>b5229fc5-6bd3-4a95-8dfe-44d67b338621</t>
        </is>
      </c>
      <c r="D1199" t="inlineStr">
        <is>
          <t>30001087</t>
        </is>
      </c>
      <c r="E1199" t="inlineStr">
        <is>
          <t>ussd_funeral_leads_altitude_20260619</t>
        </is>
      </c>
      <c r="H1199" t="inlineStr">
        <is>
          <t>27769579092</t>
        </is>
      </c>
      <c r="J1199" t="inlineStr">
        <is>
          <t>ADC</t>
        </is>
      </c>
      <c r="K1199" t="inlineStr">
        <is>
          <t>Auto Dial Disconnected</t>
        </is>
      </c>
      <c r="L1199" t="n">
        <v>3</v>
      </c>
      <c r="M1199" t="inlineStr">
        <is>
          <t>2026-06-23 14:09:21</t>
        </is>
      </c>
      <c r="N1199" t="inlineStr">
        <is>
          <t>system</t>
        </is>
      </c>
      <c r="O1199" t="inlineStr">
        <is>
          <t>2026-06-19 07:10:32</t>
        </is>
      </c>
      <c r="P1199" t="inlineStr">
        <is>
          <t>2026-06-19 07:10:32</t>
        </is>
      </c>
      <c r="Y1199" t="inlineStr">
        <is>
          <t>27769579092</t>
        </is>
      </c>
    </row>
    <row r="1200">
      <c r="A1200" t="inlineStr">
        <is>
          <t>14947954</t>
        </is>
      </c>
      <c r="B1200" t="inlineStr">
        <is>
          <t>ddb8c330-915b-4adb-9858-f3ba6f591308</t>
        </is>
      </c>
      <c r="D1200" t="inlineStr">
        <is>
          <t>30001087</t>
        </is>
      </c>
      <c r="E1200" t="inlineStr">
        <is>
          <t>ussd_funeral_leads_altitude_20260619</t>
        </is>
      </c>
      <c r="J1200" t="inlineStr">
        <is>
          <t>ADC</t>
        </is>
      </c>
      <c r="K1200" t="inlineStr">
        <is>
          <t>Auto Dial Disconnected</t>
        </is>
      </c>
      <c r="L1200" t="n">
        <v>3</v>
      </c>
      <c r="M1200" t="inlineStr">
        <is>
          <t>2026-06-23 14:08:26</t>
        </is>
      </c>
      <c r="N1200" t="inlineStr">
        <is>
          <t>system</t>
        </is>
      </c>
      <c r="O1200" t="inlineStr">
        <is>
          <t>2026-06-19 07:10:32</t>
        </is>
      </c>
      <c r="P1200" t="inlineStr">
        <is>
          <t>2026-06-19 07:10:32</t>
        </is>
      </c>
      <c r="Y1200" t="inlineStr">
        <is>
          <t>27798205024</t>
        </is>
      </c>
    </row>
    <row r="1201">
      <c r="A1201" t="inlineStr">
        <is>
          <t>14947955</t>
        </is>
      </c>
      <c r="B1201" t="inlineStr">
        <is>
          <t>6a441964-d9f1-4c65-bc04-9b5ba30b691d</t>
        </is>
      </c>
      <c r="D1201" t="inlineStr">
        <is>
          <t>30001087</t>
        </is>
      </c>
      <c r="E1201" t="inlineStr">
        <is>
          <t>ussd_funeral_leads_altitude_20260619</t>
        </is>
      </c>
      <c r="J1201" t="inlineStr">
        <is>
          <t>AA</t>
        </is>
      </c>
      <c r="K1201" t="inlineStr">
        <is>
          <t>Answering Machine Autodial</t>
        </is>
      </c>
      <c r="L1201" t="n">
        <v>3</v>
      </c>
      <c r="M1201" t="inlineStr">
        <is>
          <t>2026-06-23 14:08:26</t>
        </is>
      </c>
      <c r="N1201" t="inlineStr">
        <is>
          <t>system</t>
        </is>
      </c>
      <c r="O1201" t="inlineStr">
        <is>
          <t>2026-06-19 07:10:32</t>
        </is>
      </c>
      <c r="P1201" t="inlineStr">
        <is>
          <t>2026-06-19 07:10:32</t>
        </is>
      </c>
      <c r="Y1201" t="inlineStr">
        <is>
          <t>27767967301</t>
        </is>
      </c>
    </row>
    <row r="1202">
      <c r="A1202" t="inlineStr">
        <is>
          <t>14947956</t>
        </is>
      </c>
      <c r="B1202" t="inlineStr">
        <is>
          <t>1188af0f-468f-412d-8541-ef5d900277ce</t>
        </is>
      </c>
      <c r="D1202" t="inlineStr">
        <is>
          <t>30001087</t>
        </is>
      </c>
      <c r="E1202" t="inlineStr">
        <is>
          <t>ussd_funeral_leads_altitude_20260619</t>
        </is>
      </c>
      <c r="J1202" t="inlineStr">
        <is>
          <t>AA</t>
        </is>
      </c>
      <c r="K1202" t="inlineStr">
        <is>
          <t>Answering Machine Autodial</t>
        </is>
      </c>
      <c r="L1202" t="n">
        <v>3</v>
      </c>
      <c r="M1202" t="inlineStr">
        <is>
          <t>2026-06-23 14:08:26</t>
        </is>
      </c>
      <c r="N1202" t="inlineStr">
        <is>
          <t>system</t>
        </is>
      </c>
      <c r="O1202" t="inlineStr">
        <is>
          <t>2026-06-19 07:10:32</t>
        </is>
      </c>
      <c r="P1202" t="inlineStr">
        <is>
          <t>2026-06-19 07:10:32</t>
        </is>
      </c>
      <c r="Y1202" t="inlineStr">
        <is>
          <t>27722482042</t>
        </is>
      </c>
    </row>
    <row r="1203">
      <c r="A1203" t="inlineStr">
        <is>
          <t>14947957</t>
        </is>
      </c>
      <c r="B1203" t="inlineStr">
        <is>
          <t>99d9fe93-861c-455d-8b86-d31731eab17b</t>
        </is>
      </c>
      <c r="D1203" t="inlineStr">
        <is>
          <t>30001087</t>
        </is>
      </c>
      <c r="E1203" t="inlineStr">
        <is>
          <t>ussd_funeral_leads_altitude_20260619</t>
        </is>
      </c>
      <c r="J1203" t="inlineStr">
        <is>
          <t>ADC</t>
        </is>
      </c>
      <c r="K1203" t="inlineStr">
        <is>
          <t>Auto Dial Disconnected</t>
        </is>
      </c>
      <c r="L1203" t="n">
        <v>3</v>
      </c>
      <c r="M1203" t="inlineStr">
        <is>
          <t>2026-06-23 14:08:25</t>
        </is>
      </c>
      <c r="N1203" t="inlineStr">
        <is>
          <t>system</t>
        </is>
      </c>
      <c r="O1203" t="inlineStr">
        <is>
          <t>2026-06-19 07:10:32</t>
        </is>
      </c>
      <c r="P1203" t="inlineStr">
        <is>
          <t>2026-06-19 07:10:32</t>
        </is>
      </c>
      <c r="Y1203" t="inlineStr">
        <is>
          <t>27799472048</t>
        </is>
      </c>
    </row>
    <row r="1204">
      <c r="A1204" t="inlineStr">
        <is>
          <t>14947958</t>
        </is>
      </c>
      <c r="B1204" t="inlineStr">
        <is>
          <t>f80a5fe9-aeca-4e5b-9ff5-1f5a6ebe600d</t>
        </is>
      </c>
      <c r="D1204" t="inlineStr">
        <is>
          <t>30001087</t>
        </is>
      </c>
      <c r="E1204" t="inlineStr">
        <is>
          <t>ussd_funeral_leads_altitude_20260619</t>
        </is>
      </c>
      <c r="J1204" t="inlineStr">
        <is>
          <t>ADC</t>
        </is>
      </c>
      <c r="K1204" t="inlineStr">
        <is>
          <t>Auto Dial Disconnected</t>
        </is>
      </c>
      <c r="L1204" t="n">
        <v>3</v>
      </c>
      <c r="M1204" t="inlineStr">
        <is>
          <t>2026-06-23 14:08:25</t>
        </is>
      </c>
      <c r="N1204" t="inlineStr">
        <is>
          <t>system</t>
        </is>
      </c>
      <c r="O1204" t="inlineStr">
        <is>
          <t>2026-06-19 07:10:32</t>
        </is>
      </c>
      <c r="P1204" t="inlineStr">
        <is>
          <t>2026-06-19 07:10:32</t>
        </is>
      </c>
      <c r="Y1204" t="inlineStr">
        <is>
          <t>27794465340</t>
        </is>
      </c>
    </row>
    <row r="1205">
      <c r="A1205" t="inlineStr">
        <is>
          <t>14948113</t>
        </is>
      </c>
      <c r="B1205" t="inlineStr">
        <is>
          <t>702f6e89-bae9-44d6-9686-717623ad6a59</t>
        </is>
      </c>
      <c r="D1205" t="inlineStr">
        <is>
          <t>30001087</t>
        </is>
      </c>
      <c r="E1205" t="inlineStr">
        <is>
          <t>ussd_funeral_leads_altitude_20260619</t>
        </is>
      </c>
      <c r="H1205" t="inlineStr">
        <is>
          <t>27761154556</t>
        </is>
      </c>
      <c r="J1205" t="inlineStr">
        <is>
          <t>CU</t>
        </is>
      </c>
      <c r="K1205" t="inlineStr">
        <is>
          <t>Client Hung Up</t>
        </is>
      </c>
      <c r="L1205" t="n">
        <v>3</v>
      </c>
      <c r="M1205" t="inlineStr">
        <is>
          <t>2026-06-23 14:08:25</t>
        </is>
      </c>
      <c r="N1205" t="inlineStr">
        <is>
          <t>Vuyiswa Nxumalo</t>
        </is>
      </c>
      <c r="O1205" t="inlineStr">
        <is>
          <t>2026-06-19 07:10:32</t>
        </is>
      </c>
      <c r="P1205" t="inlineStr">
        <is>
          <t>2026-06-19 07:10:32</t>
        </is>
      </c>
      <c r="Y1205" t="inlineStr">
        <is>
          <t>27761154556</t>
        </is>
      </c>
    </row>
    <row r="1206">
      <c r="A1206" t="inlineStr">
        <is>
          <t>14947950</t>
        </is>
      </c>
      <c r="B1206" t="inlineStr">
        <is>
          <t>a8d889ea-8d62-42e1-b44d-8da0c3bcb0de</t>
        </is>
      </c>
      <c r="D1206" t="inlineStr">
        <is>
          <t>30001087</t>
        </is>
      </c>
      <c r="E1206" t="inlineStr">
        <is>
          <t>ussd_funeral_leads_altitude_20260619</t>
        </is>
      </c>
      <c r="J1206" t="inlineStr">
        <is>
          <t>ADC</t>
        </is>
      </c>
      <c r="K1206" t="inlineStr">
        <is>
          <t>Auto Dial Disconnected</t>
        </is>
      </c>
      <c r="L1206" t="n">
        <v>3</v>
      </c>
      <c r="M1206" t="inlineStr">
        <is>
          <t>2026-06-23 14:08:24</t>
        </is>
      </c>
      <c r="N1206" t="inlineStr">
        <is>
          <t>system</t>
        </is>
      </c>
      <c r="O1206" t="inlineStr">
        <is>
          <t>2026-06-19 07:10:32</t>
        </is>
      </c>
      <c r="P1206" t="inlineStr">
        <is>
          <t>2026-06-19 07:10:32</t>
        </is>
      </c>
      <c r="Y1206" t="inlineStr">
        <is>
          <t>27764699952</t>
        </is>
      </c>
    </row>
    <row r="1207">
      <c r="A1207" t="inlineStr">
        <is>
          <t>14947951</t>
        </is>
      </c>
      <c r="B1207" t="inlineStr">
        <is>
          <t>dffe12be-df6b-405d-9d27-a220408bbae7</t>
        </is>
      </c>
      <c r="D1207" t="inlineStr">
        <is>
          <t>30001087</t>
        </is>
      </c>
      <c r="E1207" t="inlineStr">
        <is>
          <t>ussd_funeral_leads_altitude_20260619</t>
        </is>
      </c>
      <c r="J1207" t="inlineStr">
        <is>
          <t>AA</t>
        </is>
      </c>
      <c r="K1207" t="inlineStr">
        <is>
          <t>Answering Machine Autodial</t>
        </is>
      </c>
      <c r="L1207" t="n">
        <v>3</v>
      </c>
      <c r="M1207" t="inlineStr">
        <is>
          <t>2026-06-23 14:08:24</t>
        </is>
      </c>
      <c r="N1207" t="inlineStr">
        <is>
          <t>system</t>
        </is>
      </c>
      <c r="O1207" t="inlineStr">
        <is>
          <t>2026-06-19 07:10:32</t>
        </is>
      </c>
      <c r="P1207" t="inlineStr">
        <is>
          <t>2026-06-19 07:10:32</t>
        </is>
      </c>
      <c r="Y1207" t="inlineStr">
        <is>
          <t>27607320246</t>
        </is>
      </c>
    </row>
    <row r="1208">
      <c r="A1208" t="inlineStr">
        <is>
          <t>14947953</t>
        </is>
      </c>
      <c r="B1208" t="inlineStr">
        <is>
          <t>d713f47b-a063-4934-a8cf-8abd9b401d46</t>
        </is>
      </c>
      <c r="D1208" t="inlineStr">
        <is>
          <t>30001087</t>
        </is>
      </c>
      <c r="E1208" t="inlineStr">
        <is>
          <t>ussd_funeral_leads_altitude_20260619</t>
        </is>
      </c>
      <c r="J1208" t="inlineStr">
        <is>
          <t>AA</t>
        </is>
      </c>
      <c r="K1208" t="inlineStr">
        <is>
          <t>Answering Machine Autodial</t>
        </is>
      </c>
      <c r="L1208" t="n">
        <v>3</v>
      </c>
      <c r="M1208" t="inlineStr">
        <is>
          <t>2026-06-23 14:08:24</t>
        </is>
      </c>
      <c r="N1208" t="inlineStr">
        <is>
          <t>system</t>
        </is>
      </c>
      <c r="O1208" t="inlineStr">
        <is>
          <t>2026-06-19 07:10:32</t>
        </is>
      </c>
      <c r="P1208" t="inlineStr">
        <is>
          <t>2026-06-19 07:10:32</t>
        </is>
      </c>
      <c r="Y1208" t="inlineStr">
        <is>
          <t>27649528253</t>
        </is>
      </c>
    </row>
    <row r="1209">
      <c r="A1209" t="inlineStr">
        <is>
          <t>14947959</t>
        </is>
      </c>
      <c r="B1209" t="inlineStr">
        <is>
          <t>f05f935d-7b89-42f7-adc4-78af38502953</t>
        </is>
      </c>
      <c r="D1209" t="inlineStr">
        <is>
          <t>30001087</t>
        </is>
      </c>
      <c r="E1209" t="inlineStr">
        <is>
          <t>ussd_funeral_leads_altitude_20260619</t>
        </is>
      </c>
      <c r="J1209" t="inlineStr">
        <is>
          <t>NA</t>
        </is>
      </c>
      <c r="K1209" t="inlineStr">
        <is>
          <t>No Answer Autodial</t>
        </is>
      </c>
      <c r="L1209" t="n">
        <v>3</v>
      </c>
      <c r="M1209" t="inlineStr">
        <is>
          <t>2026-06-23 14:08:21</t>
        </is>
      </c>
      <c r="N1209" t="inlineStr">
        <is>
          <t>system</t>
        </is>
      </c>
      <c r="O1209" t="inlineStr">
        <is>
          <t>2026-06-19 07:10:32</t>
        </is>
      </c>
      <c r="P1209" t="inlineStr">
        <is>
          <t>2026-06-19 07:10:32</t>
        </is>
      </c>
      <c r="Y1209" t="inlineStr">
        <is>
          <t>27664684985</t>
        </is>
      </c>
    </row>
    <row r="1210">
      <c r="A1210" t="inlineStr">
        <is>
          <t>14947960</t>
        </is>
      </c>
      <c r="B1210" t="inlineStr">
        <is>
          <t>1fdc60df-4683-48f9-bf25-215bc55e301c</t>
        </is>
      </c>
      <c r="D1210" t="inlineStr">
        <is>
          <t>30001087</t>
        </is>
      </c>
      <c r="E1210" t="inlineStr">
        <is>
          <t>ussd_funeral_leads_altitude_20260619</t>
        </is>
      </c>
      <c r="J1210" t="inlineStr">
        <is>
          <t>CUA</t>
        </is>
      </c>
      <c r="K1210" t="inlineStr">
        <is>
          <t>Client Underage</t>
        </is>
      </c>
      <c r="L1210" t="n">
        <v>3</v>
      </c>
      <c r="M1210" t="inlineStr">
        <is>
          <t>2026-06-23 14:08:20</t>
        </is>
      </c>
      <c r="N1210" t="inlineStr">
        <is>
          <t>Lebohang Mabotja</t>
        </is>
      </c>
      <c r="O1210" t="inlineStr">
        <is>
          <t>2026-06-19 07:10:32</t>
        </is>
      </c>
      <c r="P1210" t="inlineStr">
        <is>
          <t>2026-06-19 07:10:32</t>
        </is>
      </c>
      <c r="Y1210" t="inlineStr">
        <is>
          <t>27724294259</t>
        </is>
      </c>
    </row>
    <row r="1211">
      <c r="A1211" t="inlineStr">
        <is>
          <t>14947961</t>
        </is>
      </c>
      <c r="B1211" t="inlineStr">
        <is>
          <t>7b7142ba-2c28-42d8-a7d4-dd86719c83aa</t>
        </is>
      </c>
      <c r="D1211" t="inlineStr">
        <is>
          <t>30001087</t>
        </is>
      </c>
      <c r="E1211" t="inlineStr">
        <is>
          <t>ussd_funeral_leads_altitude_20260619</t>
        </is>
      </c>
      <c r="J1211" t="inlineStr">
        <is>
          <t>ADC</t>
        </is>
      </c>
      <c r="K1211" t="inlineStr">
        <is>
          <t>Auto Dial Disconnected</t>
        </is>
      </c>
      <c r="L1211" t="n">
        <v>3</v>
      </c>
      <c r="M1211" t="inlineStr">
        <is>
          <t>2026-06-23 14:08:20</t>
        </is>
      </c>
      <c r="N1211" t="inlineStr">
        <is>
          <t>system</t>
        </is>
      </c>
      <c r="O1211" t="inlineStr">
        <is>
          <t>2026-06-19 07:10:32</t>
        </is>
      </c>
      <c r="P1211" t="inlineStr">
        <is>
          <t>2026-06-19 07:10:32</t>
        </is>
      </c>
      <c r="Y1211" t="inlineStr">
        <is>
          <t>27664258431</t>
        </is>
      </c>
    </row>
    <row r="1212">
      <c r="A1212" t="inlineStr">
        <is>
          <t>14947962</t>
        </is>
      </c>
      <c r="B1212" t="inlineStr">
        <is>
          <t>b840a290-15c9-4f90-8d3e-a0456e4b6359</t>
        </is>
      </c>
      <c r="D1212" t="inlineStr">
        <is>
          <t>30001087</t>
        </is>
      </c>
      <c r="E1212" t="inlineStr">
        <is>
          <t>ussd_funeral_leads_altitude_20260619</t>
        </is>
      </c>
      <c r="J1212" t="inlineStr">
        <is>
          <t>AA</t>
        </is>
      </c>
      <c r="K1212" t="inlineStr">
        <is>
          <t>Answering Machine Autodial</t>
        </is>
      </c>
      <c r="L1212" t="n">
        <v>3</v>
      </c>
      <c r="M1212" t="inlineStr">
        <is>
          <t>2026-06-23 14:08:18</t>
        </is>
      </c>
      <c r="N1212" t="inlineStr">
        <is>
          <t>system</t>
        </is>
      </c>
      <c r="O1212" t="inlineStr">
        <is>
          <t>2026-06-19 07:10:32</t>
        </is>
      </c>
      <c r="P1212" t="inlineStr">
        <is>
          <t>2026-06-19 07:10:32</t>
        </is>
      </c>
      <c r="Y1212" t="inlineStr">
        <is>
          <t>27716775180</t>
        </is>
      </c>
    </row>
    <row r="1213">
      <c r="A1213" t="inlineStr">
        <is>
          <t>14947963</t>
        </is>
      </c>
      <c r="B1213" t="inlineStr">
        <is>
          <t>6617c4e9-9032-4013-978d-1c2a0d9f639e</t>
        </is>
      </c>
      <c r="D1213" t="inlineStr">
        <is>
          <t>30001087</t>
        </is>
      </c>
      <c r="E1213" t="inlineStr">
        <is>
          <t>ussd_funeral_leads_altitude_20260619</t>
        </is>
      </c>
      <c r="J1213" t="inlineStr">
        <is>
          <t>AA</t>
        </is>
      </c>
      <c r="K1213" t="inlineStr">
        <is>
          <t>Answering Machine Autodial</t>
        </is>
      </c>
      <c r="L1213" t="n">
        <v>3</v>
      </c>
      <c r="M1213" t="inlineStr">
        <is>
          <t>2026-06-23 14:08:18</t>
        </is>
      </c>
      <c r="N1213" t="inlineStr">
        <is>
          <t>system</t>
        </is>
      </c>
      <c r="O1213" t="inlineStr">
        <is>
          <t>2026-06-19 07:10:32</t>
        </is>
      </c>
      <c r="P1213" t="inlineStr">
        <is>
          <t>2026-06-19 07:10:32</t>
        </is>
      </c>
      <c r="Y1213" t="inlineStr">
        <is>
          <t>27826876781</t>
        </is>
      </c>
    </row>
    <row r="1214">
      <c r="A1214" t="inlineStr">
        <is>
          <t>14947964</t>
        </is>
      </c>
      <c r="B1214" t="inlineStr">
        <is>
          <t>80682789-8eff-4dee-96fd-1cb885595fe7</t>
        </is>
      </c>
      <c r="D1214" t="inlineStr">
        <is>
          <t>30001087</t>
        </is>
      </c>
      <c r="E1214" t="inlineStr">
        <is>
          <t>ussd_funeral_leads_altitude_20260619</t>
        </is>
      </c>
      <c r="J1214" t="inlineStr">
        <is>
          <t>AA</t>
        </is>
      </c>
      <c r="K1214" t="inlineStr">
        <is>
          <t>Answering Machine Autodial</t>
        </is>
      </c>
      <c r="L1214" t="n">
        <v>3</v>
      </c>
      <c r="M1214" t="inlineStr">
        <is>
          <t>2026-06-23 14:08:17</t>
        </is>
      </c>
      <c r="N1214" t="inlineStr">
        <is>
          <t>system</t>
        </is>
      </c>
      <c r="O1214" t="inlineStr">
        <is>
          <t>2026-06-19 07:10:32</t>
        </is>
      </c>
      <c r="P1214" t="inlineStr">
        <is>
          <t>2026-06-19 07:10:32</t>
        </is>
      </c>
      <c r="Y1214" t="inlineStr">
        <is>
          <t>27609510920</t>
        </is>
      </c>
    </row>
    <row r="1215">
      <c r="A1215" t="inlineStr">
        <is>
          <t>14947965</t>
        </is>
      </c>
      <c r="B1215" t="inlineStr">
        <is>
          <t>6b2823d7-066f-4362-aca5-6385e7e50393</t>
        </is>
      </c>
      <c r="D1215" t="inlineStr">
        <is>
          <t>30001087</t>
        </is>
      </c>
      <c r="E1215" t="inlineStr">
        <is>
          <t>ussd_funeral_leads_altitude_20260619</t>
        </is>
      </c>
      <c r="J1215" t="inlineStr">
        <is>
          <t>AA</t>
        </is>
      </c>
      <c r="K1215" t="inlineStr">
        <is>
          <t>Answering Machine Autodial</t>
        </is>
      </c>
      <c r="L1215" t="n">
        <v>3</v>
      </c>
      <c r="M1215" t="inlineStr">
        <is>
          <t>2026-06-23 14:08:17</t>
        </is>
      </c>
      <c r="N1215" t="inlineStr">
        <is>
          <t>system</t>
        </is>
      </c>
      <c r="O1215" t="inlineStr">
        <is>
          <t>2026-06-19 07:10:32</t>
        </is>
      </c>
      <c r="P1215" t="inlineStr">
        <is>
          <t>2026-06-19 07:10:32</t>
        </is>
      </c>
      <c r="Y1215" t="inlineStr">
        <is>
          <t>27714484415</t>
        </is>
      </c>
    </row>
    <row r="1216">
      <c r="A1216" t="inlineStr">
        <is>
          <t>14947966</t>
        </is>
      </c>
      <c r="B1216" t="inlineStr">
        <is>
          <t>b5bb84f1-9810-46d1-a223-f9b30221306b</t>
        </is>
      </c>
      <c r="D1216" t="inlineStr">
        <is>
          <t>30001087</t>
        </is>
      </c>
      <c r="E1216" t="inlineStr">
        <is>
          <t>ussd_funeral_leads_altitude_20260619</t>
        </is>
      </c>
      <c r="J1216" t="inlineStr">
        <is>
          <t>AA</t>
        </is>
      </c>
      <c r="K1216" t="inlineStr">
        <is>
          <t>Answering Machine Autodial</t>
        </is>
      </c>
      <c r="L1216" t="n">
        <v>3</v>
      </c>
      <c r="M1216" t="inlineStr">
        <is>
          <t>2026-06-23 14:08:17</t>
        </is>
      </c>
      <c r="N1216" t="inlineStr">
        <is>
          <t>system</t>
        </is>
      </c>
      <c r="O1216" t="inlineStr">
        <is>
          <t>2026-06-19 07:10:32</t>
        </is>
      </c>
      <c r="P1216" t="inlineStr">
        <is>
          <t>2026-06-19 07:10:32</t>
        </is>
      </c>
      <c r="Y1216" t="inlineStr">
        <is>
          <t>27728562111</t>
        </is>
      </c>
    </row>
    <row r="1217">
      <c r="A1217" t="inlineStr">
        <is>
          <t>14947967</t>
        </is>
      </c>
      <c r="B1217" t="inlineStr">
        <is>
          <t>df9c173f-1d01-43a8-8b4c-863ecafeab77</t>
        </is>
      </c>
      <c r="D1217" t="inlineStr">
        <is>
          <t>30001087</t>
        </is>
      </c>
      <c r="E1217" t="inlineStr">
        <is>
          <t>ussd_funeral_leads_altitude_20260619</t>
        </is>
      </c>
      <c r="J1217" t="inlineStr">
        <is>
          <t>NA</t>
        </is>
      </c>
      <c r="K1217" t="inlineStr">
        <is>
          <t>No Answer Autodial</t>
        </is>
      </c>
      <c r="L1217" t="n">
        <v>3</v>
      </c>
      <c r="M1217" t="inlineStr">
        <is>
          <t>2026-06-23 14:08:16</t>
        </is>
      </c>
      <c r="N1217" t="inlineStr">
        <is>
          <t>system</t>
        </is>
      </c>
      <c r="O1217" t="inlineStr">
        <is>
          <t>2026-06-19 07:10:32</t>
        </is>
      </c>
      <c r="P1217" t="inlineStr">
        <is>
          <t>2026-06-19 07:10:32</t>
        </is>
      </c>
      <c r="Y1217" t="inlineStr">
        <is>
          <t>27828232670</t>
        </is>
      </c>
    </row>
    <row r="1218">
      <c r="A1218" t="inlineStr">
        <is>
          <t>14947969</t>
        </is>
      </c>
      <c r="B1218" t="inlineStr">
        <is>
          <t>84f3e9e6-7c25-4a42-ae7d-3620d874c97e</t>
        </is>
      </c>
      <c r="D1218" t="inlineStr">
        <is>
          <t>30001087</t>
        </is>
      </c>
      <c r="E1218" t="inlineStr">
        <is>
          <t>ussd_funeral_leads_altitude_20260619</t>
        </is>
      </c>
      <c r="J1218" t="inlineStr">
        <is>
          <t>AA</t>
        </is>
      </c>
      <c r="K1218" t="inlineStr">
        <is>
          <t>Answering Machine Autodial</t>
        </is>
      </c>
      <c r="L1218" t="n">
        <v>3</v>
      </c>
      <c r="M1218" t="inlineStr">
        <is>
          <t>2026-06-23 14:08:16</t>
        </is>
      </c>
      <c r="N1218" t="inlineStr">
        <is>
          <t>system</t>
        </is>
      </c>
      <c r="O1218" t="inlineStr">
        <is>
          <t>2026-06-19 07:10:32</t>
        </is>
      </c>
      <c r="P1218" t="inlineStr">
        <is>
          <t>2026-06-19 07:10:32</t>
        </is>
      </c>
      <c r="Y1218" t="inlineStr">
        <is>
          <t>27791682203</t>
        </is>
      </c>
    </row>
    <row r="1219">
      <c r="A1219" t="inlineStr">
        <is>
          <t>14947970</t>
        </is>
      </c>
      <c r="B1219" t="inlineStr">
        <is>
          <t>daf791c7-b940-41fd-bda0-16134941f84c</t>
        </is>
      </c>
      <c r="D1219" t="inlineStr">
        <is>
          <t>30001087</t>
        </is>
      </c>
      <c r="E1219" t="inlineStr">
        <is>
          <t>ussd_funeral_leads_altitude_20260619</t>
        </is>
      </c>
      <c r="J1219" t="inlineStr">
        <is>
          <t>AA</t>
        </is>
      </c>
      <c r="K1219" t="inlineStr">
        <is>
          <t>Answering Machine Autodial</t>
        </is>
      </c>
      <c r="L1219" t="n">
        <v>3</v>
      </c>
      <c r="M1219" t="inlineStr">
        <is>
          <t>2026-06-23 14:08:14</t>
        </is>
      </c>
      <c r="N1219" t="inlineStr">
        <is>
          <t>system</t>
        </is>
      </c>
      <c r="O1219" t="inlineStr">
        <is>
          <t>2026-06-19 07:10:32</t>
        </is>
      </c>
      <c r="P1219" t="inlineStr">
        <is>
          <t>2026-06-19 07:10:32</t>
        </is>
      </c>
      <c r="Y1219" t="inlineStr">
        <is>
          <t>27792248813</t>
        </is>
      </c>
    </row>
    <row r="1220">
      <c r="A1220" t="inlineStr">
        <is>
          <t>14947972</t>
        </is>
      </c>
      <c r="B1220" t="inlineStr">
        <is>
          <t>620fa607-9947-45a3-98ed-0ca31b7cd0de</t>
        </is>
      </c>
      <c r="D1220" t="inlineStr">
        <is>
          <t>30001087</t>
        </is>
      </c>
      <c r="E1220" t="inlineStr">
        <is>
          <t>ussd_funeral_leads_altitude_20260619</t>
        </is>
      </c>
      <c r="J1220" t="inlineStr">
        <is>
          <t>NA</t>
        </is>
      </c>
      <c r="K1220" t="inlineStr">
        <is>
          <t>No Answer Autodial</t>
        </is>
      </c>
      <c r="L1220" t="n">
        <v>3</v>
      </c>
      <c r="M1220" t="inlineStr">
        <is>
          <t>2026-06-23 14:08:14</t>
        </is>
      </c>
      <c r="N1220" t="inlineStr">
        <is>
          <t>system</t>
        </is>
      </c>
      <c r="O1220" t="inlineStr">
        <is>
          <t>2026-06-19 07:10:32</t>
        </is>
      </c>
      <c r="P1220" t="inlineStr">
        <is>
          <t>2026-06-19 07:10:32</t>
        </is>
      </c>
      <c r="Y1220" t="inlineStr">
        <is>
          <t>27711145812</t>
        </is>
      </c>
    </row>
    <row r="1221">
      <c r="A1221" t="inlineStr">
        <is>
          <t>14947973</t>
        </is>
      </c>
      <c r="B1221" t="inlineStr">
        <is>
          <t>d254edec-4d5f-42c1-9a5b-2a73bf3c97c4</t>
        </is>
      </c>
      <c r="D1221" t="inlineStr">
        <is>
          <t>30001087</t>
        </is>
      </c>
      <c r="E1221" t="inlineStr">
        <is>
          <t>ussd_funeral_leads_altitude_20260619</t>
        </is>
      </c>
      <c r="J1221" t="inlineStr">
        <is>
          <t>CU</t>
        </is>
      </c>
      <c r="K1221" t="inlineStr">
        <is>
          <t>Client Hung Up</t>
        </is>
      </c>
      <c r="L1221" t="n">
        <v>3</v>
      </c>
      <c r="M1221" t="inlineStr">
        <is>
          <t>2026-06-23 14:08:14</t>
        </is>
      </c>
      <c r="N1221" t="inlineStr">
        <is>
          <t>Dimakatso Nkomo</t>
        </is>
      </c>
      <c r="O1221" t="inlineStr">
        <is>
          <t>2026-06-19 07:10:32</t>
        </is>
      </c>
      <c r="P1221" t="inlineStr">
        <is>
          <t>2026-06-19 07:10:32</t>
        </is>
      </c>
      <c r="Y1221" t="inlineStr">
        <is>
          <t>27673459242</t>
        </is>
      </c>
    </row>
    <row r="1222">
      <c r="A1222" t="inlineStr">
        <is>
          <t>14947971</t>
        </is>
      </c>
      <c r="B1222" t="inlineStr">
        <is>
          <t>ca98f559-4d07-466a-a86d-e86e1641d35e</t>
        </is>
      </c>
      <c r="D1222" t="inlineStr">
        <is>
          <t>30001087</t>
        </is>
      </c>
      <c r="E1222" t="inlineStr">
        <is>
          <t>ussd_funeral_leads_altitude_20260619</t>
        </is>
      </c>
      <c r="J1222" t="inlineStr">
        <is>
          <t>AA</t>
        </is>
      </c>
      <c r="K1222" t="inlineStr">
        <is>
          <t>Answering Machine Autodial</t>
        </is>
      </c>
      <c r="L1222" t="n">
        <v>3</v>
      </c>
      <c r="M1222" t="inlineStr">
        <is>
          <t>2026-06-23 14:08:13</t>
        </is>
      </c>
      <c r="N1222" t="inlineStr">
        <is>
          <t>system</t>
        </is>
      </c>
      <c r="O1222" t="inlineStr">
        <is>
          <t>2026-06-19 07:10:32</t>
        </is>
      </c>
      <c r="P1222" t="inlineStr">
        <is>
          <t>2026-06-19 07:10:32</t>
        </is>
      </c>
      <c r="Y1222" t="inlineStr">
        <is>
          <t>27792374293</t>
        </is>
      </c>
    </row>
    <row r="1223">
      <c r="A1223" t="inlineStr">
        <is>
          <t>14947975</t>
        </is>
      </c>
      <c r="B1223" t="inlineStr">
        <is>
          <t>975b8584-237d-49c6-92e7-43f82ca43239</t>
        </is>
      </c>
      <c r="D1223" t="inlineStr">
        <is>
          <t>30001087</t>
        </is>
      </c>
      <c r="E1223" t="inlineStr">
        <is>
          <t>ussd_funeral_leads_altitude_20260619</t>
        </is>
      </c>
      <c r="J1223" t="inlineStr">
        <is>
          <t>AA</t>
        </is>
      </c>
      <c r="K1223" t="inlineStr">
        <is>
          <t>Answering Machine Autodial</t>
        </is>
      </c>
      <c r="L1223" t="n">
        <v>3</v>
      </c>
      <c r="M1223" t="inlineStr">
        <is>
          <t>2026-06-23 14:08:12</t>
        </is>
      </c>
      <c r="N1223" t="inlineStr">
        <is>
          <t>system</t>
        </is>
      </c>
      <c r="O1223" t="inlineStr">
        <is>
          <t>2026-06-19 07:10:32</t>
        </is>
      </c>
      <c r="P1223" t="inlineStr">
        <is>
          <t>2026-06-19 07:10:32</t>
        </is>
      </c>
      <c r="Y1223" t="inlineStr">
        <is>
          <t>27791761070</t>
        </is>
      </c>
    </row>
    <row r="1224">
      <c r="A1224" t="inlineStr">
        <is>
          <t>14947976</t>
        </is>
      </c>
      <c r="B1224" t="inlineStr">
        <is>
          <t>6cc63c4b-b572-4db8-a4c4-5562020c62dd</t>
        </is>
      </c>
      <c r="D1224" t="inlineStr">
        <is>
          <t>30001087</t>
        </is>
      </c>
      <c r="E1224" t="inlineStr">
        <is>
          <t>ussd_funeral_leads_altitude_20260619</t>
        </is>
      </c>
      <c r="J1224" t="inlineStr">
        <is>
          <t>AA</t>
        </is>
      </c>
      <c r="K1224" t="inlineStr">
        <is>
          <t>Answering Machine Autodial</t>
        </is>
      </c>
      <c r="L1224" t="n">
        <v>3</v>
      </c>
      <c r="M1224" t="inlineStr">
        <is>
          <t>2026-06-23 14:08:12</t>
        </is>
      </c>
      <c r="N1224" t="inlineStr">
        <is>
          <t>system</t>
        </is>
      </c>
      <c r="O1224" t="inlineStr">
        <is>
          <t>2026-06-19 07:10:32</t>
        </is>
      </c>
      <c r="P1224" t="inlineStr">
        <is>
          <t>2026-06-19 07:10:32</t>
        </is>
      </c>
      <c r="Y1224" t="inlineStr">
        <is>
          <t>27660613442</t>
        </is>
      </c>
    </row>
    <row r="1225">
      <c r="A1225" t="inlineStr">
        <is>
          <t>14947977</t>
        </is>
      </c>
      <c r="B1225" t="inlineStr">
        <is>
          <t>febcc418-d729-42e2-986d-48293aede455</t>
        </is>
      </c>
      <c r="D1225" t="inlineStr">
        <is>
          <t>30001087</t>
        </is>
      </c>
      <c r="E1225" t="inlineStr">
        <is>
          <t>ussd_funeral_leads_altitude_20260619</t>
        </is>
      </c>
      <c r="J1225" t="inlineStr">
        <is>
          <t>AA</t>
        </is>
      </c>
      <c r="K1225" t="inlineStr">
        <is>
          <t>Answering Machine Autodial</t>
        </is>
      </c>
      <c r="L1225" t="n">
        <v>3</v>
      </c>
      <c r="M1225" t="inlineStr">
        <is>
          <t>2026-06-23 14:08:11</t>
        </is>
      </c>
      <c r="N1225" t="inlineStr">
        <is>
          <t>system</t>
        </is>
      </c>
      <c r="O1225" t="inlineStr">
        <is>
          <t>2026-06-19 07:10:32</t>
        </is>
      </c>
      <c r="P1225" t="inlineStr">
        <is>
          <t>2026-06-19 07:10:32</t>
        </is>
      </c>
      <c r="Y1225" t="inlineStr">
        <is>
          <t>27761541869</t>
        </is>
      </c>
    </row>
    <row r="1226">
      <c r="A1226" t="inlineStr">
        <is>
          <t>14947978</t>
        </is>
      </c>
      <c r="B1226" t="inlineStr">
        <is>
          <t>a2e69f80-5a90-47f2-9bee-5c5151ca0e70</t>
        </is>
      </c>
      <c r="D1226" t="inlineStr">
        <is>
          <t>30001087</t>
        </is>
      </c>
      <c r="E1226" t="inlineStr">
        <is>
          <t>ussd_funeral_leads_altitude_20260619</t>
        </is>
      </c>
      <c r="J1226" t="inlineStr">
        <is>
          <t>ADC</t>
        </is>
      </c>
      <c r="K1226" t="inlineStr">
        <is>
          <t>Auto Dial Disconnected</t>
        </is>
      </c>
      <c r="L1226" t="n">
        <v>3</v>
      </c>
      <c r="M1226" t="inlineStr">
        <is>
          <t>2026-06-23 14:08:11</t>
        </is>
      </c>
      <c r="N1226" t="inlineStr">
        <is>
          <t>system</t>
        </is>
      </c>
      <c r="O1226" t="inlineStr">
        <is>
          <t>2026-06-19 07:10:32</t>
        </is>
      </c>
      <c r="P1226" t="inlineStr">
        <is>
          <t>2026-06-19 07:10:32</t>
        </is>
      </c>
      <c r="Y1226" t="inlineStr">
        <is>
          <t>27793065041</t>
        </is>
      </c>
    </row>
    <row r="1227">
      <c r="A1227" t="inlineStr">
        <is>
          <t>14947979</t>
        </is>
      </c>
      <c r="B1227" t="inlineStr">
        <is>
          <t>0347cec2-016b-4e0e-b306-5f9febce174e</t>
        </is>
      </c>
      <c r="D1227" t="inlineStr">
        <is>
          <t>30001087</t>
        </is>
      </c>
      <c r="E1227" t="inlineStr">
        <is>
          <t>ussd_funeral_leads_altitude_20260619</t>
        </is>
      </c>
      <c r="J1227" t="inlineStr">
        <is>
          <t>AA</t>
        </is>
      </c>
      <c r="K1227" t="inlineStr">
        <is>
          <t>Answering Machine Autodial</t>
        </is>
      </c>
      <c r="L1227" t="n">
        <v>3</v>
      </c>
      <c r="M1227" t="inlineStr">
        <is>
          <t>2026-06-23 14:08:11</t>
        </is>
      </c>
      <c r="N1227" t="inlineStr">
        <is>
          <t>system</t>
        </is>
      </c>
      <c r="O1227" t="inlineStr">
        <is>
          <t>2026-06-19 07:10:32</t>
        </is>
      </c>
      <c r="P1227" t="inlineStr">
        <is>
          <t>2026-06-19 07:10:32</t>
        </is>
      </c>
      <c r="Y1227" t="inlineStr">
        <is>
          <t>27607974034</t>
        </is>
      </c>
    </row>
    <row r="1228">
      <c r="A1228" t="inlineStr">
        <is>
          <t>14947982</t>
        </is>
      </c>
      <c r="B1228" t="inlineStr">
        <is>
          <t>124c6ecb-c089-40a6-bef4-b2c79fff95da</t>
        </is>
      </c>
      <c r="D1228" t="inlineStr">
        <is>
          <t>30001087</t>
        </is>
      </c>
      <c r="E1228" t="inlineStr">
        <is>
          <t>ussd_funeral_leads_altitude_20260619</t>
        </is>
      </c>
      <c r="J1228" t="inlineStr">
        <is>
          <t>NA</t>
        </is>
      </c>
      <c r="K1228" t="inlineStr">
        <is>
          <t>No Answer Autodial</t>
        </is>
      </c>
      <c r="L1228" t="n">
        <v>3</v>
      </c>
      <c r="M1228" t="inlineStr">
        <is>
          <t>2026-06-23 14:08:11</t>
        </is>
      </c>
      <c r="N1228" t="inlineStr">
        <is>
          <t>system</t>
        </is>
      </c>
      <c r="O1228" t="inlineStr">
        <is>
          <t>2026-06-19 07:10:32</t>
        </is>
      </c>
      <c r="P1228" t="inlineStr">
        <is>
          <t>2026-06-19 07:10:32</t>
        </is>
      </c>
      <c r="Y1228" t="inlineStr">
        <is>
          <t>27799947444</t>
        </is>
      </c>
    </row>
    <row r="1229">
      <c r="A1229" t="inlineStr">
        <is>
          <t>14947984</t>
        </is>
      </c>
      <c r="B1229" t="inlineStr">
        <is>
          <t>8789bc8d-45c0-4840-9976-13b36727261e</t>
        </is>
      </c>
      <c r="D1229" t="inlineStr">
        <is>
          <t>30001087</t>
        </is>
      </c>
      <c r="E1229" t="inlineStr">
        <is>
          <t>ussd_funeral_leads_altitude_20260619</t>
        </is>
      </c>
      <c r="J1229" t="inlineStr">
        <is>
          <t>AA</t>
        </is>
      </c>
      <c r="K1229" t="inlineStr">
        <is>
          <t>Answering Machine Autodial</t>
        </is>
      </c>
      <c r="L1229" t="n">
        <v>3</v>
      </c>
      <c r="M1229" t="inlineStr">
        <is>
          <t>2026-06-23 14:08:10</t>
        </is>
      </c>
      <c r="N1229" t="inlineStr">
        <is>
          <t>system</t>
        </is>
      </c>
      <c r="O1229" t="inlineStr">
        <is>
          <t>2026-06-19 07:10:32</t>
        </is>
      </c>
      <c r="P1229" t="inlineStr">
        <is>
          <t>2026-06-19 07:10:32</t>
        </is>
      </c>
      <c r="Y1229" t="inlineStr">
        <is>
          <t>27826298238</t>
        </is>
      </c>
    </row>
    <row r="1230">
      <c r="A1230" t="inlineStr">
        <is>
          <t>14947980</t>
        </is>
      </c>
      <c r="B1230" t="inlineStr">
        <is>
          <t>199806ff-91a5-46f8-af79-f5b3eafb7967</t>
        </is>
      </c>
      <c r="D1230" t="inlineStr">
        <is>
          <t>30001087</t>
        </is>
      </c>
      <c r="E1230" t="inlineStr">
        <is>
          <t>ussd_funeral_leads_altitude_20260619</t>
        </is>
      </c>
      <c r="J1230" t="inlineStr">
        <is>
          <t>AA</t>
        </is>
      </c>
      <c r="K1230" t="inlineStr">
        <is>
          <t>Answering Machine Autodial</t>
        </is>
      </c>
      <c r="L1230" t="n">
        <v>3</v>
      </c>
      <c r="M1230" t="inlineStr">
        <is>
          <t>2026-06-23 14:08:09</t>
        </is>
      </c>
      <c r="N1230" t="inlineStr">
        <is>
          <t>system</t>
        </is>
      </c>
      <c r="O1230" t="inlineStr">
        <is>
          <t>2026-06-19 07:10:32</t>
        </is>
      </c>
      <c r="P1230" t="inlineStr">
        <is>
          <t>2026-06-19 07:10:32</t>
        </is>
      </c>
      <c r="Y1230" t="inlineStr">
        <is>
          <t>27637959835</t>
        </is>
      </c>
    </row>
    <row r="1231">
      <c r="A1231" t="inlineStr">
        <is>
          <t>14947983</t>
        </is>
      </c>
      <c r="B1231" t="inlineStr">
        <is>
          <t>3889c4f3-a984-4403-a6cb-935984e4863e</t>
        </is>
      </c>
      <c r="D1231" t="inlineStr">
        <is>
          <t>30001087</t>
        </is>
      </c>
      <c r="E1231" t="inlineStr">
        <is>
          <t>ussd_funeral_leads_altitude_20260619</t>
        </is>
      </c>
      <c r="J1231" t="inlineStr">
        <is>
          <t>AA</t>
        </is>
      </c>
      <c r="K1231" t="inlineStr">
        <is>
          <t>Answering Machine Autodial</t>
        </is>
      </c>
      <c r="L1231" t="n">
        <v>3</v>
      </c>
      <c r="M1231" t="inlineStr">
        <is>
          <t>2026-06-23 14:08:07</t>
        </is>
      </c>
      <c r="N1231" t="inlineStr">
        <is>
          <t>system</t>
        </is>
      </c>
      <c r="O1231" t="inlineStr">
        <is>
          <t>2026-06-19 07:10:32</t>
        </is>
      </c>
      <c r="P1231" t="inlineStr">
        <is>
          <t>2026-06-19 07:10:32</t>
        </is>
      </c>
      <c r="Y1231" t="inlineStr">
        <is>
          <t>27793051207</t>
        </is>
      </c>
    </row>
    <row r="1232">
      <c r="A1232" t="inlineStr">
        <is>
          <t>14947985</t>
        </is>
      </c>
      <c r="B1232" t="inlineStr">
        <is>
          <t>729ecc8b-0824-4057-bb14-85c5a6566036</t>
        </is>
      </c>
      <c r="D1232" t="inlineStr">
        <is>
          <t>30001087</t>
        </is>
      </c>
      <c r="E1232" t="inlineStr">
        <is>
          <t>ussd_funeral_leads_altitude_20260619</t>
        </is>
      </c>
      <c r="J1232" t="inlineStr">
        <is>
          <t>AA</t>
        </is>
      </c>
      <c r="K1232" t="inlineStr">
        <is>
          <t>Answering Machine Autodial</t>
        </is>
      </c>
      <c r="L1232" t="n">
        <v>3</v>
      </c>
      <c r="M1232" t="inlineStr">
        <is>
          <t>2026-06-23 14:08:07</t>
        </is>
      </c>
      <c r="N1232" t="inlineStr">
        <is>
          <t>system</t>
        </is>
      </c>
      <c r="O1232" t="inlineStr">
        <is>
          <t>2026-06-19 07:10:32</t>
        </is>
      </c>
      <c r="P1232" t="inlineStr">
        <is>
          <t>2026-06-19 07:10:32</t>
        </is>
      </c>
      <c r="Y1232" t="inlineStr">
        <is>
          <t>27761743093</t>
        </is>
      </c>
    </row>
    <row r="1233">
      <c r="A1233" t="inlineStr">
        <is>
          <t>14947986</t>
        </is>
      </c>
      <c r="B1233" t="inlineStr">
        <is>
          <t>44206aba-62a9-46b4-8c2f-0b0007c58e6e</t>
        </is>
      </c>
      <c r="D1233" t="inlineStr">
        <is>
          <t>30001087</t>
        </is>
      </c>
      <c r="E1233" t="inlineStr">
        <is>
          <t>ussd_funeral_leads_altitude_20260619</t>
        </is>
      </c>
      <c r="J1233" t="inlineStr">
        <is>
          <t>ADC</t>
        </is>
      </c>
      <c r="K1233" t="inlineStr">
        <is>
          <t>Auto Dial Disconnected</t>
        </is>
      </c>
      <c r="L1233" t="n">
        <v>3</v>
      </c>
      <c r="M1233" t="inlineStr">
        <is>
          <t>2026-06-23 14:08:06</t>
        </is>
      </c>
      <c r="N1233" t="inlineStr">
        <is>
          <t>system</t>
        </is>
      </c>
      <c r="O1233" t="inlineStr">
        <is>
          <t>2026-06-19 07:10:32</t>
        </is>
      </c>
      <c r="P1233" t="inlineStr">
        <is>
          <t>2026-06-19 07:10:32</t>
        </is>
      </c>
      <c r="Y1233" t="inlineStr">
        <is>
          <t>27636907366</t>
        </is>
      </c>
    </row>
    <row r="1234">
      <c r="A1234" t="inlineStr">
        <is>
          <t>14947988</t>
        </is>
      </c>
      <c r="B1234" t="inlineStr">
        <is>
          <t>b82b3af7-c243-42a8-b8dc-45195b5e0ebd</t>
        </is>
      </c>
      <c r="D1234" t="inlineStr">
        <is>
          <t>30001087</t>
        </is>
      </c>
      <c r="E1234" t="inlineStr">
        <is>
          <t>ussd_funeral_leads_altitude_20260619</t>
        </is>
      </c>
      <c r="J1234" t="inlineStr">
        <is>
          <t>AA</t>
        </is>
      </c>
      <c r="K1234" t="inlineStr">
        <is>
          <t>Answering Machine Autodial</t>
        </is>
      </c>
      <c r="L1234" t="n">
        <v>3</v>
      </c>
      <c r="M1234" t="inlineStr">
        <is>
          <t>2026-06-23 14:08:06</t>
        </is>
      </c>
      <c r="N1234" t="inlineStr">
        <is>
          <t>system</t>
        </is>
      </c>
      <c r="O1234" t="inlineStr">
        <is>
          <t>2026-06-19 07:10:32</t>
        </is>
      </c>
      <c r="P1234" t="inlineStr">
        <is>
          <t>2026-06-19 07:10:32</t>
        </is>
      </c>
      <c r="Y1234" t="inlineStr">
        <is>
          <t>27721827627</t>
        </is>
      </c>
    </row>
    <row r="1235">
      <c r="A1235" t="inlineStr">
        <is>
          <t>14947993</t>
        </is>
      </c>
      <c r="B1235" t="inlineStr">
        <is>
          <t>94627146-75a0-4604-8ee0-f5767567359f</t>
        </is>
      </c>
      <c r="D1235" t="inlineStr">
        <is>
          <t>30001087</t>
        </is>
      </c>
      <c r="E1235" t="inlineStr">
        <is>
          <t>ussd_funeral_leads_altitude_20260619</t>
        </is>
      </c>
      <c r="J1235" t="inlineStr">
        <is>
          <t>ADC</t>
        </is>
      </c>
      <c r="K1235" t="inlineStr">
        <is>
          <t>Auto Dial Disconnected</t>
        </is>
      </c>
      <c r="L1235" t="n">
        <v>3</v>
      </c>
      <c r="M1235" t="inlineStr">
        <is>
          <t>2026-06-23 14:08:06</t>
        </is>
      </c>
      <c r="N1235" t="inlineStr">
        <is>
          <t>system</t>
        </is>
      </c>
      <c r="O1235" t="inlineStr">
        <is>
          <t>2026-06-19 07:10:32</t>
        </is>
      </c>
      <c r="P1235" t="inlineStr">
        <is>
          <t>2026-06-19 07:10:32</t>
        </is>
      </c>
      <c r="Y1235" t="inlineStr">
        <is>
          <t>27794381667</t>
        </is>
      </c>
    </row>
    <row r="1236">
      <c r="A1236" t="inlineStr">
        <is>
          <t>14947994</t>
        </is>
      </c>
      <c r="B1236" t="inlineStr">
        <is>
          <t>357bd669-7905-4320-baa2-0a767c676765</t>
        </is>
      </c>
      <c r="D1236" t="inlineStr">
        <is>
          <t>30001087</t>
        </is>
      </c>
      <c r="E1236" t="inlineStr">
        <is>
          <t>ussd_funeral_leads_altitude_20260619</t>
        </is>
      </c>
      <c r="J1236" t="inlineStr">
        <is>
          <t>AA</t>
        </is>
      </c>
      <c r="K1236" t="inlineStr">
        <is>
          <t>Answering Machine Autodial</t>
        </is>
      </c>
      <c r="L1236" t="n">
        <v>3</v>
      </c>
      <c r="M1236" t="inlineStr">
        <is>
          <t>2026-06-23 14:08:06</t>
        </is>
      </c>
      <c r="N1236" t="inlineStr">
        <is>
          <t>system</t>
        </is>
      </c>
      <c r="O1236" t="inlineStr">
        <is>
          <t>2026-06-19 07:10:32</t>
        </is>
      </c>
      <c r="P1236" t="inlineStr">
        <is>
          <t>2026-06-19 07:10:32</t>
        </is>
      </c>
      <c r="Y1236" t="inlineStr">
        <is>
          <t>27636666927</t>
        </is>
      </c>
    </row>
    <row r="1237">
      <c r="A1237" t="inlineStr">
        <is>
          <t>14947995</t>
        </is>
      </c>
      <c r="B1237" t="inlineStr">
        <is>
          <t>72fcbb43-6b6f-4094-a32d-39496e22a199</t>
        </is>
      </c>
      <c r="D1237" t="inlineStr">
        <is>
          <t>30001087</t>
        </is>
      </c>
      <c r="E1237" t="inlineStr">
        <is>
          <t>ussd_funeral_leads_altitude_20260619</t>
        </is>
      </c>
      <c r="J1237" t="inlineStr">
        <is>
          <t>TDN</t>
        </is>
      </c>
      <c r="K1237" t="inlineStr">
        <is>
          <t>Temporary Disconnected Number</t>
        </is>
      </c>
      <c r="L1237" t="n">
        <v>3</v>
      </c>
      <c r="M1237" t="inlineStr">
        <is>
          <t>2026-06-23 14:08:06</t>
        </is>
      </c>
      <c r="N1237" t="inlineStr">
        <is>
          <t>system</t>
        </is>
      </c>
      <c r="O1237" t="inlineStr">
        <is>
          <t>2026-06-19 07:10:32</t>
        </is>
      </c>
      <c r="P1237" t="inlineStr">
        <is>
          <t>2026-06-19 07:10:32</t>
        </is>
      </c>
      <c r="Y1237" t="inlineStr">
        <is>
          <t>27799240014</t>
        </is>
      </c>
    </row>
    <row r="1238">
      <c r="A1238" t="inlineStr">
        <is>
          <t>14947989</t>
        </is>
      </c>
      <c r="B1238" t="inlineStr">
        <is>
          <t>a5ebc8fa-697d-4659-8ab9-5918d458004d</t>
        </is>
      </c>
      <c r="D1238" t="inlineStr">
        <is>
          <t>30001087</t>
        </is>
      </c>
      <c r="E1238" t="inlineStr">
        <is>
          <t>ussd_funeral_leads_altitude_20260619</t>
        </is>
      </c>
      <c r="J1238" t="inlineStr">
        <is>
          <t>AA</t>
        </is>
      </c>
      <c r="K1238" t="inlineStr">
        <is>
          <t>Answering Machine Autodial</t>
        </is>
      </c>
      <c r="L1238" t="n">
        <v>3</v>
      </c>
      <c r="M1238" t="inlineStr">
        <is>
          <t>2026-06-23 14:08:05</t>
        </is>
      </c>
      <c r="N1238" t="inlineStr">
        <is>
          <t>system</t>
        </is>
      </c>
      <c r="O1238" t="inlineStr">
        <is>
          <t>2026-06-19 07:10:32</t>
        </is>
      </c>
      <c r="P1238" t="inlineStr">
        <is>
          <t>2026-06-19 07:10:32</t>
        </is>
      </c>
      <c r="Y1238" t="inlineStr">
        <is>
          <t>27826671013</t>
        </is>
      </c>
    </row>
    <row r="1239">
      <c r="A1239" t="inlineStr">
        <is>
          <t>14947990</t>
        </is>
      </c>
      <c r="B1239" t="inlineStr">
        <is>
          <t>cc360f7e-83d9-4887-92be-3a226a41caba</t>
        </is>
      </c>
      <c r="D1239" t="inlineStr">
        <is>
          <t>30001087</t>
        </is>
      </c>
      <c r="E1239" t="inlineStr">
        <is>
          <t>ussd_funeral_leads_altitude_20260619</t>
        </is>
      </c>
      <c r="J1239" t="inlineStr">
        <is>
          <t>ADC</t>
        </is>
      </c>
      <c r="K1239" t="inlineStr">
        <is>
          <t>Auto Dial Disconnected</t>
        </is>
      </c>
      <c r="L1239" t="n">
        <v>3</v>
      </c>
      <c r="M1239" t="inlineStr">
        <is>
          <t>2026-06-23 14:08:05</t>
        </is>
      </c>
      <c r="N1239" t="inlineStr">
        <is>
          <t>system</t>
        </is>
      </c>
      <c r="O1239" t="inlineStr">
        <is>
          <t>2026-06-19 07:10:32</t>
        </is>
      </c>
      <c r="P1239" t="inlineStr">
        <is>
          <t>2026-06-19 07:10:32</t>
        </is>
      </c>
      <c r="Y1239" t="inlineStr">
        <is>
          <t>27664020797</t>
        </is>
      </c>
    </row>
    <row r="1240">
      <c r="A1240" t="inlineStr">
        <is>
          <t>14947991</t>
        </is>
      </c>
      <c r="B1240" t="inlineStr">
        <is>
          <t>1cf8cb3c-4493-41dc-80f4-220eb80ad0a3</t>
        </is>
      </c>
      <c r="D1240" t="inlineStr">
        <is>
          <t>30001087</t>
        </is>
      </c>
      <c r="E1240" t="inlineStr">
        <is>
          <t>ussd_funeral_leads_altitude_20260619</t>
        </is>
      </c>
      <c r="J1240" t="inlineStr">
        <is>
          <t>AA</t>
        </is>
      </c>
      <c r="K1240" t="inlineStr">
        <is>
          <t>Answering Machine Autodial</t>
        </is>
      </c>
      <c r="L1240" t="n">
        <v>3</v>
      </c>
      <c r="M1240" t="inlineStr">
        <is>
          <t>2026-06-23 14:08:05</t>
        </is>
      </c>
      <c r="N1240" t="inlineStr">
        <is>
          <t>system</t>
        </is>
      </c>
      <c r="O1240" t="inlineStr">
        <is>
          <t>2026-06-19 07:10:32</t>
        </is>
      </c>
      <c r="P1240" t="inlineStr">
        <is>
          <t>2026-06-19 07:10:32</t>
        </is>
      </c>
      <c r="Y1240" t="inlineStr">
        <is>
          <t>27720546355</t>
        </is>
      </c>
    </row>
    <row r="1241">
      <c r="A1241" t="inlineStr">
        <is>
          <t>14947992</t>
        </is>
      </c>
      <c r="B1241" t="inlineStr">
        <is>
          <t>06857535-101b-483f-b444-dae5bd0c25b4</t>
        </is>
      </c>
      <c r="D1241" t="inlineStr">
        <is>
          <t>30001087</t>
        </is>
      </c>
      <c r="E1241" t="inlineStr">
        <is>
          <t>ussd_funeral_leads_altitude_20260619</t>
        </is>
      </c>
      <c r="J1241" t="inlineStr">
        <is>
          <t>AA</t>
        </is>
      </c>
      <c r="K1241" t="inlineStr">
        <is>
          <t>Answering Machine Autodial</t>
        </is>
      </c>
      <c r="L1241" t="n">
        <v>3</v>
      </c>
      <c r="M1241" t="inlineStr">
        <is>
          <t>2026-06-23 14:08:05</t>
        </is>
      </c>
      <c r="N1241" t="inlineStr">
        <is>
          <t>system</t>
        </is>
      </c>
      <c r="O1241" t="inlineStr">
        <is>
          <t>2026-06-19 07:10:32</t>
        </is>
      </c>
      <c r="P1241" t="inlineStr">
        <is>
          <t>2026-06-19 07:10:32</t>
        </is>
      </c>
      <c r="Y1241" t="inlineStr">
        <is>
          <t>27799532244</t>
        </is>
      </c>
    </row>
    <row r="1242">
      <c r="A1242" t="inlineStr">
        <is>
          <t>14947997</t>
        </is>
      </c>
      <c r="B1242" t="inlineStr">
        <is>
          <t>bc4992ac-105a-42de-88e6-9f33beafb562</t>
        </is>
      </c>
      <c r="D1242" t="inlineStr">
        <is>
          <t>30001087</t>
        </is>
      </c>
      <c r="E1242" t="inlineStr">
        <is>
          <t>ussd_funeral_leads_altitude_20260619</t>
        </is>
      </c>
      <c r="J1242" t="inlineStr">
        <is>
          <t>AE</t>
        </is>
      </c>
      <c r="K1242" t="inlineStr">
        <is>
          <t>Auto Engaged</t>
        </is>
      </c>
      <c r="L1242" t="n">
        <v>3</v>
      </c>
      <c r="M1242" t="inlineStr">
        <is>
          <t>2026-06-23 14:08:00</t>
        </is>
      </c>
      <c r="N1242" t="inlineStr">
        <is>
          <t>system</t>
        </is>
      </c>
      <c r="O1242" t="inlineStr">
        <is>
          <t>2026-06-19 07:10:32</t>
        </is>
      </c>
      <c r="P1242" t="inlineStr">
        <is>
          <t>2026-06-19 07:10:32</t>
        </is>
      </c>
      <c r="Y1242" t="inlineStr">
        <is>
          <t>27647769468</t>
        </is>
      </c>
    </row>
    <row r="1243">
      <c r="A1243" t="inlineStr">
        <is>
          <t>14947996</t>
        </is>
      </c>
      <c r="B1243" t="inlineStr">
        <is>
          <t>15d05cea-6f61-405f-8193-7f8b4644501f</t>
        </is>
      </c>
      <c r="D1243" t="inlineStr">
        <is>
          <t>30001087</t>
        </is>
      </c>
      <c r="E1243" t="inlineStr">
        <is>
          <t>ussd_funeral_leads_altitude_20260619</t>
        </is>
      </c>
      <c r="J1243" t="inlineStr">
        <is>
          <t>AA</t>
        </is>
      </c>
      <c r="K1243" t="inlineStr">
        <is>
          <t>Answering Machine Autodial</t>
        </is>
      </c>
      <c r="L1243" t="n">
        <v>3</v>
      </c>
      <c r="M1243" t="inlineStr">
        <is>
          <t>2026-06-23 14:07:59</t>
        </is>
      </c>
      <c r="N1243" t="inlineStr">
        <is>
          <t>system</t>
        </is>
      </c>
      <c r="O1243" t="inlineStr">
        <is>
          <t>2026-06-19 07:10:32</t>
        </is>
      </c>
      <c r="P1243" t="inlineStr">
        <is>
          <t>2026-06-19 07:10:32</t>
        </is>
      </c>
      <c r="Y1243" t="inlineStr">
        <is>
          <t>27828174335</t>
        </is>
      </c>
    </row>
    <row r="1244">
      <c r="A1244" t="inlineStr">
        <is>
          <t>14947999</t>
        </is>
      </c>
      <c r="B1244" t="inlineStr">
        <is>
          <t>8a6ee906-dbfc-4fe8-b529-7cace66e219e</t>
        </is>
      </c>
      <c r="D1244" t="inlineStr">
        <is>
          <t>30001087</t>
        </is>
      </c>
      <c r="E1244" t="inlineStr">
        <is>
          <t>ussd_funeral_leads_altitude_20260619</t>
        </is>
      </c>
      <c r="J1244" t="inlineStr">
        <is>
          <t>ADC</t>
        </is>
      </c>
      <c r="K1244" t="inlineStr">
        <is>
          <t>Auto Dial Disconnected</t>
        </is>
      </c>
      <c r="L1244" t="n">
        <v>3</v>
      </c>
      <c r="M1244" t="inlineStr">
        <is>
          <t>2026-06-23 14:07:59</t>
        </is>
      </c>
      <c r="N1244" t="inlineStr">
        <is>
          <t>system</t>
        </is>
      </c>
      <c r="O1244" t="inlineStr">
        <is>
          <t>2026-06-19 07:10:32</t>
        </is>
      </c>
      <c r="P1244" t="inlineStr">
        <is>
          <t>2026-06-19 07:10:32</t>
        </is>
      </c>
      <c r="Y1244" t="inlineStr">
        <is>
          <t>27646595064</t>
        </is>
      </c>
    </row>
    <row r="1245">
      <c r="A1245" t="inlineStr">
        <is>
          <t>14948002</t>
        </is>
      </c>
      <c r="B1245" t="inlineStr">
        <is>
          <t>8e9ae35c-48fa-4525-9b3b-1af505cbb4e6</t>
        </is>
      </c>
      <c r="D1245" t="inlineStr">
        <is>
          <t>30001087</t>
        </is>
      </c>
      <c r="E1245" t="inlineStr">
        <is>
          <t>ussd_funeral_leads_altitude_20260619</t>
        </is>
      </c>
      <c r="J1245" t="inlineStr">
        <is>
          <t>AA</t>
        </is>
      </c>
      <c r="K1245" t="inlineStr">
        <is>
          <t>Answering Machine Autodial</t>
        </is>
      </c>
      <c r="L1245" t="n">
        <v>3</v>
      </c>
      <c r="M1245" t="inlineStr">
        <is>
          <t>2026-06-23 14:07:59</t>
        </is>
      </c>
      <c r="N1245" t="inlineStr">
        <is>
          <t>system</t>
        </is>
      </c>
      <c r="O1245" t="inlineStr">
        <is>
          <t>2026-06-19 07:10:32</t>
        </is>
      </c>
      <c r="P1245" t="inlineStr">
        <is>
          <t>2026-06-19 07:10:32</t>
        </is>
      </c>
      <c r="Y1245" t="inlineStr">
        <is>
          <t>27793501681</t>
        </is>
      </c>
    </row>
    <row r="1246">
      <c r="A1246" t="inlineStr">
        <is>
          <t>14948003</t>
        </is>
      </c>
      <c r="B1246" t="inlineStr">
        <is>
          <t>6af0d4eb-47df-4fb0-a0aa-a650e74a00db</t>
        </is>
      </c>
      <c r="D1246" t="inlineStr">
        <is>
          <t>30001087</t>
        </is>
      </c>
      <c r="E1246" t="inlineStr">
        <is>
          <t>ussd_funeral_leads_altitude_20260619</t>
        </is>
      </c>
      <c r="J1246" t="inlineStr">
        <is>
          <t>ADC</t>
        </is>
      </c>
      <c r="K1246" t="inlineStr">
        <is>
          <t>Auto Dial Disconnected</t>
        </is>
      </c>
      <c r="L1246" t="n">
        <v>3</v>
      </c>
      <c r="M1246" t="inlineStr">
        <is>
          <t>2026-06-23 14:07:59</t>
        </is>
      </c>
      <c r="N1246" t="inlineStr">
        <is>
          <t>system</t>
        </is>
      </c>
      <c r="O1246" t="inlineStr">
        <is>
          <t>2026-06-19 07:10:32</t>
        </is>
      </c>
      <c r="P1246" t="inlineStr">
        <is>
          <t>2026-06-19 07:10:32</t>
        </is>
      </c>
      <c r="Y1246" t="inlineStr">
        <is>
          <t>27608969240</t>
        </is>
      </c>
    </row>
    <row r="1247">
      <c r="A1247" t="inlineStr">
        <is>
          <t>14948000</t>
        </is>
      </c>
      <c r="B1247" t="inlineStr">
        <is>
          <t>c7f36c53-7680-4dea-8e91-caca99ad51a9</t>
        </is>
      </c>
      <c r="D1247" t="inlineStr">
        <is>
          <t>30001087</t>
        </is>
      </c>
      <c r="E1247" t="inlineStr">
        <is>
          <t>ussd_funeral_leads_altitude_20260619</t>
        </is>
      </c>
      <c r="J1247" t="inlineStr">
        <is>
          <t>AA</t>
        </is>
      </c>
      <c r="K1247" t="inlineStr">
        <is>
          <t>Answering Machine Autodial</t>
        </is>
      </c>
      <c r="L1247" t="n">
        <v>3</v>
      </c>
      <c r="M1247" t="inlineStr">
        <is>
          <t>2026-06-23 14:07:58</t>
        </is>
      </c>
      <c r="N1247" t="inlineStr">
        <is>
          <t>system</t>
        </is>
      </c>
      <c r="O1247" t="inlineStr">
        <is>
          <t>2026-06-19 07:10:32</t>
        </is>
      </c>
      <c r="P1247" t="inlineStr">
        <is>
          <t>2026-06-19 07:10:32</t>
        </is>
      </c>
      <c r="Y1247" t="inlineStr">
        <is>
          <t>27767144075</t>
        </is>
      </c>
    </row>
    <row r="1248">
      <c r="A1248" t="inlineStr">
        <is>
          <t>14948004</t>
        </is>
      </c>
      <c r="B1248" t="inlineStr">
        <is>
          <t>b3e426cb-86f9-4d4c-99c4-9a2af9c3ad31</t>
        </is>
      </c>
      <c r="D1248" t="inlineStr">
        <is>
          <t>30001087</t>
        </is>
      </c>
      <c r="E1248" t="inlineStr">
        <is>
          <t>ussd_funeral_leads_altitude_20260619</t>
        </is>
      </c>
      <c r="J1248" t="inlineStr">
        <is>
          <t>AA</t>
        </is>
      </c>
      <c r="K1248" t="inlineStr">
        <is>
          <t>Answering Machine Autodial</t>
        </is>
      </c>
      <c r="L1248" t="n">
        <v>3</v>
      </c>
      <c r="M1248" t="inlineStr">
        <is>
          <t>2026-06-23 14:07:58</t>
        </is>
      </c>
      <c r="N1248" t="inlineStr">
        <is>
          <t>system</t>
        </is>
      </c>
      <c r="O1248" t="inlineStr">
        <is>
          <t>2026-06-19 07:10:32</t>
        </is>
      </c>
      <c r="P1248" t="inlineStr">
        <is>
          <t>2026-06-19 07:10:32</t>
        </is>
      </c>
      <c r="Y1248" t="inlineStr">
        <is>
          <t>27772923596</t>
        </is>
      </c>
    </row>
    <row r="1249">
      <c r="A1249" t="inlineStr">
        <is>
          <t>14948005</t>
        </is>
      </c>
      <c r="B1249" t="inlineStr">
        <is>
          <t>9ec189a0-64bc-4633-8d9e-fb37eb38aea6</t>
        </is>
      </c>
      <c r="D1249" t="inlineStr">
        <is>
          <t>30001087</t>
        </is>
      </c>
      <c r="E1249" t="inlineStr">
        <is>
          <t>ussd_funeral_leads_altitude_20260619</t>
        </is>
      </c>
      <c r="J1249" t="inlineStr">
        <is>
          <t>AA</t>
        </is>
      </c>
      <c r="K1249" t="inlineStr">
        <is>
          <t>Answering Machine Autodial</t>
        </is>
      </c>
      <c r="L1249" t="n">
        <v>3</v>
      </c>
      <c r="M1249" t="inlineStr">
        <is>
          <t>2026-06-23 14:07:58</t>
        </is>
      </c>
      <c r="N1249" t="inlineStr">
        <is>
          <t>system</t>
        </is>
      </c>
      <c r="O1249" t="inlineStr">
        <is>
          <t>2026-06-19 07:10:32</t>
        </is>
      </c>
      <c r="P1249" t="inlineStr">
        <is>
          <t>2026-06-19 07:10:32</t>
        </is>
      </c>
      <c r="Y1249" t="inlineStr">
        <is>
          <t>27663266625</t>
        </is>
      </c>
    </row>
    <row r="1250">
      <c r="A1250" t="inlineStr">
        <is>
          <t>14948006</t>
        </is>
      </c>
      <c r="B1250" t="inlineStr">
        <is>
          <t>bd7ed1e8-f148-4aed-a7e1-77c35be2b6df</t>
        </is>
      </c>
      <c r="D1250" t="inlineStr">
        <is>
          <t>30001087</t>
        </is>
      </c>
      <c r="E1250" t="inlineStr">
        <is>
          <t>ussd_funeral_leads_altitude_20260619</t>
        </is>
      </c>
      <c r="J1250" t="inlineStr">
        <is>
          <t>AA</t>
        </is>
      </c>
      <c r="K1250" t="inlineStr">
        <is>
          <t>Answering Machine Autodial</t>
        </is>
      </c>
      <c r="L1250" t="n">
        <v>3</v>
      </c>
      <c r="M1250" t="inlineStr">
        <is>
          <t>2026-06-23 14:07:58</t>
        </is>
      </c>
      <c r="N1250" t="inlineStr">
        <is>
          <t>system</t>
        </is>
      </c>
      <c r="O1250" t="inlineStr">
        <is>
          <t>2026-06-19 07:10:32</t>
        </is>
      </c>
      <c r="P1250" t="inlineStr">
        <is>
          <t>2026-06-19 07:10:32</t>
        </is>
      </c>
      <c r="Y1250" t="inlineStr">
        <is>
          <t>27729687122</t>
        </is>
      </c>
    </row>
    <row r="1251">
      <c r="A1251" t="inlineStr">
        <is>
          <t>14948001</t>
        </is>
      </c>
      <c r="B1251" t="inlineStr">
        <is>
          <t>29df5cd0-54d0-40d1-a3c0-3311c4deab31</t>
        </is>
      </c>
      <c r="D1251" t="inlineStr">
        <is>
          <t>30001087</t>
        </is>
      </c>
      <c r="E1251" t="inlineStr">
        <is>
          <t>ussd_funeral_leads_altitude_20260619</t>
        </is>
      </c>
      <c r="J1251" t="inlineStr">
        <is>
          <t>NA</t>
        </is>
      </c>
      <c r="K1251" t="inlineStr">
        <is>
          <t>No Answer Autodial</t>
        </is>
      </c>
      <c r="L1251" t="n">
        <v>3</v>
      </c>
      <c r="M1251" t="inlineStr">
        <is>
          <t>2026-06-23 14:07:57</t>
        </is>
      </c>
      <c r="N1251" t="inlineStr">
        <is>
          <t>system</t>
        </is>
      </c>
      <c r="O1251" t="inlineStr">
        <is>
          <t>2026-06-19 07:10:32</t>
        </is>
      </c>
      <c r="P1251" t="inlineStr">
        <is>
          <t>2026-06-19 07:10:32</t>
        </is>
      </c>
      <c r="Y1251" t="inlineStr">
        <is>
          <t>27637843065</t>
        </is>
      </c>
    </row>
    <row r="1252">
      <c r="A1252" t="inlineStr">
        <is>
          <t>14948007</t>
        </is>
      </c>
      <c r="B1252" t="inlineStr">
        <is>
          <t>8c8a690c-c420-46c1-899f-12d9a8e31496</t>
        </is>
      </c>
      <c r="D1252" t="inlineStr">
        <is>
          <t>30001087</t>
        </is>
      </c>
      <c r="E1252" t="inlineStr">
        <is>
          <t>ussd_funeral_leads_altitude_20260619</t>
        </is>
      </c>
      <c r="J1252" t="inlineStr">
        <is>
          <t>AA</t>
        </is>
      </c>
      <c r="K1252" t="inlineStr">
        <is>
          <t>Answering Machine Autodial</t>
        </is>
      </c>
      <c r="L1252" t="n">
        <v>3</v>
      </c>
      <c r="M1252" t="inlineStr">
        <is>
          <t>2026-06-23 14:07:52</t>
        </is>
      </c>
      <c r="N1252" t="inlineStr">
        <is>
          <t>system</t>
        </is>
      </c>
      <c r="O1252" t="inlineStr">
        <is>
          <t>2026-06-19 07:10:32</t>
        </is>
      </c>
      <c r="P1252" t="inlineStr">
        <is>
          <t>2026-06-19 07:10:32</t>
        </is>
      </c>
      <c r="Y1252" t="inlineStr">
        <is>
          <t>27636737913</t>
        </is>
      </c>
    </row>
    <row r="1253">
      <c r="A1253" t="inlineStr">
        <is>
          <t>14948008</t>
        </is>
      </c>
      <c r="B1253" t="inlineStr">
        <is>
          <t>2a65ed2b-c7d7-438b-b336-1c80a4cb05a5</t>
        </is>
      </c>
      <c r="D1253" t="inlineStr">
        <is>
          <t>30001087</t>
        </is>
      </c>
      <c r="E1253" t="inlineStr">
        <is>
          <t>ussd_funeral_leads_altitude_20260619</t>
        </is>
      </c>
      <c r="J1253" t="inlineStr">
        <is>
          <t>AE</t>
        </is>
      </c>
      <c r="K1253" t="inlineStr">
        <is>
          <t>Auto Engaged</t>
        </is>
      </c>
      <c r="L1253" t="n">
        <v>3</v>
      </c>
      <c r="M1253" t="inlineStr">
        <is>
          <t>2026-06-23 14:07:52</t>
        </is>
      </c>
      <c r="N1253" t="inlineStr">
        <is>
          <t>system</t>
        </is>
      </c>
      <c r="O1253" t="inlineStr">
        <is>
          <t>2026-06-19 07:10:32</t>
        </is>
      </c>
      <c r="P1253" t="inlineStr">
        <is>
          <t>2026-06-19 07:10:32</t>
        </is>
      </c>
      <c r="Y1253" t="inlineStr">
        <is>
          <t>27729669416</t>
        </is>
      </c>
    </row>
    <row r="1254">
      <c r="A1254" t="inlineStr">
        <is>
          <t>14948009</t>
        </is>
      </c>
      <c r="B1254" t="inlineStr">
        <is>
          <t>ccbbed18-32fc-4659-b36c-2820f4760a80</t>
        </is>
      </c>
      <c r="D1254" t="inlineStr">
        <is>
          <t>30001087</t>
        </is>
      </c>
      <c r="E1254" t="inlineStr">
        <is>
          <t>ussd_funeral_leads_altitude_20260619</t>
        </is>
      </c>
      <c r="J1254" t="inlineStr">
        <is>
          <t>AA</t>
        </is>
      </c>
      <c r="K1254" t="inlineStr">
        <is>
          <t>Answering Machine Autodial</t>
        </is>
      </c>
      <c r="L1254" t="n">
        <v>3</v>
      </c>
      <c r="M1254" t="inlineStr">
        <is>
          <t>2026-06-23 14:07:52</t>
        </is>
      </c>
      <c r="N1254" t="inlineStr">
        <is>
          <t>system</t>
        </is>
      </c>
      <c r="O1254" t="inlineStr">
        <is>
          <t>2026-06-19 07:10:32</t>
        </is>
      </c>
      <c r="P1254" t="inlineStr">
        <is>
          <t>2026-06-19 07:10:32</t>
        </is>
      </c>
      <c r="Y1254" t="inlineStr">
        <is>
          <t>27726404061</t>
        </is>
      </c>
    </row>
    <row r="1255">
      <c r="A1255" t="inlineStr">
        <is>
          <t>14900000</t>
        </is>
      </c>
      <c r="B1255" t="inlineStr">
        <is>
          <t>e30083a7-10d7-4ba5-b3af-57b825de75e5</t>
        </is>
      </c>
      <c r="D1255" t="inlineStr">
        <is>
          <t>30001087</t>
        </is>
      </c>
      <c r="E1255" t="inlineStr">
        <is>
          <t>ussd_funeral_leads_altitude_20260619</t>
        </is>
      </c>
      <c r="J1255" t="inlineStr">
        <is>
          <t>ADC</t>
        </is>
      </c>
      <c r="K1255" t="inlineStr">
        <is>
          <t>Auto Dial Disconnected</t>
        </is>
      </c>
      <c r="L1255" t="n">
        <v>3</v>
      </c>
      <c r="M1255" t="inlineStr">
        <is>
          <t>2026-06-23 14:07:52</t>
        </is>
      </c>
      <c r="N1255" t="inlineStr">
        <is>
          <t>system</t>
        </is>
      </c>
      <c r="O1255" t="inlineStr">
        <is>
          <t>2026-06-19 07:10:32</t>
        </is>
      </c>
      <c r="P1255" t="inlineStr">
        <is>
          <t>2026-06-19 07:10:32</t>
        </is>
      </c>
      <c r="Y1255" t="inlineStr">
        <is>
          <t>27608597607</t>
        </is>
      </c>
    </row>
    <row r="1256">
      <c r="A1256" t="inlineStr">
        <is>
          <t>14948011</t>
        </is>
      </c>
      <c r="B1256" t="inlineStr">
        <is>
          <t>c89a107e-09d6-4bf4-adbe-aa8be819654c</t>
        </is>
      </c>
      <c r="D1256" t="inlineStr">
        <is>
          <t>30001087</t>
        </is>
      </c>
      <c r="E1256" t="inlineStr">
        <is>
          <t>ussd_funeral_leads_altitude_20260619</t>
        </is>
      </c>
      <c r="J1256" t="inlineStr">
        <is>
          <t>ADC</t>
        </is>
      </c>
      <c r="K1256" t="inlineStr">
        <is>
          <t>Auto Dial Disconnected</t>
        </is>
      </c>
      <c r="L1256" t="n">
        <v>3</v>
      </c>
      <c r="M1256" t="inlineStr">
        <is>
          <t>2026-06-23 14:07:52</t>
        </is>
      </c>
      <c r="N1256" t="inlineStr">
        <is>
          <t>system</t>
        </is>
      </c>
      <c r="O1256" t="inlineStr">
        <is>
          <t>2026-06-19 07:10:32</t>
        </is>
      </c>
      <c r="P1256" t="inlineStr">
        <is>
          <t>2026-06-19 07:10:32</t>
        </is>
      </c>
      <c r="Y1256" t="inlineStr">
        <is>
          <t>27660478715</t>
        </is>
      </c>
    </row>
    <row r="1257">
      <c r="A1257" t="inlineStr">
        <is>
          <t>14948012</t>
        </is>
      </c>
      <c r="B1257" t="inlineStr">
        <is>
          <t>7d4d367e-3f2e-40c3-8142-54fb35ae433c</t>
        </is>
      </c>
      <c r="D1257" t="inlineStr">
        <is>
          <t>30001087</t>
        </is>
      </c>
      <c r="E1257" t="inlineStr">
        <is>
          <t>ussd_funeral_leads_altitude_20260619</t>
        </is>
      </c>
      <c r="J1257" t="inlineStr">
        <is>
          <t>ADC</t>
        </is>
      </c>
      <c r="K1257" t="inlineStr">
        <is>
          <t>Auto Dial Disconnected</t>
        </is>
      </c>
      <c r="L1257" t="n">
        <v>3</v>
      </c>
      <c r="M1257" t="inlineStr">
        <is>
          <t>2026-06-23 14:07:51</t>
        </is>
      </c>
      <c r="N1257" t="inlineStr">
        <is>
          <t>system</t>
        </is>
      </c>
      <c r="O1257" t="inlineStr">
        <is>
          <t>2026-06-19 07:10:32</t>
        </is>
      </c>
      <c r="P1257" t="inlineStr">
        <is>
          <t>2026-06-19 07:10:32</t>
        </is>
      </c>
      <c r="Y1257" t="inlineStr">
        <is>
          <t>27824703984</t>
        </is>
      </c>
    </row>
    <row r="1258">
      <c r="A1258" t="inlineStr">
        <is>
          <t>14948013</t>
        </is>
      </c>
      <c r="B1258" t="inlineStr">
        <is>
          <t>bada2b5b-c215-48e7-be23-b6dea5488214</t>
        </is>
      </c>
      <c r="D1258" t="inlineStr">
        <is>
          <t>30001087</t>
        </is>
      </c>
      <c r="E1258" t="inlineStr">
        <is>
          <t>ussd_funeral_leads_altitude_20260619</t>
        </is>
      </c>
      <c r="J1258" t="inlineStr">
        <is>
          <t>ADC</t>
        </is>
      </c>
      <c r="K1258" t="inlineStr">
        <is>
          <t>Auto Dial Disconnected</t>
        </is>
      </c>
      <c r="L1258" t="n">
        <v>3</v>
      </c>
      <c r="M1258" t="inlineStr">
        <is>
          <t>2026-06-23 14:07:50</t>
        </is>
      </c>
      <c r="N1258" t="inlineStr">
        <is>
          <t>system</t>
        </is>
      </c>
      <c r="O1258" t="inlineStr">
        <is>
          <t>2026-06-19 07:10:32</t>
        </is>
      </c>
      <c r="P1258" t="inlineStr">
        <is>
          <t>2026-06-19 07:10:32</t>
        </is>
      </c>
      <c r="Y1258" t="inlineStr">
        <is>
          <t>27826469078</t>
        </is>
      </c>
    </row>
    <row r="1259">
      <c r="A1259" t="inlineStr">
        <is>
          <t>14948099</t>
        </is>
      </c>
      <c r="B1259" t="inlineStr">
        <is>
          <t>72b49330-e30d-4faf-8292-95bf32ea30b6</t>
        </is>
      </c>
      <c r="D1259" t="inlineStr">
        <is>
          <t>30001087</t>
        </is>
      </c>
      <c r="E1259" t="inlineStr">
        <is>
          <t>ussd_funeral_leads_altitude_20260619</t>
        </is>
      </c>
      <c r="J1259" t="inlineStr">
        <is>
          <t>AA</t>
        </is>
      </c>
      <c r="K1259" t="inlineStr">
        <is>
          <t>Answering Machine Autodial</t>
        </is>
      </c>
      <c r="L1259" t="n">
        <v>3</v>
      </c>
      <c r="M1259" t="inlineStr">
        <is>
          <t>2026-06-23 14:07:50</t>
        </is>
      </c>
      <c r="N1259" t="inlineStr">
        <is>
          <t>system</t>
        </is>
      </c>
      <c r="O1259" t="inlineStr">
        <is>
          <t>2026-06-19 07:10:32</t>
        </is>
      </c>
      <c r="P1259" t="inlineStr">
        <is>
          <t>2026-06-19 07:10:32</t>
        </is>
      </c>
      <c r="Y1259" t="inlineStr">
        <is>
          <t>27769207018</t>
        </is>
      </c>
    </row>
    <row r="1260">
      <c r="A1260" t="inlineStr">
        <is>
          <t>14948101</t>
        </is>
      </c>
      <c r="B1260" t="inlineStr">
        <is>
          <t>17c18c50-97e4-4bc5-a0ee-13d9d2bbbd91</t>
        </is>
      </c>
      <c r="D1260" t="inlineStr">
        <is>
          <t>30001087</t>
        </is>
      </c>
      <c r="E1260" t="inlineStr">
        <is>
          <t>ussd_funeral_leads_altitude_20260619</t>
        </is>
      </c>
      <c r="J1260" t="inlineStr">
        <is>
          <t>AA</t>
        </is>
      </c>
      <c r="K1260" t="inlineStr">
        <is>
          <t>Answering Machine Autodial</t>
        </is>
      </c>
      <c r="L1260" t="n">
        <v>3</v>
      </c>
      <c r="M1260" t="inlineStr">
        <is>
          <t>2026-06-23 14:07:50</t>
        </is>
      </c>
      <c r="N1260" t="inlineStr">
        <is>
          <t>system</t>
        </is>
      </c>
      <c r="O1260" t="inlineStr">
        <is>
          <t>2026-06-19 07:10:32</t>
        </is>
      </c>
      <c r="P1260" t="inlineStr">
        <is>
          <t>2026-06-19 07:10:32</t>
        </is>
      </c>
      <c r="Y1260" t="inlineStr">
        <is>
          <t>27715541463</t>
        </is>
      </c>
    </row>
    <row r="1261">
      <c r="A1261" t="inlineStr">
        <is>
          <t>14948102</t>
        </is>
      </c>
      <c r="B1261" t="inlineStr">
        <is>
          <t>f1bc75ac-4ef3-4e5d-a09d-3cde2c672a11</t>
        </is>
      </c>
      <c r="D1261" t="inlineStr">
        <is>
          <t>30001087</t>
        </is>
      </c>
      <c r="E1261" t="inlineStr">
        <is>
          <t>ussd_funeral_leads_altitude_20260619</t>
        </is>
      </c>
      <c r="J1261" t="inlineStr">
        <is>
          <t>TDN</t>
        </is>
      </c>
      <c r="K1261" t="inlineStr">
        <is>
          <t>Temporary Disconnected Number</t>
        </is>
      </c>
      <c r="L1261" t="n">
        <v>3</v>
      </c>
      <c r="M1261" t="inlineStr">
        <is>
          <t>2026-06-23 14:07:49</t>
        </is>
      </c>
      <c r="N1261" t="inlineStr">
        <is>
          <t>system</t>
        </is>
      </c>
      <c r="O1261" t="inlineStr">
        <is>
          <t>2026-06-19 07:10:32</t>
        </is>
      </c>
      <c r="P1261" t="inlineStr">
        <is>
          <t>2026-06-19 07:10:32</t>
        </is>
      </c>
      <c r="Y1261" t="inlineStr">
        <is>
          <t>27675756446</t>
        </is>
      </c>
    </row>
    <row r="1262">
      <c r="A1262" t="inlineStr">
        <is>
          <t>14948103</t>
        </is>
      </c>
      <c r="B1262" t="inlineStr">
        <is>
          <t>ec1f09e8-0e7a-4bf9-85cc-ce63561d40cb</t>
        </is>
      </c>
      <c r="D1262" t="inlineStr">
        <is>
          <t>30001087</t>
        </is>
      </c>
      <c r="E1262" t="inlineStr">
        <is>
          <t>ussd_funeral_leads_altitude_20260619</t>
        </is>
      </c>
      <c r="J1262" t="inlineStr">
        <is>
          <t>NA</t>
        </is>
      </c>
      <c r="K1262" t="inlineStr">
        <is>
          <t>No Answer Autodial</t>
        </is>
      </c>
      <c r="L1262" t="n">
        <v>3</v>
      </c>
      <c r="M1262" t="inlineStr">
        <is>
          <t>2026-06-23 14:07:22</t>
        </is>
      </c>
      <c r="N1262" t="inlineStr">
        <is>
          <t>system</t>
        </is>
      </c>
      <c r="O1262" t="inlineStr">
        <is>
          <t>2026-06-19 07:10:32</t>
        </is>
      </c>
      <c r="P1262" t="inlineStr">
        <is>
          <t>2026-06-19 07:10:32</t>
        </is>
      </c>
      <c r="Y1262" t="inlineStr">
        <is>
          <t>27790826192</t>
        </is>
      </c>
    </row>
    <row r="1263">
      <c r="A1263" t="inlineStr">
        <is>
          <t>14900000</t>
        </is>
      </c>
      <c r="B1263" t="inlineStr">
        <is>
          <t>11e56387-063c-4c89-a825-9e1b31c8312b</t>
        </is>
      </c>
      <c r="D1263" t="inlineStr">
        <is>
          <t>30001087</t>
        </is>
      </c>
      <c r="E1263" t="inlineStr">
        <is>
          <t>ussd_funeral_leads_altitude_20260619</t>
        </is>
      </c>
      <c r="J1263" t="inlineStr">
        <is>
          <t>TDN</t>
        </is>
      </c>
      <c r="K1263" t="inlineStr">
        <is>
          <t>Temporary Disconnected Number</t>
        </is>
      </c>
      <c r="L1263" t="n">
        <v>3</v>
      </c>
      <c r="M1263" t="inlineStr">
        <is>
          <t>2026-06-23 14:07:21</t>
        </is>
      </c>
      <c r="N1263" t="inlineStr">
        <is>
          <t>system</t>
        </is>
      </c>
      <c r="O1263" t="inlineStr">
        <is>
          <t>2026-06-19 07:10:32</t>
        </is>
      </c>
      <c r="P1263" t="inlineStr">
        <is>
          <t>2026-06-19 07:10:32</t>
        </is>
      </c>
      <c r="Y1263" t="inlineStr">
        <is>
          <t>27608748561</t>
        </is>
      </c>
    </row>
    <row r="1264">
      <c r="A1264" t="inlineStr">
        <is>
          <t>14948105</t>
        </is>
      </c>
      <c r="B1264" t="inlineStr">
        <is>
          <t>a1e50c6e-7eb5-4511-97d9-a2c7a302aab2</t>
        </is>
      </c>
      <c r="D1264" t="inlineStr">
        <is>
          <t>30001087</t>
        </is>
      </c>
      <c r="E1264" t="inlineStr">
        <is>
          <t>ussd_funeral_leads_altitude_20260619</t>
        </is>
      </c>
      <c r="J1264" t="inlineStr">
        <is>
          <t>AA</t>
        </is>
      </c>
      <c r="K1264" t="inlineStr">
        <is>
          <t>Answering Machine Autodial</t>
        </is>
      </c>
      <c r="L1264" t="n">
        <v>3</v>
      </c>
      <c r="M1264" t="inlineStr">
        <is>
          <t>2026-06-23 14:07:21</t>
        </is>
      </c>
      <c r="N1264" t="inlineStr">
        <is>
          <t>system</t>
        </is>
      </c>
      <c r="O1264" t="inlineStr">
        <is>
          <t>2026-06-19 07:10:32</t>
        </is>
      </c>
      <c r="P1264" t="inlineStr">
        <is>
          <t>2026-06-19 07:10:32</t>
        </is>
      </c>
      <c r="Y1264" t="inlineStr">
        <is>
          <t>27822387124</t>
        </is>
      </c>
    </row>
    <row r="1265">
      <c r="A1265" t="inlineStr">
        <is>
          <t>14944460</t>
        </is>
      </c>
      <c r="B1265" t="inlineStr">
        <is>
          <t>59ef59c9-2c3b-4713-b6a0-52fc0fb6cd07</t>
        </is>
      </c>
      <c r="D1265" t="inlineStr">
        <is>
          <t>30001087</t>
        </is>
      </c>
      <c r="E1265" t="inlineStr">
        <is>
          <t>ussd_funeral_leads_altitude_20260619</t>
        </is>
      </c>
      <c r="J1265" t="inlineStr">
        <is>
          <t>ADC</t>
        </is>
      </c>
      <c r="K1265" t="inlineStr">
        <is>
          <t>Auto Dial Disconnected</t>
        </is>
      </c>
      <c r="L1265" t="n">
        <v>3</v>
      </c>
      <c r="M1265" t="inlineStr">
        <is>
          <t>2026-06-23 14:07:17</t>
        </is>
      </c>
      <c r="N1265" t="inlineStr">
        <is>
          <t>system</t>
        </is>
      </c>
      <c r="O1265" t="inlineStr">
        <is>
          <t>2026-06-19 07:10:32</t>
        </is>
      </c>
      <c r="P1265" t="inlineStr">
        <is>
          <t>2026-06-19 07:10:32</t>
        </is>
      </c>
      <c r="Y1265" t="inlineStr">
        <is>
          <t>27636294944</t>
        </is>
      </c>
    </row>
    <row r="1266">
      <c r="A1266" t="inlineStr">
        <is>
          <t>14944459</t>
        </is>
      </c>
      <c r="B1266" t="inlineStr">
        <is>
          <t>de558bc8-5baf-4265-808e-d77caa4f034a</t>
        </is>
      </c>
      <c r="D1266" t="inlineStr">
        <is>
          <t>30001087</t>
        </is>
      </c>
      <c r="E1266" t="inlineStr">
        <is>
          <t>ussd_funeral_leads_altitude_20260619</t>
        </is>
      </c>
      <c r="J1266" t="inlineStr">
        <is>
          <t>NA</t>
        </is>
      </c>
      <c r="K1266" t="inlineStr">
        <is>
          <t>No Answer Autodial</t>
        </is>
      </c>
      <c r="L1266" t="n">
        <v>3</v>
      </c>
      <c r="M1266" t="inlineStr">
        <is>
          <t>2026-06-23 14:07:16</t>
        </is>
      </c>
      <c r="N1266" t="inlineStr">
        <is>
          <t>system</t>
        </is>
      </c>
      <c r="O1266" t="inlineStr">
        <is>
          <t>2026-06-19 07:10:32</t>
        </is>
      </c>
      <c r="P1266" t="inlineStr">
        <is>
          <t>2026-06-19 07:10:32</t>
        </is>
      </c>
      <c r="Y1266" t="inlineStr">
        <is>
          <t>27726519278</t>
        </is>
      </c>
    </row>
    <row r="1267">
      <c r="A1267" t="inlineStr">
        <is>
          <t>14944458</t>
        </is>
      </c>
      <c r="B1267" t="inlineStr">
        <is>
          <t>f33211cd-097c-4472-86f2-cece1c831ce3</t>
        </is>
      </c>
      <c r="D1267" t="inlineStr">
        <is>
          <t>30001087</t>
        </is>
      </c>
      <c r="E1267" t="inlineStr">
        <is>
          <t>ussd_funeral_leads_altitude_20260619</t>
        </is>
      </c>
      <c r="J1267" t="inlineStr">
        <is>
          <t>NA</t>
        </is>
      </c>
      <c r="K1267" t="inlineStr">
        <is>
          <t>No Answer Autodial</t>
        </is>
      </c>
      <c r="L1267" t="n">
        <v>3</v>
      </c>
      <c r="M1267" t="inlineStr">
        <is>
          <t>2026-06-23 14:07:14</t>
        </is>
      </c>
      <c r="N1267" t="inlineStr">
        <is>
          <t>system</t>
        </is>
      </c>
      <c r="O1267" t="inlineStr">
        <is>
          <t>2026-06-19 07:10:32</t>
        </is>
      </c>
      <c r="P1267" t="inlineStr">
        <is>
          <t>2026-06-19 07:10:32</t>
        </is>
      </c>
      <c r="Y1267" t="inlineStr">
        <is>
          <t>27609044141</t>
        </is>
      </c>
    </row>
    <row r="1268">
      <c r="A1268" t="inlineStr">
        <is>
          <t>14944457</t>
        </is>
      </c>
      <c r="B1268" t="inlineStr">
        <is>
          <t>a2b7e13b-6a76-4a9c-8ff3-26f4f3043d89</t>
        </is>
      </c>
      <c r="D1268" t="inlineStr">
        <is>
          <t>30001087</t>
        </is>
      </c>
      <c r="E1268" t="inlineStr">
        <is>
          <t>ussd_funeral_leads_altitude_20260619</t>
        </is>
      </c>
      <c r="J1268" t="inlineStr">
        <is>
          <t>CU</t>
        </is>
      </c>
      <c r="K1268" t="inlineStr">
        <is>
          <t>Client Hung Up</t>
        </is>
      </c>
      <c r="L1268" t="n">
        <v>3</v>
      </c>
      <c r="M1268" t="inlineStr">
        <is>
          <t>2026-06-23 14:07:13</t>
        </is>
      </c>
      <c r="N1268" t="inlineStr">
        <is>
          <t>Dimakatso Nkomo</t>
        </is>
      </c>
      <c r="O1268" t="inlineStr">
        <is>
          <t>2026-06-19 07:10:32</t>
        </is>
      </c>
      <c r="P1268" t="inlineStr">
        <is>
          <t>2026-06-19 07:10:32</t>
        </is>
      </c>
      <c r="Y1268" t="inlineStr">
        <is>
          <t>27609164208</t>
        </is>
      </c>
    </row>
    <row r="1269">
      <c r="A1269" t="inlineStr">
        <is>
          <t>14944452</t>
        </is>
      </c>
      <c r="B1269" t="inlineStr">
        <is>
          <t>7cc07fdc-902f-40d9-aacb-2f70d3ad13c9</t>
        </is>
      </c>
      <c r="D1269" t="inlineStr">
        <is>
          <t>30001087</t>
        </is>
      </c>
      <c r="E1269" t="inlineStr">
        <is>
          <t>ussd_funeral_leads_altitude_20260619</t>
        </is>
      </c>
      <c r="J1269" t="inlineStr">
        <is>
          <t>ADC</t>
        </is>
      </c>
      <c r="K1269" t="inlineStr">
        <is>
          <t>Auto Dial Disconnected</t>
        </is>
      </c>
      <c r="L1269" t="n">
        <v>3</v>
      </c>
      <c r="M1269" t="inlineStr">
        <is>
          <t>2026-06-23 14:07:12</t>
        </is>
      </c>
      <c r="N1269" t="inlineStr">
        <is>
          <t>system</t>
        </is>
      </c>
      <c r="O1269" t="inlineStr">
        <is>
          <t>2026-06-19 07:10:32</t>
        </is>
      </c>
      <c r="P1269" t="inlineStr">
        <is>
          <t>2026-06-19 07:10:32</t>
        </is>
      </c>
      <c r="Y1269" t="inlineStr">
        <is>
          <t>27646796477</t>
        </is>
      </c>
    </row>
    <row r="1270">
      <c r="A1270" t="inlineStr">
        <is>
          <t>14944453</t>
        </is>
      </c>
      <c r="B1270" t="inlineStr">
        <is>
          <t>04575432-9040-486a-a4f4-f592579c9a8d</t>
        </is>
      </c>
      <c r="D1270" t="inlineStr">
        <is>
          <t>30001087</t>
        </is>
      </c>
      <c r="E1270" t="inlineStr">
        <is>
          <t>ussd_funeral_leads_altitude_20260619</t>
        </is>
      </c>
      <c r="J1270" t="inlineStr">
        <is>
          <t>AA</t>
        </is>
      </c>
      <c r="K1270" t="inlineStr">
        <is>
          <t>Answering Machine Autodial</t>
        </is>
      </c>
      <c r="L1270" t="n">
        <v>3</v>
      </c>
      <c r="M1270" t="inlineStr">
        <is>
          <t>2026-06-23 14:07:12</t>
        </is>
      </c>
      <c r="N1270" t="inlineStr">
        <is>
          <t>system</t>
        </is>
      </c>
      <c r="O1270" t="inlineStr">
        <is>
          <t>2026-06-19 07:10:32</t>
        </is>
      </c>
      <c r="P1270" t="inlineStr">
        <is>
          <t>2026-06-19 07:10:32</t>
        </is>
      </c>
      <c r="Y1270" t="inlineStr">
        <is>
          <t>27769682815</t>
        </is>
      </c>
    </row>
    <row r="1271">
      <c r="A1271" t="inlineStr">
        <is>
          <t>14944455</t>
        </is>
      </c>
      <c r="B1271" t="inlineStr">
        <is>
          <t>a9157e0c-85e9-431c-8442-46a7cbc112cd</t>
        </is>
      </c>
      <c r="D1271" t="inlineStr">
        <is>
          <t>30001087</t>
        </is>
      </c>
      <c r="E1271" t="inlineStr">
        <is>
          <t>ussd_funeral_leads_altitude_20260619</t>
        </is>
      </c>
      <c r="J1271" t="inlineStr">
        <is>
          <t>CB</t>
        </is>
      </c>
      <c r="K1271" t="inlineStr">
        <is>
          <t>Busy Tone</t>
        </is>
      </c>
      <c r="L1271" t="n">
        <v>3</v>
      </c>
      <c r="M1271" t="inlineStr">
        <is>
          <t>2026-06-23 14:07:12</t>
        </is>
      </c>
      <c r="N1271" t="inlineStr">
        <is>
          <t>Bongiwe Precious Cele</t>
        </is>
      </c>
      <c r="O1271" t="inlineStr">
        <is>
          <t>2026-06-19 07:10:32</t>
        </is>
      </c>
      <c r="P1271" t="inlineStr">
        <is>
          <t>2026-06-19 07:10:32</t>
        </is>
      </c>
      <c r="Y1271" t="inlineStr">
        <is>
          <t>27662912336</t>
        </is>
      </c>
    </row>
    <row r="1272">
      <c r="A1272" t="inlineStr">
        <is>
          <t>14944411</t>
        </is>
      </c>
      <c r="B1272" t="inlineStr">
        <is>
          <t>7a125812-ba43-4e8c-9b44-c3a9428bb369</t>
        </is>
      </c>
      <c r="D1272" t="inlineStr">
        <is>
          <t>30001087</t>
        </is>
      </c>
      <c r="E1272" t="inlineStr">
        <is>
          <t>ussd_funeral_leads_altitude_20260619</t>
        </is>
      </c>
      <c r="J1272" t="inlineStr">
        <is>
          <t>AE</t>
        </is>
      </c>
      <c r="K1272" t="inlineStr">
        <is>
          <t>Auto Engaged</t>
        </is>
      </c>
      <c r="L1272" t="n">
        <v>3</v>
      </c>
      <c r="M1272" t="inlineStr">
        <is>
          <t>2026-06-23 14:07:12</t>
        </is>
      </c>
      <c r="N1272" t="inlineStr">
        <is>
          <t>system</t>
        </is>
      </c>
      <c r="O1272" t="inlineStr">
        <is>
          <t>2026-06-19 07:10:32</t>
        </is>
      </c>
      <c r="P1272" t="inlineStr">
        <is>
          <t>2026-06-19 07:10:32</t>
        </is>
      </c>
      <c r="Y1272" t="inlineStr">
        <is>
          <t>27825072435</t>
        </is>
      </c>
    </row>
    <row r="1273">
      <c r="A1273" t="inlineStr">
        <is>
          <t>14944454</t>
        </is>
      </c>
      <c r="B1273" t="inlineStr">
        <is>
          <t>614540f4-2f8c-4b69-a033-24f8c46f1500</t>
        </is>
      </c>
      <c r="D1273" t="inlineStr">
        <is>
          <t>30001087</t>
        </is>
      </c>
      <c r="E1273" t="inlineStr">
        <is>
          <t>ussd_funeral_leads_altitude_20260619</t>
        </is>
      </c>
      <c r="J1273" t="inlineStr">
        <is>
          <t>NA</t>
        </is>
      </c>
      <c r="K1273" t="inlineStr">
        <is>
          <t>No Answer Autodial</t>
        </is>
      </c>
      <c r="L1273" t="n">
        <v>3</v>
      </c>
      <c r="M1273" t="inlineStr">
        <is>
          <t>2026-06-23 14:07:11</t>
        </is>
      </c>
      <c r="N1273" t="inlineStr">
        <is>
          <t>system</t>
        </is>
      </c>
      <c r="O1273" t="inlineStr">
        <is>
          <t>2026-06-19 07:10:32</t>
        </is>
      </c>
      <c r="P1273" t="inlineStr">
        <is>
          <t>2026-06-19 07:10:32</t>
        </is>
      </c>
      <c r="Y1273" t="inlineStr">
        <is>
          <t>27647766253</t>
        </is>
      </c>
    </row>
    <row r="1274">
      <c r="A1274" t="inlineStr">
        <is>
          <t>14944408</t>
        </is>
      </c>
      <c r="B1274" t="inlineStr">
        <is>
          <t>3820f928-3e74-444b-a54a-6d8573dca500</t>
        </is>
      </c>
      <c r="D1274" t="inlineStr">
        <is>
          <t>30001087</t>
        </is>
      </c>
      <c r="E1274" t="inlineStr">
        <is>
          <t>ussd_funeral_leads_altitude_20260619</t>
        </is>
      </c>
      <c r="J1274" t="inlineStr">
        <is>
          <t>AA</t>
        </is>
      </c>
      <c r="K1274" t="inlineStr">
        <is>
          <t>Answering Machine Autodial</t>
        </is>
      </c>
      <c r="L1274" t="n">
        <v>3</v>
      </c>
      <c r="M1274" t="inlineStr">
        <is>
          <t>2026-06-23 14:07:11</t>
        </is>
      </c>
      <c r="N1274" t="inlineStr">
        <is>
          <t>system</t>
        </is>
      </c>
      <c r="O1274" t="inlineStr">
        <is>
          <t>2026-06-19 07:10:32</t>
        </is>
      </c>
      <c r="P1274" t="inlineStr">
        <is>
          <t>2026-06-19 07:10:32</t>
        </is>
      </c>
      <c r="Y1274" t="inlineStr">
        <is>
          <t>27723236569</t>
        </is>
      </c>
    </row>
    <row r="1275">
      <c r="A1275" t="inlineStr">
        <is>
          <t>14944407</t>
        </is>
      </c>
      <c r="B1275" t="inlineStr">
        <is>
          <t>90f20710-3535-41d7-ba66-1f21c85c6ce6</t>
        </is>
      </c>
      <c r="D1275" t="inlineStr">
        <is>
          <t>30001087</t>
        </is>
      </c>
      <c r="E1275" t="inlineStr">
        <is>
          <t>ussd_funeral_leads_altitude_20260619</t>
        </is>
      </c>
      <c r="J1275" t="inlineStr">
        <is>
          <t>AA</t>
        </is>
      </c>
      <c r="K1275" t="inlineStr">
        <is>
          <t>Answering Machine Autodial</t>
        </is>
      </c>
      <c r="L1275" t="n">
        <v>3</v>
      </c>
      <c r="M1275" t="inlineStr">
        <is>
          <t>2026-06-23 14:07:10</t>
        </is>
      </c>
      <c r="N1275" t="inlineStr">
        <is>
          <t>system</t>
        </is>
      </c>
      <c r="O1275" t="inlineStr">
        <is>
          <t>2026-06-19 07:10:32</t>
        </is>
      </c>
      <c r="P1275" t="inlineStr">
        <is>
          <t>2026-06-19 07:10:32</t>
        </is>
      </c>
      <c r="Y1275" t="inlineStr">
        <is>
          <t>27798172634</t>
        </is>
      </c>
    </row>
    <row r="1276">
      <c r="A1276" t="inlineStr">
        <is>
          <t>14944372</t>
        </is>
      </c>
      <c r="B1276" t="inlineStr">
        <is>
          <t>398607ff-55e5-4b4a-8486-92d4a789222e</t>
        </is>
      </c>
      <c r="D1276" t="inlineStr">
        <is>
          <t>30001087</t>
        </is>
      </c>
      <c r="E1276" t="inlineStr">
        <is>
          <t>ussd_funeral_leads_altitude_20260619</t>
        </is>
      </c>
      <c r="J1276" t="inlineStr">
        <is>
          <t>AA</t>
        </is>
      </c>
      <c r="K1276" t="inlineStr">
        <is>
          <t>Answering Machine Autodial</t>
        </is>
      </c>
      <c r="L1276" t="n">
        <v>3</v>
      </c>
      <c r="M1276" t="inlineStr">
        <is>
          <t>2026-06-23 14:07:05</t>
        </is>
      </c>
      <c r="N1276" t="inlineStr">
        <is>
          <t>system</t>
        </is>
      </c>
      <c r="O1276" t="inlineStr">
        <is>
          <t>2026-06-19 07:10:32</t>
        </is>
      </c>
      <c r="P1276" t="inlineStr">
        <is>
          <t>2026-06-19 07:10:32</t>
        </is>
      </c>
      <c r="Y1276" t="inlineStr">
        <is>
          <t>27723554827</t>
        </is>
      </c>
    </row>
    <row r="1277">
      <c r="A1277" t="inlineStr">
        <is>
          <t>14944373</t>
        </is>
      </c>
      <c r="B1277" t="inlineStr">
        <is>
          <t>0ca92c90-323c-4c09-85ad-38562ac4d35f</t>
        </is>
      </c>
      <c r="D1277" t="inlineStr">
        <is>
          <t>30001087</t>
        </is>
      </c>
      <c r="E1277" t="inlineStr">
        <is>
          <t>ussd_funeral_leads_altitude_20260619</t>
        </is>
      </c>
      <c r="J1277" t="inlineStr">
        <is>
          <t>NA</t>
        </is>
      </c>
      <c r="K1277" t="inlineStr">
        <is>
          <t>No Answer Autodial</t>
        </is>
      </c>
      <c r="L1277" t="n">
        <v>3</v>
      </c>
      <c r="M1277" t="inlineStr">
        <is>
          <t>2026-06-23 14:07:05</t>
        </is>
      </c>
      <c r="N1277" t="inlineStr">
        <is>
          <t>system</t>
        </is>
      </c>
      <c r="O1277" t="inlineStr">
        <is>
          <t>2026-06-19 07:10:32</t>
        </is>
      </c>
      <c r="P1277" t="inlineStr">
        <is>
          <t>2026-06-19 07:10:32</t>
        </is>
      </c>
      <c r="Y1277" t="inlineStr">
        <is>
          <t>27761494925</t>
        </is>
      </c>
    </row>
    <row r="1278">
      <c r="A1278" t="inlineStr">
        <is>
          <t>14944374</t>
        </is>
      </c>
      <c r="B1278" t="inlineStr">
        <is>
          <t>6105474b-591c-405e-8ee8-736057b00618</t>
        </is>
      </c>
      <c r="D1278" t="inlineStr">
        <is>
          <t>30001087</t>
        </is>
      </c>
      <c r="E1278" t="inlineStr">
        <is>
          <t>ussd_funeral_leads_altitude_20260619</t>
        </is>
      </c>
      <c r="J1278" t="inlineStr">
        <is>
          <t>AA</t>
        </is>
      </c>
      <c r="K1278" t="inlineStr">
        <is>
          <t>Answering Machine Autodial</t>
        </is>
      </c>
      <c r="L1278" t="n">
        <v>3</v>
      </c>
      <c r="M1278" t="inlineStr">
        <is>
          <t>2026-06-23 14:07:05</t>
        </is>
      </c>
      <c r="N1278" t="inlineStr">
        <is>
          <t>system</t>
        </is>
      </c>
      <c r="O1278" t="inlineStr">
        <is>
          <t>2026-06-19 07:10:32</t>
        </is>
      </c>
      <c r="P1278" t="inlineStr">
        <is>
          <t>2026-06-19 07:10:32</t>
        </is>
      </c>
      <c r="Y1278" t="inlineStr">
        <is>
          <t>27637507462</t>
        </is>
      </c>
    </row>
    <row r="1279">
      <c r="A1279" t="inlineStr">
        <is>
          <t>14944376</t>
        </is>
      </c>
      <c r="B1279" t="inlineStr">
        <is>
          <t>4a85fa51-4b96-4dcc-8696-ef29d53c33cd</t>
        </is>
      </c>
      <c r="D1279" t="inlineStr">
        <is>
          <t>30001087</t>
        </is>
      </c>
      <c r="E1279" t="inlineStr">
        <is>
          <t>ussd_funeral_leads_altitude_20260619</t>
        </is>
      </c>
      <c r="J1279" t="inlineStr">
        <is>
          <t>ADC</t>
        </is>
      </c>
      <c r="K1279" t="inlineStr">
        <is>
          <t>Auto Dial Disconnected</t>
        </is>
      </c>
      <c r="L1279" t="n">
        <v>3</v>
      </c>
      <c r="M1279" t="inlineStr">
        <is>
          <t>2026-06-23 14:07:05</t>
        </is>
      </c>
      <c r="N1279" t="inlineStr">
        <is>
          <t>system</t>
        </is>
      </c>
      <c r="O1279" t="inlineStr">
        <is>
          <t>2026-06-19 07:10:32</t>
        </is>
      </c>
      <c r="P1279" t="inlineStr">
        <is>
          <t>2026-06-19 07:10:32</t>
        </is>
      </c>
      <c r="Y1279" t="inlineStr">
        <is>
          <t>27665368827</t>
        </is>
      </c>
    </row>
    <row r="1280">
      <c r="A1280" t="inlineStr">
        <is>
          <t>14944406</t>
        </is>
      </c>
      <c r="B1280" t="inlineStr">
        <is>
          <t>8239923d-f183-4fc9-847a-812fd0e891a2</t>
        </is>
      </c>
      <c r="D1280" t="inlineStr">
        <is>
          <t>30001087</t>
        </is>
      </c>
      <c r="E1280" t="inlineStr">
        <is>
          <t>ussd_funeral_leads_altitude_20260619</t>
        </is>
      </c>
      <c r="J1280" t="inlineStr">
        <is>
          <t>CU</t>
        </is>
      </c>
      <c r="K1280" t="inlineStr">
        <is>
          <t>Client Hung Up</t>
        </is>
      </c>
      <c r="L1280" t="n">
        <v>3</v>
      </c>
      <c r="M1280" t="inlineStr">
        <is>
          <t>2026-06-23 14:07:05</t>
        </is>
      </c>
      <c r="N1280" t="inlineStr">
        <is>
          <t>Lebohang Mabotja</t>
        </is>
      </c>
      <c r="O1280" t="inlineStr">
        <is>
          <t>2026-06-19 07:10:32</t>
        </is>
      </c>
      <c r="P1280" t="inlineStr">
        <is>
          <t>2026-06-19 07:10:32</t>
        </is>
      </c>
      <c r="Y1280" t="inlineStr">
        <is>
          <t>27792516775</t>
        </is>
      </c>
    </row>
    <row r="1281">
      <c r="A1281" t="inlineStr">
        <is>
          <t>14944371</t>
        </is>
      </c>
      <c r="B1281" t="inlineStr">
        <is>
          <t>a51d7219-56c4-4dff-8861-e0fe60f6c831</t>
        </is>
      </c>
      <c r="D1281" t="inlineStr">
        <is>
          <t>30001087</t>
        </is>
      </c>
      <c r="E1281" t="inlineStr">
        <is>
          <t>ussd_funeral_leads_altitude_20260619</t>
        </is>
      </c>
      <c r="J1281" t="inlineStr">
        <is>
          <t>AA</t>
        </is>
      </c>
      <c r="K1281" t="inlineStr">
        <is>
          <t>Answering Machine Autodial</t>
        </is>
      </c>
      <c r="L1281" t="n">
        <v>3</v>
      </c>
      <c r="M1281" t="inlineStr">
        <is>
          <t>2026-06-23 14:07:04</t>
        </is>
      </c>
      <c r="N1281" t="inlineStr">
        <is>
          <t>system</t>
        </is>
      </c>
      <c r="O1281" t="inlineStr">
        <is>
          <t>2026-06-19 07:10:32</t>
        </is>
      </c>
      <c r="P1281" t="inlineStr">
        <is>
          <t>2026-06-19 07:10:32</t>
        </is>
      </c>
      <c r="Y1281" t="inlineStr">
        <is>
          <t>27795191214</t>
        </is>
      </c>
    </row>
    <row r="1282">
      <c r="A1282" t="inlineStr">
        <is>
          <t>14944369</t>
        </is>
      </c>
      <c r="B1282" t="inlineStr">
        <is>
          <t>61e94f7d-d4e6-4fde-b58e-91d7a5891d90</t>
        </is>
      </c>
      <c r="D1282" t="inlineStr">
        <is>
          <t>30001087</t>
        </is>
      </c>
      <c r="E1282" t="inlineStr">
        <is>
          <t>ussd_funeral_leads_altitude_20260619</t>
        </is>
      </c>
      <c r="J1282" t="inlineStr">
        <is>
          <t>AA</t>
        </is>
      </c>
      <c r="K1282" t="inlineStr">
        <is>
          <t>Answering Machine Autodial</t>
        </is>
      </c>
      <c r="L1282" t="n">
        <v>3</v>
      </c>
      <c r="M1282" t="inlineStr">
        <is>
          <t>2026-06-23 14:07:03</t>
        </is>
      </c>
      <c r="N1282" t="inlineStr">
        <is>
          <t>system</t>
        </is>
      </c>
      <c r="O1282" t="inlineStr">
        <is>
          <t>2026-06-19 07:10:32</t>
        </is>
      </c>
      <c r="P1282" t="inlineStr">
        <is>
          <t>2026-06-19 07:10:32</t>
        </is>
      </c>
      <c r="Y1282" t="inlineStr">
        <is>
          <t>27766096219</t>
        </is>
      </c>
    </row>
    <row r="1283">
      <c r="A1283" t="inlineStr">
        <is>
          <t>14900000</t>
        </is>
      </c>
      <c r="B1283" t="inlineStr">
        <is>
          <t>22e6396b-105e-43e2-abf4-f922324be456</t>
        </is>
      </c>
      <c r="D1283" t="inlineStr">
        <is>
          <t>30001087</t>
        </is>
      </c>
      <c r="E1283" t="inlineStr">
        <is>
          <t>ussd_funeral_leads_altitude_20260619</t>
        </is>
      </c>
      <c r="J1283" t="inlineStr">
        <is>
          <t>AA</t>
        </is>
      </c>
      <c r="K1283" t="inlineStr">
        <is>
          <t>Answering Machine Autodial</t>
        </is>
      </c>
      <c r="L1283" t="n">
        <v>3</v>
      </c>
      <c r="M1283" t="inlineStr">
        <is>
          <t>2026-06-23 14:06:11</t>
        </is>
      </c>
      <c r="N1283" t="inlineStr">
        <is>
          <t>system</t>
        </is>
      </c>
      <c r="O1283" t="inlineStr">
        <is>
          <t>2026-06-19 07:10:32</t>
        </is>
      </c>
      <c r="P1283" t="inlineStr">
        <is>
          <t>2026-06-19 07:10:32</t>
        </is>
      </c>
      <c r="Y1283" t="inlineStr">
        <is>
          <t>27774869152</t>
        </is>
      </c>
    </row>
    <row r="1284">
      <c r="A1284" t="inlineStr">
        <is>
          <t>14948107</t>
        </is>
      </c>
      <c r="B1284" t="inlineStr">
        <is>
          <t>07cccacc-5ae3-462c-9828-6dafefd72016</t>
        </is>
      </c>
      <c r="D1284" t="inlineStr">
        <is>
          <t>30001087</t>
        </is>
      </c>
      <c r="E1284" t="inlineStr">
        <is>
          <t>ussd_funeral_leads_altitude_20260619</t>
        </is>
      </c>
      <c r="J1284" t="inlineStr">
        <is>
          <t>ADC</t>
        </is>
      </c>
      <c r="K1284" t="inlineStr">
        <is>
          <t>Auto Dial Disconnected</t>
        </is>
      </c>
      <c r="L1284" t="n">
        <v>3</v>
      </c>
      <c r="M1284" t="inlineStr">
        <is>
          <t>2026-06-23 14:06:11</t>
        </is>
      </c>
      <c r="N1284" t="inlineStr">
        <is>
          <t>system</t>
        </is>
      </c>
      <c r="O1284" t="inlineStr">
        <is>
          <t>2026-06-19 07:10:32</t>
        </is>
      </c>
      <c r="P1284" t="inlineStr">
        <is>
          <t>2026-06-19 07:10:32</t>
        </is>
      </c>
      <c r="Y1284" t="inlineStr">
        <is>
          <t>27818996463</t>
        </is>
      </c>
    </row>
    <row r="1285">
      <c r="A1285" t="inlineStr">
        <is>
          <t>14900000</t>
        </is>
      </c>
      <c r="B1285" t="inlineStr">
        <is>
          <t>e591a042-b7ed-458d-9748-b2ed1b39c208</t>
        </is>
      </c>
      <c r="D1285" t="inlineStr">
        <is>
          <t>30001087</t>
        </is>
      </c>
      <c r="E1285" t="inlineStr">
        <is>
          <t>ussd_funeral_leads_altitude_20260619</t>
        </is>
      </c>
      <c r="J1285" t="inlineStr">
        <is>
          <t>NA</t>
        </is>
      </c>
      <c r="K1285" t="inlineStr">
        <is>
          <t>No Answer Autodial</t>
        </is>
      </c>
      <c r="L1285" t="n">
        <v>3</v>
      </c>
      <c r="M1285" t="inlineStr">
        <is>
          <t>2026-06-23 14:06:11</t>
        </is>
      </c>
      <c r="N1285" t="inlineStr">
        <is>
          <t>system</t>
        </is>
      </c>
      <c r="O1285" t="inlineStr">
        <is>
          <t>2026-06-19 07:10:32</t>
        </is>
      </c>
      <c r="P1285" t="inlineStr">
        <is>
          <t>2026-06-19 07:10:32</t>
        </is>
      </c>
      <c r="Y1285" t="inlineStr">
        <is>
          <t>27604598127</t>
        </is>
      </c>
    </row>
    <row r="1286">
      <c r="A1286" t="inlineStr">
        <is>
          <t>14948110</t>
        </is>
      </c>
      <c r="B1286" t="inlineStr">
        <is>
          <t>062c29d6-185e-49cc-b46c-5cd31b1df895</t>
        </is>
      </c>
      <c r="D1286" t="inlineStr">
        <is>
          <t>30001087</t>
        </is>
      </c>
      <c r="E1286" t="inlineStr">
        <is>
          <t>ussd_funeral_leads_altitude_20260619</t>
        </is>
      </c>
      <c r="J1286" t="inlineStr">
        <is>
          <t>ADC</t>
        </is>
      </c>
      <c r="K1286" t="inlineStr">
        <is>
          <t>Auto Dial Disconnected</t>
        </is>
      </c>
      <c r="L1286" t="n">
        <v>3</v>
      </c>
      <c r="M1286" t="inlineStr">
        <is>
          <t>2026-06-23 14:06:11</t>
        </is>
      </c>
      <c r="N1286" t="inlineStr">
        <is>
          <t>system</t>
        </is>
      </c>
      <c r="O1286" t="inlineStr">
        <is>
          <t>2026-06-19 07:10:32</t>
        </is>
      </c>
      <c r="P1286" t="inlineStr">
        <is>
          <t>2026-06-19 07:10:32</t>
        </is>
      </c>
      <c r="Y1286" t="inlineStr">
        <is>
          <t>27774041165</t>
        </is>
      </c>
    </row>
    <row r="1287">
      <c r="A1287" t="inlineStr">
        <is>
          <t>14948111</t>
        </is>
      </c>
      <c r="B1287" t="inlineStr">
        <is>
          <t>7a6489a3-7bb5-46e0-9d02-08eae24e5ec9</t>
        </is>
      </c>
      <c r="D1287" t="inlineStr">
        <is>
          <t>30001087</t>
        </is>
      </c>
      <c r="E1287" t="inlineStr">
        <is>
          <t>ussd_funeral_leads_altitude_20260619</t>
        </is>
      </c>
      <c r="J1287" t="inlineStr">
        <is>
          <t>AA</t>
        </is>
      </c>
      <c r="K1287" t="inlineStr">
        <is>
          <t>Answering Machine Autodial</t>
        </is>
      </c>
      <c r="L1287" t="n">
        <v>3</v>
      </c>
      <c r="M1287" t="inlineStr">
        <is>
          <t>2026-06-23 14:06:11</t>
        </is>
      </c>
      <c r="N1287" t="inlineStr">
        <is>
          <t>system</t>
        </is>
      </c>
      <c r="O1287" t="inlineStr">
        <is>
          <t>2026-06-19 07:10:32</t>
        </is>
      </c>
      <c r="P1287" t="inlineStr">
        <is>
          <t>2026-06-19 07:10:32</t>
        </is>
      </c>
      <c r="Y1287" t="inlineStr">
        <is>
          <t>27818186704</t>
        </is>
      </c>
    </row>
    <row r="1288">
      <c r="A1288" t="inlineStr">
        <is>
          <t>14900000</t>
        </is>
      </c>
      <c r="B1288" t="inlineStr">
        <is>
          <t>4777e530-0dcd-4553-a950-1b9b372b3a1b</t>
        </is>
      </c>
      <c r="D1288" t="inlineStr">
        <is>
          <t>30001087</t>
        </is>
      </c>
      <c r="E1288" t="inlineStr">
        <is>
          <t>ussd_funeral_leads_altitude_20260619</t>
        </is>
      </c>
      <c r="J1288" t="inlineStr">
        <is>
          <t>ADC</t>
        </is>
      </c>
      <c r="K1288" t="inlineStr">
        <is>
          <t>Auto Dial Disconnected</t>
        </is>
      </c>
      <c r="L1288" t="n">
        <v>3</v>
      </c>
      <c r="M1288" t="inlineStr">
        <is>
          <t>2026-06-23 14:05:59</t>
        </is>
      </c>
      <c r="N1288" t="inlineStr">
        <is>
          <t>system</t>
        </is>
      </c>
      <c r="O1288" t="inlineStr">
        <is>
          <t>2026-06-19 07:10:32</t>
        </is>
      </c>
      <c r="P1288" t="inlineStr">
        <is>
          <t>2026-06-19 07:10:32</t>
        </is>
      </c>
      <c r="Y1288" t="inlineStr">
        <is>
          <t>27673834194</t>
        </is>
      </c>
    </row>
    <row r="1289">
      <c r="A1289" t="inlineStr">
        <is>
          <t>14944578</t>
        </is>
      </c>
      <c r="B1289" t="inlineStr">
        <is>
          <t>df7bf542-f213-4139-9472-12c796b4ccf8</t>
        </is>
      </c>
      <c r="D1289" t="inlineStr">
        <is>
          <t>30001087</t>
        </is>
      </c>
      <c r="E1289" t="inlineStr">
        <is>
          <t>ussd_funeral_leads_altitude_20260619</t>
        </is>
      </c>
      <c r="J1289" t="inlineStr">
        <is>
          <t>CU</t>
        </is>
      </c>
      <c r="K1289" t="inlineStr">
        <is>
          <t>Client Hung Up</t>
        </is>
      </c>
      <c r="L1289" t="n">
        <v>3</v>
      </c>
      <c r="M1289" t="inlineStr">
        <is>
          <t>2026-06-23 14:05:58</t>
        </is>
      </c>
      <c r="N1289" t="inlineStr">
        <is>
          <t>Dimakatso Nkomo</t>
        </is>
      </c>
      <c r="O1289" t="inlineStr">
        <is>
          <t>2026-06-19 07:10:32</t>
        </is>
      </c>
      <c r="P1289" t="inlineStr">
        <is>
          <t>2026-06-19 07:10:32</t>
        </is>
      </c>
      <c r="Y1289" t="inlineStr">
        <is>
          <t>27795885804</t>
        </is>
      </c>
    </row>
    <row r="1290">
      <c r="A1290" t="inlineStr">
        <is>
          <t>14948112</t>
        </is>
      </c>
      <c r="B1290" t="inlineStr">
        <is>
          <t>e26d5ce9-34e4-4f8f-b44a-ffc14d7b1d3c</t>
        </is>
      </c>
      <c r="D1290" t="inlineStr">
        <is>
          <t>30001087</t>
        </is>
      </c>
      <c r="E1290" t="inlineStr">
        <is>
          <t>ussd_funeral_leads_altitude_20260619</t>
        </is>
      </c>
      <c r="J1290" t="inlineStr">
        <is>
          <t>ADC</t>
        </is>
      </c>
      <c r="K1290" t="inlineStr">
        <is>
          <t>Auto Dial Disconnected</t>
        </is>
      </c>
      <c r="L1290" t="n">
        <v>3</v>
      </c>
      <c r="M1290" t="inlineStr">
        <is>
          <t>2026-06-23 14:05:58</t>
        </is>
      </c>
      <c r="N1290" t="inlineStr">
        <is>
          <t>system</t>
        </is>
      </c>
      <c r="O1290" t="inlineStr">
        <is>
          <t>2026-06-19 07:10:32</t>
        </is>
      </c>
      <c r="P1290" t="inlineStr">
        <is>
          <t>2026-06-19 07:10:32</t>
        </is>
      </c>
      <c r="Y1290" t="inlineStr">
        <is>
          <t>27794435014</t>
        </is>
      </c>
    </row>
    <row r="1291">
      <c r="A1291" t="inlineStr">
        <is>
          <t>14944577</t>
        </is>
      </c>
      <c r="B1291" t="inlineStr">
        <is>
          <t>91a320c1-598e-44fb-b522-da3f079dd2c5</t>
        </is>
      </c>
      <c r="D1291" t="inlineStr">
        <is>
          <t>30001087</t>
        </is>
      </c>
      <c r="E1291" t="inlineStr">
        <is>
          <t>ussd_funeral_leads_altitude_20260619</t>
        </is>
      </c>
      <c r="J1291" t="inlineStr">
        <is>
          <t>AA</t>
        </is>
      </c>
      <c r="K1291" t="inlineStr">
        <is>
          <t>Answering Machine Autodial</t>
        </is>
      </c>
      <c r="L1291" t="n">
        <v>3</v>
      </c>
      <c r="M1291" t="inlineStr">
        <is>
          <t>2026-06-23 14:05:52</t>
        </is>
      </c>
      <c r="N1291" t="inlineStr">
        <is>
          <t>system</t>
        </is>
      </c>
      <c r="O1291" t="inlineStr">
        <is>
          <t>2026-06-19 07:10:32</t>
        </is>
      </c>
      <c r="P1291" t="inlineStr">
        <is>
          <t>2026-06-19 07:10:32</t>
        </is>
      </c>
      <c r="Y1291" t="inlineStr">
        <is>
          <t>27649794400</t>
        </is>
      </c>
    </row>
    <row r="1292">
      <c r="A1292" t="inlineStr">
        <is>
          <t>14944575</t>
        </is>
      </c>
      <c r="B1292" t="inlineStr">
        <is>
          <t>6f8967ad-5442-4d29-8bdb-298722ec7c77</t>
        </is>
      </c>
      <c r="D1292" t="inlineStr">
        <is>
          <t>30001087</t>
        </is>
      </c>
      <c r="E1292" t="inlineStr">
        <is>
          <t>ussd_funeral_leads_altitude_20260619</t>
        </is>
      </c>
      <c r="J1292" t="inlineStr">
        <is>
          <t>NA</t>
        </is>
      </c>
      <c r="K1292" t="inlineStr">
        <is>
          <t>No Answer Autodial</t>
        </is>
      </c>
      <c r="L1292" t="n">
        <v>3</v>
      </c>
      <c r="M1292" t="inlineStr">
        <is>
          <t>2026-06-23 14:05:51</t>
        </is>
      </c>
      <c r="N1292" t="inlineStr">
        <is>
          <t>system</t>
        </is>
      </c>
      <c r="O1292" t="inlineStr">
        <is>
          <t>2026-06-19 07:10:32</t>
        </is>
      </c>
      <c r="P1292" t="inlineStr">
        <is>
          <t>2026-06-19 07:10:32</t>
        </is>
      </c>
      <c r="Y1292" t="inlineStr">
        <is>
          <t>27665959512</t>
        </is>
      </c>
    </row>
    <row r="1293">
      <c r="A1293" t="inlineStr">
        <is>
          <t>14944576</t>
        </is>
      </c>
      <c r="B1293" t="inlineStr">
        <is>
          <t>efe07c6e-7409-4263-aef3-448352b4269c</t>
        </is>
      </c>
      <c r="D1293" t="inlineStr">
        <is>
          <t>30001087</t>
        </is>
      </c>
      <c r="E1293" t="inlineStr">
        <is>
          <t>ussd_funeral_leads_altitude_20260619</t>
        </is>
      </c>
      <c r="J1293" t="inlineStr">
        <is>
          <t>AA</t>
        </is>
      </c>
      <c r="K1293" t="inlineStr">
        <is>
          <t>Answering Machine Autodial</t>
        </is>
      </c>
      <c r="L1293" t="n">
        <v>3</v>
      </c>
      <c r="M1293" t="inlineStr">
        <is>
          <t>2026-06-23 14:05:51</t>
        </is>
      </c>
      <c r="N1293" t="inlineStr">
        <is>
          <t>system</t>
        </is>
      </c>
      <c r="O1293" t="inlineStr">
        <is>
          <t>2026-06-19 07:10:32</t>
        </is>
      </c>
      <c r="P1293" t="inlineStr">
        <is>
          <t>2026-06-19 07:10:32</t>
        </is>
      </c>
      <c r="Y1293" t="inlineStr">
        <is>
          <t>27793775794</t>
        </is>
      </c>
    </row>
    <row r="1294">
      <c r="A1294" t="inlineStr">
        <is>
          <t>14944571</t>
        </is>
      </c>
      <c r="B1294" t="inlineStr">
        <is>
          <t>6a8fdebd-f279-4f04-aec3-8a8a04feaa9c</t>
        </is>
      </c>
      <c r="D1294" t="inlineStr">
        <is>
          <t>30001087</t>
        </is>
      </c>
      <c r="E1294" t="inlineStr">
        <is>
          <t>ussd_funeral_leads_altitude_20260619</t>
        </is>
      </c>
      <c r="J1294" t="inlineStr">
        <is>
          <t>AA</t>
        </is>
      </c>
      <c r="K1294" t="inlineStr">
        <is>
          <t>Answering Machine Autodial</t>
        </is>
      </c>
      <c r="L1294" t="n">
        <v>3</v>
      </c>
      <c r="M1294" t="inlineStr">
        <is>
          <t>2026-06-23 14:05:49</t>
        </is>
      </c>
      <c r="N1294" t="inlineStr">
        <is>
          <t>system</t>
        </is>
      </c>
      <c r="O1294" t="inlineStr">
        <is>
          <t>2026-06-19 07:10:32</t>
        </is>
      </c>
      <c r="P1294" t="inlineStr">
        <is>
          <t>2026-06-19 07:10:32</t>
        </is>
      </c>
      <c r="Y1294" t="inlineStr">
        <is>
          <t>27637150587</t>
        </is>
      </c>
    </row>
    <row r="1295">
      <c r="A1295" t="inlineStr">
        <is>
          <t>14944572</t>
        </is>
      </c>
      <c r="B1295" t="inlineStr">
        <is>
          <t>3ab15931-5e46-463d-b3d0-13adcceed358</t>
        </is>
      </c>
      <c r="D1295" t="inlineStr">
        <is>
          <t>30001087</t>
        </is>
      </c>
      <c r="E1295" t="inlineStr">
        <is>
          <t>ussd_funeral_leads_altitude_20260619</t>
        </is>
      </c>
      <c r="J1295" t="inlineStr">
        <is>
          <t>TDN</t>
        </is>
      </c>
      <c r="K1295" t="inlineStr">
        <is>
          <t>Temporary Disconnected Number</t>
        </is>
      </c>
      <c r="L1295" t="n">
        <v>3</v>
      </c>
      <c r="M1295" t="inlineStr">
        <is>
          <t>2026-06-23 14:05:49</t>
        </is>
      </c>
      <c r="N1295" t="inlineStr">
        <is>
          <t>system</t>
        </is>
      </c>
      <c r="O1295" t="inlineStr">
        <is>
          <t>2026-06-19 07:10:32</t>
        </is>
      </c>
      <c r="P1295" t="inlineStr">
        <is>
          <t>2026-06-19 07:10:32</t>
        </is>
      </c>
      <c r="Y1295" t="inlineStr">
        <is>
          <t>27796972243</t>
        </is>
      </c>
    </row>
    <row r="1296">
      <c r="A1296" t="inlineStr">
        <is>
          <t>14944570</t>
        </is>
      </c>
      <c r="B1296" t="inlineStr">
        <is>
          <t>76b6713e-b0ca-458b-b5f3-597488241ce3</t>
        </is>
      </c>
      <c r="D1296" t="inlineStr">
        <is>
          <t>30001087</t>
        </is>
      </c>
      <c r="E1296" t="inlineStr">
        <is>
          <t>ussd_funeral_leads_altitude_20260619</t>
        </is>
      </c>
      <c r="J1296" t="inlineStr">
        <is>
          <t>AA</t>
        </is>
      </c>
      <c r="K1296" t="inlineStr">
        <is>
          <t>Answering Machine Autodial</t>
        </is>
      </c>
      <c r="L1296" t="n">
        <v>3</v>
      </c>
      <c r="M1296" t="inlineStr">
        <is>
          <t>2026-06-23 14:05:46</t>
        </is>
      </c>
      <c r="N1296" t="inlineStr">
        <is>
          <t>system</t>
        </is>
      </c>
      <c r="O1296" t="inlineStr">
        <is>
          <t>2026-06-19 07:10:32</t>
        </is>
      </c>
      <c r="P1296" t="inlineStr">
        <is>
          <t>2026-06-19 07:10:32</t>
        </is>
      </c>
      <c r="Y1296" t="inlineStr">
        <is>
          <t>27673983926</t>
        </is>
      </c>
    </row>
    <row r="1297">
      <c r="A1297" t="inlineStr">
        <is>
          <t>14944474</t>
        </is>
      </c>
      <c r="B1297" t="inlineStr">
        <is>
          <t>27a28c67-ca32-4fcd-b46a-79138e741f47</t>
        </is>
      </c>
      <c r="D1297" t="inlineStr">
        <is>
          <t>30001087</t>
        </is>
      </c>
      <c r="E1297" t="inlineStr">
        <is>
          <t>ussd_funeral_leads_altitude_20260619</t>
        </is>
      </c>
      <c r="J1297" t="inlineStr">
        <is>
          <t>CU</t>
        </is>
      </c>
      <c r="K1297" t="inlineStr">
        <is>
          <t>Client Hung Up</t>
        </is>
      </c>
      <c r="L1297" t="n">
        <v>3</v>
      </c>
      <c r="M1297" t="inlineStr">
        <is>
          <t>2026-06-23 14:05:43</t>
        </is>
      </c>
      <c r="N1297" t="inlineStr">
        <is>
          <t>Bongiwe Precious Cele</t>
        </is>
      </c>
      <c r="O1297" t="inlineStr">
        <is>
          <t>2026-06-19 07:10:32</t>
        </is>
      </c>
      <c r="P1297" t="inlineStr">
        <is>
          <t>2026-06-19 07:10:32</t>
        </is>
      </c>
      <c r="Y1297" t="inlineStr">
        <is>
          <t>27825805433</t>
        </is>
      </c>
    </row>
    <row r="1298">
      <c r="A1298" t="inlineStr">
        <is>
          <t>14944475</t>
        </is>
      </c>
      <c r="B1298" t="inlineStr">
        <is>
          <t>d8991ebb-0817-4f15-8fd0-0ee317e650b6</t>
        </is>
      </c>
      <c r="D1298" t="inlineStr">
        <is>
          <t>30001087</t>
        </is>
      </c>
      <c r="E1298" t="inlineStr">
        <is>
          <t>ussd_funeral_leads_altitude_20260619</t>
        </is>
      </c>
      <c r="J1298" t="inlineStr">
        <is>
          <t>TDN</t>
        </is>
      </c>
      <c r="K1298" t="inlineStr">
        <is>
          <t>Temporary Disconnected Number</t>
        </is>
      </c>
      <c r="L1298" t="n">
        <v>3</v>
      </c>
      <c r="M1298" t="inlineStr">
        <is>
          <t>2026-06-23 14:05:43</t>
        </is>
      </c>
      <c r="N1298" t="inlineStr">
        <is>
          <t>system</t>
        </is>
      </c>
      <c r="O1298" t="inlineStr">
        <is>
          <t>2026-06-19 07:10:32</t>
        </is>
      </c>
      <c r="P1298" t="inlineStr">
        <is>
          <t>2026-06-19 07:10:32</t>
        </is>
      </c>
      <c r="Y1298" t="inlineStr">
        <is>
          <t>27647859270</t>
        </is>
      </c>
    </row>
    <row r="1299">
      <c r="A1299" t="inlineStr">
        <is>
          <t>14944476</t>
        </is>
      </c>
      <c r="B1299" t="inlineStr">
        <is>
          <t>9cc2be77-bc3d-4e06-8f91-46b0854f4f72</t>
        </is>
      </c>
      <c r="D1299" t="inlineStr">
        <is>
          <t>30001087</t>
        </is>
      </c>
      <c r="E1299" t="inlineStr">
        <is>
          <t>ussd_funeral_leads_altitude_20260619</t>
        </is>
      </c>
      <c r="H1299" t="inlineStr">
        <is>
          <t>27662747113</t>
        </is>
      </c>
      <c r="J1299" t="inlineStr">
        <is>
          <t>AA</t>
        </is>
      </c>
      <c r="K1299" t="inlineStr">
        <is>
          <t>Answering Machine Autodial</t>
        </is>
      </c>
      <c r="L1299" t="n">
        <v>3</v>
      </c>
      <c r="M1299" t="inlineStr">
        <is>
          <t>2026-06-23 14:05:43</t>
        </is>
      </c>
      <c r="N1299" t="inlineStr">
        <is>
          <t>system</t>
        </is>
      </c>
      <c r="O1299" t="inlineStr">
        <is>
          <t>2026-06-19 07:10:32</t>
        </is>
      </c>
      <c r="P1299" t="inlineStr">
        <is>
          <t>2026-06-19 07:10:32</t>
        </is>
      </c>
      <c r="Y1299" t="inlineStr">
        <is>
          <t>27662747113</t>
        </is>
      </c>
    </row>
    <row r="1300">
      <c r="A1300" t="inlineStr">
        <is>
          <t>14944477</t>
        </is>
      </c>
      <c r="B1300" t="inlineStr">
        <is>
          <t>a11934a3-2b4e-46e4-ab51-2e51d1192b29</t>
        </is>
      </c>
      <c r="D1300" t="inlineStr">
        <is>
          <t>30001087</t>
        </is>
      </c>
      <c r="E1300" t="inlineStr">
        <is>
          <t>ussd_funeral_leads_altitude_20260619</t>
        </is>
      </c>
      <c r="J1300" t="inlineStr">
        <is>
          <t>AA</t>
        </is>
      </c>
      <c r="K1300" t="inlineStr">
        <is>
          <t>Answering Machine Autodial</t>
        </is>
      </c>
      <c r="L1300" t="n">
        <v>3</v>
      </c>
      <c r="M1300" t="inlineStr">
        <is>
          <t>2026-06-23 14:05:43</t>
        </is>
      </c>
      <c r="N1300" t="inlineStr">
        <is>
          <t>system</t>
        </is>
      </c>
      <c r="O1300" t="inlineStr">
        <is>
          <t>2026-06-19 07:10:32</t>
        </is>
      </c>
      <c r="P1300" t="inlineStr">
        <is>
          <t>2026-06-19 07:10:32</t>
        </is>
      </c>
      <c r="Y1300" t="inlineStr">
        <is>
          <t>27712187621</t>
        </is>
      </c>
    </row>
    <row r="1301">
      <c r="A1301" t="inlineStr">
        <is>
          <t>14944479</t>
        </is>
      </c>
      <c r="B1301" t="inlineStr">
        <is>
          <t>ea1ca5a5-2e9a-4bd5-b024-6ce3ee337f22</t>
        </is>
      </c>
      <c r="D1301" t="inlineStr">
        <is>
          <t>30001087</t>
        </is>
      </c>
      <c r="E1301" t="inlineStr">
        <is>
          <t>ussd_funeral_leads_altitude_20260619</t>
        </is>
      </c>
      <c r="J1301" t="inlineStr">
        <is>
          <t>AA</t>
        </is>
      </c>
      <c r="K1301" t="inlineStr">
        <is>
          <t>Answering Machine Autodial</t>
        </is>
      </c>
      <c r="L1301" t="n">
        <v>3</v>
      </c>
      <c r="M1301" t="inlineStr">
        <is>
          <t>2026-06-23 14:05:43</t>
        </is>
      </c>
      <c r="N1301" t="inlineStr">
        <is>
          <t>system</t>
        </is>
      </c>
      <c r="O1301" t="inlineStr">
        <is>
          <t>2026-06-19 07:10:32</t>
        </is>
      </c>
      <c r="P1301" t="inlineStr">
        <is>
          <t>2026-06-19 07:10:32</t>
        </is>
      </c>
      <c r="Y1301" t="inlineStr">
        <is>
          <t>27716628329</t>
        </is>
      </c>
    </row>
    <row r="1302">
      <c r="A1302" t="inlineStr">
        <is>
          <t>14944472</t>
        </is>
      </c>
      <c r="B1302" t="inlineStr">
        <is>
          <t>7f1e98f6-f6fa-4a1e-a7f9-aa70d3734833</t>
        </is>
      </c>
      <c r="D1302" t="inlineStr">
        <is>
          <t>30001087</t>
        </is>
      </c>
      <c r="E1302" t="inlineStr">
        <is>
          <t>ussd_funeral_leads_altitude_20260619</t>
        </is>
      </c>
      <c r="J1302" t="inlineStr">
        <is>
          <t>TDN</t>
        </is>
      </c>
      <c r="K1302" t="inlineStr">
        <is>
          <t>Temporary Disconnected Number</t>
        </is>
      </c>
      <c r="L1302" t="n">
        <v>3</v>
      </c>
      <c r="M1302" t="inlineStr">
        <is>
          <t>2026-06-23 14:05:41</t>
        </is>
      </c>
      <c r="N1302" t="inlineStr">
        <is>
          <t>system</t>
        </is>
      </c>
      <c r="O1302" t="inlineStr">
        <is>
          <t>2026-06-19 07:10:32</t>
        </is>
      </c>
      <c r="P1302" t="inlineStr">
        <is>
          <t>2026-06-19 07:10:32</t>
        </is>
      </c>
      <c r="Y1302" t="inlineStr">
        <is>
          <t>27715240119</t>
        </is>
      </c>
    </row>
    <row r="1303">
      <c r="A1303" t="inlineStr">
        <is>
          <t>14944473</t>
        </is>
      </c>
      <c r="B1303" t="inlineStr">
        <is>
          <t>2962b708-f38c-4f5b-ac85-564926cb556b</t>
        </is>
      </c>
      <c r="D1303" t="inlineStr">
        <is>
          <t>30001087</t>
        </is>
      </c>
      <c r="E1303" t="inlineStr">
        <is>
          <t>ussd_funeral_leads_altitude_20260619</t>
        </is>
      </c>
      <c r="J1303" t="inlineStr">
        <is>
          <t>ADC</t>
        </is>
      </c>
      <c r="K1303" t="inlineStr">
        <is>
          <t>Auto Dial Disconnected</t>
        </is>
      </c>
      <c r="L1303" t="n">
        <v>3</v>
      </c>
      <c r="M1303" t="inlineStr">
        <is>
          <t>2026-06-23 14:05:41</t>
        </is>
      </c>
      <c r="N1303" t="inlineStr">
        <is>
          <t>system</t>
        </is>
      </c>
      <c r="O1303" t="inlineStr">
        <is>
          <t>2026-06-19 07:10:32</t>
        </is>
      </c>
      <c r="P1303" t="inlineStr">
        <is>
          <t>2026-06-19 07:10:32</t>
        </is>
      </c>
      <c r="Y1303" t="inlineStr">
        <is>
          <t>27637843812</t>
        </is>
      </c>
    </row>
    <row r="1304">
      <c r="A1304" t="inlineStr">
        <is>
          <t>14944469</t>
        </is>
      </c>
      <c r="B1304" t="inlineStr">
        <is>
          <t>9d376510-ec06-4895-b447-e44dddbb2347</t>
        </is>
      </c>
      <c r="D1304" t="inlineStr">
        <is>
          <t>30001087</t>
        </is>
      </c>
      <c r="E1304" t="inlineStr">
        <is>
          <t>ussd_funeral_leads_altitude_20260619</t>
        </is>
      </c>
      <c r="J1304" t="inlineStr">
        <is>
          <t>AA</t>
        </is>
      </c>
      <c r="K1304" t="inlineStr">
        <is>
          <t>Answering Machine Autodial</t>
        </is>
      </c>
      <c r="L1304" t="n">
        <v>3</v>
      </c>
      <c r="M1304" t="inlineStr">
        <is>
          <t>2026-06-23 14:05:39</t>
        </is>
      </c>
      <c r="N1304" t="inlineStr">
        <is>
          <t>system</t>
        </is>
      </c>
      <c r="O1304" t="inlineStr">
        <is>
          <t>2026-06-19 07:10:32</t>
        </is>
      </c>
      <c r="P1304" t="inlineStr">
        <is>
          <t>2026-06-19 07:10:32</t>
        </is>
      </c>
      <c r="Y1304" t="inlineStr">
        <is>
          <t>27646775974</t>
        </is>
      </c>
    </row>
    <row r="1305">
      <c r="A1305" t="inlineStr">
        <is>
          <t>14945920</t>
        </is>
      </c>
      <c r="B1305" t="inlineStr">
        <is>
          <t>cfd4f3f3-0991-4a33-a7ff-1a4593ba08be</t>
        </is>
      </c>
      <c r="D1305" t="inlineStr">
        <is>
          <t>30001087</t>
        </is>
      </c>
      <c r="E1305" t="inlineStr">
        <is>
          <t>ussd_funeral_leads_altitude_20260619</t>
        </is>
      </c>
      <c r="J1305" t="inlineStr">
        <is>
          <t>N</t>
        </is>
      </c>
      <c r="K1305" t="inlineStr">
        <is>
          <t>No Answer</t>
        </is>
      </c>
      <c r="L1305" t="n">
        <v>5</v>
      </c>
      <c r="M1305" t="inlineStr">
        <is>
          <t>2026-06-23 14:05:39</t>
        </is>
      </c>
      <c r="N1305" t="inlineStr">
        <is>
          <t>Lebohang Mabotja</t>
        </is>
      </c>
      <c r="O1305" t="inlineStr">
        <is>
          <t>2026-06-19 07:10:32</t>
        </is>
      </c>
      <c r="P1305" t="inlineStr">
        <is>
          <t>2026-06-19 07:10:32</t>
        </is>
      </c>
      <c r="Y1305" t="inlineStr">
        <is>
          <t>27665649512</t>
        </is>
      </c>
    </row>
    <row r="1306">
      <c r="A1306" t="inlineStr">
        <is>
          <t>14900000</t>
        </is>
      </c>
      <c r="B1306" t="inlineStr">
        <is>
          <t>7790e361-bb9f-407f-8840-3e18f3cd6788</t>
        </is>
      </c>
      <c r="D1306" t="inlineStr">
        <is>
          <t>30001087</t>
        </is>
      </c>
      <c r="E1306" t="inlineStr">
        <is>
          <t>ussd_funeral_leads_altitude_20260619</t>
        </is>
      </c>
      <c r="J1306" t="inlineStr">
        <is>
          <t>TDN</t>
        </is>
      </c>
      <c r="K1306" t="inlineStr">
        <is>
          <t>Temporary Disconnected Number</t>
        </is>
      </c>
      <c r="L1306" t="n">
        <v>3</v>
      </c>
      <c r="M1306" t="inlineStr">
        <is>
          <t>2026-06-23 14:05:38</t>
        </is>
      </c>
      <c r="N1306" t="inlineStr">
        <is>
          <t>system</t>
        </is>
      </c>
      <c r="O1306" t="inlineStr">
        <is>
          <t>2026-06-19 07:10:32</t>
        </is>
      </c>
      <c r="P1306" t="inlineStr">
        <is>
          <t>2026-06-19 07:10:32</t>
        </is>
      </c>
      <c r="Y1306" t="inlineStr">
        <is>
          <t>27714228458</t>
        </is>
      </c>
    </row>
    <row r="1307">
      <c r="A1307" t="inlineStr">
        <is>
          <t>14945031</t>
        </is>
      </c>
      <c r="B1307" t="inlineStr">
        <is>
          <t>12d790d1-e949-4bc6-8649-b6bfff797998</t>
        </is>
      </c>
      <c r="D1307" t="inlineStr">
        <is>
          <t>30001087</t>
        </is>
      </c>
      <c r="E1307" t="inlineStr">
        <is>
          <t>ussd_funeral_leads_altitude_20260619</t>
        </is>
      </c>
      <c r="H1307" t="inlineStr">
        <is>
          <t>27762114840</t>
        </is>
      </c>
      <c r="J1307" t="inlineStr">
        <is>
          <t>IABDN</t>
        </is>
      </c>
      <c r="K1307" t="inlineStr">
        <is>
          <t>Inbound Abandon</t>
        </is>
      </c>
      <c r="L1307" t="n">
        <v>3</v>
      </c>
      <c r="M1307" t="inlineStr">
        <is>
          <t>2026-06-23 14:05:19</t>
        </is>
      </c>
      <c r="N1307" t="inlineStr">
        <is>
          <t>system</t>
        </is>
      </c>
      <c r="O1307" t="inlineStr">
        <is>
          <t>2026-06-19 07:10:32</t>
        </is>
      </c>
      <c r="P1307" t="inlineStr">
        <is>
          <t>2026-06-19 07:10:32</t>
        </is>
      </c>
      <c r="Y1307" t="inlineStr">
        <is>
          <t>27762114840</t>
        </is>
      </c>
    </row>
    <row r="1308">
      <c r="A1308" t="inlineStr">
        <is>
          <t>14944218</t>
        </is>
      </c>
      <c r="B1308" t="inlineStr">
        <is>
          <t>3964357d-377a-49c4-b156-ac8c39578688</t>
        </is>
      </c>
      <c r="D1308" t="inlineStr">
        <is>
          <t>30001087</t>
        </is>
      </c>
      <c r="E1308" t="inlineStr">
        <is>
          <t>ussd_funeral_leads_altitude_20260619</t>
        </is>
      </c>
      <c r="J1308" t="inlineStr">
        <is>
          <t>NA</t>
        </is>
      </c>
      <c r="K1308" t="inlineStr">
        <is>
          <t>No Answer Autodial</t>
        </is>
      </c>
      <c r="L1308" t="n">
        <v>3</v>
      </c>
      <c r="M1308" t="inlineStr">
        <is>
          <t>2026-06-23 14:04:09</t>
        </is>
      </c>
      <c r="N1308" t="inlineStr">
        <is>
          <t>system</t>
        </is>
      </c>
      <c r="O1308" t="inlineStr">
        <is>
          <t>2026-06-19 07:10:32</t>
        </is>
      </c>
      <c r="P1308" t="inlineStr">
        <is>
          <t>2026-06-19 07:10:32</t>
        </is>
      </c>
      <c r="Y1308" t="inlineStr">
        <is>
          <t>27767933235</t>
        </is>
      </c>
    </row>
    <row r="1309">
      <c r="A1309" t="inlineStr">
        <is>
          <t>14944219</t>
        </is>
      </c>
      <c r="B1309" t="inlineStr">
        <is>
          <t>0836f0fc-48fc-4176-bf93-d7ad1d3f3d90</t>
        </is>
      </c>
      <c r="D1309" t="inlineStr">
        <is>
          <t>30001087</t>
        </is>
      </c>
      <c r="E1309" t="inlineStr">
        <is>
          <t>ussd_funeral_leads_altitude_20260619</t>
        </is>
      </c>
      <c r="H1309" t="inlineStr">
        <is>
          <t>27769662366</t>
        </is>
      </c>
      <c r="J1309" t="inlineStr">
        <is>
          <t>NA</t>
        </is>
      </c>
      <c r="K1309" t="inlineStr">
        <is>
          <t>No Answer Autodial</t>
        </is>
      </c>
      <c r="L1309" t="n">
        <v>3</v>
      </c>
      <c r="M1309" t="inlineStr">
        <is>
          <t>2026-06-23 14:04:07</t>
        </is>
      </c>
      <c r="N1309" t="inlineStr">
        <is>
          <t>system</t>
        </is>
      </c>
      <c r="O1309" t="inlineStr">
        <is>
          <t>2026-06-19 07:10:32</t>
        </is>
      </c>
      <c r="P1309" t="inlineStr">
        <is>
          <t>2026-06-19 07:10:32</t>
        </is>
      </c>
      <c r="Y1309" t="inlineStr">
        <is>
          <t>27769662366</t>
        </is>
      </c>
    </row>
    <row r="1310">
      <c r="A1310" t="inlineStr">
        <is>
          <t>14944220</t>
        </is>
      </c>
      <c r="B1310" t="inlineStr">
        <is>
          <t>ef8b26da-3816-4b65-8a98-f2fba5a62941</t>
        </is>
      </c>
      <c r="D1310" t="inlineStr">
        <is>
          <t>30001087</t>
        </is>
      </c>
      <c r="E1310" t="inlineStr">
        <is>
          <t>ussd_funeral_leads_altitude_20260619</t>
        </is>
      </c>
      <c r="J1310" t="inlineStr">
        <is>
          <t>ADC</t>
        </is>
      </c>
      <c r="K1310" t="inlineStr">
        <is>
          <t>Auto Dial Disconnected</t>
        </is>
      </c>
      <c r="L1310" t="n">
        <v>3</v>
      </c>
      <c r="M1310" t="inlineStr">
        <is>
          <t>2026-06-23 14:04:07</t>
        </is>
      </c>
      <c r="N1310" t="inlineStr">
        <is>
          <t>system</t>
        </is>
      </c>
      <c r="O1310" t="inlineStr">
        <is>
          <t>2026-06-19 07:10:32</t>
        </is>
      </c>
      <c r="P1310" t="inlineStr">
        <is>
          <t>2026-06-19 07:10:32</t>
        </is>
      </c>
      <c r="Y1310" t="inlineStr">
        <is>
          <t>27724757918</t>
        </is>
      </c>
    </row>
    <row r="1311">
      <c r="A1311" t="inlineStr">
        <is>
          <t>14944216</t>
        </is>
      </c>
      <c r="B1311" t="inlineStr">
        <is>
          <t>3ca85eb7-b178-47c5-92d9-7bcf22de24d9</t>
        </is>
      </c>
      <c r="D1311" t="inlineStr">
        <is>
          <t>30001087</t>
        </is>
      </c>
      <c r="E1311" t="inlineStr">
        <is>
          <t>ussd_funeral_leads_altitude_20260619</t>
        </is>
      </c>
      <c r="J1311" t="inlineStr">
        <is>
          <t>NA</t>
        </is>
      </c>
      <c r="K1311" t="inlineStr">
        <is>
          <t>No Answer Autodial</t>
        </is>
      </c>
      <c r="L1311" t="n">
        <v>3</v>
      </c>
      <c r="M1311" t="inlineStr">
        <is>
          <t>2026-06-23 14:04:04</t>
        </is>
      </c>
      <c r="N1311" t="inlineStr">
        <is>
          <t>system</t>
        </is>
      </c>
      <c r="O1311" t="inlineStr">
        <is>
          <t>2026-06-19 07:10:32</t>
        </is>
      </c>
      <c r="P1311" t="inlineStr">
        <is>
          <t>2026-06-19 07:10:32</t>
        </is>
      </c>
      <c r="Y1311" t="inlineStr">
        <is>
          <t>27725715053</t>
        </is>
      </c>
    </row>
    <row r="1312">
      <c r="A1312" t="inlineStr">
        <is>
          <t>14944217</t>
        </is>
      </c>
      <c r="B1312" t="inlineStr">
        <is>
          <t>77bc1bb6-370d-4eb6-8a5b-288c5b1a5fd2</t>
        </is>
      </c>
      <c r="D1312" t="inlineStr">
        <is>
          <t>30001087</t>
        </is>
      </c>
      <c r="E1312" t="inlineStr">
        <is>
          <t>ussd_funeral_leads_altitude_20260619</t>
        </is>
      </c>
      <c r="J1312" t="inlineStr">
        <is>
          <t>AA</t>
        </is>
      </c>
      <c r="K1312" t="inlineStr">
        <is>
          <t>Answering Machine Autodial</t>
        </is>
      </c>
      <c r="L1312" t="n">
        <v>3</v>
      </c>
      <c r="M1312" t="inlineStr">
        <is>
          <t>2026-06-23 14:04:04</t>
        </is>
      </c>
      <c r="N1312" t="inlineStr">
        <is>
          <t>system</t>
        </is>
      </c>
      <c r="O1312" t="inlineStr">
        <is>
          <t>2026-06-19 07:10:32</t>
        </is>
      </c>
      <c r="P1312" t="inlineStr">
        <is>
          <t>2026-06-19 07:10:32</t>
        </is>
      </c>
      <c r="Y1312" t="inlineStr">
        <is>
          <t>27826016076</t>
        </is>
      </c>
    </row>
    <row r="1313">
      <c r="A1313" t="inlineStr">
        <is>
          <t>14944215</t>
        </is>
      </c>
      <c r="B1313" t="inlineStr">
        <is>
          <t>4449877a-fa1d-4395-85e6-39c9e919041b</t>
        </is>
      </c>
      <c r="D1313" t="inlineStr">
        <is>
          <t>30001087</t>
        </is>
      </c>
      <c r="E1313" t="inlineStr">
        <is>
          <t>ussd_funeral_leads_altitude_20260619</t>
        </is>
      </c>
      <c r="J1313" t="inlineStr">
        <is>
          <t>AE</t>
        </is>
      </c>
      <c r="K1313" t="inlineStr">
        <is>
          <t>Auto Engaged</t>
        </is>
      </c>
      <c r="L1313" t="n">
        <v>3</v>
      </c>
      <c r="M1313" t="inlineStr">
        <is>
          <t>2026-06-23 14:03:58</t>
        </is>
      </c>
      <c r="N1313" t="inlineStr">
        <is>
          <t>system</t>
        </is>
      </c>
      <c r="O1313" t="inlineStr">
        <is>
          <t>2026-06-19 07:10:32</t>
        </is>
      </c>
      <c r="P1313" t="inlineStr">
        <is>
          <t>2026-06-19 07:10:32</t>
        </is>
      </c>
      <c r="Y1313" t="inlineStr">
        <is>
          <t>27725256140</t>
        </is>
      </c>
    </row>
    <row r="1314">
      <c r="A1314" t="inlineStr">
        <is>
          <t>14944213</t>
        </is>
      </c>
      <c r="B1314" t="inlineStr">
        <is>
          <t>b1939b66-038f-43c1-8425-fb0dfebdc43d</t>
        </is>
      </c>
      <c r="D1314" t="inlineStr">
        <is>
          <t>30001087</t>
        </is>
      </c>
      <c r="E1314" t="inlineStr">
        <is>
          <t>ussd_funeral_leads_altitude_20260619</t>
        </is>
      </c>
      <c r="J1314" t="inlineStr">
        <is>
          <t>AA</t>
        </is>
      </c>
      <c r="K1314" t="inlineStr">
        <is>
          <t>Answering Machine Autodial</t>
        </is>
      </c>
      <c r="L1314" t="n">
        <v>3</v>
      </c>
      <c r="M1314" t="inlineStr">
        <is>
          <t>2026-06-23 14:03:57</t>
        </is>
      </c>
      <c r="N1314" t="inlineStr">
        <is>
          <t>system</t>
        </is>
      </c>
      <c r="O1314" t="inlineStr">
        <is>
          <t>2026-06-19 07:10:32</t>
        </is>
      </c>
      <c r="P1314" t="inlineStr">
        <is>
          <t>2026-06-19 07:10:32</t>
        </is>
      </c>
      <c r="Y1314" t="inlineStr">
        <is>
          <t>27827168673</t>
        </is>
      </c>
    </row>
    <row r="1315">
      <c r="A1315" t="inlineStr">
        <is>
          <t>14944214</t>
        </is>
      </c>
      <c r="B1315" t="inlineStr">
        <is>
          <t>57b1a16b-0f3b-41bd-8266-a00f62850eea</t>
        </is>
      </c>
      <c r="D1315" t="inlineStr">
        <is>
          <t>30001087</t>
        </is>
      </c>
      <c r="E1315" t="inlineStr">
        <is>
          <t>ussd_funeral_leads_altitude_20260619</t>
        </is>
      </c>
      <c r="J1315" t="inlineStr">
        <is>
          <t>NA</t>
        </is>
      </c>
      <c r="K1315" t="inlineStr">
        <is>
          <t>No Answer Autodial</t>
        </is>
      </c>
      <c r="L1315" t="n">
        <v>3</v>
      </c>
      <c r="M1315" t="inlineStr">
        <is>
          <t>2026-06-23 14:03:57</t>
        </is>
      </c>
      <c r="N1315" t="inlineStr">
        <is>
          <t>system</t>
        </is>
      </c>
      <c r="O1315" t="inlineStr">
        <is>
          <t>2026-06-19 07:10:32</t>
        </is>
      </c>
      <c r="P1315" t="inlineStr">
        <is>
          <t>2026-06-19 07:10:32</t>
        </is>
      </c>
      <c r="Y1315" t="inlineStr">
        <is>
          <t>27766128139</t>
        </is>
      </c>
    </row>
    <row r="1316">
      <c r="A1316" t="inlineStr">
        <is>
          <t>14944212</t>
        </is>
      </c>
      <c r="B1316" t="inlineStr">
        <is>
          <t>55992206-199b-4150-9c94-319daba73d72</t>
        </is>
      </c>
      <c r="D1316" t="inlineStr">
        <is>
          <t>30001087</t>
        </is>
      </c>
      <c r="E1316" t="inlineStr">
        <is>
          <t>ussd_funeral_leads_altitude_20260619</t>
        </is>
      </c>
      <c r="J1316" t="inlineStr">
        <is>
          <t>DROP</t>
        </is>
      </c>
      <c r="K1316" t="inlineStr">
        <is>
          <t>Dropped</t>
        </is>
      </c>
      <c r="L1316" t="n">
        <v>3</v>
      </c>
      <c r="M1316" t="inlineStr">
        <is>
          <t>2026-06-23 14:03:56</t>
        </is>
      </c>
      <c r="N1316" t="inlineStr">
        <is>
          <t>system</t>
        </is>
      </c>
      <c r="O1316" t="inlineStr">
        <is>
          <t>2026-06-19 07:10:32</t>
        </is>
      </c>
      <c r="P1316" t="inlineStr">
        <is>
          <t>2026-06-19 07:10:32</t>
        </is>
      </c>
      <c r="Y1316" t="inlineStr">
        <is>
          <t>27711330135</t>
        </is>
      </c>
    </row>
    <row r="1317">
      <c r="A1317" t="inlineStr">
        <is>
          <t>14944205</t>
        </is>
      </c>
      <c r="B1317" t="inlineStr">
        <is>
          <t>e1b13c34-af09-4f80-948d-36cb390ab7b2</t>
        </is>
      </c>
      <c r="D1317" t="inlineStr">
        <is>
          <t>30001087</t>
        </is>
      </c>
      <c r="E1317" t="inlineStr">
        <is>
          <t>ussd_funeral_leads_altitude_20260619</t>
        </is>
      </c>
      <c r="J1317" t="inlineStr">
        <is>
          <t>NA</t>
        </is>
      </c>
      <c r="K1317" t="inlineStr">
        <is>
          <t>No Answer Autodial</t>
        </is>
      </c>
      <c r="L1317" t="n">
        <v>3</v>
      </c>
      <c r="M1317" t="inlineStr">
        <is>
          <t>2026-06-23 14:03:52</t>
        </is>
      </c>
      <c r="N1317" t="inlineStr">
        <is>
          <t>system</t>
        </is>
      </c>
      <c r="O1317" t="inlineStr">
        <is>
          <t>2026-06-19 07:10:32</t>
        </is>
      </c>
      <c r="P1317" t="inlineStr">
        <is>
          <t>2026-06-19 07:10:32</t>
        </is>
      </c>
      <c r="Y1317" t="inlineStr">
        <is>
          <t>27716909871</t>
        </is>
      </c>
    </row>
    <row r="1318">
      <c r="A1318" t="inlineStr">
        <is>
          <t>14944206</t>
        </is>
      </c>
      <c r="B1318" t="inlineStr">
        <is>
          <t>b8deacd3-5a8b-4e2f-bb4c-f7226d3788ce</t>
        </is>
      </c>
      <c r="D1318" t="inlineStr">
        <is>
          <t>30001087</t>
        </is>
      </c>
      <c r="E1318" t="inlineStr">
        <is>
          <t>ussd_funeral_leads_altitude_20260619</t>
        </is>
      </c>
      <c r="J1318" t="inlineStr">
        <is>
          <t>DROP</t>
        </is>
      </c>
      <c r="K1318" t="inlineStr">
        <is>
          <t>Dropped</t>
        </is>
      </c>
      <c r="L1318" t="n">
        <v>3</v>
      </c>
      <c r="M1318" t="inlineStr">
        <is>
          <t>2026-06-23 14:03:52</t>
        </is>
      </c>
      <c r="N1318" t="inlineStr">
        <is>
          <t>system</t>
        </is>
      </c>
      <c r="O1318" t="inlineStr">
        <is>
          <t>2026-06-19 07:10:32</t>
        </is>
      </c>
      <c r="P1318" t="inlineStr">
        <is>
          <t>2026-06-19 07:10:32</t>
        </is>
      </c>
      <c r="Y1318" t="inlineStr">
        <is>
          <t>27798068012</t>
        </is>
      </c>
    </row>
    <row r="1319">
      <c r="A1319" t="inlineStr">
        <is>
          <t>14944201</t>
        </is>
      </c>
      <c r="B1319" t="inlineStr">
        <is>
          <t>d4404cc6-8562-4724-8613-4c91f51f9d8b</t>
        </is>
      </c>
      <c r="D1319" t="inlineStr">
        <is>
          <t>30001087</t>
        </is>
      </c>
      <c r="E1319" t="inlineStr">
        <is>
          <t>ussd_funeral_leads_altitude_20260619</t>
        </is>
      </c>
      <c r="J1319" t="inlineStr">
        <is>
          <t>AA</t>
        </is>
      </c>
      <c r="K1319" t="inlineStr">
        <is>
          <t>Answering Machine Autodial</t>
        </is>
      </c>
      <c r="L1319" t="n">
        <v>3</v>
      </c>
      <c r="M1319" t="inlineStr">
        <is>
          <t>2026-06-23 14:03:51</t>
        </is>
      </c>
      <c r="N1319" t="inlineStr">
        <is>
          <t>system</t>
        </is>
      </c>
      <c r="O1319" t="inlineStr">
        <is>
          <t>2026-06-19 07:10:32</t>
        </is>
      </c>
      <c r="P1319" t="inlineStr">
        <is>
          <t>2026-06-19 07:10:32</t>
        </is>
      </c>
      <c r="Y1319" t="inlineStr">
        <is>
          <t>27675690148</t>
        </is>
      </c>
    </row>
    <row r="1320">
      <c r="A1320" t="inlineStr">
        <is>
          <t>14900000</t>
        </is>
      </c>
      <c r="B1320" t="inlineStr">
        <is>
          <t>e728cc48-3692-4935-b2db-ebcf4d045080</t>
        </is>
      </c>
      <c r="D1320" t="inlineStr">
        <is>
          <t>30001087</t>
        </is>
      </c>
      <c r="E1320" t="inlineStr">
        <is>
          <t>ussd_funeral_leads_altitude_20260619</t>
        </is>
      </c>
      <c r="J1320" t="inlineStr">
        <is>
          <t>AA</t>
        </is>
      </c>
      <c r="K1320" t="inlineStr">
        <is>
          <t>Answering Machine Autodial</t>
        </is>
      </c>
      <c r="L1320" t="n">
        <v>3</v>
      </c>
      <c r="M1320" t="inlineStr">
        <is>
          <t>2026-06-23 14:03:51</t>
        </is>
      </c>
      <c r="N1320" t="inlineStr">
        <is>
          <t>system</t>
        </is>
      </c>
      <c r="O1320" t="inlineStr">
        <is>
          <t>2026-06-19 07:10:32</t>
        </is>
      </c>
      <c r="P1320" t="inlineStr">
        <is>
          <t>2026-06-19 07:10:32</t>
        </is>
      </c>
      <c r="Y1320" t="inlineStr">
        <is>
          <t>27606854774</t>
        </is>
      </c>
    </row>
    <row r="1321">
      <c r="A1321" t="inlineStr">
        <is>
          <t>14900000</t>
        </is>
      </c>
      <c r="B1321" t="inlineStr">
        <is>
          <t>88e806ab-e66f-4034-b04f-c9841c883b75</t>
        </is>
      </c>
      <c r="D1321" t="inlineStr">
        <is>
          <t>30001087</t>
        </is>
      </c>
      <c r="E1321" t="inlineStr">
        <is>
          <t>ussd_funeral_leads_altitude_20260619</t>
        </is>
      </c>
      <c r="J1321" t="inlineStr">
        <is>
          <t>AA</t>
        </is>
      </c>
      <c r="K1321" t="inlineStr">
        <is>
          <t>Answering Machine Autodial</t>
        </is>
      </c>
      <c r="L1321" t="n">
        <v>3</v>
      </c>
      <c r="M1321" t="inlineStr">
        <is>
          <t>2026-06-23 14:03:51</t>
        </is>
      </c>
      <c r="N1321" t="inlineStr">
        <is>
          <t>system</t>
        </is>
      </c>
      <c r="O1321" t="inlineStr">
        <is>
          <t>2026-06-19 07:10:32</t>
        </is>
      </c>
      <c r="P1321" t="inlineStr">
        <is>
          <t>2026-06-19 07:10:32</t>
        </is>
      </c>
      <c r="Y1321" t="inlineStr">
        <is>
          <t>27725906998</t>
        </is>
      </c>
    </row>
    <row r="1322">
      <c r="A1322" t="inlineStr">
        <is>
          <t>14944204</t>
        </is>
      </c>
      <c r="B1322" t="inlineStr">
        <is>
          <t>a10d4f45-03d1-452a-846e-46fecc67a6bc</t>
        </is>
      </c>
      <c r="D1322" t="inlineStr">
        <is>
          <t>30001087</t>
        </is>
      </c>
      <c r="E1322" t="inlineStr">
        <is>
          <t>ussd_funeral_leads_altitude_20260619</t>
        </is>
      </c>
      <c r="J1322" t="inlineStr">
        <is>
          <t>AA</t>
        </is>
      </c>
      <c r="K1322" t="inlineStr">
        <is>
          <t>Answering Machine Autodial</t>
        </is>
      </c>
      <c r="L1322" t="n">
        <v>3</v>
      </c>
      <c r="M1322" t="inlineStr">
        <is>
          <t>2026-06-23 14:03:51</t>
        </is>
      </c>
      <c r="N1322" t="inlineStr">
        <is>
          <t>system</t>
        </is>
      </c>
      <c r="O1322" t="inlineStr">
        <is>
          <t>2026-06-19 07:10:32</t>
        </is>
      </c>
      <c r="P1322" t="inlineStr">
        <is>
          <t>2026-06-19 07:10:32</t>
        </is>
      </c>
      <c r="Y1322" t="inlineStr">
        <is>
          <t>27637277008</t>
        </is>
      </c>
    </row>
    <row r="1323">
      <c r="A1323" t="inlineStr">
        <is>
          <t>14944208</t>
        </is>
      </c>
      <c r="B1323" t="inlineStr">
        <is>
          <t>1dfe96b5-beba-4f49-848b-39545c327757</t>
        </is>
      </c>
      <c r="D1323" t="inlineStr">
        <is>
          <t>30001087</t>
        </is>
      </c>
      <c r="E1323" t="inlineStr">
        <is>
          <t>ussd_funeral_leads_altitude_20260619</t>
        </is>
      </c>
      <c r="J1323" t="inlineStr">
        <is>
          <t>CU</t>
        </is>
      </c>
      <c r="K1323" t="inlineStr">
        <is>
          <t>Client Hung Up</t>
        </is>
      </c>
      <c r="L1323" t="n">
        <v>3</v>
      </c>
      <c r="M1323" t="inlineStr">
        <is>
          <t>2026-06-23 14:03:51</t>
        </is>
      </c>
      <c r="N1323" t="inlineStr">
        <is>
          <t>Gontse Monageng</t>
        </is>
      </c>
      <c r="O1323" t="inlineStr">
        <is>
          <t>2026-06-19 07:10:32</t>
        </is>
      </c>
      <c r="P1323" t="inlineStr">
        <is>
          <t>2026-06-19 07:10:32</t>
        </is>
      </c>
      <c r="Y1323" t="inlineStr">
        <is>
          <t>27607614412</t>
        </is>
      </c>
    </row>
    <row r="1324">
      <c r="A1324" t="inlineStr">
        <is>
          <t>14944209</t>
        </is>
      </c>
      <c r="B1324" t="inlineStr">
        <is>
          <t>2ec9b598-2e96-4031-b7af-b1ac764ef72b</t>
        </is>
      </c>
      <c r="D1324" t="inlineStr">
        <is>
          <t>30001087</t>
        </is>
      </c>
      <c r="E1324" t="inlineStr">
        <is>
          <t>ussd_funeral_leads_altitude_20260619</t>
        </is>
      </c>
      <c r="J1324" t="inlineStr">
        <is>
          <t>AA</t>
        </is>
      </c>
      <c r="K1324" t="inlineStr">
        <is>
          <t>Answering Machine Autodial</t>
        </is>
      </c>
      <c r="L1324" t="n">
        <v>3</v>
      </c>
      <c r="M1324" t="inlineStr">
        <is>
          <t>2026-06-23 14:03:51</t>
        </is>
      </c>
      <c r="N1324" t="inlineStr">
        <is>
          <t>system</t>
        </is>
      </c>
      <c r="O1324" t="inlineStr">
        <is>
          <t>2026-06-19 07:10:32</t>
        </is>
      </c>
      <c r="P1324" t="inlineStr">
        <is>
          <t>2026-06-19 07:10:32</t>
        </is>
      </c>
      <c r="Y1324" t="inlineStr">
        <is>
          <t>27607548576</t>
        </is>
      </c>
    </row>
    <row r="1325">
      <c r="A1325" t="inlineStr">
        <is>
          <t>14944210</t>
        </is>
      </c>
      <c r="B1325" t="inlineStr">
        <is>
          <t>7dd8d287-8484-4429-bc8b-dcef0bc31a59</t>
        </is>
      </c>
      <c r="D1325" t="inlineStr">
        <is>
          <t>30001087</t>
        </is>
      </c>
      <c r="E1325" t="inlineStr">
        <is>
          <t>ussd_funeral_leads_altitude_20260619</t>
        </is>
      </c>
      <c r="J1325" t="inlineStr">
        <is>
          <t>TDN</t>
        </is>
      </c>
      <c r="K1325" t="inlineStr">
        <is>
          <t>Temporary Disconnected Number</t>
        </is>
      </c>
      <c r="L1325" t="n">
        <v>3</v>
      </c>
      <c r="M1325" t="inlineStr">
        <is>
          <t>2026-06-23 14:03:51</t>
        </is>
      </c>
      <c r="N1325" t="inlineStr">
        <is>
          <t>system</t>
        </is>
      </c>
      <c r="O1325" t="inlineStr">
        <is>
          <t>2026-06-19 07:10:32</t>
        </is>
      </c>
      <c r="P1325" t="inlineStr">
        <is>
          <t>2026-06-19 07:10:32</t>
        </is>
      </c>
      <c r="Y1325" t="inlineStr">
        <is>
          <t>27760609024</t>
        </is>
      </c>
    </row>
    <row r="1326">
      <c r="A1326" t="inlineStr">
        <is>
          <t>14944211</t>
        </is>
      </c>
      <c r="B1326" t="inlineStr">
        <is>
          <t>8b9335a4-a069-47e4-8d37-127cfb2e6807</t>
        </is>
      </c>
      <c r="D1326" t="inlineStr">
        <is>
          <t>30001087</t>
        </is>
      </c>
      <c r="E1326" t="inlineStr">
        <is>
          <t>ussd_funeral_leads_altitude_20260619</t>
        </is>
      </c>
      <c r="J1326" t="inlineStr">
        <is>
          <t>TDN</t>
        </is>
      </c>
      <c r="K1326" t="inlineStr">
        <is>
          <t>Temporary Disconnected Number</t>
        </is>
      </c>
      <c r="L1326" t="n">
        <v>3</v>
      </c>
      <c r="M1326" t="inlineStr">
        <is>
          <t>2026-06-23 14:03:51</t>
        </is>
      </c>
      <c r="N1326" t="inlineStr">
        <is>
          <t>system</t>
        </is>
      </c>
      <c r="O1326" t="inlineStr">
        <is>
          <t>2026-06-19 07:10:32</t>
        </is>
      </c>
      <c r="P1326" t="inlineStr">
        <is>
          <t>2026-06-19 07:10:32</t>
        </is>
      </c>
      <c r="Y1326" t="inlineStr">
        <is>
          <t>27661524679</t>
        </is>
      </c>
    </row>
    <row r="1327">
      <c r="A1327" t="inlineStr">
        <is>
          <t>14944207</t>
        </is>
      </c>
      <c r="B1327" t="inlineStr">
        <is>
          <t>1ef98dee-2473-4690-b8df-ac939105b29f</t>
        </is>
      </c>
      <c r="D1327" t="inlineStr">
        <is>
          <t>30001087</t>
        </is>
      </c>
      <c r="E1327" t="inlineStr">
        <is>
          <t>ussd_funeral_leads_altitude_20260619</t>
        </is>
      </c>
      <c r="J1327" t="inlineStr">
        <is>
          <t>NI</t>
        </is>
      </c>
      <c r="K1327" t="inlineStr">
        <is>
          <t>Not Interested</t>
        </is>
      </c>
      <c r="L1327" t="n">
        <v>3</v>
      </c>
      <c r="M1327" t="inlineStr">
        <is>
          <t>2026-06-23 14:03:50</t>
        </is>
      </c>
      <c r="N1327" t="inlineStr">
        <is>
          <t>Goitsimang Mogwasa</t>
        </is>
      </c>
      <c r="O1327" t="inlineStr">
        <is>
          <t>2026-06-19 07:10:32</t>
        </is>
      </c>
      <c r="P1327" t="inlineStr">
        <is>
          <t>2026-06-19 07:10:32</t>
        </is>
      </c>
      <c r="Y1327" t="inlineStr">
        <is>
          <t>27714939250</t>
        </is>
      </c>
    </row>
    <row r="1328">
      <c r="A1328" t="inlineStr">
        <is>
          <t>14944200</t>
        </is>
      </c>
      <c r="B1328" t="inlineStr">
        <is>
          <t>844c2d3c-6c41-440e-a9fb-ad51cfeb4b57</t>
        </is>
      </c>
      <c r="D1328" t="inlineStr">
        <is>
          <t>30001087</t>
        </is>
      </c>
      <c r="E1328" t="inlineStr">
        <is>
          <t>ussd_funeral_leads_altitude_20260619</t>
        </is>
      </c>
      <c r="J1328" t="inlineStr">
        <is>
          <t>ADC</t>
        </is>
      </c>
      <c r="K1328" t="inlineStr">
        <is>
          <t>Auto Dial Disconnected</t>
        </is>
      </c>
      <c r="L1328" t="n">
        <v>3</v>
      </c>
      <c r="M1328" t="inlineStr">
        <is>
          <t>2026-06-23 14:03:29</t>
        </is>
      </c>
      <c r="N1328" t="inlineStr">
        <is>
          <t>system</t>
        </is>
      </c>
      <c r="O1328" t="inlineStr">
        <is>
          <t>2026-06-19 07:10:32</t>
        </is>
      </c>
      <c r="P1328" t="inlineStr">
        <is>
          <t>2026-06-19 07:10:32</t>
        </is>
      </c>
      <c r="Y1328" t="inlineStr">
        <is>
          <t>27799767586</t>
        </is>
      </c>
    </row>
    <row r="1329">
      <c r="A1329" t="inlineStr">
        <is>
          <t>14944199</t>
        </is>
      </c>
      <c r="B1329" t="inlineStr">
        <is>
          <t>420d5857-e249-4e12-96df-333ee1ac4e88</t>
        </is>
      </c>
      <c r="D1329" t="inlineStr">
        <is>
          <t>30001087</t>
        </is>
      </c>
      <c r="E1329" t="inlineStr">
        <is>
          <t>ussd_funeral_leads_altitude_20260619</t>
        </is>
      </c>
      <c r="J1329" t="inlineStr">
        <is>
          <t>AA</t>
        </is>
      </c>
      <c r="K1329" t="inlineStr">
        <is>
          <t>Answering Machine Autodial</t>
        </is>
      </c>
      <c r="L1329" t="n">
        <v>3</v>
      </c>
      <c r="M1329" t="inlineStr">
        <is>
          <t>2026-06-23 14:03:26</t>
        </is>
      </c>
      <c r="N1329" t="inlineStr">
        <is>
          <t>system</t>
        </is>
      </c>
      <c r="O1329" t="inlineStr">
        <is>
          <t>2026-06-19 07:10:32</t>
        </is>
      </c>
      <c r="P1329" t="inlineStr">
        <is>
          <t>2026-06-19 07:10:32</t>
        </is>
      </c>
      <c r="Y1329" t="inlineStr">
        <is>
          <t>27608138312</t>
        </is>
      </c>
    </row>
    <row r="1330">
      <c r="A1330" t="inlineStr">
        <is>
          <t>14944197</t>
        </is>
      </c>
      <c r="B1330" t="inlineStr">
        <is>
          <t>bcdb1439-de6c-4c76-81c2-79478c65b552</t>
        </is>
      </c>
      <c r="D1330" t="inlineStr">
        <is>
          <t>30001087</t>
        </is>
      </c>
      <c r="E1330" t="inlineStr">
        <is>
          <t>ussd_funeral_leads_altitude_20260619</t>
        </is>
      </c>
      <c r="J1330" t="inlineStr">
        <is>
          <t>CU</t>
        </is>
      </c>
      <c r="K1330" t="inlineStr">
        <is>
          <t>Client Hung Up</t>
        </is>
      </c>
      <c r="L1330" t="n">
        <v>3</v>
      </c>
      <c r="M1330" t="inlineStr">
        <is>
          <t>2026-06-23 14:03:18</t>
        </is>
      </c>
      <c r="N1330" t="inlineStr">
        <is>
          <t>Goitsimang Mogwasa</t>
        </is>
      </c>
      <c r="O1330" t="inlineStr">
        <is>
          <t>2026-06-19 07:10:32</t>
        </is>
      </c>
      <c r="P1330" t="inlineStr">
        <is>
          <t>2026-06-19 07:10:32</t>
        </is>
      </c>
      <c r="Y1330" t="inlineStr">
        <is>
          <t>27822259896</t>
        </is>
      </c>
    </row>
    <row r="1331">
      <c r="A1331" t="inlineStr">
        <is>
          <t>14944276</t>
        </is>
      </c>
      <c r="B1331" t="inlineStr">
        <is>
          <t>8cf694b0-42ca-4656-8d4a-8afb58d48b32</t>
        </is>
      </c>
      <c r="D1331" t="inlineStr">
        <is>
          <t>30001087</t>
        </is>
      </c>
      <c r="E1331" t="inlineStr">
        <is>
          <t>ussd_funeral_leads_altitude_20260619</t>
        </is>
      </c>
      <c r="J1331" t="inlineStr">
        <is>
          <t>BLQ</t>
        </is>
      </c>
      <c r="K1331" t="inlineStr">
        <is>
          <t>Bad Line Quality</t>
        </is>
      </c>
      <c r="L1331" t="n">
        <v>3</v>
      </c>
      <c r="M1331" t="inlineStr">
        <is>
          <t>2026-06-23 14:02:20</t>
        </is>
      </c>
      <c r="N1331" t="inlineStr">
        <is>
          <t>Gontse Monageng</t>
        </is>
      </c>
      <c r="O1331" t="inlineStr">
        <is>
          <t>2026-06-19 07:10:32</t>
        </is>
      </c>
      <c r="P1331" t="inlineStr">
        <is>
          <t>2026-06-19 07:10:32</t>
        </is>
      </c>
      <c r="Y1331" t="inlineStr">
        <is>
          <t>27826982386</t>
        </is>
      </c>
    </row>
    <row r="1332">
      <c r="A1332" t="inlineStr">
        <is>
          <t>14944277</t>
        </is>
      </c>
      <c r="B1332" t="inlineStr">
        <is>
          <t>515aba4e-49e3-4201-91fd-6b1441268b7c</t>
        </is>
      </c>
      <c r="D1332" t="inlineStr">
        <is>
          <t>30001087</t>
        </is>
      </c>
      <c r="E1332" t="inlineStr">
        <is>
          <t>ussd_funeral_leads_altitude_20260619</t>
        </is>
      </c>
      <c r="J1332" t="inlineStr">
        <is>
          <t>AA</t>
        </is>
      </c>
      <c r="K1332" t="inlineStr">
        <is>
          <t>Answering Machine Autodial</t>
        </is>
      </c>
      <c r="L1332" t="n">
        <v>3</v>
      </c>
      <c r="M1332" t="inlineStr">
        <is>
          <t>2026-06-23 14:02:20</t>
        </is>
      </c>
      <c r="N1332" t="inlineStr">
        <is>
          <t>system</t>
        </is>
      </c>
      <c r="O1332" t="inlineStr">
        <is>
          <t>2026-06-19 07:10:32</t>
        </is>
      </c>
      <c r="P1332" t="inlineStr">
        <is>
          <t>2026-06-19 07:10:32</t>
        </is>
      </c>
      <c r="Y1332" t="inlineStr">
        <is>
          <t>27674895741</t>
        </is>
      </c>
    </row>
    <row r="1333">
      <c r="A1333" t="inlineStr">
        <is>
          <t>14944271</t>
        </is>
      </c>
      <c r="B1333" t="inlineStr">
        <is>
          <t>a659eb57-c88a-47df-90a1-a9bcba1e7dc7</t>
        </is>
      </c>
      <c r="D1333" t="inlineStr">
        <is>
          <t>30001087</t>
        </is>
      </c>
      <c r="E1333" t="inlineStr">
        <is>
          <t>ussd_funeral_leads_altitude_20260619</t>
        </is>
      </c>
      <c r="J1333" t="inlineStr">
        <is>
          <t>NA</t>
        </is>
      </c>
      <c r="K1333" t="inlineStr">
        <is>
          <t>No Answer Autodial</t>
        </is>
      </c>
      <c r="L1333" t="n">
        <v>3</v>
      </c>
      <c r="M1333" t="inlineStr">
        <is>
          <t>2026-06-23 14:02:19</t>
        </is>
      </c>
      <c r="N1333" t="inlineStr">
        <is>
          <t>system</t>
        </is>
      </c>
      <c r="O1333" t="inlineStr">
        <is>
          <t>2026-06-19 07:10:32</t>
        </is>
      </c>
      <c r="P1333" t="inlineStr">
        <is>
          <t>2026-06-19 07:10:32</t>
        </is>
      </c>
      <c r="Y1333" t="inlineStr">
        <is>
          <t>27722465881</t>
        </is>
      </c>
    </row>
    <row r="1334">
      <c r="A1334" t="inlineStr">
        <is>
          <t>14944272</t>
        </is>
      </c>
      <c r="B1334" t="inlineStr">
        <is>
          <t>bb661ca9-f0e6-4576-8a60-6b88e7a524eb</t>
        </is>
      </c>
      <c r="D1334" t="inlineStr">
        <is>
          <t>30001087</t>
        </is>
      </c>
      <c r="E1334" t="inlineStr">
        <is>
          <t>ussd_funeral_leads_altitude_20260619</t>
        </is>
      </c>
      <c r="J1334" t="inlineStr">
        <is>
          <t>AA</t>
        </is>
      </c>
      <c r="K1334" t="inlineStr">
        <is>
          <t>Answering Machine Autodial</t>
        </is>
      </c>
      <c r="L1334" t="n">
        <v>3</v>
      </c>
      <c r="M1334" t="inlineStr">
        <is>
          <t>2026-06-23 14:02:19</t>
        </is>
      </c>
      <c r="N1334" t="inlineStr">
        <is>
          <t>system</t>
        </is>
      </c>
      <c r="O1334" t="inlineStr">
        <is>
          <t>2026-06-19 07:10:32</t>
        </is>
      </c>
      <c r="P1334" t="inlineStr">
        <is>
          <t>2026-06-19 07:10:32</t>
        </is>
      </c>
      <c r="Y1334" t="inlineStr">
        <is>
          <t>27818632012</t>
        </is>
      </c>
    </row>
    <row r="1335">
      <c r="A1335" t="inlineStr">
        <is>
          <t>14944273</t>
        </is>
      </c>
      <c r="B1335" t="inlineStr">
        <is>
          <t>b16c16a2-ed14-4137-a0bd-8faaba3d193b</t>
        </is>
      </c>
      <c r="D1335" t="inlineStr">
        <is>
          <t>30001087</t>
        </is>
      </c>
      <c r="E1335" t="inlineStr">
        <is>
          <t>ussd_funeral_leads_altitude_20260619</t>
        </is>
      </c>
      <c r="J1335" t="inlineStr">
        <is>
          <t>AA</t>
        </is>
      </c>
      <c r="K1335" t="inlineStr">
        <is>
          <t>Answering Machine Autodial</t>
        </is>
      </c>
      <c r="L1335" t="n">
        <v>3</v>
      </c>
      <c r="M1335" t="inlineStr">
        <is>
          <t>2026-06-23 14:02:19</t>
        </is>
      </c>
      <c r="N1335" t="inlineStr">
        <is>
          <t>system</t>
        </is>
      </c>
      <c r="O1335" t="inlineStr">
        <is>
          <t>2026-06-19 07:10:32</t>
        </is>
      </c>
      <c r="P1335" t="inlineStr">
        <is>
          <t>2026-06-19 07:10:32</t>
        </is>
      </c>
      <c r="Y1335" t="inlineStr">
        <is>
          <t>27664536893</t>
        </is>
      </c>
    </row>
    <row r="1336">
      <c r="A1336" t="inlineStr">
        <is>
          <t>14944274</t>
        </is>
      </c>
      <c r="B1336" t="inlineStr">
        <is>
          <t>3e4ca9a6-4c37-4d23-beff-db347f759d1a</t>
        </is>
      </c>
      <c r="D1336" t="inlineStr">
        <is>
          <t>30001087</t>
        </is>
      </c>
      <c r="E1336" t="inlineStr">
        <is>
          <t>ussd_funeral_leads_altitude_20260619</t>
        </is>
      </c>
      <c r="J1336" t="inlineStr">
        <is>
          <t>DROP</t>
        </is>
      </c>
      <c r="K1336" t="inlineStr">
        <is>
          <t>Dropped</t>
        </is>
      </c>
      <c r="L1336" t="n">
        <v>3</v>
      </c>
      <c r="M1336" t="inlineStr">
        <is>
          <t>2026-06-23 14:02:19</t>
        </is>
      </c>
      <c r="N1336" t="inlineStr">
        <is>
          <t>system</t>
        </is>
      </c>
      <c r="O1336" t="inlineStr">
        <is>
          <t>2026-06-19 07:10:32</t>
        </is>
      </c>
      <c r="P1336" t="inlineStr">
        <is>
          <t>2026-06-19 07:10:32</t>
        </is>
      </c>
      <c r="Y1336" t="inlineStr">
        <is>
          <t>27714761301</t>
        </is>
      </c>
    </row>
    <row r="1337">
      <c r="A1337" t="inlineStr">
        <is>
          <t>14944275</t>
        </is>
      </c>
      <c r="B1337" t="inlineStr">
        <is>
          <t>e68c6db0-18af-4ee3-872b-19c152cfd9ff</t>
        </is>
      </c>
      <c r="D1337" t="inlineStr">
        <is>
          <t>30001087</t>
        </is>
      </c>
      <c r="E1337" t="inlineStr">
        <is>
          <t>ussd_funeral_leads_altitude_20260619</t>
        </is>
      </c>
      <c r="J1337" t="inlineStr">
        <is>
          <t>DROP</t>
        </is>
      </c>
      <c r="K1337" t="inlineStr">
        <is>
          <t>Dropped</t>
        </is>
      </c>
      <c r="L1337" t="n">
        <v>3</v>
      </c>
      <c r="M1337" t="inlineStr">
        <is>
          <t>2026-06-23 14:02:19</t>
        </is>
      </c>
      <c r="N1337" t="inlineStr">
        <is>
          <t>system</t>
        </is>
      </c>
      <c r="O1337" t="inlineStr">
        <is>
          <t>2026-06-19 07:10:32</t>
        </is>
      </c>
      <c r="P1337" t="inlineStr">
        <is>
          <t>2026-06-19 07:10:32</t>
        </is>
      </c>
      <c r="Y1337" t="inlineStr">
        <is>
          <t>27764508228</t>
        </is>
      </c>
    </row>
    <row r="1338">
      <c r="A1338" t="inlineStr">
        <is>
          <t>14944279</t>
        </is>
      </c>
      <c r="B1338" t="inlineStr">
        <is>
          <t>7d9c6b8c-79c2-4c62-9a31-42b5bdae1540</t>
        </is>
      </c>
      <c r="D1338" t="inlineStr">
        <is>
          <t>30001087</t>
        </is>
      </c>
      <c r="E1338" t="inlineStr">
        <is>
          <t>ussd_funeral_leads_altitude_20260619</t>
        </is>
      </c>
      <c r="J1338" t="inlineStr">
        <is>
          <t>AA</t>
        </is>
      </c>
      <c r="K1338" t="inlineStr">
        <is>
          <t>Answering Machine Autodial</t>
        </is>
      </c>
      <c r="L1338" t="n">
        <v>3</v>
      </c>
      <c r="M1338" t="inlineStr">
        <is>
          <t>2026-06-23 14:02:19</t>
        </is>
      </c>
      <c r="N1338" t="inlineStr">
        <is>
          <t>system</t>
        </is>
      </c>
      <c r="O1338" t="inlineStr">
        <is>
          <t>2026-06-19 07:10:32</t>
        </is>
      </c>
      <c r="P1338" t="inlineStr">
        <is>
          <t>2026-06-19 07:10:32</t>
        </is>
      </c>
      <c r="Y1338" t="inlineStr">
        <is>
          <t>27660366848</t>
        </is>
      </c>
    </row>
    <row r="1339">
      <c r="A1339" t="inlineStr">
        <is>
          <t>14944280</t>
        </is>
      </c>
      <c r="B1339" t="inlineStr">
        <is>
          <t>ab0da92d-b224-41d7-a52a-3bea92d6f09a</t>
        </is>
      </c>
      <c r="D1339" t="inlineStr">
        <is>
          <t>30001087</t>
        </is>
      </c>
      <c r="E1339" t="inlineStr">
        <is>
          <t>ussd_funeral_leads_altitude_20260619</t>
        </is>
      </c>
      <c r="J1339" t="inlineStr">
        <is>
          <t>AA</t>
        </is>
      </c>
      <c r="K1339" t="inlineStr">
        <is>
          <t>Answering Machine Autodial</t>
        </is>
      </c>
      <c r="L1339" t="n">
        <v>3</v>
      </c>
      <c r="M1339" t="inlineStr">
        <is>
          <t>2026-06-23 14:02:19</t>
        </is>
      </c>
      <c r="N1339" t="inlineStr">
        <is>
          <t>system</t>
        </is>
      </c>
      <c r="O1339" t="inlineStr">
        <is>
          <t>2026-06-19 07:10:32</t>
        </is>
      </c>
      <c r="P1339" t="inlineStr">
        <is>
          <t>2026-06-19 07:10:32</t>
        </is>
      </c>
      <c r="Y1339" t="inlineStr">
        <is>
          <t>27660605389</t>
        </is>
      </c>
    </row>
    <row r="1340">
      <c r="A1340" t="inlineStr">
        <is>
          <t>14944281</t>
        </is>
      </c>
      <c r="B1340" t="inlineStr">
        <is>
          <t>8e2ecd48-e267-4e7c-84c1-8e84cb61e84d</t>
        </is>
      </c>
      <c r="D1340" t="inlineStr">
        <is>
          <t>30001087</t>
        </is>
      </c>
      <c r="E1340" t="inlineStr">
        <is>
          <t>ussd_funeral_leads_altitude_20260619</t>
        </is>
      </c>
      <c r="J1340" t="inlineStr">
        <is>
          <t>AA</t>
        </is>
      </c>
      <c r="K1340" t="inlineStr">
        <is>
          <t>Answering Machine Autodial</t>
        </is>
      </c>
      <c r="L1340" t="n">
        <v>3</v>
      </c>
      <c r="M1340" t="inlineStr">
        <is>
          <t>2026-06-23 14:02:19</t>
        </is>
      </c>
      <c r="N1340" t="inlineStr">
        <is>
          <t>system</t>
        </is>
      </c>
      <c r="O1340" t="inlineStr">
        <is>
          <t>2026-06-19 07:10:32</t>
        </is>
      </c>
      <c r="P1340" t="inlineStr">
        <is>
          <t>2026-06-19 07:10:32</t>
        </is>
      </c>
      <c r="Y1340" t="inlineStr">
        <is>
          <t>27820461023</t>
        </is>
      </c>
    </row>
    <row r="1341">
      <c r="A1341" t="inlineStr">
        <is>
          <t>14944278</t>
        </is>
      </c>
      <c r="B1341" t="inlineStr">
        <is>
          <t>27f5e4a4-b8d4-4176-9979-cc7f8d1b38ec</t>
        </is>
      </c>
      <c r="D1341" t="inlineStr">
        <is>
          <t>30001087</t>
        </is>
      </c>
      <c r="E1341" t="inlineStr">
        <is>
          <t>ussd_funeral_leads_altitude_20260619</t>
        </is>
      </c>
      <c r="J1341" t="inlineStr">
        <is>
          <t>AA</t>
        </is>
      </c>
      <c r="K1341" t="inlineStr">
        <is>
          <t>Answering Machine Autodial</t>
        </is>
      </c>
      <c r="L1341" t="n">
        <v>3</v>
      </c>
      <c r="M1341" t="inlineStr">
        <is>
          <t>2026-06-23 14:02:18</t>
        </is>
      </c>
      <c r="N1341" t="inlineStr">
        <is>
          <t>system</t>
        </is>
      </c>
      <c r="O1341" t="inlineStr">
        <is>
          <t>2026-06-19 07:10:32</t>
        </is>
      </c>
      <c r="P1341" t="inlineStr">
        <is>
          <t>2026-06-19 07:10:32</t>
        </is>
      </c>
      <c r="Y1341" t="inlineStr">
        <is>
          <t>27797515055</t>
        </is>
      </c>
    </row>
    <row r="1342">
      <c r="A1342" t="inlineStr">
        <is>
          <t>14944269</t>
        </is>
      </c>
      <c r="B1342" t="inlineStr">
        <is>
          <t>3b922394-163e-499b-8807-f874c9b5464b</t>
        </is>
      </c>
      <c r="D1342" t="inlineStr">
        <is>
          <t>30001087</t>
        </is>
      </c>
      <c r="E1342" t="inlineStr">
        <is>
          <t>ussd_funeral_leads_altitude_20260619</t>
        </is>
      </c>
      <c r="J1342" t="inlineStr">
        <is>
          <t>AA</t>
        </is>
      </c>
      <c r="K1342" t="inlineStr">
        <is>
          <t>Answering Machine Autodial</t>
        </is>
      </c>
      <c r="L1342" t="n">
        <v>3</v>
      </c>
      <c r="M1342" t="inlineStr">
        <is>
          <t>2026-06-23 14:02:12</t>
        </is>
      </c>
      <c r="N1342" t="inlineStr">
        <is>
          <t>system</t>
        </is>
      </c>
      <c r="O1342" t="inlineStr">
        <is>
          <t>2026-06-19 07:10:32</t>
        </is>
      </c>
      <c r="P1342" t="inlineStr">
        <is>
          <t>2026-06-19 07:10:32</t>
        </is>
      </c>
      <c r="Y1342" t="inlineStr">
        <is>
          <t>27606910468</t>
        </is>
      </c>
    </row>
    <row r="1343">
      <c r="A1343" t="inlineStr">
        <is>
          <t>14944270</t>
        </is>
      </c>
      <c r="B1343" t="inlineStr">
        <is>
          <t>a09575bf-037c-4309-b1b7-e3456e5101f4</t>
        </is>
      </c>
      <c r="D1343" t="inlineStr">
        <is>
          <t>30001087</t>
        </is>
      </c>
      <c r="E1343" t="inlineStr">
        <is>
          <t>ussd_funeral_leads_altitude_20260619</t>
        </is>
      </c>
      <c r="J1343" t="inlineStr">
        <is>
          <t>AA</t>
        </is>
      </c>
      <c r="K1343" t="inlineStr">
        <is>
          <t>Answering Machine Autodial</t>
        </is>
      </c>
      <c r="L1343" t="n">
        <v>3</v>
      </c>
      <c r="M1343" t="inlineStr">
        <is>
          <t>2026-06-23 14:02:12</t>
        </is>
      </c>
      <c r="N1343" t="inlineStr">
        <is>
          <t>system</t>
        </is>
      </c>
      <c r="O1343" t="inlineStr">
        <is>
          <t>2026-06-19 07:10:32</t>
        </is>
      </c>
      <c r="P1343" t="inlineStr">
        <is>
          <t>2026-06-19 07:10:32</t>
        </is>
      </c>
      <c r="Y1343" t="inlineStr">
        <is>
          <t>27661073969</t>
        </is>
      </c>
    </row>
    <row r="1344">
      <c r="A1344" t="inlineStr">
        <is>
          <t>14948014</t>
        </is>
      </c>
      <c r="B1344" t="inlineStr">
        <is>
          <t>d89f9638-a83d-48dd-9a54-8b4018b1522d</t>
        </is>
      </c>
      <c r="D1344" t="inlineStr">
        <is>
          <t>30001087</t>
        </is>
      </c>
      <c r="E1344" t="inlineStr">
        <is>
          <t>ussd_funeral_leads_altitude_20260619</t>
        </is>
      </c>
      <c r="J1344" t="inlineStr">
        <is>
          <t>AA</t>
        </is>
      </c>
      <c r="K1344" t="inlineStr">
        <is>
          <t>Answering Machine Autodial</t>
        </is>
      </c>
      <c r="L1344" t="n">
        <v>3</v>
      </c>
      <c r="M1344" t="inlineStr">
        <is>
          <t>2026-06-23 14:02:11</t>
        </is>
      </c>
      <c r="N1344" t="inlineStr">
        <is>
          <t>system</t>
        </is>
      </c>
      <c r="O1344" t="inlineStr">
        <is>
          <t>2026-06-19 07:10:32</t>
        </is>
      </c>
      <c r="P1344" t="inlineStr">
        <is>
          <t>2026-06-19 07:10:32</t>
        </is>
      </c>
      <c r="Y1344" t="inlineStr">
        <is>
          <t>27649077098</t>
        </is>
      </c>
    </row>
    <row r="1345">
      <c r="A1345" t="inlineStr">
        <is>
          <t>14948015</t>
        </is>
      </c>
      <c r="B1345" t="inlineStr">
        <is>
          <t>4fba57bb-4fb1-427d-9f9a-efbabd121bc1</t>
        </is>
      </c>
      <c r="D1345" t="inlineStr">
        <is>
          <t>30001087</t>
        </is>
      </c>
      <c r="E1345" t="inlineStr">
        <is>
          <t>ussd_funeral_leads_altitude_20260619</t>
        </is>
      </c>
      <c r="J1345" t="inlineStr">
        <is>
          <t>U</t>
        </is>
      </c>
      <c r="K1345" t="inlineStr">
        <is>
          <t>Unemployed</t>
        </is>
      </c>
      <c r="L1345" t="n">
        <v>3</v>
      </c>
      <c r="M1345" t="inlineStr">
        <is>
          <t>2026-06-23 14:02:08</t>
        </is>
      </c>
      <c r="N1345" t="inlineStr">
        <is>
          <t>Bongiwe Precious Cele</t>
        </is>
      </c>
      <c r="O1345" t="inlineStr">
        <is>
          <t>2026-06-19 07:10:32</t>
        </is>
      </c>
      <c r="P1345" t="inlineStr">
        <is>
          <t>2026-06-19 07:10:32</t>
        </is>
      </c>
      <c r="Y1345" t="inlineStr">
        <is>
          <t>27609064323</t>
        </is>
      </c>
    </row>
    <row r="1346">
      <c r="A1346" t="inlineStr">
        <is>
          <t>14948018</t>
        </is>
      </c>
      <c r="B1346" t="inlineStr">
        <is>
          <t>93927f95-404b-4cf5-a7fd-771f6452fc48</t>
        </is>
      </c>
      <c r="D1346" t="inlineStr">
        <is>
          <t>30001087</t>
        </is>
      </c>
      <c r="E1346" t="inlineStr">
        <is>
          <t>ussd_funeral_leads_altitude_20260619</t>
        </is>
      </c>
      <c r="J1346" t="inlineStr">
        <is>
          <t>NI</t>
        </is>
      </c>
      <c r="K1346" t="inlineStr">
        <is>
          <t>Not Interested</t>
        </is>
      </c>
      <c r="L1346" t="n">
        <v>3</v>
      </c>
      <c r="M1346" t="inlineStr">
        <is>
          <t>2026-06-23 14:02:08</t>
        </is>
      </c>
      <c r="N1346" t="inlineStr">
        <is>
          <t>Dimakatso Nkomo</t>
        </is>
      </c>
      <c r="O1346" t="inlineStr">
        <is>
          <t>2026-06-19 07:10:32</t>
        </is>
      </c>
      <c r="P1346" t="inlineStr">
        <is>
          <t>2026-06-19 07:10:32</t>
        </is>
      </c>
      <c r="Y1346" t="inlineStr">
        <is>
          <t>27712918306</t>
        </is>
      </c>
    </row>
    <row r="1347">
      <c r="A1347" t="inlineStr">
        <is>
          <t>14948017</t>
        </is>
      </c>
      <c r="B1347" t="inlineStr">
        <is>
          <t>6a1017a7-7b93-48fb-a736-4db4f0a0a641</t>
        </is>
      </c>
      <c r="D1347" t="inlineStr">
        <is>
          <t>30001087</t>
        </is>
      </c>
      <c r="E1347" t="inlineStr">
        <is>
          <t>ussd_funeral_leads_altitude_20260619</t>
        </is>
      </c>
      <c r="J1347" t="inlineStr">
        <is>
          <t>NA</t>
        </is>
      </c>
      <c r="K1347" t="inlineStr">
        <is>
          <t>No Answer Autodial</t>
        </is>
      </c>
      <c r="L1347" t="n">
        <v>3</v>
      </c>
      <c r="M1347" t="inlineStr">
        <is>
          <t>2026-06-23 14:02:07</t>
        </is>
      </c>
      <c r="N1347" t="inlineStr">
        <is>
          <t>system</t>
        </is>
      </c>
      <c r="O1347" t="inlineStr">
        <is>
          <t>2026-06-19 07:10:32</t>
        </is>
      </c>
      <c r="P1347" t="inlineStr">
        <is>
          <t>2026-06-19 07:10:32</t>
        </is>
      </c>
      <c r="Y1347" t="inlineStr">
        <is>
          <t>27716680257</t>
        </is>
      </c>
    </row>
    <row r="1348">
      <c r="A1348" t="inlineStr">
        <is>
          <t>14948019</t>
        </is>
      </c>
      <c r="B1348" t="inlineStr">
        <is>
          <t>b348192f-5890-47ca-8c9b-948f4244e79e</t>
        </is>
      </c>
      <c r="D1348" t="inlineStr">
        <is>
          <t>30001087</t>
        </is>
      </c>
      <c r="E1348" t="inlineStr">
        <is>
          <t>ussd_funeral_leads_altitude_20260619</t>
        </is>
      </c>
      <c r="J1348" t="inlineStr">
        <is>
          <t>CU</t>
        </is>
      </c>
      <c r="K1348" t="inlineStr">
        <is>
          <t>Client Hung Up</t>
        </is>
      </c>
      <c r="L1348" t="n">
        <v>3</v>
      </c>
      <c r="M1348" t="inlineStr">
        <is>
          <t>2026-06-23 14:02:07</t>
        </is>
      </c>
      <c r="N1348" t="inlineStr">
        <is>
          <t>Goitsimang Mogwasa</t>
        </is>
      </c>
      <c r="O1348" t="inlineStr">
        <is>
          <t>2026-06-19 07:10:32</t>
        </is>
      </c>
      <c r="P1348" t="inlineStr">
        <is>
          <t>2026-06-19 07:10:32</t>
        </is>
      </c>
      <c r="Y1348" t="inlineStr">
        <is>
          <t>27769044747</t>
        </is>
      </c>
    </row>
    <row r="1349">
      <c r="A1349" t="inlineStr">
        <is>
          <t>14948016</t>
        </is>
      </c>
      <c r="B1349" t="inlineStr">
        <is>
          <t>82bbcde2-9516-47ac-879b-b5a1b8a50e87</t>
        </is>
      </c>
      <c r="D1349" t="inlineStr">
        <is>
          <t>30001087</t>
        </is>
      </c>
      <c r="E1349" t="inlineStr">
        <is>
          <t>ussd_funeral_leads_altitude_20260619</t>
        </is>
      </c>
      <c r="J1349" t="inlineStr">
        <is>
          <t>AA</t>
        </is>
      </c>
      <c r="K1349" t="inlineStr">
        <is>
          <t>Answering Machine Autodial</t>
        </is>
      </c>
      <c r="L1349" t="n">
        <v>3</v>
      </c>
      <c r="M1349" t="inlineStr">
        <is>
          <t>2026-06-23 14:02:06</t>
        </is>
      </c>
      <c r="N1349" t="inlineStr">
        <is>
          <t>system</t>
        </is>
      </c>
      <c r="O1349" t="inlineStr">
        <is>
          <t>2026-06-19 07:10:32</t>
        </is>
      </c>
      <c r="P1349" t="inlineStr">
        <is>
          <t>2026-06-19 07:10:32</t>
        </is>
      </c>
      <c r="Y1349" t="inlineStr">
        <is>
          <t>27646928450</t>
        </is>
      </c>
    </row>
    <row r="1350">
      <c r="A1350" t="inlineStr">
        <is>
          <t>14948020</t>
        </is>
      </c>
      <c r="B1350" t="inlineStr">
        <is>
          <t>b678d044-4a8b-4223-b2ab-3904f3d7073b</t>
        </is>
      </c>
      <c r="D1350" t="inlineStr">
        <is>
          <t>30001087</t>
        </is>
      </c>
      <c r="E1350" t="inlineStr">
        <is>
          <t>ussd_funeral_leads_altitude_20260619</t>
        </is>
      </c>
      <c r="J1350" t="inlineStr">
        <is>
          <t>AA</t>
        </is>
      </c>
      <c r="K1350" t="inlineStr">
        <is>
          <t>Answering Machine Autodial</t>
        </is>
      </c>
      <c r="L1350" t="n">
        <v>3</v>
      </c>
      <c r="M1350" t="inlineStr">
        <is>
          <t>2026-06-23 14:02:06</t>
        </is>
      </c>
      <c r="N1350" t="inlineStr">
        <is>
          <t>system</t>
        </is>
      </c>
      <c r="O1350" t="inlineStr">
        <is>
          <t>2026-06-19 07:10:32</t>
        </is>
      </c>
      <c r="P1350" t="inlineStr">
        <is>
          <t>2026-06-19 07:10:32</t>
        </is>
      </c>
      <c r="Y1350" t="inlineStr">
        <is>
          <t>27792865338</t>
        </is>
      </c>
    </row>
    <row r="1351">
      <c r="A1351" t="inlineStr">
        <is>
          <t>14948021</t>
        </is>
      </c>
      <c r="B1351" t="inlineStr">
        <is>
          <t>fb5e36b5-3ef2-4741-80ae-411746e75153</t>
        </is>
      </c>
      <c r="D1351" t="inlineStr">
        <is>
          <t>30001087</t>
        </is>
      </c>
      <c r="E1351" t="inlineStr">
        <is>
          <t>ussd_funeral_leads_altitude_20260619</t>
        </is>
      </c>
      <c r="J1351" t="inlineStr">
        <is>
          <t>AA</t>
        </is>
      </c>
      <c r="K1351" t="inlineStr">
        <is>
          <t>Answering Machine Autodial</t>
        </is>
      </c>
      <c r="L1351" t="n">
        <v>3</v>
      </c>
      <c r="M1351" t="inlineStr">
        <is>
          <t>2026-06-23 14:02:02</t>
        </is>
      </c>
      <c r="N1351" t="inlineStr">
        <is>
          <t>system</t>
        </is>
      </c>
      <c r="O1351" t="inlineStr">
        <is>
          <t>2026-06-19 07:10:32</t>
        </is>
      </c>
      <c r="P1351" t="inlineStr">
        <is>
          <t>2026-06-19 07:10:32</t>
        </is>
      </c>
      <c r="Y1351" t="inlineStr">
        <is>
          <t>27790770661</t>
        </is>
      </c>
    </row>
    <row r="1352">
      <c r="A1352" t="inlineStr">
        <is>
          <t>14948022</t>
        </is>
      </c>
      <c r="B1352" t="inlineStr">
        <is>
          <t>cebcb901-f882-495f-8e9a-8a6e39ad5bf9</t>
        </is>
      </c>
      <c r="D1352" t="inlineStr">
        <is>
          <t>30001087</t>
        </is>
      </c>
      <c r="E1352" t="inlineStr">
        <is>
          <t>ussd_funeral_leads_altitude_20260619</t>
        </is>
      </c>
      <c r="J1352" t="inlineStr">
        <is>
          <t>AA</t>
        </is>
      </c>
      <c r="K1352" t="inlineStr">
        <is>
          <t>Answering Machine Autodial</t>
        </is>
      </c>
      <c r="L1352" t="n">
        <v>3</v>
      </c>
      <c r="M1352" t="inlineStr">
        <is>
          <t>2026-06-23 14:02:02</t>
        </is>
      </c>
      <c r="N1352" t="inlineStr">
        <is>
          <t>system</t>
        </is>
      </c>
      <c r="O1352" t="inlineStr">
        <is>
          <t>2026-06-19 07:10:32</t>
        </is>
      </c>
      <c r="P1352" t="inlineStr">
        <is>
          <t>2026-06-19 07:10:32</t>
        </is>
      </c>
      <c r="Y1352" t="inlineStr">
        <is>
          <t>27774219247</t>
        </is>
      </c>
    </row>
    <row r="1353">
      <c r="A1353" t="inlineStr">
        <is>
          <t>14948023</t>
        </is>
      </c>
      <c r="B1353" t="inlineStr">
        <is>
          <t>702586e7-9ba6-4afe-824f-b59dd8c74129</t>
        </is>
      </c>
      <c r="D1353" t="inlineStr">
        <is>
          <t>30001087</t>
        </is>
      </c>
      <c r="E1353" t="inlineStr">
        <is>
          <t>ussd_funeral_leads_altitude_20260619</t>
        </is>
      </c>
      <c r="J1353" t="inlineStr">
        <is>
          <t>AA</t>
        </is>
      </c>
      <c r="K1353" t="inlineStr">
        <is>
          <t>Answering Machine Autodial</t>
        </is>
      </c>
      <c r="L1353" t="n">
        <v>3</v>
      </c>
      <c r="M1353" t="inlineStr">
        <is>
          <t>2026-06-23 14:01:59</t>
        </is>
      </c>
      <c r="N1353" t="inlineStr">
        <is>
          <t>system</t>
        </is>
      </c>
      <c r="O1353" t="inlineStr">
        <is>
          <t>2026-06-19 07:10:32</t>
        </is>
      </c>
      <c r="P1353" t="inlineStr">
        <is>
          <t>2026-06-19 07:10:32</t>
        </is>
      </c>
      <c r="Y1353" t="inlineStr">
        <is>
          <t>27791145331</t>
        </is>
      </c>
    </row>
    <row r="1354">
      <c r="A1354" t="inlineStr">
        <is>
          <t>14948024</t>
        </is>
      </c>
      <c r="B1354" t="inlineStr">
        <is>
          <t>df172bdf-3763-40e1-bed6-e63fe53636a1</t>
        </is>
      </c>
      <c r="D1354" t="inlineStr">
        <is>
          <t>30001087</t>
        </is>
      </c>
      <c r="E1354" t="inlineStr">
        <is>
          <t>ussd_funeral_leads_altitude_20260619</t>
        </is>
      </c>
      <c r="J1354" t="inlineStr">
        <is>
          <t>AA</t>
        </is>
      </c>
      <c r="K1354" t="inlineStr">
        <is>
          <t>Answering Machine Autodial</t>
        </is>
      </c>
      <c r="L1354" t="n">
        <v>3</v>
      </c>
      <c r="M1354" t="inlineStr">
        <is>
          <t>2026-06-23 14:01:59</t>
        </is>
      </c>
      <c r="N1354" t="inlineStr">
        <is>
          <t>system</t>
        </is>
      </c>
      <c r="O1354" t="inlineStr">
        <is>
          <t>2026-06-19 07:10:32</t>
        </is>
      </c>
      <c r="P1354" t="inlineStr">
        <is>
          <t>2026-06-19 07:10:32</t>
        </is>
      </c>
      <c r="Y1354" t="inlineStr">
        <is>
          <t>27722420210</t>
        </is>
      </c>
    </row>
    <row r="1355">
      <c r="A1355" t="inlineStr">
        <is>
          <t>14948026</t>
        </is>
      </c>
      <c r="B1355" t="inlineStr">
        <is>
          <t>db46a9e9-1427-4a05-a1fd-a2ed166caf91</t>
        </is>
      </c>
      <c r="D1355" t="inlineStr">
        <is>
          <t>30001087</t>
        </is>
      </c>
      <c r="E1355" t="inlineStr">
        <is>
          <t>ussd_funeral_leads_altitude_20260619</t>
        </is>
      </c>
      <c r="J1355" t="inlineStr">
        <is>
          <t>AA</t>
        </is>
      </c>
      <c r="K1355" t="inlineStr">
        <is>
          <t>Answering Machine Autodial</t>
        </is>
      </c>
      <c r="L1355" t="n">
        <v>3</v>
      </c>
      <c r="M1355" t="inlineStr">
        <is>
          <t>2026-06-23 14:01:59</t>
        </is>
      </c>
      <c r="N1355" t="inlineStr">
        <is>
          <t>system</t>
        </is>
      </c>
      <c r="O1355" t="inlineStr">
        <is>
          <t>2026-06-19 07:10:32</t>
        </is>
      </c>
      <c r="P1355" t="inlineStr">
        <is>
          <t>2026-06-19 07:10:32</t>
        </is>
      </c>
      <c r="Y1355" t="inlineStr">
        <is>
          <t>27606705525</t>
        </is>
      </c>
    </row>
    <row r="1356">
      <c r="A1356" t="inlineStr">
        <is>
          <t>14948028</t>
        </is>
      </c>
      <c r="B1356" t="inlineStr">
        <is>
          <t>ffa19799-72f5-43b1-a666-ad0da7f1f54d</t>
        </is>
      </c>
      <c r="D1356" t="inlineStr">
        <is>
          <t>30001087</t>
        </is>
      </c>
      <c r="E1356" t="inlineStr">
        <is>
          <t>ussd_funeral_leads_altitude_20260619</t>
        </is>
      </c>
      <c r="J1356" t="inlineStr">
        <is>
          <t>AA</t>
        </is>
      </c>
      <c r="K1356" t="inlineStr">
        <is>
          <t>Answering Machine Autodial</t>
        </is>
      </c>
      <c r="L1356" t="n">
        <v>3</v>
      </c>
      <c r="M1356" t="inlineStr">
        <is>
          <t>2026-06-23 14:01:59</t>
        </is>
      </c>
      <c r="N1356" t="inlineStr">
        <is>
          <t>system</t>
        </is>
      </c>
      <c r="O1356" t="inlineStr">
        <is>
          <t>2026-06-19 07:10:32</t>
        </is>
      </c>
      <c r="P1356" t="inlineStr">
        <is>
          <t>2026-06-19 07:10:32</t>
        </is>
      </c>
      <c r="Y1356" t="inlineStr">
        <is>
          <t>27664278252</t>
        </is>
      </c>
    </row>
    <row r="1357">
      <c r="A1357" t="inlineStr">
        <is>
          <t>14948029</t>
        </is>
      </c>
      <c r="B1357" t="inlineStr">
        <is>
          <t>1ce0684d-b9c8-4de5-bbdf-784fe012975b</t>
        </is>
      </c>
      <c r="D1357" t="inlineStr">
        <is>
          <t>30001087</t>
        </is>
      </c>
      <c r="E1357" t="inlineStr">
        <is>
          <t>ussd_funeral_leads_altitude_20260619</t>
        </is>
      </c>
      <c r="J1357" t="inlineStr">
        <is>
          <t>ADC</t>
        </is>
      </c>
      <c r="K1357" t="inlineStr">
        <is>
          <t>Auto Dial Disconnected</t>
        </is>
      </c>
      <c r="L1357" t="n">
        <v>3</v>
      </c>
      <c r="M1357" t="inlineStr">
        <is>
          <t>2026-06-23 14:01:57</t>
        </is>
      </c>
      <c r="N1357" t="inlineStr">
        <is>
          <t>system</t>
        </is>
      </c>
      <c r="O1357" t="inlineStr">
        <is>
          <t>2026-06-19 07:10:32</t>
        </is>
      </c>
      <c r="P1357" t="inlineStr">
        <is>
          <t>2026-06-19 07:10:32</t>
        </is>
      </c>
      <c r="Y1357" t="inlineStr">
        <is>
          <t>27762759914</t>
        </is>
      </c>
    </row>
    <row r="1358">
      <c r="A1358" t="inlineStr">
        <is>
          <t>14947280</t>
        </is>
      </c>
      <c r="B1358" t="inlineStr">
        <is>
          <t>e87c4c60-a7f8-4c73-92e5-55bff82015b0</t>
        </is>
      </c>
      <c r="D1358" t="inlineStr">
        <is>
          <t>30001087</t>
        </is>
      </c>
      <c r="E1358" t="inlineStr">
        <is>
          <t>ussd_funeral_leads_altitude_20260619</t>
        </is>
      </c>
      <c r="J1358" t="inlineStr">
        <is>
          <t>AA</t>
        </is>
      </c>
      <c r="K1358" t="inlineStr">
        <is>
          <t>Answering Machine Autodial</t>
        </is>
      </c>
      <c r="L1358" t="n">
        <v>3</v>
      </c>
      <c r="M1358" t="inlineStr">
        <is>
          <t>2026-06-23 14:01:56</t>
        </is>
      </c>
      <c r="N1358" t="inlineStr">
        <is>
          <t>system</t>
        </is>
      </c>
      <c r="O1358" t="inlineStr">
        <is>
          <t>2026-06-19 07:10:32</t>
        </is>
      </c>
      <c r="P1358" t="inlineStr">
        <is>
          <t>2026-06-19 07:10:32</t>
        </is>
      </c>
      <c r="Y1358" t="inlineStr">
        <is>
          <t>27724270590</t>
        </is>
      </c>
    </row>
    <row r="1359">
      <c r="A1359" t="inlineStr">
        <is>
          <t>14948030</t>
        </is>
      </c>
      <c r="B1359" t="inlineStr">
        <is>
          <t>093cef53-f7ab-4d64-9379-8cea07d24df9</t>
        </is>
      </c>
      <c r="D1359" t="inlineStr">
        <is>
          <t>30001087</t>
        </is>
      </c>
      <c r="E1359" t="inlineStr">
        <is>
          <t>ussd_funeral_leads_altitude_20260619</t>
        </is>
      </c>
      <c r="J1359" t="inlineStr">
        <is>
          <t>ADC</t>
        </is>
      </c>
      <c r="K1359" t="inlineStr">
        <is>
          <t>Auto Dial Disconnected</t>
        </is>
      </c>
      <c r="L1359" t="n">
        <v>3</v>
      </c>
      <c r="M1359" t="inlineStr">
        <is>
          <t>2026-06-23 14:01:53</t>
        </is>
      </c>
      <c r="N1359" t="inlineStr">
        <is>
          <t>system</t>
        </is>
      </c>
      <c r="O1359" t="inlineStr">
        <is>
          <t>2026-06-19 07:10:32</t>
        </is>
      </c>
      <c r="P1359" t="inlineStr">
        <is>
          <t>2026-06-19 07:10:32</t>
        </is>
      </c>
      <c r="Y1359" t="inlineStr">
        <is>
          <t>27675712219</t>
        </is>
      </c>
    </row>
    <row r="1360">
      <c r="A1360" t="inlineStr">
        <is>
          <t>14948031</t>
        </is>
      </c>
      <c r="B1360" t="inlineStr">
        <is>
          <t>3eca0568-328b-4d27-a95d-087eac7f469b</t>
        </is>
      </c>
      <c r="D1360" t="inlineStr">
        <is>
          <t>30001087</t>
        </is>
      </c>
      <c r="E1360" t="inlineStr">
        <is>
          <t>ussd_funeral_leads_altitude_20260619</t>
        </is>
      </c>
      <c r="J1360" t="inlineStr">
        <is>
          <t>AA</t>
        </is>
      </c>
      <c r="K1360" t="inlineStr">
        <is>
          <t>Answering Machine Autodial</t>
        </is>
      </c>
      <c r="L1360" t="n">
        <v>3</v>
      </c>
      <c r="M1360" t="inlineStr">
        <is>
          <t>2026-06-23 14:01:50</t>
        </is>
      </c>
      <c r="N1360" t="inlineStr">
        <is>
          <t>system</t>
        </is>
      </c>
      <c r="O1360" t="inlineStr">
        <is>
          <t>2026-06-19 07:10:32</t>
        </is>
      </c>
      <c r="P1360" t="inlineStr">
        <is>
          <t>2026-06-19 07:10:32</t>
        </is>
      </c>
      <c r="Y1360" t="inlineStr">
        <is>
          <t>27660004585</t>
        </is>
      </c>
    </row>
    <row r="1361">
      <c r="A1361" t="inlineStr">
        <is>
          <t>14948032</t>
        </is>
      </c>
      <c r="B1361" t="inlineStr">
        <is>
          <t>1977caff-7389-4d62-8b08-682e06287210</t>
        </is>
      </c>
      <c r="D1361" t="inlineStr">
        <is>
          <t>30001087</t>
        </is>
      </c>
      <c r="E1361" t="inlineStr">
        <is>
          <t>ussd_funeral_leads_altitude_20260619</t>
        </is>
      </c>
      <c r="J1361" t="inlineStr">
        <is>
          <t>AA</t>
        </is>
      </c>
      <c r="K1361" t="inlineStr">
        <is>
          <t>Answering Machine Autodial</t>
        </is>
      </c>
      <c r="L1361" t="n">
        <v>3</v>
      </c>
      <c r="M1361" t="inlineStr">
        <is>
          <t>2026-06-23 14:01:36</t>
        </is>
      </c>
      <c r="N1361" t="inlineStr">
        <is>
          <t>system</t>
        </is>
      </c>
      <c r="O1361" t="inlineStr">
        <is>
          <t>2026-06-19 07:10:32</t>
        </is>
      </c>
      <c r="P1361" t="inlineStr">
        <is>
          <t>2026-06-19 07:10:32</t>
        </is>
      </c>
      <c r="Y1361" t="inlineStr">
        <is>
          <t>27792448270</t>
        </is>
      </c>
    </row>
    <row r="1362">
      <c r="A1362" t="inlineStr">
        <is>
          <t>14948033</t>
        </is>
      </c>
      <c r="B1362" t="inlineStr">
        <is>
          <t>cc778613-9cfe-4031-ad42-deae85acf32f</t>
        </is>
      </c>
      <c r="D1362" t="inlineStr">
        <is>
          <t>30001087</t>
        </is>
      </c>
      <c r="E1362" t="inlineStr">
        <is>
          <t>ussd_funeral_leads_altitude_20260619</t>
        </is>
      </c>
      <c r="J1362" t="inlineStr">
        <is>
          <t>TDN</t>
        </is>
      </c>
      <c r="K1362" t="inlineStr">
        <is>
          <t>Temporary Disconnected Number</t>
        </is>
      </c>
      <c r="L1362" t="n">
        <v>3</v>
      </c>
      <c r="M1362" t="inlineStr">
        <is>
          <t>2026-06-23 14:01:36</t>
        </is>
      </c>
      <c r="N1362" t="inlineStr">
        <is>
          <t>system</t>
        </is>
      </c>
      <c r="O1362" t="inlineStr">
        <is>
          <t>2026-06-19 07:10:32</t>
        </is>
      </c>
      <c r="P1362" t="inlineStr">
        <is>
          <t>2026-06-19 07:10:32</t>
        </is>
      </c>
      <c r="Y1362" t="inlineStr">
        <is>
          <t>27818162562</t>
        </is>
      </c>
    </row>
    <row r="1363">
      <c r="A1363" t="inlineStr">
        <is>
          <t>14948034</t>
        </is>
      </c>
      <c r="B1363" t="inlineStr">
        <is>
          <t>e8a8d1bb-0396-4132-99f3-a6e825e06883</t>
        </is>
      </c>
      <c r="D1363" t="inlineStr">
        <is>
          <t>30001087</t>
        </is>
      </c>
      <c r="E1363" t="inlineStr">
        <is>
          <t>ussd_funeral_leads_altitude_20260619</t>
        </is>
      </c>
      <c r="J1363" t="inlineStr">
        <is>
          <t>A</t>
        </is>
      </c>
      <c r="K1363" t="inlineStr">
        <is>
          <t>Answering Machine</t>
        </is>
      </c>
      <c r="L1363" t="n">
        <v>3</v>
      </c>
      <c r="M1363" t="inlineStr">
        <is>
          <t>2026-06-23 14:01:36</t>
        </is>
      </c>
      <c r="N1363" t="inlineStr">
        <is>
          <t>Bongiwe Precious Cele</t>
        </is>
      </c>
      <c r="O1363" t="inlineStr">
        <is>
          <t>2026-06-19 07:10:32</t>
        </is>
      </c>
      <c r="P1363" t="inlineStr">
        <is>
          <t>2026-06-19 07:10:32</t>
        </is>
      </c>
      <c r="Y1363" t="inlineStr">
        <is>
          <t>27720626797</t>
        </is>
      </c>
    </row>
    <row r="1364">
      <c r="A1364" t="inlineStr">
        <is>
          <t>14948035</t>
        </is>
      </c>
      <c r="B1364" t="inlineStr">
        <is>
          <t>a2c263cd-9877-489a-95d7-923ee29b30d3</t>
        </is>
      </c>
      <c r="D1364" t="inlineStr">
        <is>
          <t>30001087</t>
        </is>
      </c>
      <c r="E1364" t="inlineStr">
        <is>
          <t>ussd_funeral_leads_altitude_20260619</t>
        </is>
      </c>
      <c r="J1364" t="inlineStr">
        <is>
          <t>AA</t>
        </is>
      </c>
      <c r="K1364" t="inlineStr">
        <is>
          <t>Answering Machine Autodial</t>
        </is>
      </c>
      <c r="L1364" t="n">
        <v>3</v>
      </c>
      <c r="M1364" t="inlineStr">
        <is>
          <t>2026-06-23 14:01:36</t>
        </is>
      </c>
      <c r="N1364" t="inlineStr">
        <is>
          <t>system</t>
        </is>
      </c>
      <c r="O1364" t="inlineStr">
        <is>
          <t>2026-06-19 07:10:32</t>
        </is>
      </c>
      <c r="P1364" t="inlineStr">
        <is>
          <t>2026-06-19 07:10:32</t>
        </is>
      </c>
      <c r="Y1364" t="inlineStr">
        <is>
          <t>27764449761</t>
        </is>
      </c>
    </row>
    <row r="1365">
      <c r="A1365" t="inlineStr">
        <is>
          <t>14948037</t>
        </is>
      </c>
      <c r="B1365" t="inlineStr">
        <is>
          <t>57784ce8-2d49-4559-b190-e4c824ab965a</t>
        </is>
      </c>
      <c r="D1365" t="inlineStr">
        <is>
          <t>30001087</t>
        </is>
      </c>
      <c r="E1365" t="inlineStr">
        <is>
          <t>ussd_funeral_leads_altitude_20260619</t>
        </is>
      </c>
      <c r="J1365" t="inlineStr">
        <is>
          <t>AA</t>
        </is>
      </c>
      <c r="K1365" t="inlineStr">
        <is>
          <t>Answering Machine Autodial</t>
        </is>
      </c>
      <c r="L1365" t="n">
        <v>3</v>
      </c>
      <c r="M1365" t="inlineStr">
        <is>
          <t>2026-06-23 14:01:35</t>
        </is>
      </c>
      <c r="N1365" t="inlineStr">
        <is>
          <t>system</t>
        </is>
      </c>
      <c r="O1365" t="inlineStr">
        <is>
          <t>2026-06-19 07:10:32</t>
        </is>
      </c>
      <c r="P1365" t="inlineStr">
        <is>
          <t>2026-06-19 07:10:32</t>
        </is>
      </c>
      <c r="Y1365" t="inlineStr">
        <is>
          <t>27769253869</t>
        </is>
      </c>
    </row>
    <row r="1366">
      <c r="A1366" t="inlineStr">
        <is>
          <t>14948038</t>
        </is>
      </c>
      <c r="B1366" t="inlineStr">
        <is>
          <t>9058ced0-b919-4885-9f33-d005234bf298</t>
        </is>
      </c>
      <c r="D1366" t="inlineStr">
        <is>
          <t>30001087</t>
        </is>
      </c>
      <c r="E1366" t="inlineStr">
        <is>
          <t>ussd_funeral_leads_altitude_20260619</t>
        </is>
      </c>
      <c r="J1366" t="inlineStr">
        <is>
          <t>AA</t>
        </is>
      </c>
      <c r="K1366" t="inlineStr">
        <is>
          <t>Answering Machine Autodial</t>
        </is>
      </c>
      <c r="L1366" t="n">
        <v>3</v>
      </c>
      <c r="M1366" t="inlineStr">
        <is>
          <t>2026-06-23 14:01:29</t>
        </is>
      </c>
      <c r="N1366" t="inlineStr">
        <is>
          <t>system</t>
        </is>
      </c>
      <c r="O1366" t="inlineStr">
        <is>
          <t>2026-06-19 07:10:32</t>
        </is>
      </c>
      <c r="P1366" t="inlineStr">
        <is>
          <t>2026-06-19 07:10:32</t>
        </is>
      </c>
      <c r="Y1366" t="inlineStr">
        <is>
          <t>27774961848</t>
        </is>
      </c>
    </row>
    <row r="1367">
      <c r="A1367" t="inlineStr">
        <is>
          <t>14946800</t>
        </is>
      </c>
      <c r="B1367" t="inlineStr">
        <is>
          <t>c3f0ea3f-b861-469d-ad54-6d5bae7f056f</t>
        </is>
      </c>
      <c r="D1367" t="inlineStr">
        <is>
          <t>30001087</t>
        </is>
      </c>
      <c r="E1367" t="inlineStr">
        <is>
          <t>ussd_funeral_leads_altitude_20260619</t>
        </is>
      </c>
      <c r="J1367" t="inlineStr">
        <is>
          <t>CU</t>
        </is>
      </c>
      <c r="K1367" t="inlineStr">
        <is>
          <t>Client Hung Up</t>
        </is>
      </c>
      <c r="L1367" t="n">
        <v>4</v>
      </c>
      <c r="M1367" t="inlineStr">
        <is>
          <t>2026-06-23 14:00:54</t>
        </is>
      </c>
      <c r="N1367" t="inlineStr">
        <is>
          <t>Dimakatso Nkomo</t>
        </is>
      </c>
      <c r="O1367" t="inlineStr">
        <is>
          <t>2026-06-19 07:10:32</t>
        </is>
      </c>
      <c r="P1367" t="inlineStr">
        <is>
          <t>2026-06-19 07:10:32</t>
        </is>
      </c>
      <c r="Y1367" t="inlineStr">
        <is>
          <t>27636703218</t>
        </is>
      </c>
    </row>
    <row r="1368">
      <c r="A1368" t="inlineStr">
        <is>
          <t>14948039</t>
        </is>
      </c>
      <c r="B1368" t="inlineStr">
        <is>
          <t>a361540a-5c72-4c6c-9709-15bd79e7f7fd</t>
        </is>
      </c>
      <c r="D1368" t="inlineStr">
        <is>
          <t>30001087</t>
        </is>
      </c>
      <c r="E1368" t="inlineStr">
        <is>
          <t>ussd_funeral_leads_altitude_20260619</t>
        </is>
      </c>
      <c r="J1368" t="inlineStr">
        <is>
          <t>AA</t>
        </is>
      </c>
      <c r="K1368" t="inlineStr">
        <is>
          <t>Answering Machine Autodial</t>
        </is>
      </c>
      <c r="L1368" t="n">
        <v>3</v>
      </c>
      <c r="M1368" t="inlineStr">
        <is>
          <t>2026-06-23 14:00:54</t>
        </is>
      </c>
      <c r="N1368" t="inlineStr">
        <is>
          <t>system</t>
        </is>
      </c>
      <c r="O1368" t="inlineStr">
        <is>
          <t>2026-06-19 07:10:32</t>
        </is>
      </c>
      <c r="P1368" t="inlineStr">
        <is>
          <t>2026-06-19 07:10:32</t>
        </is>
      </c>
      <c r="Y1368" t="inlineStr">
        <is>
          <t>27725318216</t>
        </is>
      </c>
    </row>
    <row r="1369">
      <c r="A1369" t="inlineStr">
        <is>
          <t>14948040</t>
        </is>
      </c>
      <c r="B1369" t="inlineStr">
        <is>
          <t>2b8e9ca8-3a4f-4394-96d2-b0fd381f965b</t>
        </is>
      </c>
      <c r="D1369" t="inlineStr">
        <is>
          <t>30001087</t>
        </is>
      </c>
      <c r="E1369" t="inlineStr">
        <is>
          <t>ussd_funeral_leads_altitude_20260619</t>
        </is>
      </c>
      <c r="J1369" t="inlineStr">
        <is>
          <t>AA</t>
        </is>
      </c>
      <c r="K1369" t="inlineStr">
        <is>
          <t>Answering Machine Autodial</t>
        </is>
      </c>
      <c r="L1369" t="n">
        <v>3</v>
      </c>
      <c r="M1369" t="inlineStr">
        <is>
          <t>2026-06-23 14:00:54</t>
        </is>
      </c>
      <c r="N1369" t="inlineStr">
        <is>
          <t>system</t>
        </is>
      </c>
      <c r="O1369" t="inlineStr">
        <is>
          <t>2026-06-19 07:10:32</t>
        </is>
      </c>
      <c r="P1369" t="inlineStr">
        <is>
          <t>2026-06-19 07:10:32</t>
        </is>
      </c>
      <c r="Y1369" t="inlineStr">
        <is>
          <t>27674655013</t>
        </is>
      </c>
    </row>
    <row r="1370">
      <c r="A1370" t="inlineStr">
        <is>
          <t>14948070</t>
        </is>
      </c>
      <c r="B1370" t="inlineStr">
        <is>
          <t>0a7a8649-a96a-4f26-aa3d-89da30e57c89</t>
        </is>
      </c>
      <c r="D1370" t="inlineStr">
        <is>
          <t>30001087</t>
        </is>
      </c>
      <c r="E1370" t="inlineStr">
        <is>
          <t>ussd_funeral_leads_altitude_20260619</t>
        </is>
      </c>
      <c r="J1370" t="inlineStr">
        <is>
          <t>ADC</t>
        </is>
      </c>
      <c r="K1370" t="inlineStr">
        <is>
          <t>Auto Dial Disconnected</t>
        </is>
      </c>
      <c r="L1370" t="n">
        <v>3</v>
      </c>
      <c r="M1370" t="inlineStr">
        <is>
          <t>2026-06-23 14:00:53</t>
        </is>
      </c>
      <c r="N1370" t="inlineStr">
        <is>
          <t>system</t>
        </is>
      </c>
      <c r="O1370" t="inlineStr">
        <is>
          <t>2026-06-19 07:10:32</t>
        </is>
      </c>
      <c r="P1370" t="inlineStr">
        <is>
          <t>2026-06-19 07:10:32</t>
        </is>
      </c>
      <c r="Y1370" t="inlineStr">
        <is>
          <t>27798186463</t>
        </is>
      </c>
    </row>
    <row r="1371">
      <c r="A1371" t="inlineStr">
        <is>
          <t>14948072</t>
        </is>
      </c>
      <c r="B1371" t="inlineStr">
        <is>
          <t>559a4a28-6662-457c-b616-5d7928e2d3d6</t>
        </is>
      </c>
      <c r="D1371" t="inlineStr">
        <is>
          <t>30001087</t>
        </is>
      </c>
      <c r="E1371" t="inlineStr">
        <is>
          <t>ussd_funeral_leads_altitude_20260619</t>
        </is>
      </c>
      <c r="J1371" t="inlineStr">
        <is>
          <t>AA</t>
        </is>
      </c>
      <c r="K1371" t="inlineStr">
        <is>
          <t>Answering Machine Autodial</t>
        </is>
      </c>
      <c r="L1371" t="n">
        <v>3</v>
      </c>
      <c r="M1371" t="inlineStr">
        <is>
          <t>2026-06-23 14:00:53</t>
        </is>
      </c>
      <c r="N1371" t="inlineStr">
        <is>
          <t>system</t>
        </is>
      </c>
      <c r="O1371" t="inlineStr">
        <is>
          <t>2026-06-19 07:10:32</t>
        </is>
      </c>
      <c r="P1371" t="inlineStr">
        <is>
          <t>2026-06-19 07:10:32</t>
        </is>
      </c>
      <c r="Y1371" t="inlineStr">
        <is>
          <t>27762358428</t>
        </is>
      </c>
    </row>
    <row r="1372">
      <c r="A1372" t="inlineStr">
        <is>
          <t>14948073</t>
        </is>
      </c>
      <c r="B1372" t="inlineStr">
        <is>
          <t>797274cb-4b3a-47ee-ac01-d48770adab43</t>
        </is>
      </c>
      <c r="D1372" t="inlineStr">
        <is>
          <t>30001087</t>
        </is>
      </c>
      <c r="E1372" t="inlineStr">
        <is>
          <t>ussd_funeral_leads_altitude_20260619</t>
        </is>
      </c>
      <c r="J1372" t="inlineStr">
        <is>
          <t>ADC</t>
        </is>
      </c>
      <c r="K1372" t="inlineStr">
        <is>
          <t>Auto Dial Disconnected</t>
        </is>
      </c>
      <c r="L1372" t="n">
        <v>3</v>
      </c>
      <c r="M1372" t="inlineStr">
        <is>
          <t>2026-06-23 14:00:53</t>
        </is>
      </c>
      <c r="N1372" t="inlineStr">
        <is>
          <t>system</t>
        </is>
      </c>
      <c r="O1372" t="inlineStr">
        <is>
          <t>2026-06-19 07:10:32</t>
        </is>
      </c>
      <c r="P1372" t="inlineStr">
        <is>
          <t>2026-06-19 07:10:32</t>
        </is>
      </c>
      <c r="Y1372" t="inlineStr">
        <is>
          <t>27726696132</t>
        </is>
      </c>
    </row>
    <row r="1373">
      <c r="A1373" t="inlineStr">
        <is>
          <t>14948041</t>
        </is>
      </c>
      <c r="B1373" t="inlineStr">
        <is>
          <t>2d57b6ee-2b93-4e8e-8c5c-e62d449d8135</t>
        </is>
      </c>
      <c r="D1373" t="inlineStr">
        <is>
          <t>30001087</t>
        </is>
      </c>
      <c r="E1373" t="inlineStr">
        <is>
          <t>ussd_funeral_leads_altitude_20260619</t>
        </is>
      </c>
      <c r="J1373" t="inlineStr">
        <is>
          <t>AA</t>
        </is>
      </c>
      <c r="K1373" t="inlineStr">
        <is>
          <t>Answering Machine Autodial</t>
        </is>
      </c>
      <c r="L1373" t="n">
        <v>3</v>
      </c>
      <c r="M1373" t="inlineStr">
        <is>
          <t>2026-06-23 14:00:53</t>
        </is>
      </c>
      <c r="N1373" t="inlineStr">
        <is>
          <t>system</t>
        </is>
      </c>
      <c r="O1373" t="inlineStr">
        <is>
          <t>2026-06-19 07:10:32</t>
        </is>
      </c>
      <c r="P1373" t="inlineStr">
        <is>
          <t>2026-06-19 07:10:32</t>
        </is>
      </c>
      <c r="Y1373" t="inlineStr">
        <is>
          <t>27795625688</t>
        </is>
      </c>
    </row>
    <row r="1374">
      <c r="A1374" t="inlineStr">
        <is>
          <t>14948074</t>
        </is>
      </c>
      <c r="B1374" t="inlineStr">
        <is>
          <t>c784d62c-d013-4d80-9df4-fc0a4fba31a3</t>
        </is>
      </c>
      <c r="D1374" t="inlineStr">
        <is>
          <t>30001087</t>
        </is>
      </c>
      <c r="E1374" t="inlineStr">
        <is>
          <t>ussd_funeral_leads_altitude_20260619</t>
        </is>
      </c>
      <c r="J1374" t="inlineStr">
        <is>
          <t>NA</t>
        </is>
      </c>
      <c r="K1374" t="inlineStr">
        <is>
          <t>No Answer Autodial</t>
        </is>
      </c>
      <c r="L1374" t="n">
        <v>3</v>
      </c>
      <c r="M1374" t="inlineStr">
        <is>
          <t>2026-06-23 14:00:52</t>
        </is>
      </c>
      <c r="N1374" t="inlineStr">
        <is>
          <t>system</t>
        </is>
      </c>
      <c r="O1374" t="inlineStr">
        <is>
          <t>2026-06-19 07:10:32</t>
        </is>
      </c>
      <c r="P1374" t="inlineStr">
        <is>
          <t>2026-06-19 07:10:32</t>
        </is>
      </c>
      <c r="Y1374" t="inlineStr">
        <is>
          <t>27665607412</t>
        </is>
      </c>
    </row>
    <row r="1375">
      <c r="A1375" t="inlineStr">
        <is>
          <t>14948075</t>
        </is>
      </c>
      <c r="B1375" t="inlineStr">
        <is>
          <t>868d0888-268f-4405-ba39-72a37cf4e4e0</t>
        </is>
      </c>
      <c r="D1375" t="inlineStr">
        <is>
          <t>30001087</t>
        </is>
      </c>
      <c r="E1375" t="inlineStr">
        <is>
          <t>ussd_funeral_leads_altitude_20260619</t>
        </is>
      </c>
      <c r="J1375" t="inlineStr">
        <is>
          <t>AA</t>
        </is>
      </c>
      <c r="K1375" t="inlineStr">
        <is>
          <t>Answering Machine Autodial</t>
        </is>
      </c>
      <c r="L1375" t="n">
        <v>3</v>
      </c>
      <c r="M1375" t="inlineStr">
        <is>
          <t>2026-06-23 14:00:49</t>
        </is>
      </c>
      <c r="N1375" t="inlineStr">
        <is>
          <t>system</t>
        </is>
      </c>
      <c r="O1375" t="inlineStr">
        <is>
          <t>2026-06-19 07:10:32</t>
        </is>
      </c>
      <c r="P1375" t="inlineStr">
        <is>
          <t>2026-06-19 07:10:32</t>
        </is>
      </c>
      <c r="Y1375" t="inlineStr">
        <is>
          <t>27761139257</t>
        </is>
      </c>
    </row>
    <row r="1376">
      <c r="A1376" t="inlineStr">
        <is>
          <t>14948076</t>
        </is>
      </c>
      <c r="B1376" t="inlineStr">
        <is>
          <t>db96584a-7f9e-40e2-b6cc-a87858195672</t>
        </is>
      </c>
      <c r="D1376" t="inlineStr">
        <is>
          <t>30001087</t>
        </is>
      </c>
      <c r="E1376" t="inlineStr">
        <is>
          <t>ussd_funeral_leads_altitude_20260619</t>
        </is>
      </c>
      <c r="J1376" t="inlineStr">
        <is>
          <t>ADC</t>
        </is>
      </c>
      <c r="K1376" t="inlineStr">
        <is>
          <t>Auto Dial Disconnected</t>
        </is>
      </c>
      <c r="L1376" t="n">
        <v>3</v>
      </c>
      <c r="M1376" t="inlineStr">
        <is>
          <t>2026-06-23 14:00:47</t>
        </is>
      </c>
      <c r="N1376" t="inlineStr">
        <is>
          <t>system</t>
        </is>
      </c>
      <c r="O1376" t="inlineStr">
        <is>
          <t>2026-06-19 07:10:32</t>
        </is>
      </c>
      <c r="P1376" t="inlineStr">
        <is>
          <t>2026-06-19 07:10:32</t>
        </is>
      </c>
      <c r="Y1376" t="inlineStr">
        <is>
          <t>27769910528</t>
        </is>
      </c>
    </row>
    <row r="1377">
      <c r="A1377" t="inlineStr">
        <is>
          <t>14948077</t>
        </is>
      </c>
      <c r="B1377" t="inlineStr">
        <is>
          <t>e39a2c7a-1ca3-4dc2-823d-0419ee04c668</t>
        </is>
      </c>
      <c r="D1377" t="inlineStr">
        <is>
          <t>30001087</t>
        </is>
      </c>
      <c r="E1377" t="inlineStr">
        <is>
          <t>ussd_funeral_leads_altitude_20260619</t>
        </is>
      </c>
      <c r="J1377" t="inlineStr">
        <is>
          <t>AA</t>
        </is>
      </c>
      <c r="K1377" t="inlineStr">
        <is>
          <t>Answering Machine Autodial</t>
        </is>
      </c>
      <c r="L1377" t="n">
        <v>3</v>
      </c>
      <c r="M1377" t="inlineStr">
        <is>
          <t>2026-06-23 14:00:47</t>
        </is>
      </c>
      <c r="N1377" t="inlineStr">
        <is>
          <t>system</t>
        </is>
      </c>
      <c r="O1377" t="inlineStr">
        <is>
          <t>2026-06-19 07:10:32</t>
        </is>
      </c>
      <c r="P1377" t="inlineStr">
        <is>
          <t>2026-06-19 07:10:32</t>
        </is>
      </c>
      <c r="Y1377" t="inlineStr">
        <is>
          <t>27799157073</t>
        </is>
      </c>
    </row>
    <row r="1378">
      <c r="A1378" t="inlineStr">
        <is>
          <t>14948078</t>
        </is>
      </c>
      <c r="B1378" t="inlineStr">
        <is>
          <t>1b8bd597-ed95-43be-9ef9-97026061ae2f</t>
        </is>
      </c>
      <c r="D1378" t="inlineStr">
        <is>
          <t>30001087</t>
        </is>
      </c>
      <c r="E1378" t="inlineStr">
        <is>
          <t>ussd_funeral_leads_altitude_20260619</t>
        </is>
      </c>
      <c r="J1378" t="inlineStr">
        <is>
          <t>AA</t>
        </is>
      </c>
      <c r="K1378" t="inlineStr">
        <is>
          <t>Answering Machine Autodial</t>
        </is>
      </c>
      <c r="L1378" t="n">
        <v>3</v>
      </c>
      <c r="M1378" t="inlineStr">
        <is>
          <t>2026-06-23 14:00:47</t>
        </is>
      </c>
      <c r="N1378" t="inlineStr">
        <is>
          <t>system</t>
        </is>
      </c>
      <c r="O1378" t="inlineStr">
        <is>
          <t>2026-06-19 07:10:32</t>
        </is>
      </c>
      <c r="P1378" t="inlineStr">
        <is>
          <t>2026-06-19 07:10:32</t>
        </is>
      </c>
      <c r="Y1378" t="inlineStr">
        <is>
          <t>27822646576</t>
        </is>
      </c>
    </row>
    <row r="1379">
      <c r="A1379" t="inlineStr">
        <is>
          <t>14948079</t>
        </is>
      </c>
      <c r="B1379" t="inlineStr">
        <is>
          <t>616872e6-ddc5-4d59-9df5-b70ac4c6bbec</t>
        </is>
      </c>
      <c r="D1379" t="inlineStr">
        <is>
          <t>30001087</t>
        </is>
      </c>
      <c r="E1379" t="inlineStr">
        <is>
          <t>ussd_funeral_leads_altitude_20260619</t>
        </is>
      </c>
      <c r="J1379" t="inlineStr">
        <is>
          <t>AA</t>
        </is>
      </c>
      <c r="K1379" t="inlineStr">
        <is>
          <t>Answering Machine Autodial</t>
        </is>
      </c>
      <c r="L1379" t="n">
        <v>3</v>
      </c>
      <c r="M1379" t="inlineStr">
        <is>
          <t>2026-06-23 14:00:47</t>
        </is>
      </c>
      <c r="N1379" t="inlineStr">
        <is>
          <t>system</t>
        </is>
      </c>
      <c r="O1379" t="inlineStr">
        <is>
          <t>2026-06-19 07:10:32</t>
        </is>
      </c>
      <c r="P1379" t="inlineStr">
        <is>
          <t>2026-06-19 07:10:32</t>
        </is>
      </c>
      <c r="Y1379" t="inlineStr">
        <is>
          <t>27662204149</t>
        </is>
      </c>
    </row>
    <row r="1380">
      <c r="A1380" t="inlineStr">
        <is>
          <t>14948080</t>
        </is>
      </c>
      <c r="B1380" t="inlineStr">
        <is>
          <t>d0452f1f-03df-42be-bbe2-3950df79383f</t>
        </is>
      </c>
      <c r="D1380" t="inlineStr">
        <is>
          <t>30001087</t>
        </is>
      </c>
      <c r="E1380" t="inlineStr">
        <is>
          <t>ussd_funeral_leads_altitude_20260619</t>
        </is>
      </c>
      <c r="J1380" t="inlineStr">
        <is>
          <t>AA</t>
        </is>
      </c>
      <c r="K1380" t="inlineStr">
        <is>
          <t>Answering Machine Autodial</t>
        </is>
      </c>
      <c r="L1380" t="n">
        <v>3</v>
      </c>
      <c r="M1380" t="inlineStr">
        <is>
          <t>2026-06-23 14:00:47</t>
        </is>
      </c>
      <c r="N1380" t="inlineStr">
        <is>
          <t>system</t>
        </is>
      </c>
      <c r="O1380" t="inlineStr">
        <is>
          <t>2026-06-19 07:10:32</t>
        </is>
      </c>
      <c r="P1380" t="inlineStr">
        <is>
          <t>2026-06-19 07:10:32</t>
        </is>
      </c>
      <c r="Y1380" t="inlineStr">
        <is>
          <t>27796118490</t>
        </is>
      </c>
    </row>
    <row r="1381">
      <c r="A1381" t="inlineStr">
        <is>
          <t>14948081</t>
        </is>
      </c>
      <c r="B1381" t="inlineStr">
        <is>
          <t>f98cb724-5231-4ce3-a0db-3f6fd4e26a1a</t>
        </is>
      </c>
      <c r="D1381" t="inlineStr">
        <is>
          <t>30001087</t>
        </is>
      </c>
      <c r="E1381" t="inlineStr">
        <is>
          <t>ussd_funeral_leads_altitude_20260619</t>
        </is>
      </c>
      <c r="J1381" t="inlineStr">
        <is>
          <t>ADC</t>
        </is>
      </c>
      <c r="K1381" t="inlineStr">
        <is>
          <t>Auto Dial Disconnected</t>
        </is>
      </c>
      <c r="L1381" t="n">
        <v>3</v>
      </c>
      <c r="M1381" t="inlineStr">
        <is>
          <t>2026-06-23 14:00:47</t>
        </is>
      </c>
      <c r="N1381" t="inlineStr">
        <is>
          <t>system</t>
        </is>
      </c>
      <c r="O1381" t="inlineStr">
        <is>
          <t>2026-06-19 07:10:32</t>
        </is>
      </c>
      <c r="P1381" t="inlineStr">
        <is>
          <t>2026-06-19 07:10:32</t>
        </is>
      </c>
      <c r="Y1381" t="inlineStr">
        <is>
          <t>27729639371</t>
        </is>
      </c>
    </row>
    <row r="1382">
      <c r="A1382" t="inlineStr">
        <is>
          <t>14948082</t>
        </is>
      </c>
      <c r="B1382" t="inlineStr">
        <is>
          <t>cdde05c5-8bf4-42f8-849f-4531faa7dc79</t>
        </is>
      </c>
      <c r="D1382" t="inlineStr">
        <is>
          <t>30001087</t>
        </is>
      </c>
      <c r="E1382" t="inlineStr">
        <is>
          <t>ussd_funeral_leads_altitude_20260619</t>
        </is>
      </c>
      <c r="J1382" t="inlineStr">
        <is>
          <t>AA</t>
        </is>
      </c>
      <c r="K1382" t="inlineStr">
        <is>
          <t>Answering Machine Autodial</t>
        </is>
      </c>
      <c r="L1382" t="n">
        <v>3</v>
      </c>
      <c r="M1382" t="inlineStr">
        <is>
          <t>2026-06-23 14:00:46</t>
        </is>
      </c>
      <c r="N1382" t="inlineStr">
        <is>
          <t>system</t>
        </is>
      </c>
      <c r="O1382" t="inlineStr">
        <is>
          <t>2026-06-19 07:10:32</t>
        </is>
      </c>
      <c r="P1382" t="inlineStr">
        <is>
          <t>2026-06-19 07:10:32</t>
        </is>
      </c>
      <c r="Y1382" t="inlineStr">
        <is>
          <t>27715315981</t>
        </is>
      </c>
    </row>
    <row r="1383">
      <c r="A1383" t="inlineStr">
        <is>
          <t>14948083</t>
        </is>
      </c>
      <c r="B1383" t="inlineStr">
        <is>
          <t>639d4364-ab43-480f-ba39-778472c8896d</t>
        </is>
      </c>
      <c r="D1383" t="inlineStr">
        <is>
          <t>30001087</t>
        </is>
      </c>
      <c r="E1383" t="inlineStr">
        <is>
          <t>ussd_funeral_leads_altitude_20260619</t>
        </is>
      </c>
      <c r="J1383" t="inlineStr">
        <is>
          <t>AA</t>
        </is>
      </c>
      <c r="K1383" t="inlineStr">
        <is>
          <t>Answering Machine Autodial</t>
        </is>
      </c>
      <c r="L1383" t="n">
        <v>3</v>
      </c>
      <c r="M1383" t="inlineStr">
        <is>
          <t>2026-06-23 14:00:46</t>
        </is>
      </c>
      <c r="N1383" t="inlineStr">
        <is>
          <t>system</t>
        </is>
      </c>
      <c r="O1383" t="inlineStr">
        <is>
          <t>2026-06-19 07:10:32</t>
        </is>
      </c>
      <c r="P1383" t="inlineStr">
        <is>
          <t>2026-06-19 07:10:32</t>
        </is>
      </c>
      <c r="Y1383" t="inlineStr">
        <is>
          <t>27764171752</t>
        </is>
      </c>
    </row>
    <row r="1384">
      <c r="A1384" t="inlineStr">
        <is>
          <t>14948084</t>
        </is>
      </c>
      <c r="B1384" t="inlineStr">
        <is>
          <t>fe379c0e-e153-4371-8b2f-cd8e7e1f5595</t>
        </is>
      </c>
      <c r="D1384" t="inlineStr">
        <is>
          <t>30001087</t>
        </is>
      </c>
      <c r="E1384" t="inlineStr">
        <is>
          <t>ussd_funeral_leads_altitude_20260619</t>
        </is>
      </c>
      <c r="J1384" t="inlineStr">
        <is>
          <t>AA</t>
        </is>
      </c>
      <c r="K1384" t="inlineStr">
        <is>
          <t>Answering Machine Autodial</t>
        </is>
      </c>
      <c r="L1384" t="n">
        <v>3</v>
      </c>
      <c r="M1384" t="inlineStr">
        <is>
          <t>2026-06-23 14:00:46</t>
        </is>
      </c>
      <c r="N1384" t="inlineStr">
        <is>
          <t>system</t>
        </is>
      </c>
      <c r="O1384" t="inlineStr">
        <is>
          <t>2026-06-19 07:10:32</t>
        </is>
      </c>
      <c r="P1384" t="inlineStr">
        <is>
          <t>2026-06-19 07:10:32</t>
        </is>
      </c>
      <c r="Y1384" t="inlineStr">
        <is>
          <t>27762014507</t>
        </is>
      </c>
    </row>
    <row r="1385">
      <c r="A1385" t="inlineStr">
        <is>
          <t>14948085</t>
        </is>
      </c>
      <c r="B1385" t="inlineStr">
        <is>
          <t>42bc043b-082a-427b-953d-2d11edf06dd4</t>
        </is>
      </c>
      <c r="D1385" t="inlineStr">
        <is>
          <t>30001087</t>
        </is>
      </c>
      <c r="E1385" t="inlineStr">
        <is>
          <t>ussd_funeral_leads_altitude_20260619</t>
        </is>
      </c>
      <c r="J1385" t="inlineStr">
        <is>
          <t>NA</t>
        </is>
      </c>
      <c r="K1385" t="inlineStr">
        <is>
          <t>No Answer Autodial</t>
        </is>
      </c>
      <c r="L1385" t="n">
        <v>3</v>
      </c>
      <c r="M1385" t="inlineStr">
        <is>
          <t>2026-06-23 14:00:45</t>
        </is>
      </c>
      <c r="N1385" t="inlineStr">
        <is>
          <t>system</t>
        </is>
      </c>
      <c r="O1385" t="inlineStr">
        <is>
          <t>2026-06-19 07:10:32</t>
        </is>
      </c>
      <c r="P1385" t="inlineStr">
        <is>
          <t>2026-06-19 07:10:32</t>
        </is>
      </c>
      <c r="Y1385" t="inlineStr">
        <is>
          <t>27795099098</t>
        </is>
      </c>
    </row>
    <row r="1386">
      <c r="A1386" t="inlineStr">
        <is>
          <t>14948086</t>
        </is>
      </c>
      <c r="B1386" t="inlineStr">
        <is>
          <t>9d8f9098-e6d3-4057-af8b-f1239e77578d</t>
        </is>
      </c>
      <c r="D1386" t="inlineStr">
        <is>
          <t>30001087</t>
        </is>
      </c>
      <c r="E1386" t="inlineStr">
        <is>
          <t>ussd_funeral_leads_altitude_20260619</t>
        </is>
      </c>
      <c r="J1386" t="inlineStr">
        <is>
          <t>AA</t>
        </is>
      </c>
      <c r="K1386" t="inlineStr">
        <is>
          <t>Answering Machine Autodial</t>
        </is>
      </c>
      <c r="L1386" t="n">
        <v>3</v>
      </c>
      <c r="M1386" t="inlineStr">
        <is>
          <t>2026-06-23 14:00:43</t>
        </is>
      </c>
      <c r="N1386" t="inlineStr">
        <is>
          <t>system</t>
        </is>
      </c>
      <c r="O1386" t="inlineStr">
        <is>
          <t>2026-06-19 07:10:32</t>
        </is>
      </c>
      <c r="P1386" t="inlineStr">
        <is>
          <t>2026-06-19 07:10:32</t>
        </is>
      </c>
      <c r="Y1386" t="inlineStr">
        <is>
          <t>27608387594</t>
        </is>
      </c>
    </row>
    <row r="1387">
      <c r="A1387" t="inlineStr">
        <is>
          <t>14948087</t>
        </is>
      </c>
      <c r="B1387" t="inlineStr">
        <is>
          <t>b27c481a-448c-44ef-b94d-2ad1f0304985</t>
        </is>
      </c>
      <c r="D1387" t="inlineStr">
        <is>
          <t>30001087</t>
        </is>
      </c>
      <c r="E1387" t="inlineStr">
        <is>
          <t>ussd_funeral_leads_altitude_20260619</t>
        </is>
      </c>
      <c r="J1387" t="inlineStr">
        <is>
          <t>AA</t>
        </is>
      </c>
      <c r="K1387" t="inlineStr">
        <is>
          <t>Answering Machine Autodial</t>
        </is>
      </c>
      <c r="L1387" t="n">
        <v>3</v>
      </c>
      <c r="M1387" t="inlineStr">
        <is>
          <t>2026-06-23 14:00:43</t>
        </is>
      </c>
      <c r="N1387" t="inlineStr">
        <is>
          <t>system</t>
        </is>
      </c>
      <c r="O1387" t="inlineStr">
        <is>
          <t>2026-06-19 07:10:32</t>
        </is>
      </c>
      <c r="P1387" t="inlineStr">
        <is>
          <t>2026-06-19 07:10:32</t>
        </is>
      </c>
      <c r="Y1387" t="inlineStr">
        <is>
          <t>27721136697</t>
        </is>
      </c>
    </row>
    <row r="1388">
      <c r="A1388" t="inlineStr">
        <is>
          <t>14948088</t>
        </is>
      </c>
      <c r="B1388" t="inlineStr">
        <is>
          <t>0d652870-195b-4f04-b687-330f1572121f</t>
        </is>
      </c>
      <c r="D1388" t="inlineStr">
        <is>
          <t>30001087</t>
        </is>
      </c>
      <c r="E1388" t="inlineStr">
        <is>
          <t>ussd_funeral_leads_altitude_20260619</t>
        </is>
      </c>
      <c r="J1388" t="inlineStr">
        <is>
          <t>CU</t>
        </is>
      </c>
      <c r="K1388" t="inlineStr">
        <is>
          <t>Client Hung Up</t>
        </is>
      </c>
      <c r="L1388" t="n">
        <v>3</v>
      </c>
      <c r="M1388" t="inlineStr">
        <is>
          <t>2026-06-23 14:00:43</t>
        </is>
      </c>
      <c r="N1388" t="inlineStr">
        <is>
          <t>Goitsimang Mogwasa</t>
        </is>
      </c>
      <c r="O1388" t="inlineStr">
        <is>
          <t>2026-06-19 07:10:32</t>
        </is>
      </c>
      <c r="P1388" t="inlineStr">
        <is>
          <t>2026-06-19 07:10:32</t>
        </is>
      </c>
      <c r="Y1388" t="inlineStr">
        <is>
          <t>27820494996</t>
        </is>
      </c>
    </row>
    <row r="1389">
      <c r="A1389" t="inlineStr">
        <is>
          <t>14948089</t>
        </is>
      </c>
      <c r="B1389" t="inlineStr">
        <is>
          <t>190464f3-8cd3-46f4-afdc-e7172ab803f9</t>
        </is>
      </c>
      <c r="D1389" t="inlineStr">
        <is>
          <t>30001087</t>
        </is>
      </c>
      <c r="E1389" t="inlineStr">
        <is>
          <t>ussd_funeral_leads_altitude_20260619</t>
        </is>
      </c>
      <c r="J1389" t="inlineStr">
        <is>
          <t>ADC</t>
        </is>
      </c>
      <c r="K1389" t="inlineStr">
        <is>
          <t>Auto Dial Disconnected</t>
        </is>
      </c>
      <c r="L1389" t="n">
        <v>3</v>
      </c>
      <c r="M1389" t="inlineStr">
        <is>
          <t>2026-06-23 14:00:41</t>
        </is>
      </c>
      <c r="N1389" t="inlineStr">
        <is>
          <t>system</t>
        </is>
      </c>
      <c r="O1389" t="inlineStr">
        <is>
          <t>2026-06-19 07:10:32</t>
        </is>
      </c>
      <c r="P1389" t="inlineStr">
        <is>
          <t>2026-06-19 07:10:32</t>
        </is>
      </c>
      <c r="Y1389" t="inlineStr">
        <is>
          <t>27716353103</t>
        </is>
      </c>
    </row>
    <row r="1390">
      <c r="A1390" t="inlineStr">
        <is>
          <t>14948092</t>
        </is>
      </c>
      <c r="B1390" t="inlineStr">
        <is>
          <t>9bfcff59-9ac7-4b7c-a620-fce148e9d7fb</t>
        </is>
      </c>
      <c r="D1390" t="inlineStr">
        <is>
          <t>30001087</t>
        </is>
      </c>
      <c r="E1390" t="inlineStr">
        <is>
          <t>ussd_funeral_leads_altitude_20260619</t>
        </is>
      </c>
      <c r="J1390" t="inlineStr">
        <is>
          <t>AA</t>
        </is>
      </c>
      <c r="K1390" t="inlineStr">
        <is>
          <t>Answering Machine Autodial</t>
        </is>
      </c>
      <c r="L1390" t="n">
        <v>3</v>
      </c>
      <c r="M1390" t="inlineStr">
        <is>
          <t>2026-06-23 14:00:40</t>
        </is>
      </c>
      <c r="N1390" t="inlineStr">
        <is>
          <t>system</t>
        </is>
      </c>
      <c r="O1390" t="inlineStr">
        <is>
          <t>2026-06-19 07:10:32</t>
        </is>
      </c>
      <c r="P1390" t="inlineStr">
        <is>
          <t>2026-06-19 07:10:32</t>
        </is>
      </c>
      <c r="Y1390" t="inlineStr">
        <is>
          <t>27799681151</t>
        </is>
      </c>
    </row>
    <row r="1391">
      <c r="A1391" t="inlineStr">
        <is>
          <t>14948093</t>
        </is>
      </c>
      <c r="B1391" t="inlineStr">
        <is>
          <t>7e9e08cb-4eb9-49cb-a576-4c5161ea2e2b</t>
        </is>
      </c>
      <c r="D1391" t="inlineStr">
        <is>
          <t>30001087</t>
        </is>
      </c>
      <c r="E1391" t="inlineStr">
        <is>
          <t>ussd_funeral_leads_altitude_20260619</t>
        </is>
      </c>
      <c r="J1391" t="inlineStr">
        <is>
          <t>AA</t>
        </is>
      </c>
      <c r="K1391" t="inlineStr">
        <is>
          <t>Answering Machine Autodial</t>
        </is>
      </c>
      <c r="L1391" t="n">
        <v>3</v>
      </c>
      <c r="M1391" t="inlineStr">
        <is>
          <t>2026-06-23 14:00:40</t>
        </is>
      </c>
      <c r="N1391" t="inlineStr">
        <is>
          <t>system</t>
        </is>
      </c>
      <c r="O1391" t="inlineStr">
        <is>
          <t>2026-06-19 07:10:32</t>
        </is>
      </c>
      <c r="P1391" t="inlineStr">
        <is>
          <t>2026-06-19 07:10:32</t>
        </is>
      </c>
      <c r="Y1391" t="inlineStr">
        <is>
          <t>27712728456</t>
        </is>
      </c>
    </row>
    <row r="1392">
      <c r="A1392" t="inlineStr">
        <is>
          <t>14948094</t>
        </is>
      </c>
      <c r="B1392" t="inlineStr">
        <is>
          <t>1aa91f89-5f60-4920-b643-07435e900605</t>
        </is>
      </c>
      <c r="D1392" t="inlineStr">
        <is>
          <t>30001087</t>
        </is>
      </c>
      <c r="E1392" t="inlineStr">
        <is>
          <t>ussd_funeral_leads_altitude_20260619</t>
        </is>
      </c>
      <c r="J1392" t="inlineStr">
        <is>
          <t>ADC</t>
        </is>
      </c>
      <c r="K1392" t="inlineStr">
        <is>
          <t>Auto Dial Disconnected</t>
        </is>
      </c>
      <c r="L1392" t="n">
        <v>3</v>
      </c>
      <c r="M1392" t="inlineStr">
        <is>
          <t>2026-06-23 14:00:40</t>
        </is>
      </c>
      <c r="N1392" t="inlineStr">
        <is>
          <t>system</t>
        </is>
      </c>
      <c r="O1392" t="inlineStr">
        <is>
          <t>2026-06-19 07:10:32</t>
        </is>
      </c>
      <c r="P1392" t="inlineStr">
        <is>
          <t>2026-06-19 07:10:32</t>
        </is>
      </c>
      <c r="Y1392" t="inlineStr">
        <is>
          <t>27767986894</t>
        </is>
      </c>
    </row>
    <row r="1393">
      <c r="A1393" t="inlineStr">
        <is>
          <t>14948095</t>
        </is>
      </c>
      <c r="B1393" t="inlineStr">
        <is>
          <t>a7432e10-82cf-4514-8305-ac83cefbe073</t>
        </is>
      </c>
      <c r="D1393" t="inlineStr">
        <is>
          <t>30001087</t>
        </is>
      </c>
      <c r="E1393" t="inlineStr">
        <is>
          <t>ussd_funeral_leads_altitude_20260619</t>
        </is>
      </c>
      <c r="J1393" t="inlineStr">
        <is>
          <t>AA</t>
        </is>
      </c>
      <c r="K1393" t="inlineStr">
        <is>
          <t>Answering Machine Autodial</t>
        </is>
      </c>
      <c r="L1393" t="n">
        <v>3</v>
      </c>
      <c r="M1393" t="inlineStr">
        <is>
          <t>2026-06-23 14:00:40</t>
        </is>
      </c>
      <c r="N1393" t="inlineStr">
        <is>
          <t>system</t>
        </is>
      </c>
      <c r="O1393" t="inlineStr">
        <is>
          <t>2026-06-19 07:10:32</t>
        </is>
      </c>
      <c r="P1393" t="inlineStr">
        <is>
          <t>2026-06-19 07:10:32</t>
        </is>
      </c>
      <c r="Y1393" t="inlineStr">
        <is>
          <t>27799458966</t>
        </is>
      </c>
    </row>
    <row r="1394">
      <c r="A1394" t="inlineStr">
        <is>
          <t>14948090</t>
        </is>
      </c>
      <c r="B1394" t="inlineStr">
        <is>
          <t>8bcfcb3f-886a-4ae7-b7c5-645ddafa269b</t>
        </is>
      </c>
      <c r="D1394" t="inlineStr">
        <is>
          <t>30001087</t>
        </is>
      </c>
      <c r="E1394" t="inlineStr">
        <is>
          <t>ussd_funeral_leads_altitude_20260619</t>
        </is>
      </c>
      <c r="J1394" t="inlineStr">
        <is>
          <t>CU</t>
        </is>
      </c>
      <c r="K1394" t="inlineStr">
        <is>
          <t>Client Hung Up</t>
        </is>
      </c>
      <c r="L1394" t="n">
        <v>3</v>
      </c>
      <c r="M1394" t="inlineStr">
        <is>
          <t>2026-06-23 14:00:39</t>
        </is>
      </c>
      <c r="N1394" t="inlineStr">
        <is>
          <t>Bongiwe Precious Cele</t>
        </is>
      </c>
      <c r="O1394" t="inlineStr">
        <is>
          <t>2026-06-19 07:10:32</t>
        </is>
      </c>
      <c r="P1394" t="inlineStr">
        <is>
          <t>2026-06-19 07:10:32</t>
        </is>
      </c>
      <c r="Y1394" t="inlineStr">
        <is>
          <t>27791852308</t>
        </is>
      </c>
    </row>
    <row r="1395">
      <c r="A1395" t="inlineStr">
        <is>
          <t>14948096</t>
        </is>
      </c>
      <c r="B1395" t="inlineStr">
        <is>
          <t>d6edffb4-02e9-450f-b861-f435120afb74</t>
        </is>
      </c>
      <c r="D1395" t="inlineStr">
        <is>
          <t>30001087</t>
        </is>
      </c>
      <c r="E1395" t="inlineStr">
        <is>
          <t>ussd_funeral_leads_altitude_20260619</t>
        </is>
      </c>
      <c r="J1395" t="inlineStr">
        <is>
          <t>AE</t>
        </is>
      </c>
      <c r="K1395" t="inlineStr">
        <is>
          <t>Auto Engaged</t>
        </is>
      </c>
      <c r="L1395" t="n">
        <v>3</v>
      </c>
      <c r="M1395" t="inlineStr">
        <is>
          <t>2026-06-23 14:00:39</t>
        </is>
      </c>
      <c r="N1395" t="inlineStr">
        <is>
          <t>system</t>
        </is>
      </c>
      <c r="O1395" t="inlineStr">
        <is>
          <t>2026-06-19 07:10:32</t>
        </is>
      </c>
      <c r="P1395" t="inlineStr">
        <is>
          <t>2026-06-19 07:10:32</t>
        </is>
      </c>
      <c r="Y1395" t="inlineStr">
        <is>
          <t>27796963749</t>
        </is>
      </c>
    </row>
    <row r="1396">
      <c r="A1396" t="inlineStr">
        <is>
          <t>14900000</t>
        </is>
      </c>
      <c r="B1396" t="inlineStr">
        <is>
          <t>37e83697-0d93-4994-9193-255771c028e3</t>
        </is>
      </c>
      <c r="D1396" t="inlineStr">
        <is>
          <t>30001087</t>
        </is>
      </c>
      <c r="E1396" t="inlineStr">
        <is>
          <t>ussd_funeral_leads_altitude_20260619</t>
        </is>
      </c>
      <c r="J1396" t="inlineStr">
        <is>
          <t>AA</t>
        </is>
      </c>
      <c r="K1396" t="inlineStr">
        <is>
          <t>Answering Machine Autodial</t>
        </is>
      </c>
      <c r="L1396" t="n">
        <v>3</v>
      </c>
      <c r="M1396" t="inlineStr">
        <is>
          <t>2026-06-23 14:00:39</t>
        </is>
      </c>
      <c r="N1396" t="inlineStr">
        <is>
          <t>system</t>
        </is>
      </c>
      <c r="O1396" t="inlineStr">
        <is>
          <t>2026-06-19 07:10:32</t>
        </is>
      </c>
      <c r="P1396" t="inlineStr">
        <is>
          <t>2026-06-19 07:10:32</t>
        </is>
      </c>
      <c r="Y1396" t="inlineStr">
        <is>
          <t>27762696400</t>
        </is>
      </c>
    </row>
    <row r="1397">
      <c r="A1397" t="inlineStr">
        <is>
          <t>14948098</t>
        </is>
      </c>
      <c r="B1397" t="inlineStr">
        <is>
          <t>a50c7bc5-e9f8-4c4e-8c3b-6537b7304cba</t>
        </is>
      </c>
      <c r="D1397" t="inlineStr">
        <is>
          <t>30001087</t>
        </is>
      </c>
      <c r="E1397" t="inlineStr">
        <is>
          <t>ussd_funeral_leads_altitude_20260619</t>
        </is>
      </c>
      <c r="H1397" t="inlineStr">
        <is>
          <t>27791434943</t>
        </is>
      </c>
      <c r="J1397" t="inlineStr">
        <is>
          <t>NA</t>
        </is>
      </c>
      <c r="K1397" t="inlineStr">
        <is>
          <t>No Answer Autodial</t>
        </is>
      </c>
      <c r="L1397" t="n">
        <v>3</v>
      </c>
      <c r="M1397" t="inlineStr">
        <is>
          <t>2026-06-23 14:00:37</t>
        </is>
      </c>
      <c r="N1397" t="inlineStr">
        <is>
          <t>system</t>
        </is>
      </c>
      <c r="O1397" t="inlineStr">
        <is>
          <t>2026-06-19 07:10:32</t>
        </is>
      </c>
      <c r="P1397" t="inlineStr">
        <is>
          <t>2026-06-19 07:10:32</t>
        </is>
      </c>
      <c r="Y1397" t="inlineStr">
        <is>
          <t>27791434943</t>
        </is>
      </c>
    </row>
    <row r="1398">
      <c r="A1398" t="inlineStr">
        <is>
          <t>14948100</t>
        </is>
      </c>
      <c r="B1398" t="inlineStr">
        <is>
          <t>900e008b-5ea6-43d2-9560-6a87223a0a35</t>
        </is>
      </c>
      <c r="D1398" t="inlineStr">
        <is>
          <t>30001087</t>
        </is>
      </c>
      <c r="E1398" t="inlineStr">
        <is>
          <t>ussd_funeral_leads_altitude_20260619</t>
        </is>
      </c>
      <c r="J1398" t="inlineStr">
        <is>
          <t>ADC</t>
        </is>
      </c>
      <c r="K1398" t="inlineStr">
        <is>
          <t>Auto Dial Disconnected</t>
        </is>
      </c>
      <c r="L1398" t="n">
        <v>3</v>
      </c>
      <c r="M1398" t="inlineStr">
        <is>
          <t>2026-06-23 14:00:34</t>
        </is>
      </c>
      <c r="N1398" t="inlineStr">
        <is>
          <t>system</t>
        </is>
      </c>
      <c r="O1398" t="inlineStr">
        <is>
          <t>2026-06-19 07:10:32</t>
        </is>
      </c>
      <c r="P1398" t="inlineStr">
        <is>
          <t>2026-06-19 07:10:32</t>
        </is>
      </c>
      <c r="Y1398" t="inlineStr">
        <is>
          <t>27715287890</t>
        </is>
      </c>
    </row>
    <row r="1399">
      <c r="A1399" t="inlineStr">
        <is>
          <t>14944336</t>
        </is>
      </c>
      <c r="B1399" t="inlineStr">
        <is>
          <t>7678115d-345f-4eb2-9c47-b1d1a7073908</t>
        </is>
      </c>
      <c r="D1399" t="inlineStr">
        <is>
          <t>30001087</t>
        </is>
      </c>
      <c r="E1399" t="inlineStr">
        <is>
          <t>ussd_funeral_leads_altitude_20260619</t>
        </is>
      </c>
      <c r="J1399" t="inlineStr">
        <is>
          <t>AA</t>
        </is>
      </c>
      <c r="K1399" t="inlineStr">
        <is>
          <t>Answering Machine Autodial</t>
        </is>
      </c>
      <c r="L1399" t="n">
        <v>3</v>
      </c>
      <c r="M1399" t="inlineStr">
        <is>
          <t>2026-06-23 14:00:22</t>
        </is>
      </c>
      <c r="N1399" t="inlineStr">
        <is>
          <t>system</t>
        </is>
      </c>
      <c r="O1399" t="inlineStr">
        <is>
          <t>2026-06-19 07:10:32</t>
        </is>
      </c>
      <c r="P1399" t="inlineStr">
        <is>
          <t>2026-06-19 07:10:32</t>
        </is>
      </c>
      <c r="Y1399" t="inlineStr">
        <is>
          <t>27768723629</t>
        </is>
      </c>
    </row>
    <row r="1400">
      <c r="A1400" t="inlineStr">
        <is>
          <t>14944337</t>
        </is>
      </c>
      <c r="B1400" t="inlineStr">
        <is>
          <t>d9bc0059-6652-459b-a74f-4d5754e7898c</t>
        </is>
      </c>
      <c r="D1400" t="inlineStr">
        <is>
          <t>30001087</t>
        </is>
      </c>
      <c r="E1400" t="inlineStr">
        <is>
          <t>ussd_funeral_leads_altitude_20260619</t>
        </is>
      </c>
      <c r="J1400" t="inlineStr">
        <is>
          <t>NA</t>
        </is>
      </c>
      <c r="K1400" t="inlineStr">
        <is>
          <t>No Answer Autodial</t>
        </is>
      </c>
      <c r="L1400" t="n">
        <v>3</v>
      </c>
      <c r="M1400" t="inlineStr">
        <is>
          <t>2026-06-23 14:00:22</t>
        </is>
      </c>
      <c r="N1400" t="inlineStr">
        <is>
          <t>system</t>
        </is>
      </c>
      <c r="O1400" t="inlineStr">
        <is>
          <t>2026-06-19 07:10:32</t>
        </is>
      </c>
      <c r="P1400" t="inlineStr">
        <is>
          <t>2026-06-19 07:10:32</t>
        </is>
      </c>
      <c r="Y1400" t="inlineStr">
        <is>
          <t>27646769523</t>
        </is>
      </c>
    </row>
    <row r="1401">
      <c r="A1401" t="inlineStr">
        <is>
          <t>14944354</t>
        </is>
      </c>
      <c r="B1401" t="inlineStr">
        <is>
          <t>69709694-fa50-4c97-9b38-e98639648ae3</t>
        </is>
      </c>
      <c r="D1401" t="inlineStr">
        <is>
          <t>30001087</t>
        </is>
      </c>
      <c r="E1401" t="inlineStr">
        <is>
          <t>ussd_funeral_leads_altitude_20260619</t>
        </is>
      </c>
      <c r="J1401" t="inlineStr">
        <is>
          <t>ADC</t>
        </is>
      </c>
      <c r="K1401" t="inlineStr">
        <is>
          <t>Auto Dial Disconnected</t>
        </is>
      </c>
      <c r="L1401" t="n">
        <v>3</v>
      </c>
      <c r="M1401" t="inlineStr">
        <is>
          <t>2026-06-23 14:00:22</t>
        </is>
      </c>
      <c r="N1401" t="inlineStr">
        <is>
          <t>system</t>
        </is>
      </c>
      <c r="O1401" t="inlineStr">
        <is>
          <t>2026-06-19 07:10:32</t>
        </is>
      </c>
      <c r="P1401" t="inlineStr">
        <is>
          <t>2026-06-19 07:10:32</t>
        </is>
      </c>
      <c r="Y1401" t="inlineStr">
        <is>
          <t>27665588575</t>
        </is>
      </c>
    </row>
    <row r="1402">
      <c r="A1402" t="inlineStr">
        <is>
          <t>14944355</t>
        </is>
      </c>
      <c r="B1402" t="inlineStr">
        <is>
          <t>53ca39c1-995a-4ae2-9211-7d070d5f224c</t>
        </is>
      </c>
      <c r="D1402" t="inlineStr">
        <is>
          <t>30001087</t>
        </is>
      </c>
      <c r="E1402" t="inlineStr">
        <is>
          <t>ussd_funeral_leads_altitude_20260619</t>
        </is>
      </c>
      <c r="J1402" t="inlineStr">
        <is>
          <t>ADC</t>
        </is>
      </c>
      <c r="K1402" t="inlineStr">
        <is>
          <t>Auto Dial Disconnected</t>
        </is>
      </c>
      <c r="L1402" t="n">
        <v>3</v>
      </c>
      <c r="M1402" t="inlineStr">
        <is>
          <t>2026-06-23 14:00:22</t>
        </is>
      </c>
      <c r="N1402" t="inlineStr">
        <is>
          <t>system</t>
        </is>
      </c>
      <c r="O1402" t="inlineStr">
        <is>
          <t>2026-06-19 07:10:32</t>
        </is>
      </c>
      <c r="P1402" t="inlineStr">
        <is>
          <t>2026-06-19 07:10:32</t>
        </is>
      </c>
      <c r="Y1402" t="inlineStr">
        <is>
          <t>27715607677</t>
        </is>
      </c>
    </row>
    <row r="1403">
      <c r="A1403" t="inlineStr">
        <is>
          <t>14900000</t>
        </is>
      </c>
      <c r="B1403" t="inlineStr">
        <is>
          <t>0e1418cf-fcc4-4c0b-adbe-bb66819c74d7</t>
        </is>
      </c>
      <c r="D1403" t="inlineStr">
        <is>
          <t>30001087</t>
        </is>
      </c>
      <c r="E1403" t="inlineStr">
        <is>
          <t>ussd_funeral_leads_altitude_20260619</t>
        </is>
      </c>
      <c r="J1403" t="inlineStr">
        <is>
          <t>AA</t>
        </is>
      </c>
      <c r="K1403" t="inlineStr">
        <is>
          <t>Answering Machine Autodial</t>
        </is>
      </c>
      <c r="L1403" t="n">
        <v>3</v>
      </c>
      <c r="M1403" t="inlineStr">
        <is>
          <t>2026-06-23 14:00:21</t>
        </is>
      </c>
      <c r="N1403" t="inlineStr">
        <is>
          <t>system</t>
        </is>
      </c>
      <c r="O1403" t="inlineStr">
        <is>
          <t>2026-06-19 07:10:32</t>
        </is>
      </c>
      <c r="P1403" t="inlineStr">
        <is>
          <t>2026-06-19 07:10:32</t>
        </is>
      </c>
      <c r="Y1403" t="inlineStr">
        <is>
          <t>27790888960</t>
        </is>
      </c>
    </row>
    <row r="1404">
      <c r="A1404" t="inlineStr">
        <is>
          <t>14944329</t>
        </is>
      </c>
      <c r="B1404" t="inlineStr">
        <is>
          <t>2105a71e-0ab6-47bf-8d49-95deeb499011</t>
        </is>
      </c>
      <c r="D1404" t="inlineStr">
        <is>
          <t>30001087</t>
        </is>
      </c>
      <c r="E1404" t="inlineStr">
        <is>
          <t>ussd_funeral_leads_altitude_20260619</t>
        </is>
      </c>
      <c r="H1404" t="inlineStr">
        <is>
          <t>27761060778</t>
        </is>
      </c>
      <c r="J1404" t="inlineStr">
        <is>
          <t>CU</t>
        </is>
      </c>
      <c r="K1404" t="inlineStr">
        <is>
          <t>Client Hung Up</t>
        </is>
      </c>
      <c r="L1404" t="n">
        <v>3</v>
      </c>
      <c r="M1404" t="inlineStr">
        <is>
          <t>2026-06-23 14:00:01</t>
        </is>
      </c>
      <c r="N1404" t="inlineStr">
        <is>
          <t>Goitsimang Mogwasa</t>
        </is>
      </c>
      <c r="O1404" t="inlineStr">
        <is>
          <t>2026-06-19 07:10:32</t>
        </is>
      </c>
      <c r="P1404" t="inlineStr">
        <is>
          <t>2026-06-19 07:10:32</t>
        </is>
      </c>
      <c r="Y1404" t="inlineStr">
        <is>
          <t>27761060778</t>
        </is>
      </c>
    </row>
    <row r="1405">
      <c r="A1405" t="inlineStr">
        <is>
          <t>14944330</t>
        </is>
      </c>
      <c r="B1405" t="inlineStr">
        <is>
          <t>5561ee96-c12f-4f9c-b80b-5d52d77de72b</t>
        </is>
      </c>
      <c r="D1405" t="inlineStr">
        <is>
          <t>30001087</t>
        </is>
      </c>
      <c r="E1405" t="inlineStr">
        <is>
          <t>ussd_funeral_leads_altitude_20260619</t>
        </is>
      </c>
      <c r="J1405" t="inlineStr">
        <is>
          <t>NA</t>
        </is>
      </c>
      <c r="K1405" t="inlineStr">
        <is>
          <t>No Answer Autodial</t>
        </is>
      </c>
      <c r="L1405" t="n">
        <v>3</v>
      </c>
      <c r="M1405" t="inlineStr">
        <is>
          <t>2026-06-23 14:00:01</t>
        </is>
      </c>
      <c r="N1405" t="inlineStr">
        <is>
          <t>system</t>
        </is>
      </c>
      <c r="O1405" t="inlineStr">
        <is>
          <t>2026-06-19 07:10:32</t>
        </is>
      </c>
      <c r="P1405" t="inlineStr">
        <is>
          <t>2026-06-19 07:10:32</t>
        </is>
      </c>
      <c r="Y1405" t="inlineStr">
        <is>
          <t>27728566624</t>
        </is>
      </c>
    </row>
    <row r="1406">
      <c r="A1406" t="inlineStr">
        <is>
          <t>14944333</t>
        </is>
      </c>
      <c r="B1406" t="inlineStr">
        <is>
          <t>aa2d8614-f3af-4270-95c9-c4b592b6f115</t>
        </is>
      </c>
      <c r="D1406" t="inlineStr">
        <is>
          <t>30001087</t>
        </is>
      </c>
      <c r="E1406" t="inlineStr">
        <is>
          <t>ussd_funeral_leads_altitude_20260619</t>
        </is>
      </c>
      <c r="J1406" t="inlineStr">
        <is>
          <t>AA</t>
        </is>
      </c>
      <c r="K1406" t="inlineStr">
        <is>
          <t>Answering Machine Autodial</t>
        </is>
      </c>
      <c r="L1406" t="n">
        <v>3</v>
      </c>
      <c r="M1406" t="inlineStr">
        <is>
          <t>2026-06-23 14:00:01</t>
        </is>
      </c>
      <c r="N1406" t="inlineStr">
        <is>
          <t>system</t>
        </is>
      </c>
      <c r="O1406" t="inlineStr">
        <is>
          <t>2026-06-19 07:10:32</t>
        </is>
      </c>
      <c r="P1406" t="inlineStr">
        <is>
          <t>2026-06-19 07:10:32</t>
        </is>
      </c>
      <c r="Y1406" t="inlineStr">
        <is>
          <t>27828670820</t>
        </is>
      </c>
    </row>
    <row r="1407">
      <c r="A1407" t="inlineStr">
        <is>
          <t>14944331</t>
        </is>
      </c>
      <c r="B1407" t="inlineStr">
        <is>
          <t>c42bd4ec-6492-4fca-bbc3-5b8e580986e2</t>
        </is>
      </c>
      <c r="D1407" t="inlineStr">
        <is>
          <t>30001087</t>
        </is>
      </c>
      <c r="E1407" t="inlineStr">
        <is>
          <t>ussd_funeral_leads_altitude_20260619</t>
        </is>
      </c>
      <c r="J1407" t="inlineStr">
        <is>
          <t>A</t>
        </is>
      </c>
      <c r="K1407" t="inlineStr">
        <is>
          <t>Answering Machine</t>
        </is>
      </c>
      <c r="L1407" t="n">
        <v>3</v>
      </c>
      <c r="M1407" t="inlineStr">
        <is>
          <t>2026-06-23 14:00:00</t>
        </is>
      </c>
      <c r="N1407" t="inlineStr">
        <is>
          <t>Dimakatso Nkomo</t>
        </is>
      </c>
      <c r="O1407" t="inlineStr">
        <is>
          <t>2026-06-19 07:10:32</t>
        </is>
      </c>
      <c r="P1407" t="inlineStr">
        <is>
          <t>2026-06-19 07:10:32</t>
        </is>
      </c>
      <c r="Y1407" t="inlineStr">
        <is>
          <t>27792525601</t>
        </is>
      </c>
    </row>
    <row r="1408">
      <c r="A1408" t="inlineStr">
        <is>
          <t>14944332</t>
        </is>
      </c>
      <c r="B1408" t="inlineStr">
        <is>
          <t>7fe15ef8-041a-4df8-8df6-52e8d08aa833</t>
        </is>
      </c>
      <c r="D1408" t="inlineStr">
        <is>
          <t>30001087</t>
        </is>
      </c>
      <c r="E1408" t="inlineStr">
        <is>
          <t>ussd_funeral_leads_altitude_20260619</t>
        </is>
      </c>
      <c r="J1408" t="inlineStr">
        <is>
          <t>NA</t>
        </is>
      </c>
      <c r="K1408" t="inlineStr">
        <is>
          <t>No Answer Autodial</t>
        </is>
      </c>
      <c r="L1408" t="n">
        <v>3</v>
      </c>
      <c r="M1408" t="inlineStr">
        <is>
          <t>2026-06-23 14:00:00</t>
        </is>
      </c>
      <c r="N1408" t="inlineStr">
        <is>
          <t>system</t>
        </is>
      </c>
      <c r="O1408" t="inlineStr">
        <is>
          <t>2026-06-19 07:10:32</t>
        </is>
      </c>
      <c r="P1408" t="inlineStr">
        <is>
          <t>2026-06-19 07:10:32</t>
        </is>
      </c>
      <c r="Y1408" t="inlineStr">
        <is>
          <t>27799142396</t>
        </is>
      </c>
    </row>
    <row r="1409">
      <c r="A1409" t="inlineStr">
        <is>
          <t>14944328</t>
        </is>
      </c>
      <c r="B1409" t="inlineStr">
        <is>
          <t>d29d85af-1751-40c4-a84e-c9005d2444af</t>
        </is>
      </c>
      <c r="D1409" t="inlineStr">
        <is>
          <t>30001087</t>
        </is>
      </c>
      <c r="E1409" t="inlineStr">
        <is>
          <t>ussd_funeral_leads_altitude_20260619</t>
        </is>
      </c>
      <c r="J1409" t="inlineStr">
        <is>
          <t>AA</t>
        </is>
      </c>
      <c r="K1409" t="inlineStr">
        <is>
          <t>Answering Machine Autodial</t>
        </is>
      </c>
      <c r="L1409" t="n">
        <v>3</v>
      </c>
      <c r="M1409" t="inlineStr">
        <is>
          <t>2026-06-23 13:59:58</t>
        </is>
      </c>
      <c r="N1409" t="inlineStr">
        <is>
          <t>system</t>
        </is>
      </c>
      <c r="O1409" t="inlineStr">
        <is>
          <t>2026-06-19 07:10:32</t>
        </is>
      </c>
      <c r="P1409" t="inlineStr">
        <is>
          <t>2026-06-19 07:10:32</t>
        </is>
      </c>
      <c r="Y1409" t="inlineStr">
        <is>
          <t>27760396700</t>
        </is>
      </c>
    </row>
    <row r="1410">
      <c r="A1410" t="inlineStr">
        <is>
          <t>14944327</t>
        </is>
      </c>
      <c r="B1410" t="inlineStr">
        <is>
          <t>45398801-6be8-425f-b6ae-a4cca8422fb7</t>
        </is>
      </c>
      <c r="D1410" t="inlineStr">
        <is>
          <t>30001087</t>
        </is>
      </c>
      <c r="E1410" t="inlineStr">
        <is>
          <t>ussd_funeral_leads_altitude_20260619</t>
        </is>
      </c>
      <c r="J1410" t="inlineStr">
        <is>
          <t>AA</t>
        </is>
      </c>
      <c r="K1410" t="inlineStr">
        <is>
          <t>Answering Machine Autodial</t>
        </is>
      </c>
      <c r="L1410" t="n">
        <v>3</v>
      </c>
      <c r="M1410" t="inlineStr">
        <is>
          <t>2026-06-23 13:59:57</t>
        </is>
      </c>
      <c r="N1410" t="inlineStr">
        <is>
          <t>system</t>
        </is>
      </c>
      <c r="O1410" t="inlineStr">
        <is>
          <t>2026-06-19 07:10:32</t>
        </is>
      </c>
      <c r="P1410" t="inlineStr">
        <is>
          <t>2026-06-19 07:10:32</t>
        </is>
      </c>
      <c r="Y1410" t="inlineStr">
        <is>
          <t>27761721441</t>
        </is>
      </c>
    </row>
    <row r="1411">
      <c r="A1411" t="inlineStr">
        <is>
          <t>14944323</t>
        </is>
      </c>
      <c r="B1411" t="inlineStr">
        <is>
          <t>1c5484b6-aea2-4867-b65e-e213b41a798e</t>
        </is>
      </c>
      <c r="D1411" t="inlineStr">
        <is>
          <t>30001087</t>
        </is>
      </c>
      <c r="E1411" t="inlineStr">
        <is>
          <t>ussd_funeral_leads_altitude_20260619</t>
        </is>
      </c>
      <c r="J1411" t="inlineStr">
        <is>
          <t>AA</t>
        </is>
      </c>
      <c r="K1411" t="inlineStr">
        <is>
          <t>Answering Machine Autodial</t>
        </is>
      </c>
      <c r="L1411" t="n">
        <v>3</v>
      </c>
      <c r="M1411" t="inlineStr">
        <is>
          <t>2026-06-23 13:59:55</t>
        </is>
      </c>
      <c r="N1411" t="inlineStr">
        <is>
          <t>system</t>
        </is>
      </c>
      <c r="O1411" t="inlineStr">
        <is>
          <t>2026-06-19 07:10:32</t>
        </is>
      </c>
      <c r="P1411" t="inlineStr">
        <is>
          <t>2026-06-19 07:10:32</t>
        </is>
      </c>
      <c r="Y1411" t="inlineStr">
        <is>
          <t>27791787573</t>
        </is>
      </c>
    </row>
    <row r="1412">
      <c r="A1412" t="inlineStr">
        <is>
          <t>14944324</t>
        </is>
      </c>
      <c r="B1412" t="inlineStr">
        <is>
          <t>d0376411-34bf-4ba3-9254-d727475d73f9</t>
        </is>
      </c>
      <c r="D1412" t="inlineStr">
        <is>
          <t>30001087</t>
        </is>
      </c>
      <c r="E1412" t="inlineStr">
        <is>
          <t>ussd_funeral_leads_altitude_20260619</t>
        </is>
      </c>
      <c r="J1412" t="inlineStr">
        <is>
          <t>AA</t>
        </is>
      </c>
      <c r="K1412" t="inlineStr">
        <is>
          <t>Answering Machine Autodial</t>
        </is>
      </c>
      <c r="L1412" t="n">
        <v>3</v>
      </c>
      <c r="M1412" t="inlineStr">
        <is>
          <t>2026-06-23 13:59:55</t>
        </is>
      </c>
      <c r="N1412" t="inlineStr">
        <is>
          <t>system</t>
        </is>
      </c>
      <c r="O1412" t="inlineStr">
        <is>
          <t>2026-06-19 07:10:32</t>
        </is>
      </c>
      <c r="P1412" t="inlineStr">
        <is>
          <t>2026-06-19 07:10:32</t>
        </is>
      </c>
      <c r="Y1412" t="inlineStr">
        <is>
          <t>27791896697</t>
        </is>
      </c>
    </row>
    <row r="1413">
      <c r="A1413" t="inlineStr">
        <is>
          <t>14944326</t>
        </is>
      </c>
      <c r="B1413" t="inlineStr">
        <is>
          <t>3cff674a-3785-4809-bf61-78ba6434b245</t>
        </is>
      </c>
      <c r="D1413" t="inlineStr">
        <is>
          <t>30001087</t>
        </is>
      </c>
      <c r="E1413" t="inlineStr">
        <is>
          <t>ussd_funeral_leads_altitude_20260619</t>
        </is>
      </c>
      <c r="J1413" t="inlineStr">
        <is>
          <t>ADC</t>
        </is>
      </c>
      <c r="K1413" t="inlineStr">
        <is>
          <t>Auto Dial Disconnected</t>
        </is>
      </c>
      <c r="L1413" t="n">
        <v>3</v>
      </c>
      <c r="M1413" t="inlineStr">
        <is>
          <t>2026-06-23 13:59:55</t>
        </is>
      </c>
      <c r="N1413" t="inlineStr">
        <is>
          <t>system</t>
        </is>
      </c>
      <c r="O1413" t="inlineStr">
        <is>
          <t>2026-06-19 07:10:32</t>
        </is>
      </c>
      <c r="P1413" t="inlineStr">
        <is>
          <t>2026-06-19 07:10:32</t>
        </is>
      </c>
      <c r="Y1413" t="inlineStr">
        <is>
          <t>27664267279</t>
        </is>
      </c>
    </row>
    <row r="1414">
      <c r="A1414" t="inlineStr">
        <is>
          <t>14944320</t>
        </is>
      </c>
      <c r="B1414" t="inlineStr">
        <is>
          <t>fa55935a-d41a-4420-a4f9-5ec40803bed0</t>
        </is>
      </c>
      <c r="D1414" t="inlineStr">
        <is>
          <t>30001087</t>
        </is>
      </c>
      <c r="E1414" t="inlineStr">
        <is>
          <t>ussd_funeral_leads_altitude_20260619</t>
        </is>
      </c>
      <c r="J1414" t="inlineStr">
        <is>
          <t>AA</t>
        </is>
      </c>
      <c r="K1414" t="inlineStr">
        <is>
          <t>Answering Machine Autodial</t>
        </is>
      </c>
      <c r="L1414" t="n">
        <v>3</v>
      </c>
      <c r="M1414" t="inlineStr">
        <is>
          <t>2026-06-23 13:59:54</t>
        </is>
      </c>
      <c r="N1414" t="inlineStr">
        <is>
          <t>system</t>
        </is>
      </c>
      <c r="O1414" t="inlineStr">
        <is>
          <t>2026-06-19 07:10:32</t>
        </is>
      </c>
      <c r="P1414" t="inlineStr">
        <is>
          <t>2026-06-19 07:10:32</t>
        </is>
      </c>
      <c r="Y1414" t="inlineStr">
        <is>
          <t>27760167563</t>
        </is>
      </c>
    </row>
    <row r="1415">
      <c r="A1415" t="inlineStr">
        <is>
          <t>14944321</t>
        </is>
      </c>
      <c r="B1415" t="inlineStr">
        <is>
          <t>896f85e3-7b5a-42b7-8b7c-faf3618777b0</t>
        </is>
      </c>
      <c r="D1415" t="inlineStr">
        <is>
          <t>30001087</t>
        </is>
      </c>
      <c r="E1415" t="inlineStr">
        <is>
          <t>ussd_funeral_leads_altitude_20260619</t>
        </is>
      </c>
      <c r="J1415" t="inlineStr">
        <is>
          <t>AA</t>
        </is>
      </c>
      <c r="K1415" t="inlineStr">
        <is>
          <t>Answering Machine Autodial</t>
        </is>
      </c>
      <c r="L1415" t="n">
        <v>3</v>
      </c>
      <c r="M1415" t="inlineStr">
        <is>
          <t>2026-06-23 13:59:54</t>
        </is>
      </c>
      <c r="N1415" t="inlineStr">
        <is>
          <t>system</t>
        </is>
      </c>
      <c r="O1415" t="inlineStr">
        <is>
          <t>2026-06-19 07:10:32</t>
        </is>
      </c>
      <c r="P1415" t="inlineStr">
        <is>
          <t>2026-06-19 07:10:32</t>
        </is>
      </c>
      <c r="Y1415" t="inlineStr">
        <is>
          <t>27608935707</t>
        </is>
      </c>
    </row>
    <row r="1416">
      <c r="A1416" t="inlineStr">
        <is>
          <t>14944322</t>
        </is>
      </c>
      <c r="B1416" t="inlineStr">
        <is>
          <t>fdd4882d-08a8-4e28-aee9-7b57a3e251db</t>
        </is>
      </c>
      <c r="D1416" t="inlineStr">
        <is>
          <t>30001087</t>
        </is>
      </c>
      <c r="E1416" t="inlineStr">
        <is>
          <t>ussd_funeral_leads_altitude_20260619</t>
        </is>
      </c>
      <c r="J1416" t="inlineStr">
        <is>
          <t>AA</t>
        </is>
      </c>
      <c r="K1416" t="inlineStr">
        <is>
          <t>Answering Machine Autodial</t>
        </is>
      </c>
      <c r="L1416" t="n">
        <v>3</v>
      </c>
      <c r="M1416" t="inlineStr">
        <is>
          <t>2026-06-23 13:59:54</t>
        </is>
      </c>
      <c r="N1416" t="inlineStr">
        <is>
          <t>system</t>
        </is>
      </c>
      <c r="O1416" t="inlineStr">
        <is>
          <t>2026-06-19 07:10:32</t>
        </is>
      </c>
      <c r="P1416" t="inlineStr">
        <is>
          <t>2026-06-19 07:10:32</t>
        </is>
      </c>
      <c r="Y1416" t="inlineStr">
        <is>
          <t>27794313316</t>
        </is>
      </c>
    </row>
    <row r="1417">
      <c r="A1417" t="inlineStr">
        <is>
          <t>14944325</t>
        </is>
      </c>
      <c r="B1417" t="inlineStr">
        <is>
          <t>fd980db4-b4fb-4915-8699-cbe3db642370</t>
        </is>
      </c>
      <c r="D1417" t="inlineStr">
        <is>
          <t>30001087</t>
        </is>
      </c>
      <c r="E1417" t="inlineStr">
        <is>
          <t>ussd_funeral_leads_altitude_20260619</t>
        </is>
      </c>
      <c r="J1417" t="inlineStr">
        <is>
          <t>AA</t>
        </is>
      </c>
      <c r="K1417" t="inlineStr">
        <is>
          <t>Answering Machine Autodial</t>
        </is>
      </c>
      <c r="L1417" t="n">
        <v>3</v>
      </c>
      <c r="M1417" t="inlineStr">
        <is>
          <t>2026-06-23 13:59:53</t>
        </is>
      </c>
      <c r="N1417" t="inlineStr">
        <is>
          <t>system</t>
        </is>
      </c>
      <c r="O1417" t="inlineStr">
        <is>
          <t>2026-06-19 07:10:32</t>
        </is>
      </c>
      <c r="P1417" t="inlineStr">
        <is>
          <t>2026-06-19 07:10:32</t>
        </is>
      </c>
      <c r="Y1417" t="inlineStr">
        <is>
          <t>27824114765</t>
        </is>
      </c>
    </row>
    <row r="1418">
      <c r="A1418" t="inlineStr">
        <is>
          <t>14944319</t>
        </is>
      </c>
      <c r="B1418" t="inlineStr">
        <is>
          <t>53fdd9e1-a2d3-405b-8dc8-7facaf3e1d4b</t>
        </is>
      </c>
      <c r="D1418" t="inlineStr">
        <is>
          <t>30001087</t>
        </is>
      </c>
      <c r="E1418" t="inlineStr">
        <is>
          <t>ussd_funeral_leads_altitude_20260619</t>
        </is>
      </c>
      <c r="J1418" t="inlineStr">
        <is>
          <t>AA</t>
        </is>
      </c>
      <c r="K1418" t="inlineStr">
        <is>
          <t>Answering Machine Autodial</t>
        </is>
      </c>
      <c r="L1418" t="n">
        <v>3</v>
      </c>
      <c r="M1418" t="inlineStr">
        <is>
          <t>2026-06-23 13:59:52</t>
        </is>
      </c>
      <c r="N1418" t="inlineStr">
        <is>
          <t>system</t>
        </is>
      </c>
      <c r="O1418" t="inlineStr">
        <is>
          <t>2026-06-19 07:10:32</t>
        </is>
      </c>
      <c r="P1418" t="inlineStr">
        <is>
          <t>2026-06-19 07:10:32</t>
        </is>
      </c>
      <c r="Y1418" t="inlineStr">
        <is>
          <t>27797857739</t>
        </is>
      </c>
    </row>
    <row r="1419">
      <c r="A1419" t="inlineStr">
        <is>
          <t>14944318</t>
        </is>
      </c>
      <c r="B1419" t="inlineStr">
        <is>
          <t>c3a98c96-236a-435e-b5e4-2c1b533e77d5</t>
        </is>
      </c>
      <c r="D1419" t="inlineStr">
        <is>
          <t>30001087</t>
        </is>
      </c>
      <c r="E1419" t="inlineStr">
        <is>
          <t>ussd_funeral_leads_altitude_20260619</t>
        </is>
      </c>
      <c r="J1419" t="inlineStr">
        <is>
          <t>AA</t>
        </is>
      </c>
      <c r="K1419" t="inlineStr">
        <is>
          <t>Answering Machine Autodial</t>
        </is>
      </c>
      <c r="L1419" t="n">
        <v>3</v>
      </c>
      <c r="M1419" t="inlineStr">
        <is>
          <t>2026-06-23 13:59:49</t>
        </is>
      </c>
      <c r="N1419" t="inlineStr">
        <is>
          <t>system</t>
        </is>
      </c>
      <c r="O1419" t="inlineStr">
        <is>
          <t>2026-06-19 07:10:32</t>
        </is>
      </c>
      <c r="P1419" t="inlineStr">
        <is>
          <t>2026-06-19 07:10:32</t>
        </is>
      </c>
      <c r="Y1419" t="inlineStr">
        <is>
          <t>27790338468</t>
        </is>
      </c>
    </row>
    <row r="1420">
      <c r="A1420" t="inlineStr">
        <is>
          <t>14944317</t>
        </is>
      </c>
      <c r="B1420" t="inlineStr">
        <is>
          <t>bef060c3-7220-4001-b4dd-b95204202eba</t>
        </is>
      </c>
      <c r="D1420" t="inlineStr">
        <is>
          <t>30001087</t>
        </is>
      </c>
      <c r="E1420" t="inlineStr">
        <is>
          <t>ussd_funeral_leads_altitude_20260619</t>
        </is>
      </c>
      <c r="J1420" t="inlineStr">
        <is>
          <t>ADC</t>
        </is>
      </c>
      <c r="K1420" t="inlineStr">
        <is>
          <t>Auto Dial Disconnected</t>
        </is>
      </c>
      <c r="L1420" t="n">
        <v>3</v>
      </c>
      <c r="M1420" t="inlineStr">
        <is>
          <t>2026-06-23 13:59:45</t>
        </is>
      </c>
      <c r="N1420" t="inlineStr">
        <is>
          <t>system</t>
        </is>
      </c>
      <c r="O1420" t="inlineStr">
        <is>
          <t>2026-06-19 07:10:32</t>
        </is>
      </c>
      <c r="P1420" t="inlineStr">
        <is>
          <t>2026-06-19 07:10:32</t>
        </is>
      </c>
      <c r="Y1420" t="inlineStr">
        <is>
          <t>27823566790</t>
        </is>
      </c>
    </row>
    <row r="1421">
      <c r="A1421" t="inlineStr">
        <is>
          <t>14944316</t>
        </is>
      </c>
      <c r="B1421" t="inlineStr">
        <is>
          <t>b86d83dc-49c1-4332-b6ba-303ff26e6ec6</t>
        </is>
      </c>
      <c r="D1421" t="inlineStr">
        <is>
          <t>30001087</t>
        </is>
      </c>
      <c r="E1421" t="inlineStr">
        <is>
          <t>ussd_funeral_leads_altitude_20260619</t>
        </is>
      </c>
      <c r="J1421" t="inlineStr">
        <is>
          <t>AA</t>
        </is>
      </c>
      <c r="K1421" t="inlineStr">
        <is>
          <t>Answering Machine Autodial</t>
        </is>
      </c>
      <c r="L1421" t="n">
        <v>3</v>
      </c>
      <c r="M1421" t="inlineStr">
        <is>
          <t>2026-06-23 13:59:43</t>
        </is>
      </c>
      <c r="N1421" t="inlineStr">
        <is>
          <t>system</t>
        </is>
      </c>
      <c r="O1421" t="inlineStr">
        <is>
          <t>2026-06-19 07:10:32</t>
        </is>
      </c>
      <c r="P1421" t="inlineStr">
        <is>
          <t>2026-06-19 07:10:32</t>
        </is>
      </c>
      <c r="Y1421" t="inlineStr">
        <is>
          <t>27768190585</t>
        </is>
      </c>
    </row>
    <row r="1422">
      <c r="A1422" t="inlineStr">
        <is>
          <t>14944314</t>
        </is>
      </c>
      <c r="B1422" t="inlineStr">
        <is>
          <t>1883fc79-acda-4e82-95c4-84d3696f7974</t>
        </is>
      </c>
      <c r="D1422" t="inlineStr">
        <is>
          <t>30001087</t>
        </is>
      </c>
      <c r="E1422" t="inlineStr">
        <is>
          <t>ussd_funeral_leads_altitude_20260619</t>
        </is>
      </c>
      <c r="J1422" t="inlineStr">
        <is>
          <t>AA</t>
        </is>
      </c>
      <c r="K1422" t="inlineStr">
        <is>
          <t>Answering Machine Autodial</t>
        </is>
      </c>
      <c r="L1422" t="n">
        <v>3</v>
      </c>
      <c r="M1422" t="inlineStr">
        <is>
          <t>2026-06-23 13:59:40</t>
        </is>
      </c>
      <c r="N1422" t="inlineStr">
        <is>
          <t>system</t>
        </is>
      </c>
      <c r="O1422" t="inlineStr">
        <is>
          <t>2026-06-19 07:10:32</t>
        </is>
      </c>
      <c r="P1422" t="inlineStr">
        <is>
          <t>2026-06-19 07:10:32</t>
        </is>
      </c>
      <c r="Y1422" t="inlineStr">
        <is>
          <t>27721348859</t>
        </is>
      </c>
    </row>
    <row r="1423">
      <c r="A1423" t="inlineStr">
        <is>
          <t>14944315</t>
        </is>
      </c>
      <c r="B1423" t="inlineStr">
        <is>
          <t>6be532e8-927c-4080-997e-e62378cf145d</t>
        </is>
      </c>
      <c r="D1423" t="inlineStr">
        <is>
          <t>30001087</t>
        </is>
      </c>
      <c r="E1423" t="inlineStr">
        <is>
          <t>ussd_funeral_leads_altitude_20260619</t>
        </is>
      </c>
      <c r="J1423" t="inlineStr">
        <is>
          <t>NA</t>
        </is>
      </c>
      <c r="K1423" t="inlineStr">
        <is>
          <t>No Answer Autodial</t>
        </is>
      </c>
      <c r="L1423" t="n">
        <v>3</v>
      </c>
      <c r="M1423" t="inlineStr">
        <is>
          <t>2026-06-23 13:59:40</t>
        </is>
      </c>
      <c r="N1423" t="inlineStr">
        <is>
          <t>system</t>
        </is>
      </c>
      <c r="O1423" t="inlineStr">
        <is>
          <t>2026-06-19 07:10:32</t>
        </is>
      </c>
      <c r="P1423" t="inlineStr">
        <is>
          <t>2026-06-19 07:10:32</t>
        </is>
      </c>
      <c r="Y1423" t="inlineStr">
        <is>
          <t>27794540422</t>
        </is>
      </c>
    </row>
    <row r="1424">
      <c r="A1424" t="inlineStr">
        <is>
          <t>14944313</t>
        </is>
      </c>
      <c r="B1424" t="inlineStr">
        <is>
          <t>048bca65-1827-4f92-a0d0-764fb8d9218f</t>
        </is>
      </c>
      <c r="D1424" t="inlineStr">
        <is>
          <t>30001087</t>
        </is>
      </c>
      <c r="E1424" t="inlineStr">
        <is>
          <t>ussd_funeral_leads_altitude_20260619</t>
        </is>
      </c>
      <c r="J1424" t="inlineStr">
        <is>
          <t>AA</t>
        </is>
      </c>
      <c r="K1424" t="inlineStr">
        <is>
          <t>Answering Machine Autodial</t>
        </is>
      </c>
      <c r="L1424" t="n">
        <v>3</v>
      </c>
      <c r="M1424" t="inlineStr">
        <is>
          <t>2026-06-23 13:59:39</t>
        </is>
      </c>
      <c r="N1424" t="inlineStr">
        <is>
          <t>system</t>
        </is>
      </c>
      <c r="O1424" t="inlineStr">
        <is>
          <t>2026-06-19 07:10:32</t>
        </is>
      </c>
      <c r="P1424" t="inlineStr">
        <is>
          <t>2026-06-19 07:10:32</t>
        </is>
      </c>
      <c r="Y1424" t="inlineStr">
        <is>
          <t>27766974405</t>
        </is>
      </c>
    </row>
    <row r="1425">
      <c r="A1425" t="inlineStr">
        <is>
          <t>14944312</t>
        </is>
      </c>
      <c r="B1425" t="inlineStr">
        <is>
          <t>41b0017d-96ba-477c-beb9-b5ea1241bdc5</t>
        </is>
      </c>
      <c r="D1425" t="inlineStr">
        <is>
          <t>30001087</t>
        </is>
      </c>
      <c r="E1425" t="inlineStr">
        <is>
          <t>ussd_funeral_leads_altitude_20260619</t>
        </is>
      </c>
      <c r="J1425" t="inlineStr">
        <is>
          <t>AA</t>
        </is>
      </c>
      <c r="K1425" t="inlineStr">
        <is>
          <t>Answering Machine Autodial</t>
        </is>
      </c>
      <c r="L1425" t="n">
        <v>3</v>
      </c>
      <c r="M1425" t="inlineStr">
        <is>
          <t>2026-06-23 13:59:37</t>
        </is>
      </c>
      <c r="N1425" t="inlineStr">
        <is>
          <t>system</t>
        </is>
      </c>
      <c r="O1425" t="inlineStr">
        <is>
          <t>2026-06-19 07:10:32</t>
        </is>
      </c>
      <c r="P1425" t="inlineStr">
        <is>
          <t>2026-06-19 07:10:32</t>
        </is>
      </c>
      <c r="Y1425" t="inlineStr">
        <is>
          <t>27665600384</t>
        </is>
      </c>
    </row>
    <row r="1426">
      <c r="A1426" t="inlineStr">
        <is>
          <t>14944311</t>
        </is>
      </c>
      <c r="B1426" t="inlineStr">
        <is>
          <t>9209c508-0e6d-49e3-94c7-c2e69973ee7f</t>
        </is>
      </c>
      <c r="D1426" t="inlineStr">
        <is>
          <t>30001087</t>
        </is>
      </c>
      <c r="E1426" t="inlineStr">
        <is>
          <t>ussd_funeral_leads_altitude_20260619</t>
        </is>
      </c>
      <c r="J1426" t="inlineStr">
        <is>
          <t>AE</t>
        </is>
      </c>
      <c r="K1426" t="inlineStr">
        <is>
          <t>Auto Engaged</t>
        </is>
      </c>
      <c r="L1426" t="n">
        <v>3</v>
      </c>
      <c r="M1426" t="inlineStr">
        <is>
          <t>2026-06-23 13:59:36</t>
        </is>
      </c>
      <c r="N1426" t="inlineStr">
        <is>
          <t>system</t>
        </is>
      </c>
      <c r="O1426" t="inlineStr">
        <is>
          <t>2026-06-19 07:10:32</t>
        </is>
      </c>
      <c r="P1426" t="inlineStr">
        <is>
          <t>2026-06-19 07:10:32</t>
        </is>
      </c>
      <c r="Y1426" t="inlineStr">
        <is>
          <t>27818653440</t>
        </is>
      </c>
    </row>
    <row r="1427">
      <c r="A1427" t="inlineStr">
        <is>
          <t>14944309</t>
        </is>
      </c>
      <c r="B1427" t="inlineStr">
        <is>
          <t>57b745fd-fcb8-4183-a245-3c61106cb754</t>
        </is>
      </c>
      <c r="D1427" t="inlineStr">
        <is>
          <t>30001087</t>
        </is>
      </c>
      <c r="E1427" t="inlineStr">
        <is>
          <t>ussd_funeral_leads_altitude_20260619</t>
        </is>
      </c>
      <c r="J1427" t="inlineStr">
        <is>
          <t>AE</t>
        </is>
      </c>
      <c r="K1427" t="inlineStr">
        <is>
          <t>Auto Engaged</t>
        </is>
      </c>
      <c r="L1427" t="n">
        <v>3</v>
      </c>
      <c r="M1427" t="inlineStr">
        <is>
          <t>2026-06-23 13:59:22</t>
        </is>
      </c>
      <c r="N1427" t="inlineStr">
        <is>
          <t>system</t>
        </is>
      </c>
      <c r="O1427" t="inlineStr">
        <is>
          <t>2026-06-19 07:10:32</t>
        </is>
      </c>
      <c r="P1427" t="inlineStr">
        <is>
          <t>2026-06-19 07:10:32</t>
        </is>
      </c>
      <c r="Y1427" t="inlineStr">
        <is>
          <t>27790766363</t>
        </is>
      </c>
    </row>
    <row r="1428">
      <c r="A1428" t="inlineStr">
        <is>
          <t>14944310</t>
        </is>
      </c>
      <c r="B1428" t="inlineStr">
        <is>
          <t>8d27aabd-89ac-42b7-8690-d0e381e6d07a</t>
        </is>
      </c>
      <c r="D1428" t="inlineStr">
        <is>
          <t>30001087</t>
        </is>
      </c>
      <c r="E1428" t="inlineStr">
        <is>
          <t>ussd_funeral_leads_altitude_20260619</t>
        </is>
      </c>
      <c r="J1428" t="inlineStr">
        <is>
          <t>AE</t>
        </is>
      </c>
      <c r="K1428" t="inlineStr">
        <is>
          <t>Auto Engaged</t>
        </is>
      </c>
      <c r="L1428" t="n">
        <v>3</v>
      </c>
      <c r="M1428" t="inlineStr">
        <is>
          <t>2026-06-23 13:59:22</t>
        </is>
      </c>
      <c r="N1428" t="inlineStr">
        <is>
          <t>system</t>
        </is>
      </c>
      <c r="O1428" t="inlineStr">
        <is>
          <t>2026-06-19 07:10:32</t>
        </is>
      </c>
      <c r="P1428" t="inlineStr">
        <is>
          <t>2026-06-19 07:10:32</t>
        </is>
      </c>
      <c r="Y1428" t="inlineStr">
        <is>
          <t>27662521436</t>
        </is>
      </c>
    </row>
    <row r="1429">
      <c r="A1429" t="inlineStr">
        <is>
          <t>14944304</t>
        </is>
      </c>
      <c r="B1429" t="inlineStr">
        <is>
          <t>ceb51fcd-a58d-4bd5-afea-d7fc36422725</t>
        </is>
      </c>
      <c r="D1429" t="inlineStr">
        <is>
          <t>30001087</t>
        </is>
      </c>
      <c r="E1429" t="inlineStr">
        <is>
          <t>ussd_funeral_leads_altitude_20260619</t>
        </is>
      </c>
      <c r="J1429" t="inlineStr">
        <is>
          <t>AA</t>
        </is>
      </c>
      <c r="K1429" t="inlineStr">
        <is>
          <t>Answering Machine Autodial</t>
        </is>
      </c>
      <c r="L1429" t="n">
        <v>3</v>
      </c>
      <c r="M1429" t="inlineStr">
        <is>
          <t>2026-06-23 13:59:21</t>
        </is>
      </c>
      <c r="N1429" t="inlineStr">
        <is>
          <t>system</t>
        </is>
      </c>
      <c r="O1429" t="inlineStr">
        <is>
          <t>2026-06-19 07:10:32</t>
        </is>
      </c>
      <c r="P1429" t="inlineStr">
        <is>
          <t>2026-06-19 07:10:32</t>
        </is>
      </c>
      <c r="Y1429" t="inlineStr">
        <is>
          <t>27795936583</t>
        </is>
      </c>
    </row>
    <row r="1430">
      <c r="A1430" t="inlineStr">
        <is>
          <t>14944306</t>
        </is>
      </c>
      <c r="B1430" t="inlineStr">
        <is>
          <t>dbbbadbb-4152-49e1-8fc9-7508de52c4dc</t>
        </is>
      </c>
      <c r="D1430" t="inlineStr">
        <is>
          <t>30001087</t>
        </is>
      </c>
      <c r="E1430" t="inlineStr">
        <is>
          <t>ussd_funeral_leads_altitude_20260619</t>
        </is>
      </c>
      <c r="J1430" t="inlineStr">
        <is>
          <t>AA</t>
        </is>
      </c>
      <c r="K1430" t="inlineStr">
        <is>
          <t>Answering Machine Autodial</t>
        </is>
      </c>
      <c r="L1430" t="n">
        <v>3</v>
      </c>
      <c r="M1430" t="inlineStr">
        <is>
          <t>2026-06-23 13:59:21</t>
        </is>
      </c>
      <c r="N1430" t="inlineStr">
        <is>
          <t>system</t>
        </is>
      </c>
      <c r="O1430" t="inlineStr">
        <is>
          <t>2026-06-19 07:10:32</t>
        </is>
      </c>
      <c r="P1430" t="inlineStr">
        <is>
          <t>2026-06-19 07:10:32</t>
        </is>
      </c>
      <c r="Y1430" t="inlineStr">
        <is>
          <t>27661610237</t>
        </is>
      </c>
    </row>
    <row r="1431">
      <c r="A1431" t="inlineStr">
        <is>
          <t>14944307</t>
        </is>
      </c>
      <c r="B1431" t="inlineStr">
        <is>
          <t>d9e212a5-7811-42fe-98c6-a3683130ab76</t>
        </is>
      </c>
      <c r="D1431" t="inlineStr">
        <is>
          <t>30001087</t>
        </is>
      </c>
      <c r="E1431" t="inlineStr">
        <is>
          <t>ussd_funeral_leads_altitude_20260619</t>
        </is>
      </c>
      <c r="J1431" t="inlineStr">
        <is>
          <t>ADC</t>
        </is>
      </c>
      <c r="K1431" t="inlineStr">
        <is>
          <t>Auto Dial Disconnected</t>
        </is>
      </c>
      <c r="L1431" t="n">
        <v>3</v>
      </c>
      <c r="M1431" t="inlineStr">
        <is>
          <t>2026-06-23 13:59:21</t>
        </is>
      </c>
      <c r="N1431" t="inlineStr">
        <is>
          <t>system</t>
        </is>
      </c>
      <c r="O1431" t="inlineStr">
        <is>
          <t>2026-06-19 07:10:32</t>
        </is>
      </c>
      <c r="P1431" t="inlineStr">
        <is>
          <t>2026-06-19 07:10:32</t>
        </is>
      </c>
      <c r="Y1431" t="inlineStr">
        <is>
          <t>27799755442</t>
        </is>
      </c>
    </row>
    <row r="1432">
      <c r="A1432" t="inlineStr">
        <is>
          <t>14944308</t>
        </is>
      </c>
      <c r="B1432" t="inlineStr">
        <is>
          <t>3115d97d-dc93-4c73-ae57-9a2074932fbe</t>
        </is>
      </c>
      <c r="D1432" t="inlineStr">
        <is>
          <t>30001087</t>
        </is>
      </c>
      <c r="E1432" t="inlineStr">
        <is>
          <t>ussd_funeral_leads_altitude_20260619</t>
        </is>
      </c>
      <c r="J1432" t="inlineStr">
        <is>
          <t>AA</t>
        </is>
      </c>
      <c r="K1432" t="inlineStr">
        <is>
          <t>Answering Machine Autodial</t>
        </is>
      </c>
      <c r="L1432" t="n">
        <v>3</v>
      </c>
      <c r="M1432" t="inlineStr">
        <is>
          <t>2026-06-23 13:59:21</t>
        </is>
      </c>
      <c r="N1432" t="inlineStr">
        <is>
          <t>system</t>
        </is>
      </c>
      <c r="O1432" t="inlineStr">
        <is>
          <t>2026-06-19 07:10:32</t>
        </is>
      </c>
      <c r="P1432" t="inlineStr">
        <is>
          <t>2026-06-19 07:10:32</t>
        </is>
      </c>
      <c r="Y1432" t="inlineStr">
        <is>
          <t>27728317382</t>
        </is>
      </c>
    </row>
    <row r="1433">
      <c r="A1433" t="inlineStr">
        <is>
          <t>14944352</t>
        </is>
      </c>
      <c r="B1433" t="inlineStr">
        <is>
          <t>b53bf246-b7bb-43c6-ac90-31531c1ef311</t>
        </is>
      </c>
      <c r="D1433" t="inlineStr">
        <is>
          <t>30001087</t>
        </is>
      </c>
      <c r="E1433" t="inlineStr">
        <is>
          <t>ussd_funeral_leads_altitude_20260619</t>
        </is>
      </c>
      <c r="J1433" t="inlineStr">
        <is>
          <t>AA</t>
        </is>
      </c>
      <c r="K1433" t="inlineStr">
        <is>
          <t>Answering Machine Autodial</t>
        </is>
      </c>
      <c r="L1433" t="n">
        <v>3</v>
      </c>
      <c r="M1433" t="inlineStr">
        <is>
          <t>2026-06-23 13:58:30</t>
        </is>
      </c>
      <c r="N1433" t="inlineStr">
        <is>
          <t>system</t>
        </is>
      </c>
      <c r="O1433" t="inlineStr">
        <is>
          <t>2026-06-19 07:10:32</t>
        </is>
      </c>
      <c r="P1433" t="inlineStr">
        <is>
          <t>2026-06-19 07:10:32</t>
        </is>
      </c>
      <c r="Y1433" t="inlineStr">
        <is>
          <t>27649165847</t>
        </is>
      </c>
    </row>
    <row r="1434">
      <c r="A1434" t="inlineStr">
        <is>
          <t>14944353</t>
        </is>
      </c>
      <c r="B1434" t="inlineStr">
        <is>
          <t>01cee82b-e173-46b3-9fbb-b7a241eb6dce</t>
        </is>
      </c>
      <c r="D1434" t="inlineStr">
        <is>
          <t>30001087</t>
        </is>
      </c>
      <c r="E1434" t="inlineStr">
        <is>
          <t>ussd_funeral_leads_altitude_20260619</t>
        </is>
      </c>
      <c r="J1434" t="inlineStr">
        <is>
          <t>AA</t>
        </is>
      </c>
      <c r="K1434" t="inlineStr">
        <is>
          <t>Answering Machine Autodial</t>
        </is>
      </c>
      <c r="L1434" t="n">
        <v>3</v>
      </c>
      <c r="M1434" t="inlineStr">
        <is>
          <t>2026-06-23 13:58:29</t>
        </is>
      </c>
      <c r="N1434" t="inlineStr">
        <is>
          <t>system</t>
        </is>
      </c>
      <c r="O1434" t="inlineStr">
        <is>
          <t>2026-06-19 07:10:32</t>
        </is>
      </c>
      <c r="P1434" t="inlineStr">
        <is>
          <t>2026-06-19 07:10:32</t>
        </is>
      </c>
      <c r="Y1434" t="inlineStr">
        <is>
          <t>27766579381</t>
        </is>
      </c>
    </row>
    <row r="1435">
      <c r="A1435" t="inlineStr">
        <is>
          <t>14944347</t>
        </is>
      </c>
      <c r="B1435" t="inlineStr">
        <is>
          <t>6901177f-69f6-4544-a2ab-7d4410112ac1</t>
        </is>
      </c>
      <c r="D1435" t="inlineStr">
        <is>
          <t>30001087</t>
        </is>
      </c>
      <c r="E1435" t="inlineStr">
        <is>
          <t>ussd_funeral_leads_altitude_20260619</t>
        </is>
      </c>
      <c r="J1435" t="inlineStr">
        <is>
          <t>AA</t>
        </is>
      </c>
      <c r="K1435" t="inlineStr">
        <is>
          <t>Answering Machine Autodial</t>
        </is>
      </c>
      <c r="L1435" t="n">
        <v>3</v>
      </c>
      <c r="M1435" t="inlineStr">
        <is>
          <t>2026-06-23 13:58:25</t>
        </is>
      </c>
      <c r="N1435" t="inlineStr">
        <is>
          <t>system</t>
        </is>
      </c>
      <c r="O1435" t="inlineStr">
        <is>
          <t>2026-06-19 07:10:32</t>
        </is>
      </c>
      <c r="P1435" t="inlineStr">
        <is>
          <t>2026-06-19 07:10:32</t>
        </is>
      </c>
      <c r="Y1435" t="inlineStr">
        <is>
          <t>27714830915</t>
        </is>
      </c>
    </row>
    <row r="1436">
      <c r="A1436" t="inlineStr">
        <is>
          <t>14944344</t>
        </is>
      </c>
      <c r="B1436" t="inlineStr">
        <is>
          <t>2b0497c9-6d0d-487b-9297-f46727a08de9</t>
        </is>
      </c>
      <c r="D1436" t="inlineStr">
        <is>
          <t>30001087</t>
        </is>
      </c>
      <c r="E1436" t="inlineStr">
        <is>
          <t>ussd_funeral_leads_altitude_20260619</t>
        </is>
      </c>
      <c r="J1436" t="inlineStr">
        <is>
          <t>ADC</t>
        </is>
      </c>
      <c r="K1436" t="inlineStr">
        <is>
          <t>Auto Dial Disconnected</t>
        </is>
      </c>
      <c r="L1436" t="n">
        <v>3</v>
      </c>
      <c r="M1436" t="inlineStr">
        <is>
          <t>2026-06-23 13:58:24</t>
        </is>
      </c>
      <c r="N1436" t="inlineStr">
        <is>
          <t>system</t>
        </is>
      </c>
      <c r="O1436" t="inlineStr">
        <is>
          <t>2026-06-19 07:10:32</t>
        </is>
      </c>
      <c r="P1436" t="inlineStr">
        <is>
          <t>2026-06-19 07:10:32</t>
        </is>
      </c>
      <c r="Y1436" t="inlineStr">
        <is>
          <t>27713041532</t>
        </is>
      </c>
    </row>
    <row r="1437">
      <c r="A1437" t="inlineStr">
        <is>
          <t>14944340</t>
        </is>
      </c>
      <c r="B1437" t="inlineStr">
        <is>
          <t>64bf8235-3162-424c-a962-48e666f6213b</t>
        </is>
      </c>
      <c r="D1437" t="inlineStr">
        <is>
          <t>30001087</t>
        </is>
      </c>
      <c r="E1437" t="inlineStr">
        <is>
          <t>ussd_funeral_leads_altitude_20260619</t>
        </is>
      </c>
      <c r="J1437" t="inlineStr">
        <is>
          <t>AA</t>
        </is>
      </c>
      <c r="K1437" t="inlineStr">
        <is>
          <t>Answering Machine Autodial</t>
        </is>
      </c>
      <c r="L1437" t="n">
        <v>3</v>
      </c>
      <c r="M1437" t="inlineStr">
        <is>
          <t>2026-06-23 13:58:18</t>
        </is>
      </c>
      <c r="N1437" t="inlineStr">
        <is>
          <t>system</t>
        </is>
      </c>
      <c r="O1437" t="inlineStr">
        <is>
          <t>2026-06-19 07:10:32</t>
        </is>
      </c>
      <c r="P1437" t="inlineStr">
        <is>
          <t>2026-06-19 07:10:32</t>
        </is>
      </c>
      <c r="Y1437" t="inlineStr">
        <is>
          <t>27637067538</t>
        </is>
      </c>
    </row>
    <row r="1438">
      <c r="A1438" t="inlineStr">
        <is>
          <t>14944341</t>
        </is>
      </c>
      <c r="B1438" t="inlineStr">
        <is>
          <t>eed4cc75-081f-4314-af62-c3f96ba48b42</t>
        </is>
      </c>
      <c r="D1438" t="inlineStr">
        <is>
          <t>30001087</t>
        </is>
      </c>
      <c r="E1438" t="inlineStr">
        <is>
          <t>ussd_funeral_leads_altitude_20260619</t>
        </is>
      </c>
      <c r="J1438" t="inlineStr">
        <is>
          <t>CBACK</t>
        </is>
      </c>
      <c r="K1438" t="inlineStr">
        <is>
          <t>Callback</t>
        </is>
      </c>
      <c r="L1438" t="n">
        <v>3</v>
      </c>
      <c r="M1438" t="inlineStr">
        <is>
          <t>2026-06-23 13:58:18</t>
        </is>
      </c>
      <c r="N1438" t="inlineStr">
        <is>
          <t>Gontse Monageng</t>
        </is>
      </c>
      <c r="O1438" t="inlineStr">
        <is>
          <t>2026-06-19 07:10:32</t>
        </is>
      </c>
      <c r="P1438" t="inlineStr">
        <is>
          <t>2026-06-19 07:10:32</t>
        </is>
      </c>
      <c r="Y1438" t="inlineStr">
        <is>
          <t>27796061724</t>
        </is>
      </c>
    </row>
    <row r="1439">
      <c r="A1439" t="inlineStr">
        <is>
          <t>14944342</t>
        </is>
      </c>
      <c r="B1439" t="inlineStr">
        <is>
          <t>88a8c772-0456-4588-9ba1-c2021bd3238c</t>
        </is>
      </c>
      <c r="D1439" t="inlineStr">
        <is>
          <t>30001087</t>
        </is>
      </c>
      <c r="E1439" t="inlineStr">
        <is>
          <t>ussd_funeral_leads_altitude_20260619</t>
        </is>
      </c>
      <c r="J1439" t="inlineStr">
        <is>
          <t>NA</t>
        </is>
      </c>
      <c r="K1439" t="inlineStr">
        <is>
          <t>No Answer Autodial</t>
        </is>
      </c>
      <c r="L1439" t="n">
        <v>3</v>
      </c>
      <c r="M1439" t="inlineStr">
        <is>
          <t>2026-06-23 13:58:18</t>
        </is>
      </c>
      <c r="N1439" t="inlineStr">
        <is>
          <t>system</t>
        </is>
      </c>
      <c r="O1439" t="inlineStr">
        <is>
          <t>2026-06-19 07:10:32</t>
        </is>
      </c>
      <c r="P1439" t="inlineStr">
        <is>
          <t>2026-06-19 07:10:32</t>
        </is>
      </c>
      <c r="Y1439" t="inlineStr">
        <is>
          <t>27674311744</t>
        </is>
      </c>
    </row>
    <row r="1440">
      <c r="A1440" t="inlineStr">
        <is>
          <t>14944343</t>
        </is>
      </c>
      <c r="B1440" t="inlineStr">
        <is>
          <t>2d075db9-d6c1-456e-839c-3f1468ea4d3f</t>
        </is>
      </c>
      <c r="D1440" t="inlineStr">
        <is>
          <t>30001087</t>
        </is>
      </c>
      <c r="E1440" t="inlineStr">
        <is>
          <t>ussd_funeral_leads_altitude_20260619</t>
        </is>
      </c>
      <c r="J1440" t="inlineStr">
        <is>
          <t>ADC</t>
        </is>
      </c>
      <c r="K1440" t="inlineStr">
        <is>
          <t>Auto Dial Disconnected</t>
        </is>
      </c>
      <c r="L1440" t="n">
        <v>3</v>
      </c>
      <c r="M1440" t="inlineStr">
        <is>
          <t>2026-06-23 13:58:18</t>
        </is>
      </c>
      <c r="N1440" t="inlineStr">
        <is>
          <t>system</t>
        </is>
      </c>
      <c r="O1440" t="inlineStr">
        <is>
          <t>2026-06-19 07:10:32</t>
        </is>
      </c>
      <c r="P1440" t="inlineStr">
        <is>
          <t>2026-06-19 07:10:32</t>
        </is>
      </c>
      <c r="Y1440" t="inlineStr">
        <is>
          <t>27790937869</t>
        </is>
      </c>
    </row>
    <row r="1441">
      <c r="A1441" t="inlineStr">
        <is>
          <t>14944338</t>
        </is>
      </c>
      <c r="B1441" t="inlineStr">
        <is>
          <t>191d9799-6560-4dc7-a626-3e03be9ed728</t>
        </is>
      </c>
      <c r="D1441" t="inlineStr">
        <is>
          <t>30001087</t>
        </is>
      </c>
      <c r="E1441" t="inlineStr">
        <is>
          <t>ussd_funeral_leads_altitude_20260619</t>
        </is>
      </c>
      <c r="J1441" t="inlineStr">
        <is>
          <t>AA</t>
        </is>
      </c>
      <c r="K1441" t="inlineStr">
        <is>
          <t>Answering Machine Autodial</t>
        </is>
      </c>
      <c r="L1441" t="n">
        <v>3</v>
      </c>
      <c r="M1441" t="inlineStr">
        <is>
          <t>2026-06-23 13:58:17</t>
        </is>
      </c>
      <c r="N1441" t="inlineStr">
        <is>
          <t>system</t>
        </is>
      </c>
      <c r="O1441" t="inlineStr">
        <is>
          <t>2026-06-19 07:10:32</t>
        </is>
      </c>
      <c r="P1441" t="inlineStr">
        <is>
          <t>2026-06-19 07:10:32</t>
        </is>
      </c>
      <c r="Y1441" t="inlineStr">
        <is>
          <t>27674515482</t>
        </is>
      </c>
    </row>
    <row r="1442">
      <c r="A1442" t="inlineStr">
        <is>
          <t>14944339</t>
        </is>
      </c>
      <c r="B1442" t="inlineStr">
        <is>
          <t>60481b7e-746b-44ea-a3a3-bc22f04c6db2</t>
        </is>
      </c>
      <c r="D1442" t="inlineStr">
        <is>
          <t>30001087</t>
        </is>
      </c>
      <c r="E1442" t="inlineStr">
        <is>
          <t>ussd_funeral_leads_altitude_20260619</t>
        </is>
      </c>
      <c r="J1442" t="inlineStr">
        <is>
          <t>CU</t>
        </is>
      </c>
      <c r="K1442" t="inlineStr">
        <is>
          <t>Client Hung Up</t>
        </is>
      </c>
      <c r="L1442" t="n">
        <v>3</v>
      </c>
      <c r="M1442" t="inlineStr">
        <is>
          <t>2026-06-23 13:58:17</t>
        </is>
      </c>
      <c r="N1442" t="inlineStr">
        <is>
          <t>Dimakatso Nkomo</t>
        </is>
      </c>
      <c r="O1442" t="inlineStr">
        <is>
          <t>2026-06-19 07:10:32</t>
        </is>
      </c>
      <c r="P1442" t="inlineStr">
        <is>
          <t>2026-06-19 07:10:32</t>
        </is>
      </c>
      <c r="Y1442" t="inlineStr">
        <is>
          <t>27608405140</t>
        </is>
      </c>
    </row>
    <row r="1443">
      <c r="A1443" t="inlineStr">
        <is>
          <t>14948042</t>
        </is>
      </c>
      <c r="B1443" t="inlineStr">
        <is>
          <t>dc412983-1f25-4ee2-8b82-87493a060ac3</t>
        </is>
      </c>
      <c r="D1443" t="inlineStr">
        <is>
          <t>30001087</t>
        </is>
      </c>
      <c r="E1443" t="inlineStr">
        <is>
          <t>ussd_funeral_leads_altitude_20260619</t>
        </is>
      </c>
      <c r="J1443" t="inlineStr">
        <is>
          <t>TDN</t>
        </is>
      </c>
      <c r="K1443" t="inlineStr">
        <is>
          <t>Temporary Disconnected Number</t>
        </is>
      </c>
      <c r="L1443" t="n">
        <v>3</v>
      </c>
      <c r="M1443" t="inlineStr">
        <is>
          <t>2026-06-23 13:58:12</t>
        </is>
      </c>
      <c r="N1443" t="inlineStr">
        <is>
          <t>system</t>
        </is>
      </c>
      <c r="O1443" t="inlineStr">
        <is>
          <t>2026-06-19 07:10:32</t>
        </is>
      </c>
      <c r="P1443" t="inlineStr">
        <is>
          <t>2026-06-19 07:10:32</t>
        </is>
      </c>
      <c r="Y1443" t="inlineStr">
        <is>
          <t>27822049002</t>
        </is>
      </c>
    </row>
    <row r="1444">
      <c r="A1444" t="inlineStr">
        <is>
          <t>14948043</t>
        </is>
      </c>
      <c r="B1444" t="inlineStr">
        <is>
          <t>c1a051c4-338e-41b8-bc38-9cc8d379c741</t>
        </is>
      </c>
      <c r="D1444" t="inlineStr">
        <is>
          <t>30001087</t>
        </is>
      </c>
      <c r="E1444" t="inlineStr">
        <is>
          <t>ussd_funeral_leads_altitude_20260619</t>
        </is>
      </c>
      <c r="J1444" t="inlineStr">
        <is>
          <t>ADC</t>
        </is>
      </c>
      <c r="K1444" t="inlineStr">
        <is>
          <t>Auto Dial Disconnected</t>
        </is>
      </c>
      <c r="L1444" t="n">
        <v>3</v>
      </c>
      <c r="M1444" t="inlineStr">
        <is>
          <t>2026-06-23 13:58:09</t>
        </is>
      </c>
      <c r="N1444" t="inlineStr">
        <is>
          <t>system</t>
        </is>
      </c>
      <c r="O1444" t="inlineStr">
        <is>
          <t>2026-06-19 07:10:32</t>
        </is>
      </c>
      <c r="P1444" t="inlineStr">
        <is>
          <t>2026-06-19 07:10:32</t>
        </is>
      </c>
      <c r="Y1444" t="inlineStr">
        <is>
          <t>27728631034</t>
        </is>
      </c>
    </row>
    <row r="1445">
      <c r="A1445" t="inlineStr">
        <is>
          <t>14948044</t>
        </is>
      </c>
      <c r="B1445" t="inlineStr">
        <is>
          <t>f1467f5c-740b-46b0-bf9c-804a85695739</t>
        </is>
      </c>
      <c r="D1445" t="inlineStr">
        <is>
          <t>30001087</t>
        </is>
      </c>
      <c r="E1445" t="inlineStr">
        <is>
          <t>ussd_funeral_leads_altitude_20260619</t>
        </is>
      </c>
      <c r="J1445" t="inlineStr">
        <is>
          <t>AA</t>
        </is>
      </c>
      <c r="K1445" t="inlineStr">
        <is>
          <t>Answering Machine Autodial</t>
        </is>
      </c>
      <c r="L1445" t="n">
        <v>3</v>
      </c>
      <c r="M1445" t="inlineStr">
        <is>
          <t>2026-06-23 13:58:09</t>
        </is>
      </c>
      <c r="N1445" t="inlineStr">
        <is>
          <t>system</t>
        </is>
      </c>
      <c r="O1445" t="inlineStr">
        <is>
          <t>2026-06-19 07:10:32</t>
        </is>
      </c>
      <c r="P1445" t="inlineStr">
        <is>
          <t>2026-06-19 07:10:32</t>
        </is>
      </c>
      <c r="Y1445" t="inlineStr">
        <is>
          <t>27773652881</t>
        </is>
      </c>
    </row>
    <row r="1446">
      <c r="A1446" t="inlineStr">
        <is>
          <t>14948045</t>
        </is>
      </c>
      <c r="B1446" t="inlineStr">
        <is>
          <t>963197ea-4464-49c4-b5fe-3ebb2caca0d5</t>
        </is>
      </c>
      <c r="D1446" t="inlineStr">
        <is>
          <t>30001087</t>
        </is>
      </c>
      <c r="E1446" t="inlineStr">
        <is>
          <t>ussd_funeral_leads_altitude_20260619</t>
        </is>
      </c>
      <c r="J1446" t="inlineStr">
        <is>
          <t>NA</t>
        </is>
      </c>
      <c r="K1446" t="inlineStr">
        <is>
          <t>No Answer Autodial</t>
        </is>
      </c>
      <c r="L1446" t="n">
        <v>3</v>
      </c>
      <c r="M1446" t="inlineStr">
        <is>
          <t>2026-06-23 13:58:07</t>
        </is>
      </c>
      <c r="N1446" t="inlineStr">
        <is>
          <t>system</t>
        </is>
      </c>
      <c r="O1446" t="inlineStr">
        <is>
          <t>2026-06-19 07:10:32</t>
        </is>
      </c>
      <c r="P1446" t="inlineStr">
        <is>
          <t>2026-06-19 07:10:32</t>
        </is>
      </c>
      <c r="Y1446" t="inlineStr">
        <is>
          <t>27828443421</t>
        </is>
      </c>
    </row>
    <row r="1447">
      <c r="A1447" t="inlineStr">
        <is>
          <t>14948048</t>
        </is>
      </c>
      <c r="B1447" t="inlineStr">
        <is>
          <t>c4dbcfdd-a050-4b62-ac51-3d580dc4824b</t>
        </is>
      </c>
      <c r="D1447" t="inlineStr">
        <is>
          <t>30001087</t>
        </is>
      </c>
      <c r="E1447" t="inlineStr">
        <is>
          <t>ussd_funeral_leads_altitude_20260619</t>
        </is>
      </c>
      <c r="J1447" t="inlineStr">
        <is>
          <t>AA</t>
        </is>
      </c>
      <c r="K1447" t="inlineStr">
        <is>
          <t>Answering Machine Autodial</t>
        </is>
      </c>
      <c r="L1447" t="n">
        <v>3</v>
      </c>
      <c r="M1447" t="inlineStr">
        <is>
          <t>2026-06-23 13:58:05</t>
        </is>
      </c>
      <c r="N1447" t="inlineStr">
        <is>
          <t>system</t>
        </is>
      </c>
      <c r="O1447" t="inlineStr">
        <is>
          <t>2026-06-19 07:10:32</t>
        </is>
      </c>
      <c r="P1447" t="inlineStr">
        <is>
          <t>2026-06-19 07:10:32</t>
        </is>
      </c>
      <c r="Y1447" t="inlineStr">
        <is>
          <t>27772572282</t>
        </is>
      </c>
    </row>
    <row r="1448">
      <c r="A1448" t="inlineStr">
        <is>
          <t>14948049</t>
        </is>
      </c>
      <c r="B1448" t="inlineStr">
        <is>
          <t>8da2fdd2-a822-4619-9cd3-f875f16d808c</t>
        </is>
      </c>
      <c r="D1448" t="inlineStr">
        <is>
          <t>30001087</t>
        </is>
      </c>
      <c r="E1448" t="inlineStr">
        <is>
          <t>ussd_funeral_leads_altitude_20260619</t>
        </is>
      </c>
      <c r="J1448" t="inlineStr">
        <is>
          <t>ADC</t>
        </is>
      </c>
      <c r="K1448" t="inlineStr">
        <is>
          <t>Auto Dial Disconnected</t>
        </is>
      </c>
      <c r="L1448" t="n">
        <v>3</v>
      </c>
      <c r="M1448" t="inlineStr">
        <is>
          <t>2026-06-23 13:58:00</t>
        </is>
      </c>
      <c r="N1448" t="inlineStr">
        <is>
          <t>system</t>
        </is>
      </c>
      <c r="O1448" t="inlineStr">
        <is>
          <t>2026-06-19 07:10:32</t>
        </is>
      </c>
      <c r="P1448" t="inlineStr">
        <is>
          <t>2026-06-19 07:10:32</t>
        </is>
      </c>
      <c r="Y1448" t="inlineStr">
        <is>
          <t>27729056684</t>
        </is>
      </c>
    </row>
    <row r="1449">
      <c r="A1449" t="inlineStr">
        <is>
          <t>14948050</t>
        </is>
      </c>
      <c r="B1449" t="inlineStr">
        <is>
          <t>89a045bd-0ad5-423e-8310-55564994db7d</t>
        </is>
      </c>
      <c r="D1449" t="inlineStr">
        <is>
          <t>30001087</t>
        </is>
      </c>
      <c r="E1449" t="inlineStr">
        <is>
          <t>ussd_funeral_leads_altitude_20260619</t>
        </is>
      </c>
      <c r="J1449" t="inlineStr">
        <is>
          <t>AA</t>
        </is>
      </c>
      <c r="K1449" t="inlineStr">
        <is>
          <t>Answering Machine Autodial</t>
        </is>
      </c>
      <c r="L1449" t="n">
        <v>3</v>
      </c>
      <c r="M1449" t="inlineStr">
        <is>
          <t>2026-06-23 13:57:54</t>
        </is>
      </c>
      <c r="N1449" t="inlineStr">
        <is>
          <t>system</t>
        </is>
      </c>
      <c r="O1449" t="inlineStr">
        <is>
          <t>2026-06-19 07:10:32</t>
        </is>
      </c>
      <c r="P1449" t="inlineStr">
        <is>
          <t>2026-06-19 07:10:32</t>
        </is>
      </c>
      <c r="Y1449" t="inlineStr">
        <is>
          <t>27714681804</t>
        </is>
      </c>
    </row>
    <row r="1450">
      <c r="A1450" t="inlineStr">
        <is>
          <t>14948051</t>
        </is>
      </c>
      <c r="B1450" t="inlineStr">
        <is>
          <t>b2354179-d961-48fa-8d36-79b4d34ddb3a</t>
        </is>
      </c>
      <c r="D1450" t="inlineStr">
        <is>
          <t>30001087</t>
        </is>
      </c>
      <c r="E1450" t="inlineStr">
        <is>
          <t>ussd_funeral_leads_altitude_20260619</t>
        </is>
      </c>
      <c r="J1450" t="inlineStr">
        <is>
          <t>ADC</t>
        </is>
      </c>
      <c r="K1450" t="inlineStr">
        <is>
          <t>Auto Dial Disconnected</t>
        </is>
      </c>
      <c r="L1450" t="n">
        <v>3</v>
      </c>
      <c r="M1450" t="inlineStr">
        <is>
          <t>2026-06-23 13:57:46</t>
        </is>
      </c>
      <c r="N1450" t="inlineStr">
        <is>
          <t>system</t>
        </is>
      </c>
      <c r="O1450" t="inlineStr">
        <is>
          <t>2026-06-19 07:10:32</t>
        </is>
      </c>
      <c r="P1450" t="inlineStr">
        <is>
          <t>2026-06-19 07:10:32</t>
        </is>
      </c>
      <c r="Y1450" t="inlineStr">
        <is>
          <t>27674065123</t>
        </is>
      </c>
    </row>
    <row r="1451">
      <c r="A1451" t="inlineStr">
        <is>
          <t>14948052</t>
        </is>
      </c>
      <c r="B1451" t="inlineStr">
        <is>
          <t>07e60e70-7591-4286-9cac-dd37b1ca1077</t>
        </is>
      </c>
      <c r="D1451" t="inlineStr">
        <is>
          <t>30001087</t>
        </is>
      </c>
      <c r="E1451" t="inlineStr">
        <is>
          <t>ussd_funeral_leads_altitude_20260619</t>
        </is>
      </c>
      <c r="J1451" t="inlineStr">
        <is>
          <t>ADC</t>
        </is>
      </c>
      <c r="K1451" t="inlineStr">
        <is>
          <t>Auto Dial Disconnected</t>
        </is>
      </c>
      <c r="L1451" t="n">
        <v>3</v>
      </c>
      <c r="M1451" t="inlineStr">
        <is>
          <t>2026-06-23 13:57:46</t>
        </is>
      </c>
      <c r="N1451" t="inlineStr">
        <is>
          <t>system</t>
        </is>
      </c>
      <c r="O1451" t="inlineStr">
        <is>
          <t>2026-06-19 07:10:32</t>
        </is>
      </c>
      <c r="P1451" t="inlineStr">
        <is>
          <t>2026-06-19 07:10:32</t>
        </is>
      </c>
      <c r="Y1451" t="inlineStr">
        <is>
          <t>27823220346</t>
        </is>
      </c>
    </row>
    <row r="1452">
      <c r="A1452" t="inlineStr">
        <is>
          <t>14948053</t>
        </is>
      </c>
      <c r="B1452" t="inlineStr">
        <is>
          <t>20bf1330-e805-48a0-88f4-855c3e79147d</t>
        </is>
      </c>
      <c r="D1452" t="inlineStr">
        <is>
          <t>30001087</t>
        </is>
      </c>
      <c r="E1452" t="inlineStr">
        <is>
          <t>ussd_funeral_leads_altitude_20260619</t>
        </is>
      </c>
      <c r="J1452" t="inlineStr">
        <is>
          <t>NA</t>
        </is>
      </c>
      <c r="K1452" t="inlineStr">
        <is>
          <t>No Answer Autodial</t>
        </is>
      </c>
      <c r="L1452" t="n">
        <v>3</v>
      </c>
      <c r="M1452" t="inlineStr">
        <is>
          <t>2026-06-23 13:57:22</t>
        </is>
      </c>
      <c r="N1452" t="inlineStr">
        <is>
          <t>system</t>
        </is>
      </c>
      <c r="O1452" t="inlineStr">
        <is>
          <t>2026-06-19 07:10:32</t>
        </is>
      </c>
      <c r="P1452" t="inlineStr">
        <is>
          <t>2026-06-19 07:10:32</t>
        </is>
      </c>
      <c r="Y1452" t="inlineStr">
        <is>
          <t>27829273954</t>
        </is>
      </c>
    </row>
    <row r="1453">
      <c r="A1453" t="inlineStr">
        <is>
          <t>14948054</t>
        </is>
      </c>
      <c r="B1453" t="inlineStr">
        <is>
          <t>0fa946e6-007d-42cf-b34a-7e91dfbc14d9</t>
        </is>
      </c>
      <c r="D1453" t="inlineStr">
        <is>
          <t>30001087</t>
        </is>
      </c>
      <c r="E1453" t="inlineStr">
        <is>
          <t>ussd_funeral_leads_altitude_20260619</t>
        </is>
      </c>
      <c r="J1453" t="inlineStr">
        <is>
          <t>AA</t>
        </is>
      </c>
      <c r="K1453" t="inlineStr">
        <is>
          <t>Answering Machine Autodial</t>
        </is>
      </c>
      <c r="L1453" t="n">
        <v>3</v>
      </c>
      <c r="M1453" t="inlineStr">
        <is>
          <t>2026-06-23 13:57:21</t>
        </is>
      </c>
      <c r="N1453" t="inlineStr">
        <is>
          <t>system</t>
        </is>
      </c>
      <c r="O1453" t="inlineStr">
        <is>
          <t>2026-06-19 07:10:32</t>
        </is>
      </c>
      <c r="P1453" t="inlineStr">
        <is>
          <t>2026-06-19 07:10:32</t>
        </is>
      </c>
      <c r="Y1453" t="inlineStr">
        <is>
          <t>27768928738</t>
        </is>
      </c>
    </row>
    <row r="1454">
      <c r="A1454" t="inlineStr">
        <is>
          <t>14948055</t>
        </is>
      </c>
      <c r="B1454" t="inlineStr">
        <is>
          <t>2ea8fef9-1ff0-442b-8267-541033758b31</t>
        </is>
      </c>
      <c r="D1454" t="inlineStr">
        <is>
          <t>30001087</t>
        </is>
      </c>
      <c r="E1454" t="inlineStr">
        <is>
          <t>ussd_funeral_leads_altitude_20260619</t>
        </is>
      </c>
      <c r="J1454" t="inlineStr">
        <is>
          <t>AA</t>
        </is>
      </c>
      <c r="K1454" t="inlineStr">
        <is>
          <t>Answering Machine Autodial</t>
        </is>
      </c>
      <c r="L1454" t="n">
        <v>3</v>
      </c>
      <c r="M1454" t="inlineStr">
        <is>
          <t>2026-06-23 13:57:17</t>
        </is>
      </c>
      <c r="N1454" t="inlineStr">
        <is>
          <t>system</t>
        </is>
      </c>
      <c r="O1454" t="inlineStr">
        <is>
          <t>2026-06-19 07:10:32</t>
        </is>
      </c>
      <c r="P1454" t="inlineStr">
        <is>
          <t>2026-06-19 07:10:32</t>
        </is>
      </c>
      <c r="Y1454" t="inlineStr">
        <is>
          <t>27664993003</t>
        </is>
      </c>
    </row>
    <row r="1455">
      <c r="A1455" t="inlineStr">
        <is>
          <t>14948056</t>
        </is>
      </c>
      <c r="B1455" t="inlineStr">
        <is>
          <t>048c6e28-8ed6-49dc-bc5a-29e29d2f4ecc</t>
        </is>
      </c>
      <c r="D1455" t="inlineStr">
        <is>
          <t>30001087</t>
        </is>
      </c>
      <c r="E1455" t="inlineStr">
        <is>
          <t>ussd_funeral_leads_altitude_20260619</t>
        </is>
      </c>
      <c r="J1455" t="inlineStr">
        <is>
          <t>AA</t>
        </is>
      </c>
      <c r="K1455" t="inlineStr">
        <is>
          <t>Answering Machine Autodial</t>
        </is>
      </c>
      <c r="L1455" t="n">
        <v>3</v>
      </c>
      <c r="M1455" t="inlineStr">
        <is>
          <t>2026-06-23 13:57:16</t>
        </is>
      </c>
      <c r="N1455" t="inlineStr">
        <is>
          <t>system</t>
        </is>
      </c>
      <c r="O1455" t="inlineStr">
        <is>
          <t>2026-06-19 07:10:32</t>
        </is>
      </c>
      <c r="P1455" t="inlineStr">
        <is>
          <t>2026-06-19 07:10:32</t>
        </is>
      </c>
      <c r="Y1455" t="inlineStr">
        <is>
          <t>27716103379</t>
        </is>
      </c>
    </row>
    <row r="1456">
      <c r="A1456" t="inlineStr">
        <is>
          <t>14948057</t>
        </is>
      </c>
      <c r="B1456" t="inlineStr">
        <is>
          <t>fae11f98-ed6c-49d3-a97d-856ef119640f</t>
        </is>
      </c>
      <c r="D1456" t="inlineStr">
        <is>
          <t>30001087</t>
        </is>
      </c>
      <c r="E1456" t="inlineStr">
        <is>
          <t>ussd_funeral_leads_altitude_20260619</t>
        </is>
      </c>
      <c r="H1456" t="inlineStr">
        <is>
          <t>27722582718</t>
        </is>
      </c>
      <c r="J1456" t="inlineStr">
        <is>
          <t>NA</t>
        </is>
      </c>
      <c r="K1456" t="inlineStr">
        <is>
          <t>No Answer Autodial</t>
        </is>
      </c>
      <c r="L1456" t="n">
        <v>3</v>
      </c>
      <c r="M1456" t="inlineStr">
        <is>
          <t>2026-06-23 13:57:16</t>
        </is>
      </c>
      <c r="N1456" t="inlineStr">
        <is>
          <t>system</t>
        </is>
      </c>
      <c r="O1456" t="inlineStr">
        <is>
          <t>2026-06-19 07:10:32</t>
        </is>
      </c>
      <c r="P1456" t="inlineStr">
        <is>
          <t>2026-06-19 07:10:32</t>
        </is>
      </c>
      <c r="Y1456" t="inlineStr">
        <is>
          <t>27722582718</t>
        </is>
      </c>
    </row>
    <row r="1457">
      <c r="A1457" t="inlineStr">
        <is>
          <t>14948058</t>
        </is>
      </c>
      <c r="B1457" t="inlineStr">
        <is>
          <t>80b0eff7-fe99-4ef3-86f6-3e571a6cc255</t>
        </is>
      </c>
      <c r="D1457" t="inlineStr">
        <is>
          <t>30001087</t>
        </is>
      </c>
      <c r="E1457" t="inlineStr">
        <is>
          <t>ussd_funeral_leads_altitude_20260619</t>
        </is>
      </c>
      <c r="J1457" t="inlineStr">
        <is>
          <t>AA</t>
        </is>
      </c>
      <c r="K1457" t="inlineStr">
        <is>
          <t>Answering Machine Autodial</t>
        </is>
      </c>
      <c r="L1457" t="n">
        <v>3</v>
      </c>
      <c r="M1457" t="inlineStr">
        <is>
          <t>2026-06-23 13:57:16</t>
        </is>
      </c>
      <c r="N1457" t="inlineStr">
        <is>
          <t>system</t>
        </is>
      </c>
      <c r="O1457" t="inlineStr">
        <is>
          <t>2026-06-19 07:10:32</t>
        </is>
      </c>
      <c r="P1457" t="inlineStr">
        <is>
          <t>2026-06-19 07:10:32</t>
        </is>
      </c>
      <c r="Y1457" t="inlineStr">
        <is>
          <t>27726129463</t>
        </is>
      </c>
    </row>
    <row r="1458">
      <c r="A1458" t="inlineStr">
        <is>
          <t>14947310</t>
        </is>
      </c>
      <c r="B1458" t="inlineStr">
        <is>
          <t>f4f9eb19-a7f9-4ba6-ad68-6b72eb36e5c0</t>
        </is>
      </c>
      <c r="D1458" t="inlineStr">
        <is>
          <t>30001087</t>
        </is>
      </c>
      <c r="E1458" t="inlineStr">
        <is>
          <t>ussd_funeral_leads_altitude_20260619</t>
        </is>
      </c>
      <c r="J1458" t="inlineStr">
        <is>
          <t>AA</t>
        </is>
      </c>
      <c r="K1458" t="inlineStr">
        <is>
          <t>Answering Machine Autodial</t>
        </is>
      </c>
      <c r="L1458" t="n">
        <v>3</v>
      </c>
      <c r="M1458" t="inlineStr">
        <is>
          <t>2026-06-23 13:57:11</t>
        </is>
      </c>
      <c r="N1458" t="inlineStr">
        <is>
          <t>system</t>
        </is>
      </c>
      <c r="O1458" t="inlineStr">
        <is>
          <t>2026-06-19 07:10:32</t>
        </is>
      </c>
      <c r="P1458" t="inlineStr">
        <is>
          <t>2026-06-19 07:10:32</t>
        </is>
      </c>
      <c r="Y1458" t="inlineStr">
        <is>
          <t>27760570160</t>
        </is>
      </c>
    </row>
    <row r="1459">
      <c r="A1459" t="inlineStr">
        <is>
          <t>14948060</t>
        </is>
      </c>
      <c r="B1459" t="inlineStr">
        <is>
          <t>fcfa712a-ae7e-4dc5-a400-5db8a56a1a38</t>
        </is>
      </c>
      <c r="D1459" t="inlineStr">
        <is>
          <t>30001087</t>
        </is>
      </c>
      <c r="E1459" t="inlineStr">
        <is>
          <t>ussd_funeral_leads_altitude_20260619</t>
        </is>
      </c>
      <c r="J1459" t="inlineStr">
        <is>
          <t>AA</t>
        </is>
      </c>
      <c r="K1459" t="inlineStr">
        <is>
          <t>Answering Machine Autodial</t>
        </is>
      </c>
      <c r="L1459" t="n">
        <v>3</v>
      </c>
      <c r="M1459" t="inlineStr">
        <is>
          <t>2026-06-23 13:57:11</t>
        </is>
      </c>
      <c r="N1459" t="inlineStr">
        <is>
          <t>system</t>
        </is>
      </c>
      <c r="O1459" t="inlineStr">
        <is>
          <t>2026-06-19 07:10:32</t>
        </is>
      </c>
      <c r="P1459" t="inlineStr">
        <is>
          <t>2026-06-19 07:10:32</t>
        </is>
      </c>
      <c r="Y1459" t="inlineStr">
        <is>
          <t>27728251141</t>
        </is>
      </c>
    </row>
    <row r="1460">
      <c r="A1460" t="inlineStr">
        <is>
          <t>14948061</t>
        </is>
      </c>
      <c r="B1460" t="inlineStr">
        <is>
          <t>6e8e7561-f18d-43b6-b621-996faba0c698</t>
        </is>
      </c>
      <c r="D1460" t="inlineStr">
        <is>
          <t>30001087</t>
        </is>
      </c>
      <c r="E1460" t="inlineStr">
        <is>
          <t>ussd_funeral_leads_altitude_20260619</t>
        </is>
      </c>
      <c r="J1460" t="inlineStr">
        <is>
          <t>AA</t>
        </is>
      </c>
      <c r="K1460" t="inlineStr">
        <is>
          <t>Answering Machine Autodial</t>
        </is>
      </c>
      <c r="L1460" t="n">
        <v>3</v>
      </c>
      <c r="M1460" t="inlineStr">
        <is>
          <t>2026-06-23 13:57:11</t>
        </is>
      </c>
      <c r="N1460" t="inlineStr">
        <is>
          <t>system</t>
        </is>
      </c>
      <c r="O1460" t="inlineStr">
        <is>
          <t>2026-06-19 07:10:32</t>
        </is>
      </c>
      <c r="P1460" t="inlineStr">
        <is>
          <t>2026-06-19 07:10:32</t>
        </is>
      </c>
      <c r="Y1460" t="inlineStr">
        <is>
          <t>27761173269</t>
        </is>
      </c>
    </row>
    <row r="1461">
      <c r="A1461" t="inlineStr">
        <is>
          <t>14948062</t>
        </is>
      </c>
      <c r="B1461" t="inlineStr">
        <is>
          <t>9838aebe-ed96-409b-93d5-85d0112ba4a6</t>
        </is>
      </c>
      <c r="D1461" t="inlineStr">
        <is>
          <t>30001087</t>
        </is>
      </c>
      <c r="E1461" t="inlineStr">
        <is>
          <t>ussd_funeral_leads_altitude_20260619</t>
        </is>
      </c>
      <c r="J1461" t="inlineStr">
        <is>
          <t>CU</t>
        </is>
      </c>
      <c r="K1461" t="inlineStr">
        <is>
          <t>Client Hung Up</t>
        </is>
      </c>
      <c r="L1461" t="n">
        <v>3</v>
      </c>
      <c r="M1461" t="inlineStr">
        <is>
          <t>2026-06-23 13:57:10</t>
        </is>
      </c>
      <c r="N1461" t="inlineStr">
        <is>
          <t>Goitsimang Mogwasa</t>
        </is>
      </c>
      <c r="O1461" t="inlineStr">
        <is>
          <t>2026-06-19 07:10:32</t>
        </is>
      </c>
      <c r="P1461" t="inlineStr">
        <is>
          <t>2026-06-19 07:10:32</t>
        </is>
      </c>
      <c r="Y1461" t="inlineStr">
        <is>
          <t>27794699780</t>
        </is>
      </c>
    </row>
    <row r="1462">
      <c r="A1462" t="inlineStr">
        <is>
          <t>14948063</t>
        </is>
      </c>
      <c r="B1462" t="inlineStr">
        <is>
          <t>31855c08-ffea-45f7-982c-2c90e2f763ae</t>
        </is>
      </c>
      <c r="D1462" t="inlineStr">
        <is>
          <t>30001087</t>
        </is>
      </c>
      <c r="E1462" t="inlineStr">
        <is>
          <t>ussd_funeral_leads_altitude_20260619</t>
        </is>
      </c>
      <c r="J1462" t="inlineStr">
        <is>
          <t>ADC</t>
        </is>
      </c>
      <c r="K1462" t="inlineStr">
        <is>
          <t>Auto Dial Disconnected</t>
        </is>
      </c>
      <c r="L1462" t="n">
        <v>3</v>
      </c>
      <c r="M1462" t="inlineStr">
        <is>
          <t>2026-06-23 13:57:10</t>
        </is>
      </c>
      <c r="N1462" t="inlineStr">
        <is>
          <t>system</t>
        </is>
      </c>
      <c r="O1462" t="inlineStr">
        <is>
          <t>2026-06-19 07:10:32</t>
        </is>
      </c>
      <c r="P1462" t="inlineStr">
        <is>
          <t>2026-06-19 07:10:32</t>
        </is>
      </c>
      <c r="Y1462" t="inlineStr">
        <is>
          <t>27723768633</t>
        </is>
      </c>
    </row>
    <row r="1463">
      <c r="A1463" t="inlineStr">
        <is>
          <t>14948064</t>
        </is>
      </c>
      <c r="B1463" t="inlineStr">
        <is>
          <t>e96a8d9e-fa7b-41ff-a680-fadb1ab0c01c</t>
        </is>
      </c>
      <c r="D1463" t="inlineStr">
        <is>
          <t>30001087</t>
        </is>
      </c>
      <c r="E1463" t="inlineStr">
        <is>
          <t>ussd_funeral_leads_altitude_20260619</t>
        </is>
      </c>
      <c r="J1463" t="inlineStr">
        <is>
          <t>AA</t>
        </is>
      </c>
      <c r="K1463" t="inlineStr">
        <is>
          <t>Answering Machine Autodial</t>
        </is>
      </c>
      <c r="L1463" t="n">
        <v>3</v>
      </c>
      <c r="M1463" t="inlineStr">
        <is>
          <t>2026-06-23 13:57:10</t>
        </is>
      </c>
      <c r="N1463" t="inlineStr">
        <is>
          <t>system</t>
        </is>
      </c>
      <c r="O1463" t="inlineStr">
        <is>
          <t>2026-06-19 07:10:32</t>
        </is>
      </c>
      <c r="P1463" t="inlineStr">
        <is>
          <t>2026-06-19 07:10:32</t>
        </is>
      </c>
      <c r="Y1463" t="inlineStr">
        <is>
          <t>27762942679</t>
        </is>
      </c>
    </row>
    <row r="1464">
      <c r="A1464" t="inlineStr">
        <is>
          <t>14900000</t>
        </is>
      </c>
      <c r="B1464" t="inlineStr">
        <is>
          <t>6760e567-7e84-4f49-8dc6-61c045f73d44</t>
        </is>
      </c>
      <c r="D1464" t="inlineStr">
        <is>
          <t>30001087</t>
        </is>
      </c>
      <c r="E1464" t="inlineStr">
        <is>
          <t>ussd_funeral_leads_altitude_20260619</t>
        </is>
      </c>
      <c r="J1464" t="inlineStr">
        <is>
          <t>CU</t>
        </is>
      </c>
      <c r="K1464" t="inlineStr">
        <is>
          <t>Client Hung Up</t>
        </is>
      </c>
      <c r="L1464" t="n">
        <v>3</v>
      </c>
      <c r="M1464" t="inlineStr">
        <is>
          <t>2026-06-23 13:57:08</t>
        </is>
      </c>
      <c r="N1464" t="inlineStr">
        <is>
          <t>Dimakatso Nkomo</t>
        </is>
      </c>
      <c r="O1464" t="inlineStr">
        <is>
          <t>2026-06-19 07:10:32</t>
        </is>
      </c>
      <c r="P1464" t="inlineStr">
        <is>
          <t>2026-06-19 07:10:32</t>
        </is>
      </c>
      <c r="Y1464" t="inlineStr">
        <is>
          <t>27722115368</t>
        </is>
      </c>
    </row>
    <row r="1465">
      <c r="A1465" t="inlineStr">
        <is>
          <t>14948065</t>
        </is>
      </c>
      <c r="B1465" t="inlineStr">
        <is>
          <t>7e06f45e-2870-412e-97c9-98046f162cd6</t>
        </is>
      </c>
      <c r="D1465" t="inlineStr">
        <is>
          <t>30001087</t>
        </is>
      </c>
      <c r="E1465" t="inlineStr">
        <is>
          <t>ussd_funeral_leads_altitude_20260619</t>
        </is>
      </c>
      <c r="J1465" t="inlineStr">
        <is>
          <t>ADC</t>
        </is>
      </c>
      <c r="K1465" t="inlineStr">
        <is>
          <t>Auto Dial Disconnected</t>
        </is>
      </c>
      <c r="L1465" t="n">
        <v>3</v>
      </c>
      <c r="M1465" t="inlineStr">
        <is>
          <t>2026-06-23 13:57:03</t>
        </is>
      </c>
      <c r="N1465" t="inlineStr">
        <is>
          <t>system</t>
        </is>
      </c>
      <c r="O1465" t="inlineStr">
        <is>
          <t>2026-06-19 07:10:32</t>
        </is>
      </c>
      <c r="P1465" t="inlineStr">
        <is>
          <t>2026-06-19 07:10:32</t>
        </is>
      </c>
      <c r="Y1465" t="inlineStr">
        <is>
          <t>27729839600</t>
        </is>
      </c>
    </row>
    <row r="1466">
      <c r="A1466" t="inlineStr">
        <is>
          <t>14947582</t>
        </is>
      </c>
      <c r="B1466" t="inlineStr">
        <is>
          <t>912a16a1-4ba7-479b-a4f3-f6fafb6be063</t>
        </is>
      </c>
      <c r="D1466" t="inlineStr">
        <is>
          <t>30001087</t>
        </is>
      </c>
      <c r="E1466" t="inlineStr">
        <is>
          <t>ussd_funeral_leads_altitude_20260619</t>
        </is>
      </c>
      <c r="H1466" t="inlineStr">
        <is>
          <t>27761104047</t>
        </is>
      </c>
      <c r="J1466" t="inlineStr">
        <is>
          <t>CU</t>
        </is>
      </c>
      <c r="K1466" t="inlineStr">
        <is>
          <t>Client Hung Up</t>
        </is>
      </c>
      <c r="L1466" t="n">
        <v>2</v>
      </c>
      <c r="M1466" t="inlineStr">
        <is>
          <t>2026-06-23 13:56:45</t>
        </is>
      </c>
      <c r="N1466" t="inlineStr">
        <is>
          <t>Goitsimang Mogwasa</t>
        </is>
      </c>
      <c r="O1466" t="inlineStr">
        <is>
          <t>2026-06-19 07:10:32</t>
        </is>
      </c>
      <c r="P1466" t="inlineStr">
        <is>
          <t>2026-06-19 07:10:32</t>
        </is>
      </c>
      <c r="Y1466" t="inlineStr">
        <is>
          <t>27761104047</t>
        </is>
      </c>
    </row>
    <row r="1467">
      <c r="A1467" t="inlineStr">
        <is>
          <t>14948067</t>
        </is>
      </c>
      <c r="B1467" t="inlineStr">
        <is>
          <t>32b8da53-a18f-42c6-a6e4-7c3abeffbefc</t>
        </is>
      </c>
      <c r="D1467" t="inlineStr">
        <is>
          <t>30001087</t>
        </is>
      </c>
      <c r="E1467" t="inlineStr">
        <is>
          <t>ussd_funeral_leads_altitude_20260619</t>
        </is>
      </c>
      <c r="J1467" t="inlineStr">
        <is>
          <t>AA</t>
        </is>
      </c>
      <c r="K1467" t="inlineStr">
        <is>
          <t>Answering Machine Autodial</t>
        </is>
      </c>
      <c r="L1467" t="n">
        <v>3</v>
      </c>
      <c r="M1467" t="inlineStr">
        <is>
          <t>2026-06-23 13:56:41</t>
        </is>
      </c>
      <c r="N1467" t="inlineStr">
        <is>
          <t>system</t>
        </is>
      </c>
      <c r="O1467" t="inlineStr">
        <is>
          <t>2026-06-19 07:10:32</t>
        </is>
      </c>
      <c r="P1467" t="inlineStr">
        <is>
          <t>2026-06-19 07:10:32</t>
        </is>
      </c>
      <c r="Y1467" t="inlineStr">
        <is>
          <t>27660177491</t>
        </is>
      </c>
    </row>
    <row r="1468">
      <c r="A1468" t="inlineStr">
        <is>
          <t>14948068</t>
        </is>
      </c>
      <c r="B1468" t="inlineStr">
        <is>
          <t>019baa2b-faaf-48c7-b697-ead629e07eb2</t>
        </is>
      </c>
      <c r="D1468" t="inlineStr">
        <is>
          <t>30001087</t>
        </is>
      </c>
      <c r="E1468" t="inlineStr">
        <is>
          <t>ussd_funeral_leads_altitude_20260619</t>
        </is>
      </c>
      <c r="J1468" t="inlineStr">
        <is>
          <t>AA</t>
        </is>
      </c>
      <c r="K1468" t="inlineStr">
        <is>
          <t>Answering Machine Autodial</t>
        </is>
      </c>
      <c r="L1468" t="n">
        <v>3</v>
      </c>
      <c r="M1468" t="inlineStr">
        <is>
          <t>2026-06-23 13:56:41</t>
        </is>
      </c>
      <c r="N1468" t="inlineStr">
        <is>
          <t>system</t>
        </is>
      </c>
      <c r="O1468" t="inlineStr">
        <is>
          <t>2026-06-19 07:10:32</t>
        </is>
      </c>
      <c r="P1468" t="inlineStr">
        <is>
          <t>2026-06-19 07:10:32</t>
        </is>
      </c>
      <c r="Y1468" t="inlineStr">
        <is>
          <t>27607899569</t>
        </is>
      </c>
    </row>
    <row r="1469">
      <c r="A1469" t="inlineStr">
        <is>
          <t>14948069</t>
        </is>
      </c>
      <c r="B1469" t="inlineStr">
        <is>
          <t>d9f14d43-f466-480d-ba5e-5083824b96ad</t>
        </is>
      </c>
      <c r="D1469" t="inlineStr">
        <is>
          <t>30001087</t>
        </is>
      </c>
      <c r="E1469" t="inlineStr">
        <is>
          <t>ussd_funeral_leads_altitude_20260619</t>
        </is>
      </c>
      <c r="J1469" t="inlineStr">
        <is>
          <t>NA</t>
        </is>
      </c>
      <c r="K1469" t="inlineStr">
        <is>
          <t>No Answer Autodial</t>
        </is>
      </c>
      <c r="L1469" t="n">
        <v>3</v>
      </c>
      <c r="M1469" t="inlineStr">
        <is>
          <t>2026-06-23 13:56:41</t>
        </is>
      </c>
      <c r="N1469" t="inlineStr">
        <is>
          <t>system</t>
        </is>
      </c>
      <c r="O1469" t="inlineStr">
        <is>
          <t>2026-06-19 07:10:32</t>
        </is>
      </c>
      <c r="P1469" t="inlineStr">
        <is>
          <t>2026-06-19 07:10:32</t>
        </is>
      </c>
      <c r="Y1469" t="inlineStr">
        <is>
          <t>27646042651</t>
        </is>
      </c>
    </row>
    <row r="1470">
      <c r="A1470" t="inlineStr">
        <is>
          <t>14948071</t>
        </is>
      </c>
      <c r="B1470" t="inlineStr">
        <is>
          <t>695dcc6f-14e7-45f5-8837-59ba3f714408</t>
        </is>
      </c>
      <c r="D1470" t="inlineStr">
        <is>
          <t>30001087</t>
        </is>
      </c>
      <c r="E1470" t="inlineStr">
        <is>
          <t>ussd_funeral_leads_altitude_20260619</t>
        </is>
      </c>
      <c r="J1470" t="inlineStr">
        <is>
          <t>AA</t>
        </is>
      </c>
      <c r="K1470" t="inlineStr">
        <is>
          <t>Answering Machine Autodial</t>
        </is>
      </c>
      <c r="L1470" t="n">
        <v>3</v>
      </c>
      <c r="M1470" t="inlineStr">
        <is>
          <t>2026-06-23 13:56:41</t>
        </is>
      </c>
      <c r="N1470" t="inlineStr">
        <is>
          <t>system</t>
        </is>
      </c>
      <c r="O1470" t="inlineStr">
        <is>
          <t>2026-06-19 07:10:32</t>
        </is>
      </c>
      <c r="P1470" t="inlineStr">
        <is>
          <t>2026-06-19 07:10:32</t>
        </is>
      </c>
      <c r="Y1470" t="inlineStr">
        <is>
          <t>27761037650</t>
        </is>
      </c>
    </row>
    <row r="1471">
      <c r="A1471" t="inlineStr">
        <is>
          <t>14944351</t>
        </is>
      </c>
      <c r="B1471" t="inlineStr">
        <is>
          <t>036de603-b3c8-48d2-90a9-a70cdfb436b3</t>
        </is>
      </c>
      <c r="D1471" t="inlineStr">
        <is>
          <t>30001087</t>
        </is>
      </c>
      <c r="E1471" t="inlineStr">
        <is>
          <t>ussd_funeral_leads_altitude_20260619</t>
        </is>
      </c>
      <c r="J1471" t="inlineStr">
        <is>
          <t>ADC</t>
        </is>
      </c>
      <c r="K1471" t="inlineStr">
        <is>
          <t>Auto Dial Disconnected</t>
        </is>
      </c>
      <c r="L1471" t="n">
        <v>3</v>
      </c>
      <c r="M1471" t="inlineStr">
        <is>
          <t>2026-06-23 13:56:19</t>
        </is>
      </c>
      <c r="N1471" t="inlineStr">
        <is>
          <t>system</t>
        </is>
      </c>
      <c r="O1471" t="inlineStr">
        <is>
          <t>2026-06-19 07:10:32</t>
        </is>
      </c>
      <c r="P1471" t="inlineStr">
        <is>
          <t>2026-06-19 07:10:32</t>
        </is>
      </c>
      <c r="Y1471" t="inlineStr">
        <is>
          <t>27823939664</t>
        </is>
      </c>
    </row>
    <row r="1472">
      <c r="A1472" t="inlineStr">
        <is>
          <t>14944350</t>
        </is>
      </c>
      <c r="B1472" t="inlineStr">
        <is>
          <t>c36f2b2b-d772-48be-9100-7265d61c1423</t>
        </is>
      </c>
      <c r="D1472" t="inlineStr">
        <is>
          <t>30001087</t>
        </is>
      </c>
      <c r="E1472" t="inlineStr">
        <is>
          <t>ussd_funeral_leads_altitude_20260619</t>
        </is>
      </c>
      <c r="J1472" t="inlineStr">
        <is>
          <t>DROP</t>
        </is>
      </c>
      <c r="K1472" t="inlineStr">
        <is>
          <t>Dropped</t>
        </is>
      </c>
      <c r="L1472" t="n">
        <v>3</v>
      </c>
      <c r="M1472" t="inlineStr">
        <is>
          <t>2026-06-23 13:56:18</t>
        </is>
      </c>
      <c r="N1472" t="inlineStr">
        <is>
          <t>system</t>
        </is>
      </c>
      <c r="O1472" t="inlineStr">
        <is>
          <t>2026-06-19 07:10:32</t>
        </is>
      </c>
      <c r="P1472" t="inlineStr">
        <is>
          <t>2026-06-19 07:10:32</t>
        </is>
      </c>
      <c r="Y1472" t="inlineStr">
        <is>
          <t>27665167283</t>
        </is>
      </c>
    </row>
    <row r="1473">
      <c r="A1473" t="inlineStr">
        <is>
          <t>14944349</t>
        </is>
      </c>
      <c r="B1473" t="inlineStr">
        <is>
          <t>f9d46ebb-c212-40b3-9050-bd8b5792819e</t>
        </is>
      </c>
      <c r="D1473" t="inlineStr">
        <is>
          <t>30001087</t>
        </is>
      </c>
      <c r="E1473" t="inlineStr">
        <is>
          <t>ussd_funeral_leads_altitude_20260619</t>
        </is>
      </c>
      <c r="J1473" t="inlineStr">
        <is>
          <t>AA</t>
        </is>
      </c>
      <c r="K1473" t="inlineStr">
        <is>
          <t>Answering Machine Autodial</t>
        </is>
      </c>
      <c r="L1473" t="n">
        <v>3</v>
      </c>
      <c r="M1473" t="inlineStr">
        <is>
          <t>2026-06-23 13:56:17</t>
        </is>
      </c>
      <c r="N1473" t="inlineStr">
        <is>
          <t>system</t>
        </is>
      </c>
      <c r="O1473" t="inlineStr">
        <is>
          <t>2026-06-19 07:10:32</t>
        </is>
      </c>
      <c r="P1473" t="inlineStr">
        <is>
          <t>2026-06-19 07:10:32</t>
        </is>
      </c>
      <c r="Y1473" t="inlineStr">
        <is>
          <t>27762399608</t>
        </is>
      </c>
    </row>
    <row r="1474">
      <c r="A1474" t="inlineStr">
        <is>
          <t>14944345</t>
        </is>
      </c>
      <c r="B1474" t="inlineStr">
        <is>
          <t>f725dd61-8ad8-4aa0-b62c-617494b5f265</t>
        </is>
      </c>
      <c r="D1474" t="inlineStr">
        <is>
          <t>30001087</t>
        </is>
      </c>
      <c r="E1474" t="inlineStr">
        <is>
          <t>ussd_funeral_leads_altitude_20260619</t>
        </is>
      </c>
      <c r="J1474" t="inlineStr">
        <is>
          <t>AA</t>
        </is>
      </c>
      <c r="K1474" t="inlineStr">
        <is>
          <t>Answering Machine Autodial</t>
        </is>
      </c>
      <c r="L1474" t="n">
        <v>3</v>
      </c>
      <c r="M1474" t="inlineStr">
        <is>
          <t>2026-06-23 13:56:10</t>
        </is>
      </c>
      <c r="N1474" t="inlineStr">
        <is>
          <t>system</t>
        </is>
      </c>
      <c r="O1474" t="inlineStr">
        <is>
          <t>2026-06-19 07:10:32</t>
        </is>
      </c>
      <c r="P1474" t="inlineStr">
        <is>
          <t>2026-06-19 07:10:32</t>
        </is>
      </c>
      <c r="Y1474" t="inlineStr">
        <is>
          <t>27725730223</t>
        </is>
      </c>
    </row>
    <row r="1475">
      <c r="A1475" t="inlineStr">
        <is>
          <t>14944348</t>
        </is>
      </c>
      <c r="B1475" t="inlineStr">
        <is>
          <t>3b5db9d9-255b-40ff-9e5b-cfbbf8833fba</t>
        </is>
      </c>
      <c r="D1475" t="inlineStr">
        <is>
          <t>30001087</t>
        </is>
      </c>
      <c r="E1475" t="inlineStr">
        <is>
          <t>ussd_funeral_leads_altitude_20260619</t>
        </is>
      </c>
      <c r="J1475" t="inlineStr">
        <is>
          <t>AE</t>
        </is>
      </c>
      <c r="K1475" t="inlineStr">
        <is>
          <t>Auto Engaged</t>
        </is>
      </c>
      <c r="L1475" t="n">
        <v>3</v>
      </c>
      <c r="M1475" t="inlineStr">
        <is>
          <t>2026-06-23 13:56:10</t>
        </is>
      </c>
      <c r="N1475" t="inlineStr">
        <is>
          <t>system</t>
        </is>
      </c>
      <c r="O1475" t="inlineStr">
        <is>
          <t>2026-06-19 07:10:32</t>
        </is>
      </c>
      <c r="P1475" t="inlineStr">
        <is>
          <t>2026-06-19 07:10:32</t>
        </is>
      </c>
      <c r="Y1475" t="inlineStr">
        <is>
          <t>27766594452</t>
        </is>
      </c>
    </row>
    <row r="1476">
      <c r="A1476" t="inlineStr">
        <is>
          <t>14944405</t>
        </is>
      </c>
      <c r="B1476" t="inlineStr">
        <is>
          <t>4fa5b07e-722a-4a28-84f7-ed8c817e8698</t>
        </is>
      </c>
      <c r="D1476" t="inlineStr">
        <is>
          <t>30001087</t>
        </is>
      </c>
      <c r="E1476" t="inlineStr">
        <is>
          <t>ussd_funeral_leads_altitude_20260619</t>
        </is>
      </c>
      <c r="J1476" t="inlineStr">
        <is>
          <t>AA</t>
        </is>
      </c>
      <c r="K1476" t="inlineStr">
        <is>
          <t>Answering Machine Autodial</t>
        </is>
      </c>
      <c r="L1476" t="n">
        <v>3</v>
      </c>
      <c r="M1476" t="inlineStr">
        <is>
          <t>2026-06-23 13:54:09</t>
        </is>
      </c>
      <c r="N1476" t="inlineStr">
        <is>
          <t>system</t>
        </is>
      </c>
      <c r="O1476" t="inlineStr">
        <is>
          <t>2026-06-19 07:10:32</t>
        </is>
      </c>
      <c r="P1476" t="inlineStr">
        <is>
          <t>2026-06-19 07:10:32</t>
        </is>
      </c>
      <c r="Y1476" t="inlineStr">
        <is>
          <t>27799356475</t>
        </is>
      </c>
    </row>
    <row r="1477">
      <c r="A1477" t="inlineStr">
        <is>
          <t>14944403</t>
        </is>
      </c>
      <c r="B1477" t="inlineStr">
        <is>
          <t>805b803c-31cd-4ddd-9662-509a8d5f2336</t>
        </is>
      </c>
      <c r="D1477" t="inlineStr">
        <is>
          <t>30001087</t>
        </is>
      </c>
      <c r="E1477" t="inlineStr">
        <is>
          <t>ussd_funeral_leads_altitude_20260619</t>
        </is>
      </c>
      <c r="J1477" t="inlineStr">
        <is>
          <t>AA</t>
        </is>
      </c>
      <c r="K1477" t="inlineStr">
        <is>
          <t>Answering Machine Autodial</t>
        </is>
      </c>
      <c r="L1477" t="n">
        <v>3</v>
      </c>
      <c r="M1477" t="inlineStr">
        <is>
          <t>2026-06-23 13:54:06</t>
        </is>
      </c>
      <c r="N1477" t="inlineStr">
        <is>
          <t>system</t>
        </is>
      </c>
      <c r="O1477" t="inlineStr">
        <is>
          <t>2026-06-19 07:10:32</t>
        </is>
      </c>
      <c r="P1477" t="inlineStr">
        <is>
          <t>2026-06-19 07:10:32</t>
        </is>
      </c>
      <c r="Y1477" t="inlineStr">
        <is>
          <t>27607581832</t>
        </is>
      </c>
    </row>
    <row r="1478">
      <c r="A1478" t="inlineStr">
        <is>
          <t>14944404</t>
        </is>
      </c>
      <c r="B1478" t="inlineStr">
        <is>
          <t>68ef32aa-b690-4a43-a226-083172aa0975</t>
        </is>
      </c>
      <c r="D1478" t="inlineStr">
        <is>
          <t>30001087</t>
        </is>
      </c>
      <c r="E1478" t="inlineStr">
        <is>
          <t>ussd_funeral_leads_altitude_20260619</t>
        </is>
      </c>
      <c r="J1478" t="inlineStr">
        <is>
          <t>AA</t>
        </is>
      </c>
      <c r="K1478" t="inlineStr">
        <is>
          <t>Answering Machine Autodial</t>
        </is>
      </c>
      <c r="L1478" t="n">
        <v>3</v>
      </c>
      <c r="M1478" t="inlineStr">
        <is>
          <t>2026-06-23 13:54:06</t>
        </is>
      </c>
      <c r="N1478" t="inlineStr">
        <is>
          <t>system</t>
        </is>
      </c>
      <c r="O1478" t="inlineStr">
        <is>
          <t>2026-06-19 07:10:32</t>
        </is>
      </c>
      <c r="P1478" t="inlineStr">
        <is>
          <t>2026-06-19 07:10:32</t>
        </is>
      </c>
      <c r="Y1478" t="inlineStr">
        <is>
          <t>27664473335</t>
        </is>
      </c>
    </row>
    <row r="1479">
      <c r="A1479" t="inlineStr">
        <is>
          <t>14947279</t>
        </is>
      </c>
      <c r="B1479" t="inlineStr">
        <is>
          <t>da19a0bf-0fc4-4b47-8b9e-99bf0947f8d2</t>
        </is>
      </c>
      <c r="D1479" t="inlineStr">
        <is>
          <t>30001087</t>
        </is>
      </c>
      <c r="E1479" t="inlineStr">
        <is>
          <t>ussd_funeral_leads_altitude_20260619</t>
        </is>
      </c>
      <c r="J1479" t="inlineStr">
        <is>
          <t>CU</t>
        </is>
      </c>
      <c r="K1479" t="inlineStr">
        <is>
          <t>Client Hung Up</t>
        </is>
      </c>
      <c r="L1479" t="n">
        <v>2</v>
      </c>
      <c r="M1479" t="inlineStr">
        <is>
          <t>2026-06-23 13:53:56</t>
        </is>
      </c>
      <c r="N1479" t="inlineStr">
        <is>
          <t>Vuyiswa Nxumalo</t>
        </is>
      </c>
      <c r="O1479" t="inlineStr">
        <is>
          <t>2026-06-19 07:10:32</t>
        </is>
      </c>
      <c r="P1479" t="inlineStr">
        <is>
          <t>2026-06-19 07:10:32</t>
        </is>
      </c>
      <c r="Y1479" t="inlineStr">
        <is>
          <t>27660018661</t>
        </is>
      </c>
    </row>
    <row r="1480">
      <c r="A1480" t="inlineStr">
        <is>
          <t>14944401</t>
        </is>
      </c>
      <c r="B1480" t="inlineStr">
        <is>
          <t>ad69c3e5-833a-4535-9fdd-466ad45967fa</t>
        </is>
      </c>
      <c r="D1480" t="inlineStr">
        <is>
          <t>30001087</t>
        </is>
      </c>
      <c r="E1480" t="inlineStr">
        <is>
          <t>ussd_funeral_leads_altitude_20260619</t>
        </is>
      </c>
      <c r="J1480" t="inlineStr">
        <is>
          <t>U</t>
        </is>
      </c>
      <c r="K1480" t="inlineStr">
        <is>
          <t>Unemployed</t>
        </is>
      </c>
      <c r="L1480" t="n">
        <v>3</v>
      </c>
      <c r="M1480" t="inlineStr">
        <is>
          <t>2026-06-23 13:53:55</t>
        </is>
      </c>
      <c r="N1480" t="inlineStr">
        <is>
          <t>Goitsimang Mogwasa</t>
        </is>
      </c>
      <c r="O1480" t="inlineStr">
        <is>
          <t>2026-06-19 07:10:32</t>
        </is>
      </c>
      <c r="P1480" t="inlineStr">
        <is>
          <t>2026-06-19 07:10:32</t>
        </is>
      </c>
      <c r="Y1480" t="inlineStr">
        <is>
          <t>27795753739</t>
        </is>
      </c>
    </row>
    <row r="1481">
      <c r="A1481" t="inlineStr">
        <is>
          <t>14944402</t>
        </is>
      </c>
      <c r="B1481" t="inlineStr">
        <is>
          <t>37b523d0-8a20-4829-b523-333e3ba51bb9</t>
        </is>
      </c>
      <c r="D1481" t="inlineStr">
        <is>
          <t>30001087</t>
        </is>
      </c>
      <c r="E1481" t="inlineStr">
        <is>
          <t>ussd_funeral_leads_altitude_20260619</t>
        </is>
      </c>
      <c r="J1481" t="inlineStr">
        <is>
          <t>ADC</t>
        </is>
      </c>
      <c r="K1481" t="inlineStr">
        <is>
          <t>Auto Dial Disconnected</t>
        </is>
      </c>
      <c r="L1481" t="n">
        <v>3</v>
      </c>
      <c r="M1481" t="inlineStr">
        <is>
          <t>2026-06-23 13:53:55</t>
        </is>
      </c>
      <c r="N1481" t="inlineStr">
        <is>
          <t>system</t>
        </is>
      </c>
      <c r="O1481" t="inlineStr">
        <is>
          <t>2026-06-19 07:10:32</t>
        </is>
      </c>
      <c r="P1481" t="inlineStr">
        <is>
          <t>2026-06-19 07:10:32</t>
        </is>
      </c>
      <c r="Y1481" t="inlineStr">
        <is>
          <t>27663775113</t>
        </is>
      </c>
    </row>
    <row r="1482">
      <c r="A1482" t="inlineStr">
        <is>
          <t>14944399</t>
        </is>
      </c>
      <c r="B1482" t="inlineStr">
        <is>
          <t>7c17c44d-db4c-4f9c-9575-66ef14341628</t>
        </is>
      </c>
      <c r="D1482" t="inlineStr">
        <is>
          <t>30001087</t>
        </is>
      </c>
      <c r="E1482" t="inlineStr">
        <is>
          <t>ussd_funeral_leads_altitude_20260619</t>
        </is>
      </c>
      <c r="J1482" t="inlineStr">
        <is>
          <t>TDN</t>
        </is>
      </c>
      <c r="K1482" t="inlineStr">
        <is>
          <t>Temporary Disconnected Number</t>
        </is>
      </c>
      <c r="L1482" t="n">
        <v>3</v>
      </c>
      <c r="M1482" t="inlineStr">
        <is>
          <t>2026-06-23 13:53:52</t>
        </is>
      </c>
      <c r="N1482" t="inlineStr">
        <is>
          <t>system</t>
        </is>
      </c>
      <c r="O1482" t="inlineStr">
        <is>
          <t>2026-06-19 07:10:32</t>
        </is>
      </c>
      <c r="P1482" t="inlineStr">
        <is>
          <t>2026-06-19 07:10:32</t>
        </is>
      </c>
      <c r="Y1482" t="inlineStr">
        <is>
          <t>27637050542</t>
        </is>
      </c>
    </row>
    <row r="1483">
      <c r="A1483" t="inlineStr">
        <is>
          <t>14944400</t>
        </is>
      </c>
      <c r="B1483" t="inlineStr">
        <is>
          <t>b59cccbf-48de-42a8-9d64-23465a460cc3</t>
        </is>
      </c>
      <c r="D1483" t="inlineStr">
        <is>
          <t>30001087</t>
        </is>
      </c>
      <c r="E1483" t="inlineStr">
        <is>
          <t>ussd_funeral_leads_altitude_20260619</t>
        </is>
      </c>
      <c r="J1483" t="inlineStr">
        <is>
          <t>AA</t>
        </is>
      </c>
      <c r="K1483" t="inlineStr">
        <is>
          <t>Answering Machine Autodial</t>
        </is>
      </c>
      <c r="L1483" t="n">
        <v>3</v>
      </c>
      <c r="M1483" t="inlineStr">
        <is>
          <t>2026-06-23 13:53:52</t>
        </is>
      </c>
      <c r="N1483" t="inlineStr">
        <is>
          <t>system</t>
        </is>
      </c>
      <c r="O1483" t="inlineStr">
        <is>
          <t>2026-06-19 07:10:32</t>
        </is>
      </c>
      <c r="P1483" t="inlineStr">
        <is>
          <t>2026-06-19 07:10:32</t>
        </is>
      </c>
      <c r="Y1483" t="inlineStr">
        <is>
          <t>27664668703</t>
        </is>
      </c>
    </row>
    <row r="1484">
      <c r="A1484" t="inlineStr">
        <is>
          <t>14944397</t>
        </is>
      </c>
      <c r="B1484" t="inlineStr">
        <is>
          <t>548146e9-6e3a-4636-aeef-48641705f9ae</t>
        </is>
      </c>
      <c r="D1484" t="inlineStr">
        <is>
          <t>30001087</t>
        </is>
      </c>
      <c r="E1484" t="inlineStr">
        <is>
          <t>ussd_funeral_leads_altitude_20260619</t>
        </is>
      </c>
      <c r="J1484" t="inlineStr">
        <is>
          <t>AA</t>
        </is>
      </c>
      <c r="K1484" t="inlineStr">
        <is>
          <t>Answering Machine Autodial</t>
        </is>
      </c>
      <c r="L1484" t="n">
        <v>3</v>
      </c>
      <c r="M1484" t="inlineStr">
        <is>
          <t>2026-06-23 13:53:43</t>
        </is>
      </c>
      <c r="N1484" t="inlineStr">
        <is>
          <t>system</t>
        </is>
      </c>
      <c r="O1484" t="inlineStr">
        <is>
          <t>2026-06-19 07:10:32</t>
        </is>
      </c>
      <c r="P1484" t="inlineStr">
        <is>
          <t>2026-06-19 07:10:32</t>
        </is>
      </c>
      <c r="Y1484" t="inlineStr">
        <is>
          <t>27714387210</t>
        </is>
      </c>
    </row>
    <row r="1485">
      <c r="A1485" t="inlineStr">
        <is>
          <t>14944398</t>
        </is>
      </c>
      <c r="B1485" t="inlineStr">
        <is>
          <t>8860bf76-5026-4a83-ad21-a2bff13b5218</t>
        </is>
      </c>
      <c r="D1485" t="inlineStr">
        <is>
          <t>30001087</t>
        </is>
      </c>
      <c r="E1485" t="inlineStr">
        <is>
          <t>ussd_funeral_leads_altitude_20260619</t>
        </is>
      </c>
      <c r="J1485" t="inlineStr">
        <is>
          <t>AA</t>
        </is>
      </c>
      <c r="K1485" t="inlineStr">
        <is>
          <t>Answering Machine Autodial</t>
        </is>
      </c>
      <c r="L1485" t="n">
        <v>3</v>
      </c>
      <c r="M1485" t="inlineStr">
        <is>
          <t>2026-06-23 13:53:43</t>
        </is>
      </c>
      <c r="N1485" t="inlineStr">
        <is>
          <t>system</t>
        </is>
      </c>
      <c r="O1485" t="inlineStr">
        <is>
          <t>2026-06-19 07:10:32</t>
        </is>
      </c>
      <c r="P1485" t="inlineStr">
        <is>
          <t>2026-06-19 07:10:32</t>
        </is>
      </c>
      <c r="Y1485" t="inlineStr">
        <is>
          <t>27675655186</t>
        </is>
      </c>
    </row>
    <row r="1486">
      <c r="A1486" t="inlineStr">
        <is>
          <t>14944396</t>
        </is>
      </c>
      <c r="B1486" t="inlineStr">
        <is>
          <t>387551e7-3c0c-431f-9510-d0a30b52e6d5</t>
        </is>
      </c>
      <c r="D1486" t="inlineStr">
        <is>
          <t>30001087</t>
        </is>
      </c>
      <c r="E1486" t="inlineStr">
        <is>
          <t>ussd_funeral_leads_altitude_20260619</t>
        </is>
      </c>
      <c r="J1486" t="inlineStr">
        <is>
          <t>AA</t>
        </is>
      </c>
      <c r="K1486" t="inlineStr">
        <is>
          <t>Answering Machine Autodial</t>
        </is>
      </c>
      <c r="L1486" t="n">
        <v>3</v>
      </c>
      <c r="M1486" t="inlineStr">
        <is>
          <t>2026-06-23 13:53:42</t>
        </is>
      </c>
      <c r="N1486" t="inlineStr">
        <is>
          <t>system</t>
        </is>
      </c>
      <c r="O1486" t="inlineStr">
        <is>
          <t>2026-06-19 07:10:32</t>
        </is>
      </c>
      <c r="P1486" t="inlineStr">
        <is>
          <t>2026-06-19 07:10:32</t>
        </is>
      </c>
      <c r="Y1486" t="inlineStr">
        <is>
          <t>27769792731</t>
        </is>
      </c>
    </row>
    <row r="1487">
      <c r="A1487" t="inlineStr">
        <is>
          <t>14944393</t>
        </is>
      </c>
      <c r="B1487" t="inlineStr">
        <is>
          <t>4170aa97-3509-4754-b69b-1dd619fbf605</t>
        </is>
      </c>
      <c r="D1487" t="inlineStr">
        <is>
          <t>30001087</t>
        </is>
      </c>
      <c r="E1487" t="inlineStr">
        <is>
          <t>ussd_funeral_leads_altitude_20260619</t>
        </is>
      </c>
      <c r="J1487" t="inlineStr">
        <is>
          <t>AA</t>
        </is>
      </c>
      <c r="K1487" t="inlineStr">
        <is>
          <t>Answering Machine Autodial</t>
        </is>
      </c>
      <c r="L1487" t="n">
        <v>3</v>
      </c>
      <c r="M1487" t="inlineStr">
        <is>
          <t>2026-06-23 13:53:40</t>
        </is>
      </c>
      <c r="N1487" t="inlineStr">
        <is>
          <t>system</t>
        </is>
      </c>
      <c r="O1487" t="inlineStr">
        <is>
          <t>2026-06-19 07:10:32</t>
        </is>
      </c>
      <c r="P1487" t="inlineStr">
        <is>
          <t>2026-06-19 07:10:32</t>
        </is>
      </c>
      <c r="Y1487" t="inlineStr">
        <is>
          <t>27796158852</t>
        </is>
      </c>
    </row>
    <row r="1488">
      <c r="A1488" t="inlineStr">
        <is>
          <t>14900000</t>
        </is>
      </c>
      <c r="B1488" t="inlineStr">
        <is>
          <t>3e184938-72c8-4a4e-bf1d-7f14829b74da</t>
        </is>
      </c>
      <c r="D1488" t="inlineStr">
        <is>
          <t>30001087</t>
        </is>
      </c>
      <c r="E1488" t="inlineStr">
        <is>
          <t>ussd_funeral_leads_altitude_20260619</t>
        </is>
      </c>
      <c r="J1488" t="inlineStr">
        <is>
          <t>NA</t>
        </is>
      </c>
      <c r="K1488" t="inlineStr">
        <is>
          <t>No Answer Autodial</t>
        </is>
      </c>
      <c r="L1488" t="n">
        <v>3</v>
      </c>
      <c r="M1488" t="inlineStr">
        <is>
          <t>2026-06-23 13:53:39</t>
        </is>
      </c>
      <c r="N1488" t="inlineStr">
        <is>
          <t>system</t>
        </is>
      </c>
      <c r="O1488" t="inlineStr">
        <is>
          <t>2026-06-19 07:10:32</t>
        </is>
      </c>
      <c r="P1488" t="inlineStr">
        <is>
          <t>2026-06-19 07:10:32</t>
        </is>
      </c>
      <c r="Y1488" t="inlineStr">
        <is>
          <t>27772440290</t>
        </is>
      </c>
    </row>
    <row r="1489">
      <c r="A1489" t="inlineStr">
        <is>
          <t>14944386</t>
        </is>
      </c>
      <c r="B1489" t="inlineStr">
        <is>
          <t>ca59f972-2450-465d-a4cf-621d0e7e5455</t>
        </is>
      </c>
      <c r="D1489" t="inlineStr">
        <is>
          <t>30001087</t>
        </is>
      </c>
      <c r="E1489" t="inlineStr">
        <is>
          <t>ussd_funeral_leads_altitude_20260619</t>
        </is>
      </c>
      <c r="J1489" t="inlineStr">
        <is>
          <t>TDN</t>
        </is>
      </c>
      <c r="K1489" t="inlineStr">
        <is>
          <t>Temporary Disconnected Number</t>
        </is>
      </c>
      <c r="L1489" t="n">
        <v>3</v>
      </c>
      <c r="M1489" t="inlineStr">
        <is>
          <t>2026-06-23 13:53:38</t>
        </is>
      </c>
      <c r="N1489" t="inlineStr">
        <is>
          <t>system</t>
        </is>
      </c>
      <c r="O1489" t="inlineStr">
        <is>
          <t>2026-06-19 07:10:32</t>
        </is>
      </c>
      <c r="P1489" t="inlineStr">
        <is>
          <t>2026-06-19 07:10:32</t>
        </is>
      </c>
      <c r="Y1489" t="inlineStr">
        <is>
          <t>27761820406</t>
        </is>
      </c>
    </row>
    <row r="1490">
      <c r="A1490" t="inlineStr">
        <is>
          <t>14944387</t>
        </is>
      </c>
      <c r="B1490" t="inlineStr">
        <is>
          <t>a5c1f276-c971-4e1b-8ff3-419420497109</t>
        </is>
      </c>
      <c r="D1490" t="inlineStr">
        <is>
          <t>30001087</t>
        </is>
      </c>
      <c r="E1490" t="inlineStr">
        <is>
          <t>ussd_funeral_leads_altitude_20260619</t>
        </is>
      </c>
      <c r="J1490" t="inlineStr">
        <is>
          <t>AA</t>
        </is>
      </c>
      <c r="K1490" t="inlineStr">
        <is>
          <t>Answering Machine Autodial</t>
        </is>
      </c>
      <c r="L1490" t="n">
        <v>3</v>
      </c>
      <c r="M1490" t="inlineStr">
        <is>
          <t>2026-06-23 13:53:38</t>
        </is>
      </c>
      <c r="N1490" t="inlineStr">
        <is>
          <t>system</t>
        </is>
      </c>
      <c r="O1490" t="inlineStr">
        <is>
          <t>2026-06-19 07:10:32</t>
        </is>
      </c>
      <c r="P1490" t="inlineStr">
        <is>
          <t>2026-06-19 07:10:32</t>
        </is>
      </c>
      <c r="Y1490" t="inlineStr">
        <is>
          <t>27769082548</t>
        </is>
      </c>
    </row>
    <row r="1491">
      <c r="A1491" t="inlineStr">
        <is>
          <t>14944388</t>
        </is>
      </c>
      <c r="B1491" t="inlineStr">
        <is>
          <t>9a1c3309-0c6e-46c0-95f0-2979b2a51f38</t>
        </is>
      </c>
      <c r="D1491" t="inlineStr">
        <is>
          <t>30001087</t>
        </is>
      </c>
      <c r="E1491" t="inlineStr">
        <is>
          <t>ussd_funeral_leads_altitude_20260619</t>
        </is>
      </c>
      <c r="J1491" t="inlineStr">
        <is>
          <t>AA</t>
        </is>
      </c>
      <c r="K1491" t="inlineStr">
        <is>
          <t>Answering Machine Autodial</t>
        </is>
      </c>
      <c r="L1491" t="n">
        <v>3</v>
      </c>
      <c r="M1491" t="inlineStr">
        <is>
          <t>2026-06-23 13:53:38</t>
        </is>
      </c>
      <c r="N1491" t="inlineStr">
        <is>
          <t>system</t>
        </is>
      </c>
      <c r="O1491" t="inlineStr">
        <is>
          <t>2026-06-19 07:10:32</t>
        </is>
      </c>
      <c r="P1491" t="inlineStr">
        <is>
          <t>2026-06-19 07:10:32</t>
        </is>
      </c>
      <c r="Y1491" t="inlineStr">
        <is>
          <t>27607552607</t>
        </is>
      </c>
    </row>
    <row r="1492">
      <c r="A1492" t="inlineStr">
        <is>
          <t>14944389</t>
        </is>
      </c>
      <c r="B1492" t="inlineStr">
        <is>
          <t>c98ccc84-64b6-42eb-9dd6-fdee44e2d8dd</t>
        </is>
      </c>
      <c r="D1492" t="inlineStr">
        <is>
          <t>30001087</t>
        </is>
      </c>
      <c r="E1492" t="inlineStr">
        <is>
          <t>ussd_funeral_leads_altitude_20260619</t>
        </is>
      </c>
      <c r="J1492" t="inlineStr">
        <is>
          <t>A</t>
        </is>
      </c>
      <c r="K1492" t="inlineStr">
        <is>
          <t>Answering Machine</t>
        </is>
      </c>
      <c r="L1492" t="n">
        <v>3</v>
      </c>
      <c r="M1492" t="inlineStr">
        <is>
          <t>2026-06-23 13:53:38</t>
        </is>
      </c>
      <c r="N1492" t="inlineStr">
        <is>
          <t>Vuyiswa Nxumalo</t>
        </is>
      </c>
      <c r="O1492" t="inlineStr">
        <is>
          <t>2026-06-19 07:10:32</t>
        </is>
      </c>
      <c r="P1492" t="inlineStr">
        <is>
          <t>2026-06-19 07:10:32</t>
        </is>
      </c>
      <c r="Y1492" t="inlineStr">
        <is>
          <t>27799053684</t>
        </is>
      </c>
    </row>
    <row r="1493">
      <c r="A1493" t="inlineStr">
        <is>
          <t>14944391</t>
        </is>
      </c>
      <c r="B1493" t="inlineStr">
        <is>
          <t>559893cb-50c7-4209-b5fe-e9abbf80cade</t>
        </is>
      </c>
      <c r="D1493" t="inlineStr">
        <is>
          <t>30001087</t>
        </is>
      </c>
      <c r="E1493" t="inlineStr">
        <is>
          <t>ussd_funeral_leads_altitude_20260619</t>
        </is>
      </c>
      <c r="J1493" t="inlineStr">
        <is>
          <t>ADC</t>
        </is>
      </c>
      <c r="K1493" t="inlineStr">
        <is>
          <t>Auto Dial Disconnected</t>
        </is>
      </c>
      <c r="L1493" t="n">
        <v>3</v>
      </c>
      <c r="M1493" t="inlineStr">
        <is>
          <t>2026-06-23 13:53:38</t>
        </is>
      </c>
      <c r="N1493" t="inlineStr">
        <is>
          <t>system</t>
        </is>
      </c>
      <c r="O1493" t="inlineStr">
        <is>
          <t>2026-06-19 07:10:32</t>
        </is>
      </c>
      <c r="P1493" t="inlineStr">
        <is>
          <t>2026-06-19 07:10:32</t>
        </is>
      </c>
      <c r="Y1493" t="inlineStr">
        <is>
          <t>27762992269</t>
        </is>
      </c>
    </row>
    <row r="1494">
      <c r="A1494" t="inlineStr">
        <is>
          <t>14944385</t>
        </is>
      </c>
      <c r="B1494" t="inlineStr">
        <is>
          <t>143da9e7-fb73-4921-9455-c747cbf34bcc</t>
        </is>
      </c>
      <c r="D1494" t="inlineStr">
        <is>
          <t>30001087</t>
        </is>
      </c>
      <c r="E1494" t="inlineStr">
        <is>
          <t>ussd_funeral_leads_altitude_20260619</t>
        </is>
      </c>
      <c r="J1494" t="inlineStr">
        <is>
          <t>AA</t>
        </is>
      </c>
      <c r="K1494" t="inlineStr">
        <is>
          <t>Answering Machine Autodial</t>
        </is>
      </c>
      <c r="L1494" t="n">
        <v>3</v>
      </c>
      <c r="M1494" t="inlineStr">
        <is>
          <t>2026-06-23 13:53:36</t>
        </is>
      </c>
      <c r="N1494" t="inlineStr">
        <is>
          <t>system</t>
        </is>
      </c>
      <c r="O1494" t="inlineStr">
        <is>
          <t>2026-06-19 07:10:32</t>
        </is>
      </c>
      <c r="P1494" t="inlineStr">
        <is>
          <t>2026-06-19 07:10:32</t>
        </is>
      </c>
      <c r="Y1494" t="inlineStr">
        <is>
          <t>27799435460</t>
        </is>
      </c>
    </row>
    <row r="1495">
      <c r="A1495" t="inlineStr">
        <is>
          <t>14944384</t>
        </is>
      </c>
      <c r="B1495" t="inlineStr">
        <is>
          <t>cceac467-ecf8-4a43-8036-4a2ca04cf469</t>
        </is>
      </c>
      <c r="D1495" t="inlineStr">
        <is>
          <t>30001087</t>
        </is>
      </c>
      <c r="E1495" t="inlineStr">
        <is>
          <t>ussd_funeral_leads_altitude_20260619</t>
        </is>
      </c>
      <c r="J1495" t="inlineStr">
        <is>
          <t>AA</t>
        </is>
      </c>
      <c r="K1495" t="inlineStr">
        <is>
          <t>Answering Machine Autodial</t>
        </is>
      </c>
      <c r="L1495" t="n">
        <v>3</v>
      </c>
      <c r="M1495" t="inlineStr">
        <is>
          <t>2026-06-23 13:53:33</t>
        </is>
      </c>
      <c r="N1495" t="inlineStr">
        <is>
          <t>system</t>
        </is>
      </c>
      <c r="O1495" t="inlineStr">
        <is>
          <t>2026-06-19 07:10:32</t>
        </is>
      </c>
      <c r="P1495" t="inlineStr">
        <is>
          <t>2026-06-19 07:10:32</t>
        </is>
      </c>
      <c r="Y1495" t="inlineStr">
        <is>
          <t>27665841504</t>
        </is>
      </c>
    </row>
    <row r="1496">
      <c r="A1496" t="inlineStr">
        <is>
          <t>14900000</t>
        </is>
      </c>
      <c r="B1496" t="inlineStr">
        <is>
          <t>e916ae0d-2e4c-4121-bd31-e9bcaaa36069</t>
        </is>
      </c>
      <c r="D1496" t="inlineStr">
        <is>
          <t>30001087</t>
        </is>
      </c>
      <c r="E1496" t="inlineStr">
        <is>
          <t>ussd_funeral_leads_altitude_20260619</t>
        </is>
      </c>
      <c r="J1496" t="inlineStr">
        <is>
          <t>AA</t>
        </is>
      </c>
      <c r="K1496" t="inlineStr">
        <is>
          <t>Answering Machine Autodial</t>
        </is>
      </c>
      <c r="L1496" t="n">
        <v>3</v>
      </c>
      <c r="M1496" t="inlineStr">
        <is>
          <t>2026-06-23 13:53:32</t>
        </is>
      </c>
      <c r="N1496" t="inlineStr">
        <is>
          <t>system</t>
        </is>
      </c>
      <c r="O1496" t="inlineStr">
        <is>
          <t>2026-06-19 07:10:32</t>
        </is>
      </c>
      <c r="P1496" t="inlineStr">
        <is>
          <t>2026-06-19 07:10:32</t>
        </is>
      </c>
      <c r="Y1496" t="inlineStr">
        <is>
          <t>27795622047</t>
        </is>
      </c>
    </row>
    <row r="1497">
      <c r="A1497" t="inlineStr">
        <is>
          <t>14944381</t>
        </is>
      </c>
      <c r="B1497" t="inlineStr">
        <is>
          <t>ee06e971-4355-4de6-b05c-a8d9976cd48c</t>
        </is>
      </c>
      <c r="D1497" t="inlineStr">
        <is>
          <t>30001087</t>
        </is>
      </c>
      <c r="E1497" t="inlineStr">
        <is>
          <t>ussd_funeral_leads_altitude_20260619</t>
        </is>
      </c>
      <c r="J1497" t="inlineStr">
        <is>
          <t>CU</t>
        </is>
      </c>
      <c r="K1497" t="inlineStr">
        <is>
          <t>Client Hung Up</t>
        </is>
      </c>
      <c r="L1497" t="n">
        <v>3</v>
      </c>
      <c r="M1497" t="inlineStr">
        <is>
          <t>2026-06-23 13:53:32</t>
        </is>
      </c>
      <c r="N1497" t="inlineStr">
        <is>
          <t>Gontse Monageng</t>
        </is>
      </c>
      <c r="O1497" t="inlineStr">
        <is>
          <t>2026-06-19 07:10:32</t>
        </is>
      </c>
      <c r="P1497" t="inlineStr">
        <is>
          <t>2026-06-19 07:10:32</t>
        </is>
      </c>
      <c r="Y1497" t="inlineStr">
        <is>
          <t>27797515163</t>
        </is>
      </c>
    </row>
    <row r="1498">
      <c r="A1498" t="inlineStr">
        <is>
          <t>14944379</t>
        </is>
      </c>
      <c r="B1498" t="inlineStr">
        <is>
          <t>b4a7b2d8-a9e6-4dd4-a5a2-9fe0fca8232e</t>
        </is>
      </c>
      <c r="D1498" t="inlineStr">
        <is>
          <t>30001087</t>
        </is>
      </c>
      <c r="E1498" t="inlineStr">
        <is>
          <t>ussd_funeral_leads_altitude_20260619</t>
        </is>
      </c>
      <c r="J1498" t="inlineStr">
        <is>
          <t>AA</t>
        </is>
      </c>
      <c r="K1498" t="inlineStr">
        <is>
          <t>Answering Machine Autodial</t>
        </is>
      </c>
      <c r="L1498" t="n">
        <v>3</v>
      </c>
      <c r="M1498" t="inlineStr">
        <is>
          <t>2026-06-23 13:53:30</t>
        </is>
      </c>
      <c r="N1498" t="inlineStr">
        <is>
          <t>system</t>
        </is>
      </c>
      <c r="O1498" t="inlineStr">
        <is>
          <t>2026-06-19 07:10:32</t>
        </is>
      </c>
      <c r="P1498" t="inlineStr">
        <is>
          <t>2026-06-19 07:10:32</t>
        </is>
      </c>
      <c r="Y1498" t="inlineStr">
        <is>
          <t>27637270778</t>
        </is>
      </c>
    </row>
    <row r="1499">
      <c r="A1499" t="inlineStr">
        <is>
          <t>14944377</t>
        </is>
      </c>
      <c r="B1499" t="inlineStr">
        <is>
          <t>1bf3cc32-678e-45d6-8595-512c4a66c113</t>
        </is>
      </c>
      <c r="D1499" t="inlineStr">
        <is>
          <t>30001087</t>
        </is>
      </c>
      <c r="E1499" t="inlineStr">
        <is>
          <t>ussd_funeral_leads_altitude_20260619</t>
        </is>
      </c>
      <c r="J1499" t="inlineStr">
        <is>
          <t>AA</t>
        </is>
      </c>
      <c r="K1499" t="inlineStr">
        <is>
          <t>Answering Machine Autodial</t>
        </is>
      </c>
      <c r="L1499" t="n">
        <v>3</v>
      </c>
      <c r="M1499" t="inlineStr">
        <is>
          <t>2026-06-23 13:53:26</t>
        </is>
      </c>
      <c r="N1499" t="inlineStr">
        <is>
          <t>system</t>
        </is>
      </c>
      <c r="O1499" t="inlineStr">
        <is>
          <t>2026-06-19 07:10:32</t>
        </is>
      </c>
      <c r="P1499" t="inlineStr">
        <is>
          <t>2026-06-19 07:10:32</t>
        </is>
      </c>
      <c r="Y1499" t="inlineStr">
        <is>
          <t>27823681411</t>
        </is>
      </c>
    </row>
    <row r="1500">
      <c r="A1500" t="inlineStr">
        <is>
          <t>14944378</t>
        </is>
      </c>
      <c r="B1500" t="inlineStr">
        <is>
          <t>dd30c80d-8ffb-4d90-b19e-784aa3dcb052</t>
        </is>
      </c>
      <c r="D1500" t="inlineStr">
        <is>
          <t>30001087</t>
        </is>
      </c>
      <c r="E1500" t="inlineStr">
        <is>
          <t>ussd_funeral_leads_altitude_20260619</t>
        </is>
      </c>
      <c r="J1500" t="inlineStr">
        <is>
          <t>TDN</t>
        </is>
      </c>
      <c r="K1500" t="inlineStr">
        <is>
          <t>Temporary Disconnected Number</t>
        </is>
      </c>
      <c r="L1500" t="n">
        <v>3</v>
      </c>
      <c r="M1500" t="inlineStr">
        <is>
          <t>2026-06-23 13:53:26</t>
        </is>
      </c>
      <c r="N1500" t="inlineStr">
        <is>
          <t>system</t>
        </is>
      </c>
      <c r="O1500" t="inlineStr">
        <is>
          <t>2026-06-19 07:10:32</t>
        </is>
      </c>
      <c r="P1500" t="inlineStr">
        <is>
          <t>2026-06-19 07:10:32</t>
        </is>
      </c>
      <c r="Y1500" t="inlineStr">
        <is>
          <t>27713559894</t>
        </is>
      </c>
    </row>
    <row r="1501">
      <c r="A1501" t="inlineStr">
        <is>
          <t>14944375</t>
        </is>
      </c>
      <c r="B1501" t="inlineStr">
        <is>
          <t>7c2b67be-cdae-4a78-a125-a7a2f0f10a4b</t>
        </is>
      </c>
      <c r="D1501" t="inlineStr">
        <is>
          <t>30001087</t>
        </is>
      </c>
      <c r="E1501" t="inlineStr">
        <is>
          <t>ussd_funeral_leads_altitude_20260619</t>
        </is>
      </c>
      <c r="J1501" t="inlineStr">
        <is>
          <t>AA</t>
        </is>
      </c>
      <c r="K1501" t="inlineStr">
        <is>
          <t>Answering Machine Autodial</t>
        </is>
      </c>
      <c r="L1501" t="n">
        <v>3</v>
      </c>
      <c r="M1501" t="inlineStr">
        <is>
          <t>2026-06-23 13:53:25</t>
        </is>
      </c>
      <c r="N1501" t="inlineStr">
        <is>
          <t>system</t>
        </is>
      </c>
      <c r="O1501" t="inlineStr">
        <is>
          <t>2026-06-19 07:10:32</t>
        </is>
      </c>
      <c r="P1501" t="inlineStr">
        <is>
          <t>2026-06-19 07:10:32</t>
        </is>
      </c>
      <c r="Y1501" t="inlineStr">
        <is>
          <t>27774876862</t>
        </is>
      </c>
    </row>
    <row r="1502">
      <c r="A1502" t="inlineStr">
        <is>
          <t>14944451</t>
        </is>
      </c>
      <c r="B1502" t="inlineStr">
        <is>
          <t>0cdc51cf-746a-4808-84fe-ae3fb1053902</t>
        </is>
      </c>
      <c r="D1502" t="inlineStr">
        <is>
          <t>30001087</t>
        </is>
      </c>
      <c r="E1502" t="inlineStr">
        <is>
          <t>ussd_funeral_leads_altitude_20260619</t>
        </is>
      </c>
      <c r="J1502" t="inlineStr">
        <is>
          <t>AA</t>
        </is>
      </c>
      <c r="K1502" t="inlineStr">
        <is>
          <t>Answering Machine Autodial</t>
        </is>
      </c>
      <c r="L1502" t="n">
        <v>3</v>
      </c>
      <c r="M1502" t="inlineStr">
        <is>
          <t>2026-06-23 13:53:20</t>
        </is>
      </c>
      <c r="N1502" t="inlineStr">
        <is>
          <t>system</t>
        </is>
      </c>
      <c r="O1502" t="inlineStr">
        <is>
          <t>2026-06-19 07:10:32</t>
        </is>
      </c>
      <c r="P1502" t="inlineStr">
        <is>
          <t>2026-06-19 07:10:32</t>
        </is>
      </c>
      <c r="Y1502" t="inlineStr">
        <is>
          <t>27724209792</t>
        </is>
      </c>
    </row>
    <row r="1503">
      <c r="A1503" t="inlineStr">
        <is>
          <t>14944450</t>
        </is>
      </c>
      <c r="B1503" t="inlineStr">
        <is>
          <t>b5c861cf-13f0-41af-ba22-4a65b218e2eb</t>
        </is>
      </c>
      <c r="D1503" t="inlineStr">
        <is>
          <t>30001087</t>
        </is>
      </c>
      <c r="E1503" t="inlineStr">
        <is>
          <t>ussd_funeral_leads_altitude_20260619</t>
        </is>
      </c>
      <c r="J1503" t="inlineStr">
        <is>
          <t>ADC</t>
        </is>
      </c>
      <c r="K1503" t="inlineStr">
        <is>
          <t>Auto Dial Disconnected</t>
        </is>
      </c>
      <c r="L1503" t="n">
        <v>3</v>
      </c>
      <c r="M1503" t="inlineStr">
        <is>
          <t>2026-06-23 13:53:15</t>
        </is>
      </c>
      <c r="N1503" t="inlineStr">
        <is>
          <t>system</t>
        </is>
      </c>
      <c r="O1503" t="inlineStr">
        <is>
          <t>2026-06-19 07:10:32</t>
        </is>
      </c>
      <c r="P1503" t="inlineStr">
        <is>
          <t>2026-06-19 07:10:32</t>
        </is>
      </c>
      <c r="Y1503" t="inlineStr">
        <is>
          <t>27721294142</t>
        </is>
      </c>
    </row>
    <row r="1504">
      <c r="A1504" t="inlineStr">
        <is>
          <t>14944449</t>
        </is>
      </c>
      <c r="B1504" t="inlineStr">
        <is>
          <t>9271774d-0273-410f-84b9-9947f8775810</t>
        </is>
      </c>
      <c r="D1504" t="inlineStr">
        <is>
          <t>30001087</t>
        </is>
      </c>
      <c r="E1504" t="inlineStr">
        <is>
          <t>ussd_funeral_leads_altitude_20260619</t>
        </is>
      </c>
      <c r="J1504" t="inlineStr">
        <is>
          <t>ADC</t>
        </is>
      </c>
      <c r="K1504" t="inlineStr">
        <is>
          <t>Auto Dial Disconnected</t>
        </is>
      </c>
      <c r="L1504" t="n">
        <v>3</v>
      </c>
      <c r="M1504" t="inlineStr">
        <is>
          <t>2026-06-23 13:53:06</t>
        </is>
      </c>
      <c r="N1504" t="inlineStr">
        <is>
          <t>system</t>
        </is>
      </c>
      <c r="O1504" t="inlineStr">
        <is>
          <t>2026-06-19 07:10:32</t>
        </is>
      </c>
      <c r="P1504" t="inlineStr">
        <is>
          <t>2026-06-19 07:10:32</t>
        </is>
      </c>
      <c r="Y1504" t="inlineStr">
        <is>
          <t>27725080987</t>
        </is>
      </c>
    </row>
    <row r="1505">
      <c r="A1505" t="inlineStr">
        <is>
          <t>14944448</t>
        </is>
      </c>
      <c r="B1505" t="inlineStr">
        <is>
          <t>fa98feec-415e-4c2b-8146-e0701049e800</t>
        </is>
      </c>
      <c r="D1505" t="inlineStr">
        <is>
          <t>30001087</t>
        </is>
      </c>
      <c r="E1505" t="inlineStr">
        <is>
          <t>ussd_funeral_leads_altitude_20260619</t>
        </is>
      </c>
      <c r="J1505" t="inlineStr">
        <is>
          <t>AA</t>
        </is>
      </c>
      <c r="K1505" t="inlineStr">
        <is>
          <t>Answering Machine Autodial</t>
        </is>
      </c>
      <c r="L1505" t="n">
        <v>3</v>
      </c>
      <c r="M1505" t="inlineStr">
        <is>
          <t>2026-06-23 13:53:01</t>
        </is>
      </c>
      <c r="N1505" t="inlineStr">
        <is>
          <t>system</t>
        </is>
      </c>
      <c r="O1505" t="inlineStr">
        <is>
          <t>2026-06-19 07:10:32</t>
        </is>
      </c>
      <c r="P1505" t="inlineStr">
        <is>
          <t>2026-06-19 07:10:32</t>
        </is>
      </c>
      <c r="Y1505" t="inlineStr">
        <is>
          <t>27769228042</t>
        </is>
      </c>
    </row>
    <row r="1506">
      <c r="A1506" t="inlineStr">
        <is>
          <t>14944447</t>
        </is>
      </c>
      <c r="B1506" t="inlineStr">
        <is>
          <t>c3cd1855-5105-4d3c-ae6e-2a43e5153985</t>
        </is>
      </c>
      <c r="D1506" t="inlineStr">
        <is>
          <t>30001087</t>
        </is>
      </c>
      <c r="E1506" t="inlineStr">
        <is>
          <t>ussd_funeral_leads_altitude_20260619</t>
        </is>
      </c>
      <c r="J1506" t="inlineStr">
        <is>
          <t>AA</t>
        </is>
      </c>
      <c r="K1506" t="inlineStr">
        <is>
          <t>Answering Machine Autodial</t>
        </is>
      </c>
      <c r="L1506" t="n">
        <v>3</v>
      </c>
      <c r="M1506" t="inlineStr">
        <is>
          <t>2026-06-23 13:52:55</t>
        </is>
      </c>
      <c r="N1506" t="inlineStr">
        <is>
          <t>system</t>
        </is>
      </c>
      <c r="O1506" t="inlineStr">
        <is>
          <t>2026-06-19 07:10:32</t>
        </is>
      </c>
      <c r="P1506" t="inlineStr">
        <is>
          <t>2026-06-19 07:10:32</t>
        </is>
      </c>
      <c r="Y1506" t="inlineStr">
        <is>
          <t>27674056889</t>
        </is>
      </c>
    </row>
    <row r="1507">
      <c r="A1507" t="inlineStr">
        <is>
          <t>14944446</t>
        </is>
      </c>
      <c r="B1507" t="inlineStr">
        <is>
          <t>c1737095-aff6-4a61-b8dd-ba470c7e47c5</t>
        </is>
      </c>
      <c r="D1507" t="inlineStr">
        <is>
          <t>30001087</t>
        </is>
      </c>
      <c r="E1507" t="inlineStr">
        <is>
          <t>ussd_funeral_leads_altitude_20260619</t>
        </is>
      </c>
      <c r="J1507" t="inlineStr">
        <is>
          <t>NI</t>
        </is>
      </c>
      <c r="K1507" t="inlineStr">
        <is>
          <t>Not Interested</t>
        </is>
      </c>
      <c r="L1507" t="n">
        <v>3</v>
      </c>
      <c r="M1507" t="inlineStr">
        <is>
          <t>2026-06-23 13:52:54</t>
        </is>
      </c>
      <c r="N1507" t="inlineStr">
        <is>
          <t>Dimakatso Nkomo</t>
        </is>
      </c>
      <c r="O1507" t="inlineStr">
        <is>
          <t>2026-06-19 07:10:32</t>
        </is>
      </c>
      <c r="P1507" t="inlineStr">
        <is>
          <t>2026-06-19 07:10:32</t>
        </is>
      </c>
      <c r="Y1507" t="inlineStr">
        <is>
          <t>27828444182</t>
        </is>
      </c>
    </row>
    <row r="1508">
      <c r="A1508" t="inlineStr">
        <is>
          <t>14944445</t>
        </is>
      </c>
      <c r="B1508" t="inlineStr">
        <is>
          <t>c51f1cd9-77ad-4805-93e8-4cdce11ccb1f</t>
        </is>
      </c>
      <c r="D1508" t="inlineStr">
        <is>
          <t>30001087</t>
        </is>
      </c>
      <c r="E1508" t="inlineStr">
        <is>
          <t>ussd_funeral_leads_altitude_20260619</t>
        </is>
      </c>
      <c r="J1508" t="inlineStr">
        <is>
          <t>AA</t>
        </is>
      </c>
      <c r="K1508" t="inlineStr">
        <is>
          <t>Answering Machine Autodial</t>
        </is>
      </c>
      <c r="L1508" t="n">
        <v>3</v>
      </c>
      <c r="M1508" t="inlineStr">
        <is>
          <t>2026-06-23 13:52:53</t>
        </is>
      </c>
      <c r="N1508" t="inlineStr">
        <is>
          <t>system</t>
        </is>
      </c>
      <c r="O1508" t="inlineStr">
        <is>
          <t>2026-06-19 07:10:32</t>
        </is>
      </c>
      <c r="P1508" t="inlineStr">
        <is>
          <t>2026-06-19 07:10:32</t>
        </is>
      </c>
      <c r="Y1508" t="inlineStr">
        <is>
          <t>27797589227</t>
        </is>
      </c>
    </row>
    <row r="1509">
      <c r="A1509" t="inlineStr">
        <is>
          <t>14944441</t>
        </is>
      </c>
      <c r="B1509" t="inlineStr">
        <is>
          <t>c07eb599-7e07-4e08-a587-1ed48ae8da5f</t>
        </is>
      </c>
      <c r="D1509" t="inlineStr">
        <is>
          <t>30001087</t>
        </is>
      </c>
      <c r="E1509" t="inlineStr">
        <is>
          <t>ussd_funeral_leads_altitude_20260619</t>
        </is>
      </c>
      <c r="J1509" t="inlineStr">
        <is>
          <t>TDN</t>
        </is>
      </c>
      <c r="K1509" t="inlineStr">
        <is>
          <t>Temporary Disconnected Number</t>
        </is>
      </c>
      <c r="L1509" t="n">
        <v>3</v>
      </c>
      <c r="M1509" t="inlineStr">
        <is>
          <t>2026-06-23 13:52:51</t>
        </is>
      </c>
      <c r="N1509" t="inlineStr">
        <is>
          <t>system</t>
        </is>
      </c>
      <c r="O1509" t="inlineStr">
        <is>
          <t>2026-06-19 07:10:32</t>
        </is>
      </c>
      <c r="P1509" t="inlineStr">
        <is>
          <t>2026-06-19 07:10:32</t>
        </is>
      </c>
      <c r="Y1509" t="inlineStr">
        <is>
          <t>27609837382</t>
        </is>
      </c>
    </row>
    <row r="1510">
      <c r="A1510" t="inlineStr">
        <is>
          <t>14944442</t>
        </is>
      </c>
      <c r="B1510" t="inlineStr">
        <is>
          <t>7e45d65c-a34d-4bce-8383-788e533c1358</t>
        </is>
      </c>
      <c r="D1510" t="inlineStr">
        <is>
          <t>30001087</t>
        </is>
      </c>
      <c r="E1510" t="inlineStr">
        <is>
          <t>ussd_funeral_leads_altitude_20260619</t>
        </is>
      </c>
      <c r="J1510" t="inlineStr">
        <is>
          <t>ADC</t>
        </is>
      </c>
      <c r="K1510" t="inlineStr">
        <is>
          <t>Auto Dial Disconnected</t>
        </is>
      </c>
      <c r="L1510" t="n">
        <v>3</v>
      </c>
      <c r="M1510" t="inlineStr">
        <is>
          <t>2026-06-23 13:52:51</t>
        </is>
      </c>
      <c r="N1510" t="inlineStr">
        <is>
          <t>system</t>
        </is>
      </c>
      <c r="O1510" t="inlineStr">
        <is>
          <t>2026-06-19 07:10:32</t>
        </is>
      </c>
      <c r="P1510" t="inlineStr">
        <is>
          <t>2026-06-19 07:10:32</t>
        </is>
      </c>
      <c r="Y1510" t="inlineStr">
        <is>
          <t>27673007395</t>
        </is>
      </c>
    </row>
    <row r="1511">
      <c r="A1511" t="inlineStr">
        <is>
          <t>14944443</t>
        </is>
      </c>
      <c r="B1511" t="inlineStr">
        <is>
          <t>53518cea-6374-405b-965d-64b8ab25db2e</t>
        </is>
      </c>
      <c r="D1511" t="inlineStr">
        <is>
          <t>30001087</t>
        </is>
      </c>
      <c r="E1511" t="inlineStr">
        <is>
          <t>ussd_funeral_leads_altitude_20260619</t>
        </is>
      </c>
      <c r="J1511" t="inlineStr">
        <is>
          <t>AA</t>
        </is>
      </c>
      <c r="K1511" t="inlineStr">
        <is>
          <t>Answering Machine Autodial</t>
        </is>
      </c>
      <c r="L1511" t="n">
        <v>3</v>
      </c>
      <c r="M1511" t="inlineStr">
        <is>
          <t>2026-06-23 13:52:51</t>
        </is>
      </c>
      <c r="N1511" t="inlineStr">
        <is>
          <t>system</t>
        </is>
      </c>
      <c r="O1511" t="inlineStr">
        <is>
          <t>2026-06-19 07:10:32</t>
        </is>
      </c>
      <c r="P1511" t="inlineStr">
        <is>
          <t>2026-06-19 07:10:32</t>
        </is>
      </c>
      <c r="Y1511" t="inlineStr">
        <is>
          <t>27649961831</t>
        </is>
      </c>
    </row>
    <row r="1512">
      <c r="A1512" t="inlineStr">
        <is>
          <t>14944444</t>
        </is>
      </c>
      <c r="B1512" t="inlineStr">
        <is>
          <t>8aff2d27-ac67-43b0-9924-caf088cdf2ba</t>
        </is>
      </c>
      <c r="D1512" t="inlineStr">
        <is>
          <t>30001087</t>
        </is>
      </c>
      <c r="E1512" t="inlineStr">
        <is>
          <t>ussd_funeral_leads_altitude_20260619</t>
        </is>
      </c>
      <c r="J1512" t="inlineStr">
        <is>
          <t>AA</t>
        </is>
      </c>
      <c r="K1512" t="inlineStr">
        <is>
          <t>Answering Machine Autodial</t>
        </is>
      </c>
      <c r="L1512" t="n">
        <v>3</v>
      </c>
      <c r="M1512" t="inlineStr">
        <is>
          <t>2026-06-23 13:52:51</t>
        </is>
      </c>
      <c r="N1512" t="inlineStr">
        <is>
          <t>system</t>
        </is>
      </c>
      <c r="O1512" t="inlineStr">
        <is>
          <t>2026-06-19 07:10:32</t>
        </is>
      </c>
      <c r="P1512" t="inlineStr">
        <is>
          <t>2026-06-19 07:10:32</t>
        </is>
      </c>
      <c r="Y1512" t="inlineStr">
        <is>
          <t>27767059795</t>
        </is>
      </c>
    </row>
    <row r="1513">
      <c r="A1513" t="inlineStr">
        <is>
          <t>14944436</t>
        </is>
      </c>
      <c r="B1513" t="inlineStr">
        <is>
          <t>e4f7eb4c-8338-48c9-9056-07fe0aaadb59</t>
        </is>
      </c>
      <c r="D1513" t="inlineStr">
        <is>
          <t>30001087</t>
        </is>
      </c>
      <c r="E1513" t="inlineStr">
        <is>
          <t>ussd_funeral_leads_altitude_20260619</t>
        </is>
      </c>
      <c r="J1513" t="inlineStr">
        <is>
          <t>AA</t>
        </is>
      </c>
      <c r="K1513" t="inlineStr">
        <is>
          <t>Answering Machine Autodial</t>
        </is>
      </c>
      <c r="L1513" t="n">
        <v>3</v>
      </c>
      <c r="M1513" t="inlineStr">
        <is>
          <t>2026-06-23 13:52:45</t>
        </is>
      </c>
      <c r="N1513" t="inlineStr">
        <is>
          <t>system</t>
        </is>
      </c>
      <c r="O1513" t="inlineStr">
        <is>
          <t>2026-06-19 07:10:32</t>
        </is>
      </c>
      <c r="P1513" t="inlineStr">
        <is>
          <t>2026-06-19 07:10:32</t>
        </is>
      </c>
      <c r="Y1513" t="inlineStr">
        <is>
          <t>27607182851</t>
        </is>
      </c>
    </row>
    <row r="1514">
      <c r="A1514" t="inlineStr">
        <is>
          <t>14944437</t>
        </is>
      </c>
      <c r="B1514" t="inlineStr">
        <is>
          <t>8fa00b87-21eb-43a7-9d97-c061aecb4e63</t>
        </is>
      </c>
      <c r="D1514" t="inlineStr">
        <is>
          <t>30001087</t>
        </is>
      </c>
      <c r="E1514" t="inlineStr">
        <is>
          <t>ussd_funeral_leads_altitude_20260619</t>
        </is>
      </c>
      <c r="J1514" t="inlineStr">
        <is>
          <t>AA</t>
        </is>
      </c>
      <c r="K1514" t="inlineStr">
        <is>
          <t>Answering Machine Autodial</t>
        </is>
      </c>
      <c r="L1514" t="n">
        <v>3</v>
      </c>
      <c r="M1514" t="inlineStr">
        <is>
          <t>2026-06-23 13:52:45</t>
        </is>
      </c>
      <c r="N1514" t="inlineStr">
        <is>
          <t>system</t>
        </is>
      </c>
      <c r="O1514" t="inlineStr">
        <is>
          <t>2026-06-19 07:10:32</t>
        </is>
      </c>
      <c r="P1514" t="inlineStr">
        <is>
          <t>2026-06-19 07:10:32</t>
        </is>
      </c>
      <c r="Y1514" t="inlineStr">
        <is>
          <t>27823272831</t>
        </is>
      </c>
    </row>
    <row r="1515">
      <c r="A1515" t="inlineStr">
        <is>
          <t>14944438</t>
        </is>
      </c>
      <c r="B1515" t="inlineStr">
        <is>
          <t>9fd62035-754e-45a2-91a0-45e727e0ff91</t>
        </is>
      </c>
      <c r="D1515" t="inlineStr">
        <is>
          <t>30001087</t>
        </is>
      </c>
      <c r="E1515" t="inlineStr">
        <is>
          <t>ussd_funeral_leads_altitude_20260619</t>
        </is>
      </c>
      <c r="J1515" t="inlineStr">
        <is>
          <t>AA</t>
        </is>
      </c>
      <c r="K1515" t="inlineStr">
        <is>
          <t>Answering Machine Autodial</t>
        </is>
      </c>
      <c r="L1515" t="n">
        <v>3</v>
      </c>
      <c r="M1515" t="inlineStr">
        <is>
          <t>2026-06-23 13:52:45</t>
        </is>
      </c>
      <c r="N1515" t="inlineStr">
        <is>
          <t>system</t>
        </is>
      </c>
      <c r="O1515" t="inlineStr">
        <is>
          <t>2026-06-19 07:10:32</t>
        </is>
      </c>
      <c r="P1515" t="inlineStr">
        <is>
          <t>2026-06-19 07:10:32</t>
        </is>
      </c>
      <c r="Y1515" t="inlineStr">
        <is>
          <t>27795484179</t>
        </is>
      </c>
    </row>
    <row r="1516">
      <c r="A1516" t="inlineStr">
        <is>
          <t>14944439</t>
        </is>
      </c>
      <c r="B1516" t="inlineStr">
        <is>
          <t>00e01ef6-1002-4705-b714-7111c3f5d366</t>
        </is>
      </c>
      <c r="D1516" t="inlineStr">
        <is>
          <t>30001087</t>
        </is>
      </c>
      <c r="E1516" t="inlineStr">
        <is>
          <t>ussd_funeral_leads_altitude_20260619</t>
        </is>
      </c>
      <c r="J1516" t="inlineStr">
        <is>
          <t>CU</t>
        </is>
      </c>
      <c r="K1516" t="inlineStr">
        <is>
          <t>Client Hung Up</t>
        </is>
      </c>
      <c r="L1516" t="n">
        <v>3</v>
      </c>
      <c r="M1516" t="inlineStr">
        <is>
          <t>2026-06-23 13:52:45</t>
        </is>
      </c>
      <c r="N1516" t="inlineStr">
        <is>
          <t>Gontse Monageng</t>
        </is>
      </c>
      <c r="O1516" t="inlineStr">
        <is>
          <t>2026-06-19 07:10:32</t>
        </is>
      </c>
      <c r="P1516" t="inlineStr">
        <is>
          <t>2026-06-19 07:10:32</t>
        </is>
      </c>
      <c r="Y1516" t="inlineStr">
        <is>
          <t>27722198508</t>
        </is>
      </c>
    </row>
    <row r="1517">
      <c r="A1517" t="inlineStr">
        <is>
          <t>14944440</t>
        </is>
      </c>
      <c r="B1517" t="inlineStr">
        <is>
          <t>d619613b-f159-417e-9a02-5ea1cfca6b5f</t>
        </is>
      </c>
      <c r="D1517" t="inlineStr">
        <is>
          <t>30001087</t>
        </is>
      </c>
      <c r="E1517" t="inlineStr">
        <is>
          <t>ussd_funeral_leads_altitude_20260619</t>
        </is>
      </c>
      <c r="J1517" t="inlineStr">
        <is>
          <t>AA</t>
        </is>
      </c>
      <c r="K1517" t="inlineStr">
        <is>
          <t>Answering Machine Autodial</t>
        </is>
      </c>
      <c r="L1517" t="n">
        <v>3</v>
      </c>
      <c r="M1517" t="inlineStr">
        <is>
          <t>2026-06-23 13:52:45</t>
        </is>
      </c>
      <c r="N1517" t="inlineStr">
        <is>
          <t>system</t>
        </is>
      </c>
      <c r="O1517" t="inlineStr">
        <is>
          <t>2026-06-19 07:10:32</t>
        </is>
      </c>
      <c r="P1517" t="inlineStr">
        <is>
          <t>2026-06-19 07:10:32</t>
        </is>
      </c>
      <c r="Y1517" t="inlineStr">
        <is>
          <t>27720560691</t>
        </is>
      </c>
    </row>
    <row r="1518">
      <c r="A1518" t="inlineStr">
        <is>
          <t>14944433</t>
        </is>
      </c>
      <c r="B1518" t="inlineStr">
        <is>
          <t>a3f072e2-5589-4872-bbfe-2f21871aba23</t>
        </is>
      </c>
      <c r="D1518" t="inlineStr">
        <is>
          <t>30001087</t>
        </is>
      </c>
      <c r="E1518" t="inlineStr">
        <is>
          <t>ussd_funeral_leads_altitude_20260619</t>
        </is>
      </c>
      <c r="J1518" t="inlineStr">
        <is>
          <t>AA</t>
        </is>
      </c>
      <c r="K1518" t="inlineStr">
        <is>
          <t>Answering Machine Autodial</t>
        </is>
      </c>
      <c r="L1518" t="n">
        <v>3</v>
      </c>
      <c r="M1518" t="inlineStr">
        <is>
          <t>2026-06-23 13:52:44</t>
        </is>
      </c>
      <c r="N1518" t="inlineStr">
        <is>
          <t>system</t>
        </is>
      </c>
      <c r="O1518" t="inlineStr">
        <is>
          <t>2026-06-19 07:10:32</t>
        </is>
      </c>
      <c r="P1518" t="inlineStr">
        <is>
          <t>2026-06-19 07:10:32</t>
        </is>
      </c>
      <c r="Y1518" t="inlineStr">
        <is>
          <t>27609424865</t>
        </is>
      </c>
    </row>
    <row r="1519">
      <c r="A1519" t="inlineStr">
        <is>
          <t>14944434</t>
        </is>
      </c>
      <c r="B1519" t="inlineStr">
        <is>
          <t>3cbb4b16-16fe-4348-b04e-f5dacc2e4a74</t>
        </is>
      </c>
      <c r="D1519" t="inlineStr">
        <is>
          <t>30001087</t>
        </is>
      </c>
      <c r="E1519" t="inlineStr">
        <is>
          <t>ussd_funeral_leads_altitude_20260619</t>
        </is>
      </c>
      <c r="J1519" t="inlineStr">
        <is>
          <t>AA</t>
        </is>
      </c>
      <c r="K1519" t="inlineStr">
        <is>
          <t>Answering Machine Autodial</t>
        </is>
      </c>
      <c r="L1519" t="n">
        <v>3</v>
      </c>
      <c r="M1519" t="inlineStr">
        <is>
          <t>2026-06-23 13:52:44</t>
        </is>
      </c>
      <c r="N1519" t="inlineStr">
        <is>
          <t>system</t>
        </is>
      </c>
      <c r="O1519" t="inlineStr">
        <is>
          <t>2026-06-19 07:10:32</t>
        </is>
      </c>
      <c r="P1519" t="inlineStr">
        <is>
          <t>2026-06-19 07:10:32</t>
        </is>
      </c>
      <c r="Y1519" t="inlineStr">
        <is>
          <t>27762382378</t>
        </is>
      </c>
    </row>
    <row r="1520">
      <c r="A1520" t="inlineStr">
        <is>
          <t>14944435</t>
        </is>
      </c>
      <c r="B1520" t="inlineStr">
        <is>
          <t>8261436b-e611-453a-85bc-8399bb682b0f</t>
        </is>
      </c>
      <c r="D1520" t="inlineStr">
        <is>
          <t>30001087</t>
        </is>
      </c>
      <c r="E1520" t="inlineStr">
        <is>
          <t>ussd_funeral_leads_altitude_20260619</t>
        </is>
      </c>
      <c r="J1520" t="inlineStr">
        <is>
          <t>TDN</t>
        </is>
      </c>
      <c r="K1520" t="inlineStr">
        <is>
          <t>Temporary Disconnected Number</t>
        </is>
      </c>
      <c r="L1520" t="n">
        <v>3</v>
      </c>
      <c r="M1520" t="inlineStr">
        <is>
          <t>2026-06-23 13:52:44</t>
        </is>
      </c>
      <c r="N1520" t="inlineStr">
        <is>
          <t>system</t>
        </is>
      </c>
      <c r="O1520" t="inlineStr">
        <is>
          <t>2026-06-19 07:10:32</t>
        </is>
      </c>
      <c r="P1520" t="inlineStr">
        <is>
          <t>2026-06-19 07:10:32</t>
        </is>
      </c>
      <c r="Y1520" t="inlineStr">
        <is>
          <t>27765923366</t>
        </is>
      </c>
    </row>
    <row r="1521">
      <c r="A1521" t="inlineStr">
        <is>
          <t>14944432</t>
        </is>
      </c>
      <c r="B1521" t="inlineStr">
        <is>
          <t>8a2f98e2-527e-4048-91c6-1f72b8d99877</t>
        </is>
      </c>
      <c r="D1521" t="inlineStr">
        <is>
          <t>30001087</t>
        </is>
      </c>
      <c r="E1521" t="inlineStr">
        <is>
          <t>ussd_funeral_leads_altitude_20260619</t>
        </is>
      </c>
      <c r="J1521" t="inlineStr">
        <is>
          <t>AA</t>
        </is>
      </c>
      <c r="K1521" t="inlineStr">
        <is>
          <t>Answering Machine Autodial</t>
        </is>
      </c>
      <c r="L1521" t="n">
        <v>3</v>
      </c>
      <c r="M1521" t="inlineStr">
        <is>
          <t>2026-06-23 13:52:39</t>
        </is>
      </c>
      <c r="N1521" t="inlineStr">
        <is>
          <t>system</t>
        </is>
      </c>
      <c r="O1521" t="inlineStr">
        <is>
          <t>2026-06-19 07:10:32</t>
        </is>
      </c>
      <c r="P1521" t="inlineStr">
        <is>
          <t>2026-06-19 07:10:32</t>
        </is>
      </c>
      <c r="Y1521" t="inlineStr">
        <is>
          <t>27726729565</t>
        </is>
      </c>
    </row>
    <row r="1522">
      <c r="A1522" t="inlineStr">
        <is>
          <t>14944422</t>
        </is>
      </c>
      <c r="B1522" t="inlineStr">
        <is>
          <t>184edaf0-1fe2-4ef1-8113-0a20d49f82f2</t>
        </is>
      </c>
      <c r="D1522" t="inlineStr">
        <is>
          <t>30001087</t>
        </is>
      </c>
      <c r="E1522" t="inlineStr">
        <is>
          <t>ussd_funeral_leads_altitude_20260619</t>
        </is>
      </c>
      <c r="J1522" t="inlineStr">
        <is>
          <t>LANG</t>
        </is>
      </c>
      <c r="K1522" t="inlineStr">
        <is>
          <t>Language Barrier</t>
        </is>
      </c>
      <c r="L1522" t="n">
        <v>3</v>
      </c>
      <c r="M1522" t="inlineStr">
        <is>
          <t>2026-06-23 13:52:39</t>
        </is>
      </c>
      <c r="N1522" t="inlineStr">
        <is>
          <t>Goitsimang Mogwasa</t>
        </is>
      </c>
      <c r="O1522" t="inlineStr">
        <is>
          <t>2026-06-19 07:10:32</t>
        </is>
      </c>
      <c r="P1522" t="inlineStr">
        <is>
          <t>2026-06-19 07:10:32</t>
        </is>
      </c>
      <c r="Y1522" t="inlineStr">
        <is>
          <t>27728917246</t>
        </is>
      </c>
    </row>
    <row r="1523">
      <c r="A1523" t="inlineStr">
        <is>
          <t>14944418</t>
        </is>
      </c>
      <c r="B1523" t="inlineStr">
        <is>
          <t>3c5347ed-1497-45fd-9f6b-225515249258</t>
        </is>
      </c>
      <c r="D1523" t="inlineStr">
        <is>
          <t>30001087</t>
        </is>
      </c>
      <c r="E1523" t="inlineStr">
        <is>
          <t>ussd_funeral_leads_altitude_20260619</t>
        </is>
      </c>
      <c r="J1523" t="inlineStr">
        <is>
          <t>TDN</t>
        </is>
      </c>
      <c r="K1523" t="inlineStr">
        <is>
          <t>Temporary Disconnected Number</t>
        </is>
      </c>
      <c r="L1523" t="n">
        <v>3</v>
      </c>
      <c r="M1523" t="inlineStr">
        <is>
          <t>2026-06-23 13:52:38</t>
        </is>
      </c>
      <c r="N1523" t="inlineStr">
        <is>
          <t>system</t>
        </is>
      </c>
      <c r="O1523" t="inlineStr">
        <is>
          <t>2026-06-19 07:10:32</t>
        </is>
      </c>
      <c r="P1523" t="inlineStr">
        <is>
          <t>2026-06-19 07:10:32</t>
        </is>
      </c>
      <c r="Y1523" t="inlineStr">
        <is>
          <t>27794879041</t>
        </is>
      </c>
    </row>
    <row r="1524">
      <c r="A1524" t="inlineStr">
        <is>
          <t>14944419</t>
        </is>
      </c>
      <c r="B1524" t="inlineStr">
        <is>
          <t>29f5e5b7-8f7f-45c2-b4bc-ce4011a12e28</t>
        </is>
      </c>
      <c r="D1524" t="inlineStr">
        <is>
          <t>30001087</t>
        </is>
      </c>
      <c r="E1524" t="inlineStr">
        <is>
          <t>ussd_funeral_leads_altitude_20260619</t>
        </is>
      </c>
      <c r="J1524" t="inlineStr">
        <is>
          <t>ADC</t>
        </is>
      </c>
      <c r="K1524" t="inlineStr">
        <is>
          <t>Auto Dial Disconnected</t>
        </is>
      </c>
      <c r="L1524" t="n">
        <v>3</v>
      </c>
      <c r="M1524" t="inlineStr">
        <is>
          <t>2026-06-23 13:52:38</t>
        </is>
      </c>
      <c r="N1524" t="inlineStr">
        <is>
          <t>system</t>
        </is>
      </c>
      <c r="O1524" t="inlineStr">
        <is>
          <t>2026-06-19 07:10:32</t>
        </is>
      </c>
      <c r="P1524" t="inlineStr">
        <is>
          <t>2026-06-19 07:10:32</t>
        </is>
      </c>
      <c r="Y1524" t="inlineStr">
        <is>
          <t>27649657167</t>
        </is>
      </c>
    </row>
    <row r="1525">
      <c r="A1525" t="inlineStr">
        <is>
          <t>14944420</t>
        </is>
      </c>
      <c r="B1525" t="inlineStr">
        <is>
          <t>f307889d-e937-4113-a231-103714b737fb</t>
        </is>
      </c>
      <c r="D1525" t="inlineStr">
        <is>
          <t>30001087</t>
        </is>
      </c>
      <c r="E1525" t="inlineStr">
        <is>
          <t>ussd_funeral_leads_altitude_20260619</t>
        </is>
      </c>
      <c r="J1525" t="inlineStr">
        <is>
          <t>AA</t>
        </is>
      </c>
      <c r="K1525" t="inlineStr">
        <is>
          <t>Answering Machine Autodial</t>
        </is>
      </c>
      <c r="L1525" t="n">
        <v>3</v>
      </c>
      <c r="M1525" t="inlineStr">
        <is>
          <t>2026-06-23 13:52:38</t>
        </is>
      </c>
      <c r="N1525" t="inlineStr">
        <is>
          <t>system</t>
        </is>
      </c>
      <c r="O1525" t="inlineStr">
        <is>
          <t>2026-06-19 07:10:32</t>
        </is>
      </c>
      <c r="P1525" t="inlineStr">
        <is>
          <t>2026-06-19 07:10:32</t>
        </is>
      </c>
      <c r="Y1525" t="inlineStr">
        <is>
          <t>27646671818</t>
        </is>
      </c>
    </row>
    <row r="1526">
      <c r="A1526" t="inlineStr">
        <is>
          <t>14900000</t>
        </is>
      </c>
      <c r="B1526" t="inlineStr">
        <is>
          <t>e60441ed-0e07-457a-be03-d6a288e06e36</t>
        </is>
      </c>
      <c r="D1526" t="inlineStr">
        <is>
          <t>30001087</t>
        </is>
      </c>
      <c r="E1526" t="inlineStr">
        <is>
          <t>ussd_funeral_leads_altitude_20260619</t>
        </is>
      </c>
      <c r="J1526" t="inlineStr">
        <is>
          <t>ADC</t>
        </is>
      </c>
      <c r="K1526" t="inlineStr">
        <is>
          <t>Auto Dial Disconnected</t>
        </is>
      </c>
      <c r="L1526" t="n">
        <v>3</v>
      </c>
      <c r="M1526" t="inlineStr">
        <is>
          <t>2026-06-23 13:52:37</t>
        </is>
      </c>
      <c r="N1526" t="inlineStr">
        <is>
          <t>system</t>
        </is>
      </c>
      <c r="O1526" t="inlineStr">
        <is>
          <t>2026-06-19 07:10:32</t>
        </is>
      </c>
      <c r="P1526" t="inlineStr">
        <is>
          <t>2026-06-19 07:10:32</t>
        </is>
      </c>
      <c r="Y1526" t="inlineStr">
        <is>
          <t>27822641402</t>
        </is>
      </c>
    </row>
    <row r="1527">
      <c r="A1527" t="inlineStr">
        <is>
          <t>14944416</t>
        </is>
      </c>
      <c r="B1527" t="inlineStr">
        <is>
          <t>98650081-b428-4262-8743-bc8e9ab2917c</t>
        </is>
      </c>
      <c r="D1527" t="inlineStr">
        <is>
          <t>30001087</t>
        </is>
      </c>
      <c r="E1527" t="inlineStr">
        <is>
          <t>ussd_funeral_leads_altitude_20260619</t>
        </is>
      </c>
      <c r="J1527" t="inlineStr">
        <is>
          <t>AA</t>
        </is>
      </c>
      <c r="K1527" t="inlineStr">
        <is>
          <t>Answering Machine Autodial</t>
        </is>
      </c>
      <c r="L1527" t="n">
        <v>3</v>
      </c>
      <c r="M1527" t="inlineStr">
        <is>
          <t>2026-06-23 13:52:32</t>
        </is>
      </c>
      <c r="N1527" t="inlineStr">
        <is>
          <t>system</t>
        </is>
      </c>
      <c r="O1527" t="inlineStr">
        <is>
          <t>2026-06-19 07:10:32</t>
        </is>
      </c>
      <c r="P1527" t="inlineStr">
        <is>
          <t>2026-06-19 07:10:32</t>
        </is>
      </c>
      <c r="Y1527" t="inlineStr">
        <is>
          <t>27823370931</t>
        </is>
      </c>
    </row>
    <row r="1528">
      <c r="A1528" t="inlineStr">
        <is>
          <t>14944413</t>
        </is>
      </c>
      <c r="B1528" t="inlineStr">
        <is>
          <t>3d2541f9-a442-479d-91b7-6522bcab33e7</t>
        </is>
      </c>
      <c r="D1528" t="inlineStr">
        <is>
          <t>30001087</t>
        </is>
      </c>
      <c r="E1528" t="inlineStr">
        <is>
          <t>ussd_funeral_leads_altitude_20260619</t>
        </is>
      </c>
      <c r="J1528" t="inlineStr">
        <is>
          <t>ADC</t>
        </is>
      </c>
      <c r="K1528" t="inlineStr">
        <is>
          <t>Auto Dial Disconnected</t>
        </is>
      </c>
      <c r="L1528" t="n">
        <v>3</v>
      </c>
      <c r="M1528" t="inlineStr">
        <is>
          <t>2026-06-23 13:52:27</t>
        </is>
      </c>
      <c r="N1528" t="inlineStr">
        <is>
          <t>system</t>
        </is>
      </c>
      <c r="O1528" t="inlineStr">
        <is>
          <t>2026-06-19 07:10:32</t>
        </is>
      </c>
      <c r="P1528" t="inlineStr">
        <is>
          <t>2026-06-19 07:10:32</t>
        </is>
      </c>
      <c r="Y1528" t="inlineStr">
        <is>
          <t>27726750900</t>
        </is>
      </c>
    </row>
    <row r="1529">
      <c r="A1529" t="inlineStr">
        <is>
          <t>14944414</t>
        </is>
      </c>
      <c r="B1529" t="inlineStr">
        <is>
          <t>eb5dbc54-eef7-4aff-bae2-67c3c48f7467</t>
        </is>
      </c>
      <c r="D1529" t="inlineStr">
        <is>
          <t>30001087</t>
        </is>
      </c>
      <c r="E1529" t="inlineStr">
        <is>
          <t>ussd_funeral_leads_altitude_20260619</t>
        </is>
      </c>
      <c r="J1529" t="inlineStr">
        <is>
          <t>AE</t>
        </is>
      </c>
      <c r="K1529" t="inlineStr">
        <is>
          <t>Auto Engaged</t>
        </is>
      </c>
      <c r="L1529" t="n">
        <v>3</v>
      </c>
      <c r="M1529" t="inlineStr">
        <is>
          <t>2026-06-23 13:52:27</t>
        </is>
      </c>
      <c r="N1529" t="inlineStr">
        <is>
          <t>system</t>
        </is>
      </c>
      <c r="O1529" t="inlineStr">
        <is>
          <t>2026-06-19 07:10:32</t>
        </is>
      </c>
      <c r="P1529" t="inlineStr">
        <is>
          <t>2026-06-19 07:10:32</t>
        </is>
      </c>
      <c r="Y1529" t="inlineStr">
        <is>
          <t>27768743110</t>
        </is>
      </c>
    </row>
    <row r="1530">
      <c r="A1530" t="inlineStr">
        <is>
          <t>14944412</t>
        </is>
      </c>
      <c r="B1530" t="inlineStr">
        <is>
          <t>0b0755d9-e238-4bb2-a19f-47c46e130780</t>
        </is>
      </c>
      <c r="D1530" t="inlineStr">
        <is>
          <t>30001087</t>
        </is>
      </c>
      <c r="E1530" t="inlineStr">
        <is>
          <t>ussd_funeral_leads_altitude_20260619</t>
        </is>
      </c>
      <c r="J1530" t="inlineStr">
        <is>
          <t>A</t>
        </is>
      </c>
      <c r="K1530" t="inlineStr">
        <is>
          <t>Answering Machine</t>
        </is>
      </c>
      <c r="L1530" t="n">
        <v>3</v>
      </c>
      <c r="M1530" t="inlineStr">
        <is>
          <t>2026-06-23 13:52:26</t>
        </is>
      </c>
      <c r="N1530" t="inlineStr">
        <is>
          <t>Vuyiswa Nxumalo</t>
        </is>
      </c>
      <c r="O1530" t="inlineStr">
        <is>
          <t>2026-06-19 07:10:32</t>
        </is>
      </c>
      <c r="P1530" t="inlineStr">
        <is>
          <t>2026-06-19 07:10:32</t>
        </is>
      </c>
      <c r="Y1530" t="inlineStr">
        <is>
          <t>27766159950</t>
        </is>
      </c>
    </row>
    <row r="1531">
      <c r="A1531" t="inlineStr">
        <is>
          <t>14944410</t>
        </is>
      </c>
      <c r="B1531" t="inlineStr">
        <is>
          <t>c353e034-8483-4433-8e5f-affe72167ffc</t>
        </is>
      </c>
      <c r="D1531" t="inlineStr">
        <is>
          <t>30001087</t>
        </is>
      </c>
      <c r="E1531" t="inlineStr">
        <is>
          <t>ussd_funeral_leads_altitude_20260619</t>
        </is>
      </c>
      <c r="J1531" t="inlineStr">
        <is>
          <t>ADC</t>
        </is>
      </c>
      <c r="K1531" t="inlineStr">
        <is>
          <t>Auto Dial Disconnected</t>
        </is>
      </c>
      <c r="L1531" t="n">
        <v>3</v>
      </c>
      <c r="M1531" t="inlineStr">
        <is>
          <t>2026-06-23 13:52:20</t>
        </is>
      </c>
      <c r="N1531" t="inlineStr">
        <is>
          <t>system</t>
        </is>
      </c>
      <c r="O1531" t="inlineStr">
        <is>
          <t>2026-06-19 07:10:32</t>
        </is>
      </c>
      <c r="P1531" t="inlineStr">
        <is>
          <t>2026-06-19 07:10:32</t>
        </is>
      </c>
      <c r="Y1531" t="inlineStr">
        <is>
          <t>27647458439</t>
        </is>
      </c>
    </row>
    <row r="1532">
      <c r="A1532" t="inlineStr">
        <is>
          <t>14944431</t>
        </is>
      </c>
      <c r="B1532" t="inlineStr">
        <is>
          <t>a373ec97-fd64-408c-9be9-bbb773a31a4f</t>
        </is>
      </c>
      <c r="D1532" t="inlineStr">
        <is>
          <t>30001087</t>
        </is>
      </c>
      <c r="E1532" t="inlineStr">
        <is>
          <t>ussd_funeral_leads_altitude_20260619</t>
        </is>
      </c>
      <c r="J1532" t="inlineStr">
        <is>
          <t>ADC</t>
        </is>
      </c>
      <c r="K1532" t="inlineStr">
        <is>
          <t>Auto Dial Disconnected</t>
        </is>
      </c>
      <c r="L1532" t="n">
        <v>3</v>
      </c>
      <c r="M1532" t="inlineStr">
        <is>
          <t>2026-06-23 13:52:07</t>
        </is>
      </c>
      <c r="N1532" t="inlineStr">
        <is>
          <t>system</t>
        </is>
      </c>
      <c r="O1532" t="inlineStr">
        <is>
          <t>2026-06-19 07:10:32</t>
        </is>
      </c>
      <c r="P1532" t="inlineStr">
        <is>
          <t>2026-06-19 07:10:32</t>
        </is>
      </c>
      <c r="Y1532" t="inlineStr">
        <is>
          <t>27826450728</t>
        </is>
      </c>
    </row>
    <row r="1533">
      <c r="A1533" t="inlineStr">
        <is>
          <t>14944430</t>
        </is>
      </c>
      <c r="B1533" t="inlineStr">
        <is>
          <t>df493203-7216-4cab-8321-f7e51daf849a</t>
        </is>
      </c>
      <c r="D1533" t="inlineStr">
        <is>
          <t>30001087</t>
        </is>
      </c>
      <c r="E1533" t="inlineStr">
        <is>
          <t>ussd_funeral_leads_altitude_20260619</t>
        </is>
      </c>
      <c r="H1533" t="inlineStr">
        <is>
          <t>27796958133</t>
        </is>
      </c>
      <c r="J1533" t="inlineStr">
        <is>
          <t>AA</t>
        </is>
      </c>
      <c r="K1533" t="inlineStr">
        <is>
          <t>Answering Machine Autodial</t>
        </is>
      </c>
      <c r="L1533" t="n">
        <v>3</v>
      </c>
      <c r="M1533" t="inlineStr">
        <is>
          <t>2026-06-23 13:52:00</t>
        </is>
      </c>
      <c r="N1533" t="inlineStr">
        <is>
          <t>system</t>
        </is>
      </c>
      <c r="O1533" t="inlineStr">
        <is>
          <t>2026-06-19 07:10:32</t>
        </is>
      </c>
      <c r="P1533" t="inlineStr">
        <is>
          <t>2026-06-19 07:10:32</t>
        </is>
      </c>
      <c r="Y1533" t="inlineStr">
        <is>
          <t>27796958133</t>
        </is>
      </c>
    </row>
    <row r="1534">
      <c r="A1534" t="inlineStr">
        <is>
          <t>14944424</t>
        </is>
      </c>
      <c r="B1534" t="inlineStr">
        <is>
          <t>7ab0e2cf-b705-4ae2-aa50-7aa3b4fbdb99</t>
        </is>
      </c>
      <c r="D1534" t="inlineStr">
        <is>
          <t>30001087</t>
        </is>
      </c>
      <c r="E1534" t="inlineStr">
        <is>
          <t>ussd_funeral_leads_altitude_20260619</t>
        </is>
      </c>
      <c r="J1534" t="inlineStr">
        <is>
          <t>AA</t>
        </is>
      </c>
      <c r="K1534" t="inlineStr">
        <is>
          <t>Answering Machine Autodial</t>
        </is>
      </c>
      <c r="L1534" t="n">
        <v>3</v>
      </c>
      <c r="M1534" t="inlineStr">
        <is>
          <t>2026-06-23 13:51:59</t>
        </is>
      </c>
      <c r="N1534" t="inlineStr">
        <is>
          <t>system</t>
        </is>
      </c>
      <c r="O1534" t="inlineStr">
        <is>
          <t>2026-06-19 07:10:32</t>
        </is>
      </c>
      <c r="P1534" t="inlineStr">
        <is>
          <t>2026-06-19 07:10:32</t>
        </is>
      </c>
      <c r="Y1534" t="inlineStr">
        <is>
          <t>27674621729</t>
        </is>
      </c>
    </row>
    <row r="1535">
      <c r="A1535" t="inlineStr">
        <is>
          <t>14944425</t>
        </is>
      </c>
      <c r="B1535" t="inlineStr">
        <is>
          <t>5f0e9527-102a-4926-836e-0deee0159363</t>
        </is>
      </c>
      <c r="D1535" t="inlineStr">
        <is>
          <t>30001087</t>
        </is>
      </c>
      <c r="E1535" t="inlineStr">
        <is>
          <t>ussd_funeral_leads_altitude_20260619</t>
        </is>
      </c>
      <c r="J1535" t="inlineStr">
        <is>
          <t>NA</t>
        </is>
      </c>
      <c r="K1535" t="inlineStr">
        <is>
          <t>No Answer Autodial</t>
        </is>
      </c>
      <c r="L1535" t="n">
        <v>3</v>
      </c>
      <c r="M1535" t="inlineStr">
        <is>
          <t>2026-06-23 13:51:59</t>
        </is>
      </c>
      <c r="N1535" t="inlineStr">
        <is>
          <t>system</t>
        </is>
      </c>
      <c r="O1535" t="inlineStr">
        <is>
          <t>2026-06-19 07:10:32</t>
        </is>
      </c>
      <c r="P1535" t="inlineStr">
        <is>
          <t>2026-06-19 07:10:32</t>
        </is>
      </c>
      <c r="Y1535" t="inlineStr">
        <is>
          <t>27609061855</t>
        </is>
      </c>
    </row>
    <row r="1536">
      <c r="A1536" t="inlineStr">
        <is>
          <t>14944426</t>
        </is>
      </c>
      <c r="B1536" t="inlineStr">
        <is>
          <t>f73027bb-17e5-45cc-9ea5-19fb6a7d0d2e</t>
        </is>
      </c>
      <c r="D1536" t="inlineStr">
        <is>
          <t>30001087</t>
        </is>
      </c>
      <c r="E1536" t="inlineStr">
        <is>
          <t>ussd_funeral_leads_altitude_20260619</t>
        </is>
      </c>
      <c r="J1536" t="inlineStr">
        <is>
          <t>TDN</t>
        </is>
      </c>
      <c r="K1536" t="inlineStr">
        <is>
          <t>Temporary Disconnected Number</t>
        </is>
      </c>
      <c r="L1536" t="n">
        <v>3</v>
      </c>
      <c r="M1536" t="inlineStr">
        <is>
          <t>2026-06-23 13:51:59</t>
        </is>
      </c>
      <c r="N1536" t="inlineStr">
        <is>
          <t>system</t>
        </is>
      </c>
      <c r="O1536" t="inlineStr">
        <is>
          <t>2026-06-19 07:10:32</t>
        </is>
      </c>
      <c r="P1536" t="inlineStr">
        <is>
          <t>2026-06-19 07:10:32</t>
        </is>
      </c>
      <c r="Y1536" t="inlineStr">
        <is>
          <t>27723444403</t>
        </is>
      </c>
    </row>
    <row r="1537">
      <c r="A1537" t="inlineStr">
        <is>
          <t>14944427</t>
        </is>
      </c>
      <c r="B1537" t="inlineStr">
        <is>
          <t>b5ec4eea-ad0e-458a-842a-f644f7ccfbc5</t>
        </is>
      </c>
      <c r="D1537" t="inlineStr">
        <is>
          <t>30001087</t>
        </is>
      </c>
      <c r="E1537" t="inlineStr">
        <is>
          <t>ussd_funeral_leads_altitude_20260619</t>
        </is>
      </c>
      <c r="J1537" t="inlineStr">
        <is>
          <t>A</t>
        </is>
      </c>
      <c r="K1537" t="inlineStr">
        <is>
          <t>Answering Machine</t>
        </is>
      </c>
      <c r="L1537" t="n">
        <v>3</v>
      </c>
      <c r="M1537" t="inlineStr">
        <is>
          <t>2026-06-23 13:51:59</t>
        </is>
      </c>
      <c r="N1537" t="inlineStr">
        <is>
          <t>Goitsimang Mogwasa</t>
        </is>
      </c>
      <c r="O1537" t="inlineStr">
        <is>
          <t>2026-06-19 07:10:32</t>
        </is>
      </c>
      <c r="P1537" t="inlineStr">
        <is>
          <t>2026-06-19 07:10:32</t>
        </is>
      </c>
      <c r="Y1537" t="inlineStr">
        <is>
          <t>27664546868</t>
        </is>
      </c>
    </row>
    <row r="1538">
      <c r="A1538" t="inlineStr">
        <is>
          <t>14944428</t>
        </is>
      </c>
      <c r="B1538" t="inlineStr">
        <is>
          <t>efbe2d5c-d019-4bcf-8ad7-93948305e657</t>
        </is>
      </c>
      <c r="D1538" t="inlineStr">
        <is>
          <t>30001087</t>
        </is>
      </c>
      <c r="E1538" t="inlineStr">
        <is>
          <t>ussd_funeral_leads_altitude_20260619</t>
        </is>
      </c>
      <c r="J1538" t="inlineStr">
        <is>
          <t>AA</t>
        </is>
      </c>
      <c r="K1538" t="inlineStr">
        <is>
          <t>Answering Machine Autodial</t>
        </is>
      </c>
      <c r="L1538" t="n">
        <v>3</v>
      </c>
      <c r="M1538" t="inlineStr">
        <is>
          <t>2026-06-23 13:51:59</t>
        </is>
      </c>
      <c r="N1538" t="inlineStr">
        <is>
          <t>system</t>
        </is>
      </c>
      <c r="O1538" t="inlineStr">
        <is>
          <t>2026-06-19 07:10:32</t>
        </is>
      </c>
      <c r="P1538" t="inlineStr">
        <is>
          <t>2026-06-19 07:10:32</t>
        </is>
      </c>
      <c r="Y1538" t="inlineStr">
        <is>
          <t>27725719629</t>
        </is>
      </c>
    </row>
    <row r="1539">
      <c r="A1539" t="inlineStr">
        <is>
          <t>14944429</t>
        </is>
      </c>
      <c r="B1539" t="inlineStr">
        <is>
          <t>999f0b70-c1c7-4d60-a348-843a8e1a2a08</t>
        </is>
      </c>
      <c r="D1539" t="inlineStr">
        <is>
          <t>30001087</t>
        </is>
      </c>
      <c r="E1539" t="inlineStr">
        <is>
          <t>ussd_funeral_leads_altitude_20260619</t>
        </is>
      </c>
      <c r="J1539" t="inlineStr">
        <is>
          <t>NA</t>
        </is>
      </c>
      <c r="K1539" t="inlineStr">
        <is>
          <t>No Answer Autodial</t>
        </is>
      </c>
      <c r="L1539" t="n">
        <v>3</v>
      </c>
      <c r="M1539" t="inlineStr">
        <is>
          <t>2026-06-23 13:51:59</t>
        </is>
      </c>
      <c r="N1539" t="inlineStr">
        <is>
          <t>system</t>
        </is>
      </c>
      <c r="O1539" t="inlineStr">
        <is>
          <t>2026-06-19 07:10:32</t>
        </is>
      </c>
      <c r="P1539" t="inlineStr">
        <is>
          <t>2026-06-19 07:10:32</t>
        </is>
      </c>
      <c r="Y1539" t="inlineStr">
        <is>
          <t>27825878109</t>
        </is>
      </c>
    </row>
    <row r="1540">
      <c r="A1540" t="inlineStr">
        <is>
          <t>14944423</t>
        </is>
      </c>
      <c r="B1540" t="inlineStr">
        <is>
          <t>5d1826d3-9d6f-4e68-9d46-b615e91d097b</t>
        </is>
      </c>
      <c r="D1540" t="inlineStr">
        <is>
          <t>30001087</t>
        </is>
      </c>
      <c r="E1540" t="inlineStr">
        <is>
          <t>ussd_funeral_leads_altitude_20260619</t>
        </is>
      </c>
      <c r="J1540" t="inlineStr">
        <is>
          <t>AA</t>
        </is>
      </c>
      <c r="K1540" t="inlineStr">
        <is>
          <t>Answering Machine Autodial</t>
        </is>
      </c>
      <c r="L1540" t="n">
        <v>3</v>
      </c>
      <c r="M1540" t="inlineStr">
        <is>
          <t>2026-06-23 13:51:58</t>
        </is>
      </c>
      <c r="N1540" t="inlineStr">
        <is>
          <t>system</t>
        </is>
      </c>
      <c r="O1540" t="inlineStr">
        <is>
          <t>2026-06-19 07:10:32</t>
        </is>
      </c>
      <c r="P1540" t="inlineStr">
        <is>
          <t>2026-06-19 07:10:32</t>
        </is>
      </c>
      <c r="Y1540" t="inlineStr">
        <is>
          <t>27714962937</t>
        </is>
      </c>
    </row>
    <row r="1541">
      <c r="A1541" t="inlineStr">
        <is>
          <t>14944421</t>
        </is>
      </c>
      <c r="B1541" t="inlineStr">
        <is>
          <t>609961f0-4df9-48a5-bffd-aa32885383a0</t>
        </is>
      </c>
      <c r="D1541" t="inlineStr">
        <is>
          <t>30001087</t>
        </is>
      </c>
      <c r="E1541" t="inlineStr">
        <is>
          <t>ussd_funeral_leads_altitude_20260619</t>
        </is>
      </c>
      <c r="J1541" t="inlineStr">
        <is>
          <t>AA</t>
        </is>
      </c>
      <c r="K1541" t="inlineStr">
        <is>
          <t>Answering Machine Autodial</t>
        </is>
      </c>
      <c r="L1541" t="n">
        <v>3</v>
      </c>
      <c r="M1541" t="inlineStr">
        <is>
          <t>2026-06-23 13:51:53</t>
        </is>
      </c>
      <c r="N1541" t="inlineStr">
        <is>
          <t>system</t>
        </is>
      </c>
      <c r="O1541" t="inlineStr">
        <is>
          <t>2026-06-19 07:10:32</t>
        </is>
      </c>
      <c r="P1541" t="inlineStr">
        <is>
          <t>2026-06-19 07:10:32</t>
        </is>
      </c>
      <c r="Y1541" t="inlineStr">
        <is>
          <t>27790745752</t>
        </is>
      </c>
    </row>
    <row r="1542">
      <c r="A1542" t="inlineStr">
        <is>
          <t>14944567</t>
        </is>
      </c>
      <c r="B1542" t="inlineStr">
        <is>
          <t>340854ca-034f-4047-8450-4c9cd705c835</t>
        </is>
      </c>
      <c r="D1542" t="inlineStr">
        <is>
          <t>30001087</t>
        </is>
      </c>
      <c r="E1542" t="inlineStr">
        <is>
          <t>ussd_funeral_leads_altitude_20260619</t>
        </is>
      </c>
      <c r="J1542" t="inlineStr">
        <is>
          <t>NA</t>
        </is>
      </c>
      <c r="K1542" t="inlineStr">
        <is>
          <t>No Answer Autodial</t>
        </is>
      </c>
      <c r="L1542" t="n">
        <v>3</v>
      </c>
      <c r="M1542" t="inlineStr">
        <is>
          <t>2026-06-23 13:50:59</t>
        </is>
      </c>
      <c r="N1542" t="inlineStr">
        <is>
          <t>system</t>
        </is>
      </c>
      <c r="O1542" t="inlineStr">
        <is>
          <t>2026-06-19 07:10:32</t>
        </is>
      </c>
      <c r="P1542" t="inlineStr">
        <is>
          <t>2026-06-19 07:10:32</t>
        </is>
      </c>
      <c r="Y1542" t="inlineStr">
        <is>
          <t>27822174396</t>
        </is>
      </c>
    </row>
    <row r="1543">
      <c r="A1543" t="inlineStr">
        <is>
          <t>14944568</t>
        </is>
      </c>
      <c r="B1543" t="inlineStr">
        <is>
          <t>2cf09712-2ebd-4a0c-a2fa-b8738bcace32</t>
        </is>
      </c>
      <c r="D1543" t="inlineStr">
        <is>
          <t>30001087</t>
        </is>
      </c>
      <c r="E1543" t="inlineStr">
        <is>
          <t>ussd_funeral_leads_altitude_20260619</t>
        </is>
      </c>
      <c r="J1543" t="inlineStr">
        <is>
          <t>AA</t>
        </is>
      </c>
      <c r="K1543" t="inlineStr">
        <is>
          <t>Answering Machine Autodial</t>
        </is>
      </c>
      <c r="L1543" t="n">
        <v>3</v>
      </c>
      <c r="M1543" t="inlineStr">
        <is>
          <t>2026-06-23 13:50:59</t>
        </is>
      </c>
      <c r="N1543" t="inlineStr">
        <is>
          <t>system</t>
        </is>
      </c>
      <c r="O1543" t="inlineStr">
        <is>
          <t>2026-06-19 07:10:32</t>
        </is>
      </c>
      <c r="P1543" t="inlineStr">
        <is>
          <t>2026-06-19 07:10:32</t>
        </is>
      </c>
      <c r="Y1543" t="inlineStr">
        <is>
          <t>27823692259</t>
        </is>
      </c>
    </row>
    <row r="1544">
      <c r="A1544" t="inlineStr">
        <is>
          <t>14944569</t>
        </is>
      </c>
      <c r="B1544" t="inlineStr">
        <is>
          <t>2f9cfc24-d810-48d0-bb7f-1656dfeefc33</t>
        </is>
      </c>
      <c r="D1544" t="inlineStr">
        <is>
          <t>30001087</t>
        </is>
      </c>
      <c r="E1544" t="inlineStr">
        <is>
          <t>ussd_funeral_leads_altitude_20260619</t>
        </is>
      </c>
      <c r="J1544" t="inlineStr">
        <is>
          <t>TDN</t>
        </is>
      </c>
      <c r="K1544" t="inlineStr">
        <is>
          <t>Temporary Disconnected Number</t>
        </is>
      </c>
      <c r="L1544" t="n">
        <v>3</v>
      </c>
      <c r="M1544" t="inlineStr">
        <is>
          <t>2026-06-23 13:50:59</t>
        </is>
      </c>
      <c r="N1544" t="inlineStr">
        <is>
          <t>system</t>
        </is>
      </c>
      <c r="O1544" t="inlineStr">
        <is>
          <t>2026-06-19 07:10:32</t>
        </is>
      </c>
      <c r="P1544" t="inlineStr">
        <is>
          <t>2026-06-19 07:10:32</t>
        </is>
      </c>
      <c r="Y1544" t="inlineStr">
        <is>
          <t>27796170451</t>
        </is>
      </c>
    </row>
    <row r="1545">
      <c r="A1545" t="inlineStr">
        <is>
          <t>14944564</t>
        </is>
      </c>
      <c r="B1545" t="inlineStr">
        <is>
          <t>d417883a-4044-4af2-b9c1-ee0f33a0ec37</t>
        </is>
      </c>
      <c r="D1545" t="inlineStr">
        <is>
          <t>30001087</t>
        </is>
      </c>
      <c r="E1545" t="inlineStr">
        <is>
          <t>ussd_funeral_leads_altitude_20260619</t>
        </is>
      </c>
      <c r="J1545" t="inlineStr">
        <is>
          <t>AA</t>
        </is>
      </c>
      <c r="K1545" t="inlineStr">
        <is>
          <t>Answering Machine Autodial</t>
        </is>
      </c>
      <c r="L1545" t="n">
        <v>3</v>
      </c>
      <c r="M1545" t="inlineStr">
        <is>
          <t>2026-06-23 13:50:58</t>
        </is>
      </c>
      <c r="N1545" t="inlineStr">
        <is>
          <t>system</t>
        </is>
      </c>
      <c r="O1545" t="inlineStr">
        <is>
          <t>2026-06-19 07:10:32</t>
        </is>
      </c>
      <c r="P1545" t="inlineStr">
        <is>
          <t>2026-06-19 07:10:32</t>
        </is>
      </c>
      <c r="Y1545" t="inlineStr">
        <is>
          <t>27661101178</t>
        </is>
      </c>
    </row>
    <row r="1546">
      <c r="A1546" t="inlineStr">
        <is>
          <t>14944565</t>
        </is>
      </c>
      <c r="B1546" t="inlineStr">
        <is>
          <t>c0f195d0-1f6a-44f7-8bd0-53b8f42e7934</t>
        </is>
      </c>
      <c r="D1546" t="inlineStr">
        <is>
          <t>30001087</t>
        </is>
      </c>
      <c r="E1546" t="inlineStr">
        <is>
          <t>ussd_funeral_leads_altitude_20260619</t>
        </is>
      </c>
      <c r="J1546" t="inlineStr">
        <is>
          <t>AA</t>
        </is>
      </c>
      <c r="K1546" t="inlineStr">
        <is>
          <t>Answering Machine Autodial</t>
        </is>
      </c>
      <c r="L1546" t="n">
        <v>3</v>
      </c>
      <c r="M1546" t="inlineStr">
        <is>
          <t>2026-06-23 13:50:58</t>
        </is>
      </c>
      <c r="N1546" t="inlineStr">
        <is>
          <t>system</t>
        </is>
      </c>
      <c r="O1546" t="inlineStr">
        <is>
          <t>2026-06-19 07:10:32</t>
        </is>
      </c>
      <c r="P1546" t="inlineStr">
        <is>
          <t>2026-06-19 07:10:32</t>
        </is>
      </c>
      <c r="Y1546" t="inlineStr">
        <is>
          <t>27761127045</t>
        </is>
      </c>
    </row>
    <row r="1547">
      <c r="A1547" t="inlineStr">
        <is>
          <t>14944566</t>
        </is>
      </c>
      <c r="B1547" t="inlineStr">
        <is>
          <t>3c7060fa-1391-4105-9af6-51fe6ffe11df</t>
        </is>
      </c>
      <c r="D1547" t="inlineStr">
        <is>
          <t>30001087</t>
        </is>
      </c>
      <c r="E1547" t="inlineStr">
        <is>
          <t>ussd_funeral_leads_altitude_20260619</t>
        </is>
      </c>
      <c r="J1547" t="inlineStr">
        <is>
          <t>TDN</t>
        </is>
      </c>
      <c r="K1547" t="inlineStr">
        <is>
          <t>Temporary Disconnected Number</t>
        </is>
      </c>
      <c r="L1547" t="n">
        <v>3</v>
      </c>
      <c r="M1547" t="inlineStr">
        <is>
          <t>2026-06-23 13:50:58</t>
        </is>
      </c>
      <c r="N1547" t="inlineStr">
        <is>
          <t>system</t>
        </is>
      </c>
      <c r="O1547" t="inlineStr">
        <is>
          <t>2026-06-19 07:10:32</t>
        </is>
      </c>
      <c r="P1547" t="inlineStr">
        <is>
          <t>2026-06-19 07:10:32</t>
        </is>
      </c>
      <c r="Y1547" t="inlineStr">
        <is>
          <t>27673530244</t>
        </is>
      </c>
    </row>
    <row r="1548">
      <c r="A1548" t="inlineStr">
        <is>
          <t>14944563</t>
        </is>
      </c>
      <c r="B1548" t="inlineStr">
        <is>
          <t>73be2eda-c5bf-4035-9c1a-ce0060bb9e42</t>
        </is>
      </c>
      <c r="D1548" t="inlineStr">
        <is>
          <t>30001087</t>
        </is>
      </c>
      <c r="E1548" t="inlineStr">
        <is>
          <t>ussd_funeral_leads_altitude_20260619</t>
        </is>
      </c>
      <c r="J1548" t="inlineStr">
        <is>
          <t>AA</t>
        </is>
      </c>
      <c r="K1548" t="inlineStr">
        <is>
          <t>Answering Machine Autodial</t>
        </is>
      </c>
      <c r="L1548" t="n">
        <v>3</v>
      </c>
      <c r="M1548" t="inlineStr">
        <is>
          <t>2026-06-23 13:50:56</t>
        </is>
      </c>
      <c r="N1548" t="inlineStr">
        <is>
          <t>system</t>
        </is>
      </c>
      <c r="O1548" t="inlineStr">
        <is>
          <t>2026-06-19 07:10:32</t>
        </is>
      </c>
      <c r="P1548" t="inlineStr">
        <is>
          <t>2026-06-19 07:10:32</t>
        </is>
      </c>
      <c r="Y1548" t="inlineStr">
        <is>
          <t>27728249039</t>
        </is>
      </c>
    </row>
    <row r="1549">
      <c r="A1549" t="inlineStr">
        <is>
          <t>14944562</t>
        </is>
      </c>
      <c r="B1549" t="inlineStr">
        <is>
          <t>add0c4a1-6a52-49ce-95c5-5afc2ec111ae</t>
        </is>
      </c>
      <c r="D1549" t="inlineStr">
        <is>
          <t>30001087</t>
        </is>
      </c>
      <c r="E1549" t="inlineStr">
        <is>
          <t>ussd_funeral_leads_altitude_20260619</t>
        </is>
      </c>
      <c r="J1549" t="inlineStr">
        <is>
          <t>AA</t>
        </is>
      </c>
      <c r="K1549" t="inlineStr">
        <is>
          <t>Answering Machine Autodial</t>
        </is>
      </c>
      <c r="L1549" t="n">
        <v>3</v>
      </c>
      <c r="M1549" t="inlineStr">
        <is>
          <t>2026-06-23 13:50:51</t>
        </is>
      </c>
      <c r="N1549" t="inlineStr">
        <is>
          <t>system</t>
        </is>
      </c>
      <c r="O1549" t="inlineStr">
        <is>
          <t>2026-06-19 07:10:32</t>
        </is>
      </c>
      <c r="P1549" t="inlineStr">
        <is>
          <t>2026-06-19 07:10:32</t>
        </is>
      </c>
      <c r="Y1549" t="inlineStr">
        <is>
          <t>27798979461</t>
        </is>
      </c>
    </row>
    <row r="1550">
      <c r="A1550" t="inlineStr">
        <is>
          <t>14944561</t>
        </is>
      </c>
      <c r="B1550" t="inlineStr">
        <is>
          <t>8228bbe0-3654-47fc-b74c-a743e4a8cdcb</t>
        </is>
      </c>
      <c r="D1550" t="inlineStr">
        <is>
          <t>30001087</t>
        </is>
      </c>
      <c r="E1550" t="inlineStr">
        <is>
          <t>ussd_funeral_leads_altitude_20260619</t>
        </is>
      </c>
      <c r="J1550" t="inlineStr">
        <is>
          <t>AA</t>
        </is>
      </c>
      <c r="K1550" t="inlineStr">
        <is>
          <t>Answering Machine Autodial</t>
        </is>
      </c>
      <c r="L1550" t="n">
        <v>3</v>
      </c>
      <c r="M1550" t="inlineStr">
        <is>
          <t>2026-06-23 13:50:50</t>
        </is>
      </c>
      <c r="N1550" t="inlineStr">
        <is>
          <t>system</t>
        </is>
      </c>
      <c r="O1550" t="inlineStr">
        <is>
          <t>2026-06-19 07:10:32</t>
        </is>
      </c>
      <c r="P1550" t="inlineStr">
        <is>
          <t>2026-06-19 07:10:32</t>
        </is>
      </c>
      <c r="Y1550" t="inlineStr">
        <is>
          <t>27763379931</t>
        </is>
      </c>
    </row>
    <row r="1551">
      <c r="A1551" t="inlineStr">
        <is>
          <t>14944560</t>
        </is>
      </c>
      <c r="B1551" t="inlineStr">
        <is>
          <t>620b6d3c-fe53-4bfa-be5c-3b546490e5ee</t>
        </is>
      </c>
      <c r="D1551" t="inlineStr">
        <is>
          <t>30001087</t>
        </is>
      </c>
      <c r="E1551" t="inlineStr">
        <is>
          <t>ussd_funeral_leads_altitude_20260619</t>
        </is>
      </c>
      <c r="J1551" t="inlineStr">
        <is>
          <t>AA</t>
        </is>
      </c>
      <c r="K1551" t="inlineStr">
        <is>
          <t>Answering Machine Autodial</t>
        </is>
      </c>
      <c r="L1551" t="n">
        <v>3</v>
      </c>
      <c r="M1551" t="inlineStr">
        <is>
          <t>2026-06-23 13:50:46</t>
        </is>
      </c>
      <c r="N1551" t="inlineStr">
        <is>
          <t>system</t>
        </is>
      </c>
      <c r="O1551" t="inlineStr">
        <is>
          <t>2026-06-19 07:10:32</t>
        </is>
      </c>
      <c r="P1551" t="inlineStr">
        <is>
          <t>2026-06-19 07:10:32</t>
        </is>
      </c>
      <c r="Y1551" t="inlineStr">
        <is>
          <t>27797231742</t>
        </is>
      </c>
    </row>
    <row r="1552">
      <c r="A1552" t="inlineStr">
        <is>
          <t>14944558</t>
        </is>
      </c>
      <c r="B1552" t="inlineStr">
        <is>
          <t>9b09d01b-a47b-4eb1-8589-349ef667b102</t>
        </is>
      </c>
      <c r="D1552" t="inlineStr">
        <is>
          <t>30001087</t>
        </is>
      </c>
      <c r="E1552" t="inlineStr">
        <is>
          <t>ussd_funeral_leads_altitude_20260619</t>
        </is>
      </c>
      <c r="J1552" t="inlineStr">
        <is>
          <t>ADC</t>
        </is>
      </c>
      <c r="K1552" t="inlineStr">
        <is>
          <t>Auto Dial Disconnected</t>
        </is>
      </c>
      <c r="L1552" t="n">
        <v>3</v>
      </c>
      <c r="M1552" t="inlineStr">
        <is>
          <t>2026-06-23 13:50:45</t>
        </is>
      </c>
      <c r="N1552" t="inlineStr">
        <is>
          <t>system</t>
        </is>
      </c>
      <c r="O1552" t="inlineStr">
        <is>
          <t>2026-06-19 07:10:32</t>
        </is>
      </c>
      <c r="P1552" t="inlineStr">
        <is>
          <t>2026-06-19 07:10:32</t>
        </is>
      </c>
      <c r="Y1552" t="inlineStr">
        <is>
          <t>27608460263</t>
        </is>
      </c>
    </row>
    <row r="1553">
      <c r="A1553" t="inlineStr">
        <is>
          <t>14944559</t>
        </is>
      </c>
      <c r="B1553" t="inlineStr">
        <is>
          <t>8f1350ec-e6d3-4bea-84d6-9f09cdfab649</t>
        </is>
      </c>
      <c r="D1553" t="inlineStr">
        <is>
          <t>30001087</t>
        </is>
      </c>
      <c r="E1553" t="inlineStr">
        <is>
          <t>ussd_funeral_leads_altitude_20260619</t>
        </is>
      </c>
      <c r="J1553" t="inlineStr">
        <is>
          <t>AA</t>
        </is>
      </c>
      <c r="K1553" t="inlineStr">
        <is>
          <t>Answering Machine Autodial</t>
        </is>
      </c>
      <c r="L1553" t="n">
        <v>3</v>
      </c>
      <c r="M1553" t="inlineStr">
        <is>
          <t>2026-06-23 13:50:45</t>
        </is>
      </c>
      <c r="N1553" t="inlineStr">
        <is>
          <t>system</t>
        </is>
      </c>
      <c r="O1553" t="inlineStr">
        <is>
          <t>2026-06-19 07:10:32</t>
        </is>
      </c>
      <c r="P1553" t="inlineStr">
        <is>
          <t>2026-06-19 07:10:32</t>
        </is>
      </c>
      <c r="Y1553" t="inlineStr">
        <is>
          <t>27768892464</t>
        </is>
      </c>
    </row>
    <row r="1554">
      <c r="A1554" t="inlineStr">
        <is>
          <t>14944554</t>
        </is>
      </c>
      <c r="B1554" t="inlineStr">
        <is>
          <t>fe58ff4a-0852-4306-95cd-e3afacd21a84</t>
        </is>
      </c>
      <c r="D1554" t="inlineStr">
        <is>
          <t>30001087</t>
        </is>
      </c>
      <c r="E1554" t="inlineStr">
        <is>
          <t>ussd_funeral_leads_altitude_20260619</t>
        </is>
      </c>
      <c r="H1554" t="inlineStr">
        <is>
          <t>27767461219</t>
        </is>
      </c>
      <c r="J1554" t="inlineStr">
        <is>
          <t>CU</t>
        </is>
      </c>
      <c r="K1554" t="inlineStr">
        <is>
          <t>Client Hung Up</t>
        </is>
      </c>
      <c r="L1554" t="n">
        <v>3</v>
      </c>
      <c r="M1554" t="inlineStr">
        <is>
          <t>2026-06-23 13:50:42</t>
        </is>
      </c>
      <c r="N1554" t="inlineStr">
        <is>
          <t>Dimakatso Nkomo</t>
        </is>
      </c>
      <c r="O1554" t="inlineStr">
        <is>
          <t>2026-06-19 07:10:32</t>
        </is>
      </c>
      <c r="P1554" t="inlineStr">
        <is>
          <t>2026-06-19 07:10:32</t>
        </is>
      </c>
      <c r="Y1554" t="inlineStr">
        <is>
          <t>27767461219</t>
        </is>
      </c>
    </row>
    <row r="1555">
      <c r="A1555" t="inlineStr">
        <is>
          <t>14944555</t>
        </is>
      </c>
      <c r="B1555" t="inlineStr">
        <is>
          <t>0f5f95c2-0865-4a33-9cd6-a52e3b0217be</t>
        </is>
      </c>
      <c r="D1555" t="inlineStr">
        <is>
          <t>30001087</t>
        </is>
      </c>
      <c r="E1555" t="inlineStr">
        <is>
          <t>ussd_funeral_leads_altitude_20260619</t>
        </is>
      </c>
      <c r="J1555" t="inlineStr">
        <is>
          <t>AA</t>
        </is>
      </c>
      <c r="K1555" t="inlineStr">
        <is>
          <t>Answering Machine Autodial</t>
        </is>
      </c>
      <c r="L1555" t="n">
        <v>3</v>
      </c>
      <c r="M1555" t="inlineStr">
        <is>
          <t>2026-06-23 13:50:42</t>
        </is>
      </c>
      <c r="N1555" t="inlineStr">
        <is>
          <t>system</t>
        </is>
      </c>
      <c r="O1555" t="inlineStr">
        <is>
          <t>2026-06-19 07:10:32</t>
        </is>
      </c>
      <c r="P1555" t="inlineStr">
        <is>
          <t>2026-06-19 07:10:32</t>
        </is>
      </c>
      <c r="Y1555" t="inlineStr">
        <is>
          <t>27606759093</t>
        </is>
      </c>
    </row>
    <row r="1556">
      <c r="A1556" t="inlineStr">
        <is>
          <t>14944556</t>
        </is>
      </c>
      <c r="B1556" t="inlineStr">
        <is>
          <t>06ab3a6c-7443-40f7-bdc4-4aac17651737</t>
        </is>
      </c>
      <c r="D1556" t="inlineStr">
        <is>
          <t>30001087</t>
        </is>
      </c>
      <c r="E1556" t="inlineStr">
        <is>
          <t>ussd_funeral_leads_altitude_20260619</t>
        </is>
      </c>
      <c r="J1556" t="inlineStr">
        <is>
          <t>ADC</t>
        </is>
      </c>
      <c r="K1556" t="inlineStr">
        <is>
          <t>Auto Dial Disconnected</t>
        </is>
      </c>
      <c r="L1556" t="n">
        <v>3</v>
      </c>
      <c r="M1556" t="inlineStr">
        <is>
          <t>2026-06-23 13:50:42</t>
        </is>
      </c>
      <c r="N1556" t="inlineStr">
        <is>
          <t>system</t>
        </is>
      </c>
      <c r="O1556" t="inlineStr">
        <is>
          <t>2026-06-19 07:10:32</t>
        </is>
      </c>
      <c r="P1556" t="inlineStr">
        <is>
          <t>2026-06-19 07:10:32</t>
        </is>
      </c>
      <c r="Y1556" t="inlineStr">
        <is>
          <t>27662034532</t>
        </is>
      </c>
    </row>
    <row r="1557">
      <c r="A1557" t="inlineStr">
        <is>
          <t>14944557</t>
        </is>
      </c>
      <c r="B1557" t="inlineStr">
        <is>
          <t>f2ac0027-9b18-479c-9793-66bf7bf63032</t>
        </is>
      </c>
      <c r="D1557" t="inlineStr">
        <is>
          <t>30001087</t>
        </is>
      </c>
      <c r="E1557" t="inlineStr">
        <is>
          <t>ussd_funeral_leads_altitude_20260619</t>
        </is>
      </c>
      <c r="J1557" t="inlineStr">
        <is>
          <t>CU</t>
        </is>
      </c>
      <c r="K1557" t="inlineStr">
        <is>
          <t>Client Hung Up</t>
        </is>
      </c>
      <c r="L1557" t="n">
        <v>3</v>
      </c>
      <c r="M1557" t="inlineStr">
        <is>
          <t>2026-06-23 13:50:42</t>
        </is>
      </c>
      <c r="N1557" t="inlineStr">
        <is>
          <t>Goitsimang Mogwasa</t>
        </is>
      </c>
      <c r="O1557" t="inlineStr">
        <is>
          <t>2026-06-19 07:10:32</t>
        </is>
      </c>
      <c r="P1557" t="inlineStr">
        <is>
          <t>2026-06-19 07:10:32</t>
        </is>
      </c>
      <c r="Y1557" t="inlineStr">
        <is>
          <t>27636778424</t>
        </is>
      </c>
    </row>
    <row r="1558">
      <c r="A1558" t="inlineStr">
        <is>
          <t>14944552</t>
        </is>
      </c>
      <c r="B1558" t="inlineStr">
        <is>
          <t>acf2ec38-24fc-4226-965a-3b4a120d8231</t>
        </is>
      </c>
      <c r="D1558" t="inlineStr">
        <is>
          <t>30001087</t>
        </is>
      </c>
      <c r="E1558" t="inlineStr">
        <is>
          <t>ussd_funeral_leads_altitude_20260619</t>
        </is>
      </c>
      <c r="J1558" t="inlineStr">
        <is>
          <t>AA</t>
        </is>
      </c>
      <c r="K1558" t="inlineStr">
        <is>
          <t>Answering Machine Autodial</t>
        </is>
      </c>
      <c r="L1558" t="n">
        <v>3</v>
      </c>
      <c r="M1558" t="inlineStr">
        <is>
          <t>2026-06-23 13:50:40</t>
        </is>
      </c>
      <c r="N1558" t="inlineStr">
        <is>
          <t>system</t>
        </is>
      </c>
      <c r="O1558" t="inlineStr">
        <is>
          <t>2026-06-19 07:10:32</t>
        </is>
      </c>
      <c r="P1558" t="inlineStr">
        <is>
          <t>2026-06-19 07:10:32</t>
        </is>
      </c>
      <c r="Y1558" t="inlineStr">
        <is>
          <t>27796732732</t>
        </is>
      </c>
    </row>
    <row r="1559">
      <c r="A1559" t="inlineStr">
        <is>
          <t>14944551</t>
        </is>
      </c>
      <c r="B1559" t="inlineStr">
        <is>
          <t>f656bc3f-b60b-4d98-994a-1bc52f2257e1</t>
        </is>
      </c>
      <c r="D1559" t="inlineStr">
        <is>
          <t>30001087</t>
        </is>
      </c>
      <c r="E1559" t="inlineStr">
        <is>
          <t>ussd_funeral_leads_altitude_20260619</t>
        </is>
      </c>
      <c r="J1559" t="inlineStr">
        <is>
          <t>AA</t>
        </is>
      </c>
      <c r="K1559" t="inlineStr">
        <is>
          <t>Answering Machine Autodial</t>
        </is>
      </c>
      <c r="L1559" t="n">
        <v>3</v>
      </c>
      <c r="M1559" t="inlineStr">
        <is>
          <t>2026-06-23 13:50:38</t>
        </is>
      </c>
      <c r="N1559" t="inlineStr">
        <is>
          <t>system</t>
        </is>
      </c>
      <c r="O1559" t="inlineStr">
        <is>
          <t>2026-06-19 07:10:32</t>
        </is>
      </c>
      <c r="P1559" t="inlineStr">
        <is>
          <t>2026-06-19 07:10:32</t>
        </is>
      </c>
      <c r="Y1559" t="inlineStr">
        <is>
          <t>27607533557</t>
        </is>
      </c>
    </row>
    <row r="1560">
      <c r="A1560" t="inlineStr">
        <is>
          <t>14944548</t>
        </is>
      </c>
      <c r="B1560" t="inlineStr">
        <is>
          <t>32960ced-62c5-4885-b3e1-aa912b11dbd7</t>
        </is>
      </c>
      <c r="D1560" t="inlineStr">
        <is>
          <t>30001087</t>
        </is>
      </c>
      <c r="E1560" t="inlineStr">
        <is>
          <t>ussd_funeral_leads_altitude_20260619</t>
        </is>
      </c>
      <c r="J1560" t="inlineStr">
        <is>
          <t>ADC</t>
        </is>
      </c>
      <c r="K1560" t="inlineStr">
        <is>
          <t>Auto Dial Disconnected</t>
        </is>
      </c>
      <c r="L1560" t="n">
        <v>3</v>
      </c>
      <c r="M1560" t="inlineStr">
        <is>
          <t>2026-06-23 13:50:23</t>
        </is>
      </c>
      <c r="N1560" t="inlineStr">
        <is>
          <t>system</t>
        </is>
      </c>
      <c r="O1560" t="inlineStr">
        <is>
          <t>2026-06-19 07:10:32</t>
        </is>
      </c>
      <c r="P1560" t="inlineStr">
        <is>
          <t>2026-06-19 07:10:32</t>
        </is>
      </c>
      <c r="Y1560" t="inlineStr">
        <is>
          <t>27792365378</t>
        </is>
      </c>
    </row>
    <row r="1561">
      <c r="A1561" t="inlineStr">
        <is>
          <t>14944549</t>
        </is>
      </c>
      <c r="B1561" t="inlineStr">
        <is>
          <t>5d5225c8-f820-486d-b5bc-9a051d8fc3c2</t>
        </is>
      </c>
      <c r="D1561" t="inlineStr">
        <is>
          <t>30001087</t>
        </is>
      </c>
      <c r="E1561" t="inlineStr">
        <is>
          <t>ussd_funeral_leads_altitude_20260619</t>
        </is>
      </c>
      <c r="J1561" t="inlineStr">
        <is>
          <t>TDN</t>
        </is>
      </c>
      <c r="K1561" t="inlineStr">
        <is>
          <t>Temporary Disconnected Number</t>
        </is>
      </c>
      <c r="L1561" t="n">
        <v>3</v>
      </c>
      <c r="M1561" t="inlineStr">
        <is>
          <t>2026-06-23 13:50:23</t>
        </is>
      </c>
      <c r="N1561" t="inlineStr">
        <is>
          <t>system</t>
        </is>
      </c>
      <c r="O1561" t="inlineStr">
        <is>
          <t>2026-06-19 07:10:32</t>
        </is>
      </c>
      <c r="P1561" t="inlineStr">
        <is>
          <t>2026-06-19 07:10:32</t>
        </is>
      </c>
      <c r="Y1561" t="inlineStr">
        <is>
          <t>27767318507</t>
        </is>
      </c>
    </row>
    <row r="1562">
      <c r="A1562" t="inlineStr">
        <is>
          <t>14944550</t>
        </is>
      </c>
      <c r="B1562" t="inlineStr">
        <is>
          <t>560f8d96-e64a-4ed0-ada8-83a0b3df83ad</t>
        </is>
      </c>
      <c r="D1562" t="inlineStr">
        <is>
          <t>30001087</t>
        </is>
      </c>
      <c r="E1562" t="inlineStr">
        <is>
          <t>ussd_funeral_leads_altitude_20260619</t>
        </is>
      </c>
      <c r="J1562" t="inlineStr">
        <is>
          <t>AA</t>
        </is>
      </c>
      <c r="K1562" t="inlineStr">
        <is>
          <t>Answering Machine Autodial</t>
        </is>
      </c>
      <c r="L1562" t="n">
        <v>3</v>
      </c>
      <c r="M1562" t="inlineStr">
        <is>
          <t>2026-06-23 13:50:22</t>
        </is>
      </c>
      <c r="N1562" t="inlineStr">
        <is>
          <t>system</t>
        </is>
      </c>
      <c r="O1562" t="inlineStr">
        <is>
          <t>2026-06-19 07:10:32</t>
        </is>
      </c>
      <c r="P1562" t="inlineStr">
        <is>
          <t>2026-06-19 07:10:32</t>
        </is>
      </c>
      <c r="Y1562" t="inlineStr">
        <is>
          <t>27729314776</t>
        </is>
      </c>
    </row>
    <row r="1563">
      <c r="A1563" t="inlineStr">
        <is>
          <t>14944547</t>
        </is>
      </c>
      <c r="B1563" t="inlineStr">
        <is>
          <t>bf21af61-01c6-4bd7-b430-d29353062311</t>
        </is>
      </c>
      <c r="D1563" t="inlineStr">
        <is>
          <t>30001087</t>
        </is>
      </c>
      <c r="E1563" t="inlineStr">
        <is>
          <t>ussd_funeral_leads_altitude_20260619</t>
        </is>
      </c>
      <c r="J1563" t="inlineStr">
        <is>
          <t>AA</t>
        </is>
      </c>
      <c r="K1563" t="inlineStr">
        <is>
          <t>Answering Machine Autodial</t>
        </is>
      </c>
      <c r="L1563" t="n">
        <v>3</v>
      </c>
      <c r="M1563" t="inlineStr">
        <is>
          <t>2026-06-23 13:50:19</t>
        </is>
      </c>
      <c r="N1563" t="inlineStr">
        <is>
          <t>system</t>
        </is>
      </c>
      <c r="O1563" t="inlineStr">
        <is>
          <t>2026-06-19 07:10:32</t>
        </is>
      </c>
      <c r="P1563" t="inlineStr">
        <is>
          <t>2026-06-19 07:10:32</t>
        </is>
      </c>
      <c r="Y1563" t="inlineStr">
        <is>
          <t>27720493650</t>
        </is>
      </c>
    </row>
    <row r="1564">
      <c r="A1564" t="inlineStr">
        <is>
          <t>14944546</t>
        </is>
      </c>
      <c r="B1564" t="inlineStr">
        <is>
          <t>ba80af21-2e21-48dc-a0af-2424418f9b56</t>
        </is>
      </c>
      <c r="D1564" t="inlineStr">
        <is>
          <t>30001087</t>
        </is>
      </c>
      <c r="E1564" t="inlineStr">
        <is>
          <t>ussd_funeral_leads_altitude_20260619</t>
        </is>
      </c>
      <c r="J1564" t="inlineStr">
        <is>
          <t>NA</t>
        </is>
      </c>
      <c r="K1564" t="inlineStr">
        <is>
          <t>No Answer Autodial</t>
        </is>
      </c>
      <c r="L1564" t="n">
        <v>3</v>
      </c>
      <c r="M1564" t="inlineStr">
        <is>
          <t>2026-06-23 13:50:17</t>
        </is>
      </c>
      <c r="N1564" t="inlineStr">
        <is>
          <t>system</t>
        </is>
      </c>
      <c r="O1564" t="inlineStr">
        <is>
          <t>2026-06-19 07:10:32</t>
        </is>
      </c>
      <c r="P1564" t="inlineStr">
        <is>
          <t>2026-06-19 07:10:32</t>
        </is>
      </c>
      <c r="Y1564" t="inlineStr">
        <is>
          <t>27763378576</t>
        </is>
      </c>
    </row>
    <row r="1565">
      <c r="A1565" t="inlineStr">
        <is>
          <t>14944545</t>
        </is>
      </c>
      <c r="B1565" t="inlineStr">
        <is>
          <t>72a32b83-341b-4ee1-ac9f-a8ce2b593e8d</t>
        </is>
      </c>
      <c r="D1565" t="inlineStr">
        <is>
          <t>30001087</t>
        </is>
      </c>
      <c r="E1565" t="inlineStr">
        <is>
          <t>ussd_funeral_leads_altitude_20260619</t>
        </is>
      </c>
      <c r="J1565" t="inlineStr">
        <is>
          <t>AE</t>
        </is>
      </c>
      <c r="K1565" t="inlineStr">
        <is>
          <t>Auto Engaged</t>
        </is>
      </c>
      <c r="L1565" t="n">
        <v>3</v>
      </c>
      <c r="M1565" t="inlineStr">
        <is>
          <t>2026-06-23 13:50:16</t>
        </is>
      </c>
      <c r="N1565" t="inlineStr">
        <is>
          <t>system</t>
        </is>
      </c>
      <c r="O1565" t="inlineStr">
        <is>
          <t>2026-06-19 07:10:32</t>
        </is>
      </c>
      <c r="P1565" t="inlineStr">
        <is>
          <t>2026-06-19 07:10:32</t>
        </is>
      </c>
      <c r="Y1565" t="inlineStr">
        <is>
          <t>27712916654</t>
        </is>
      </c>
    </row>
    <row r="1566">
      <c r="A1566" t="inlineStr">
        <is>
          <t>14944544</t>
        </is>
      </c>
      <c r="B1566" t="inlineStr">
        <is>
          <t>086e38aa-436c-447f-9dcb-931c968ba79c</t>
        </is>
      </c>
      <c r="D1566" t="inlineStr">
        <is>
          <t>30001087</t>
        </is>
      </c>
      <c r="E1566" t="inlineStr">
        <is>
          <t>ussd_funeral_leads_altitude_20260619</t>
        </is>
      </c>
      <c r="J1566" t="inlineStr">
        <is>
          <t>AE</t>
        </is>
      </c>
      <c r="K1566" t="inlineStr">
        <is>
          <t>Auto Engaged</t>
        </is>
      </c>
      <c r="L1566" t="n">
        <v>3</v>
      </c>
      <c r="M1566" t="inlineStr">
        <is>
          <t>2026-06-23 13:50:15</t>
        </is>
      </c>
      <c r="N1566" t="inlineStr">
        <is>
          <t>system</t>
        </is>
      </c>
      <c r="O1566" t="inlineStr">
        <is>
          <t>2026-06-19 07:10:32</t>
        </is>
      </c>
      <c r="P1566" t="inlineStr">
        <is>
          <t>2026-06-19 07:10:32</t>
        </is>
      </c>
      <c r="Y1566" t="inlineStr">
        <is>
          <t>27769611974</t>
        </is>
      </c>
    </row>
    <row r="1567">
      <c r="A1567" t="inlineStr">
        <is>
          <t>14944543</t>
        </is>
      </c>
      <c r="B1567" t="inlineStr">
        <is>
          <t>a72485a4-6a07-4b60-b873-71f5a323b2aa</t>
        </is>
      </c>
      <c r="D1567" t="inlineStr">
        <is>
          <t>30001087</t>
        </is>
      </c>
      <c r="E1567" t="inlineStr">
        <is>
          <t>ussd_funeral_leads_altitude_20260619</t>
        </is>
      </c>
      <c r="J1567" t="inlineStr">
        <is>
          <t>AA</t>
        </is>
      </c>
      <c r="K1567" t="inlineStr">
        <is>
          <t>Answering Machine Autodial</t>
        </is>
      </c>
      <c r="L1567" t="n">
        <v>3</v>
      </c>
      <c r="M1567" t="inlineStr">
        <is>
          <t>2026-06-23 13:50:08</t>
        </is>
      </c>
      <c r="N1567" t="inlineStr">
        <is>
          <t>system</t>
        </is>
      </c>
      <c r="O1567" t="inlineStr">
        <is>
          <t>2026-06-19 07:10:32</t>
        </is>
      </c>
      <c r="P1567" t="inlineStr">
        <is>
          <t>2026-06-19 07:10:32</t>
        </is>
      </c>
      <c r="Y1567" t="inlineStr">
        <is>
          <t>27606282303</t>
        </is>
      </c>
    </row>
    <row r="1568">
      <c r="A1568" t="inlineStr">
        <is>
          <t>14944504</t>
        </is>
      </c>
      <c r="B1568" t="inlineStr">
        <is>
          <t>bd3ff6fd-5e8e-4e27-99df-911eca0a66c7</t>
        </is>
      </c>
      <c r="D1568" t="inlineStr">
        <is>
          <t>30001087</t>
        </is>
      </c>
      <c r="E1568" t="inlineStr">
        <is>
          <t>ussd_funeral_leads_altitude_20260619</t>
        </is>
      </c>
      <c r="J1568" t="inlineStr">
        <is>
          <t>AA</t>
        </is>
      </c>
      <c r="K1568" t="inlineStr">
        <is>
          <t>Answering Machine Autodial</t>
        </is>
      </c>
      <c r="L1568" t="n">
        <v>3</v>
      </c>
      <c r="M1568" t="inlineStr">
        <is>
          <t>2026-06-23 13:50:03</t>
        </is>
      </c>
      <c r="N1568" t="inlineStr">
        <is>
          <t>system</t>
        </is>
      </c>
      <c r="O1568" t="inlineStr">
        <is>
          <t>2026-06-19 07:10:32</t>
        </is>
      </c>
      <c r="P1568" t="inlineStr">
        <is>
          <t>2026-06-19 07:10:32</t>
        </is>
      </c>
      <c r="Y1568" t="inlineStr">
        <is>
          <t>27799515591</t>
        </is>
      </c>
    </row>
    <row r="1569">
      <c r="A1569" t="inlineStr">
        <is>
          <t>14944542</t>
        </is>
      </c>
      <c r="B1569" t="inlineStr">
        <is>
          <t>2d1a507a-d48f-40d7-8877-319e90201bee</t>
        </is>
      </c>
      <c r="D1569" t="inlineStr">
        <is>
          <t>30001087</t>
        </is>
      </c>
      <c r="E1569" t="inlineStr">
        <is>
          <t>ussd_funeral_leads_altitude_20260619</t>
        </is>
      </c>
      <c r="J1569" t="inlineStr">
        <is>
          <t>AA</t>
        </is>
      </c>
      <c r="K1569" t="inlineStr">
        <is>
          <t>Answering Machine Autodial</t>
        </is>
      </c>
      <c r="L1569" t="n">
        <v>3</v>
      </c>
      <c r="M1569" t="inlineStr">
        <is>
          <t>2026-06-23 13:50:02</t>
        </is>
      </c>
      <c r="N1569" t="inlineStr">
        <is>
          <t>system</t>
        </is>
      </c>
      <c r="O1569" t="inlineStr">
        <is>
          <t>2026-06-19 07:10:32</t>
        </is>
      </c>
      <c r="P1569" t="inlineStr">
        <is>
          <t>2026-06-19 07:10:32</t>
        </is>
      </c>
      <c r="Y1569" t="inlineStr">
        <is>
          <t>27728649277</t>
        </is>
      </c>
    </row>
    <row r="1570">
      <c r="A1570" t="inlineStr">
        <is>
          <t>14944498</t>
        </is>
      </c>
      <c r="B1570" t="inlineStr">
        <is>
          <t>2560cc2e-4988-48db-a4c9-3c4ade8a51ef</t>
        </is>
      </c>
      <c r="D1570" t="inlineStr">
        <is>
          <t>30001087</t>
        </is>
      </c>
      <c r="E1570" t="inlineStr">
        <is>
          <t>ussd_funeral_leads_altitude_20260619</t>
        </is>
      </c>
      <c r="J1570" t="inlineStr">
        <is>
          <t>AA</t>
        </is>
      </c>
      <c r="K1570" t="inlineStr">
        <is>
          <t>Answering Machine Autodial</t>
        </is>
      </c>
      <c r="L1570" t="n">
        <v>3</v>
      </c>
      <c r="M1570" t="inlineStr">
        <is>
          <t>2026-06-23 13:50:02</t>
        </is>
      </c>
      <c r="N1570" t="inlineStr">
        <is>
          <t>system</t>
        </is>
      </c>
      <c r="O1570" t="inlineStr">
        <is>
          <t>2026-06-19 07:10:32</t>
        </is>
      </c>
      <c r="P1570" t="inlineStr">
        <is>
          <t>2026-06-19 07:10:32</t>
        </is>
      </c>
      <c r="Y1570" t="inlineStr">
        <is>
          <t>27608414001</t>
        </is>
      </c>
    </row>
    <row r="1571">
      <c r="A1571" t="inlineStr">
        <is>
          <t>14944499</t>
        </is>
      </c>
      <c r="B1571" t="inlineStr">
        <is>
          <t>2a37ece7-46a7-4c46-b192-566739d2fc2c</t>
        </is>
      </c>
      <c r="D1571" t="inlineStr">
        <is>
          <t>30001087</t>
        </is>
      </c>
      <c r="E1571" t="inlineStr">
        <is>
          <t>ussd_funeral_leads_altitude_20260619</t>
        </is>
      </c>
      <c r="J1571" t="inlineStr">
        <is>
          <t>AA</t>
        </is>
      </c>
      <c r="K1571" t="inlineStr">
        <is>
          <t>Answering Machine Autodial</t>
        </is>
      </c>
      <c r="L1571" t="n">
        <v>3</v>
      </c>
      <c r="M1571" t="inlineStr">
        <is>
          <t>2026-06-23 13:50:02</t>
        </is>
      </c>
      <c r="N1571" t="inlineStr">
        <is>
          <t>system</t>
        </is>
      </c>
      <c r="O1571" t="inlineStr">
        <is>
          <t>2026-06-19 07:10:32</t>
        </is>
      </c>
      <c r="P1571" t="inlineStr">
        <is>
          <t>2026-06-19 07:10:32</t>
        </is>
      </c>
      <c r="Y1571" t="inlineStr">
        <is>
          <t>27763509022</t>
        </is>
      </c>
    </row>
    <row r="1572">
      <c r="A1572" t="inlineStr">
        <is>
          <t>14944500</t>
        </is>
      </c>
      <c r="B1572" t="inlineStr">
        <is>
          <t>94d8ec21-0b50-4901-ae71-dc11a4edca7f</t>
        </is>
      </c>
      <c r="D1572" t="inlineStr">
        <is>
          <t>30001087</t>
        </is>
      </c>
      <c r="E1572" t="inlineStr">
        <is>
          <t>ussd_funeral_leads_altitude_20260619</t>
        </is>
      </c>
      <c r="J1572" t="inlineStr">
        <is>
          <t>AA</t>
        </is>
      </c>
      <c r="K1572" t="inlineStr">
        <is>
          <t>Answering Machine Autodial</t>
        </is>
      </c>
      <c r="L1572" t="n">
        <v>3</v>
      </c>
      <c r="M1572" t="inlineStr">
        <is>
          <t>2026-06-23 13:50:02</t>
        </is>
      </c>
      <c r="N1572" t="inlineStr">
        <is>
          <t>system</t>
        </is>
      </c>
      <c r="O1572" t="inlineStr">
        <is>
          <t>2026-06-19 07:10:32</t>
        </is>
      </c>
      <c r="P1572" t="inlineStr">
        <is>
          <t>2026-06-19 07:10:32</t>
        </is>
      </c>
      <c r="Y1572" t="inlineStr">
        <is>
          <t>27791307336</t>
        </is>
      </c>
    </row>
    <row r="1573">
      <c r="A1573" t="inlineStr">
        <is>
          <t>14944501</t>
        </is>
      </c>
      <c r="B1573" t="inlineStr">
        <is>
          <t>fa0db66d-13e1-4acc-915f-3abef024f950</t>
        </is>
      </c>
      <c r="D1573" t="inlineStr">
        <is>
          <t>30001087</t>
        </is>
      </c>
      <c r="E1573" t="inlineStr">
        <is>
          <t>ussd_funeral_leads_altitude_20260619</t>
        </is>
      </c>
      <c r="J1573" t="inlineStr">
        <is>
          <t>AA</t>
        </is>
      </c>
      <c r="K1573" t="inlineStr">
        <is>
          <t>Answering Machine Autodial</t>
        </is>
      </c>
      <c r="L1573" t="n">
        <v>3</v>
      </c>
      <c r="M1573" t="inlineStr">
        <is>
          <t>2026-06-23 13:50:02</t>
        </is>
      </c>
      <c r="N1573" t="inlineStr">
        <is>
          <t>system</t>
        </is>
      </c>
      <c r="O1573" t="inlineStr">
        <is>
          <t>2026-06-19 07:10:32</t>
        </is>
      </c>
      <c r="P1573" t="inlineStr">
        <is>
          <t>2026-06-19 07:10:32</t>
        </is>
      </c>
      <c r="Y1573" t="inlineStr">
        <is>
          <t>27797476702</t>
        </is>
      </c>
    </row>
    <row r="1574">
      <c r="A1574" t="inlineStr">
        <is>
          <t>14944503</t>
        </is>
      </c>
      <c r="B1574" t="inlineStr">
        <is>
          <t>470f47d7-b5a7-4fd6-8511-241f4e5b5255</t>
        </is>
      </c>
      <c r="D1574" t="inlineStr">
        <is>
          <t>30001087</t>
        </is>
      </c>
      <c r="E1574" t="inlineStr">
        <is>
          <t>ussd_funeral_leads_altitude_20260619</t>
        </is>
      </c>
      <c r="J1574" t="inlineStr">
        <is>
          <t>TDN</t>
        </is>
      </c>
      <c r="K1574" t="inlineStr">
        <is>
          <t>Temporary Disconnected Number</t>
        </is>
      </c>
      <c r="L1574" t="n">
        <v>3</v>
      </c>
      <c r="M1574" t="inlineStr">
        <is>
          <t>2026-06-23 13:50:02</t>
        </is>
      </c>
      <c r="N1574" t="inlineStr">
        <is>
          <t>system</t>
        </is>
      </c>
      <c r="O1574" t="inlineStr">
        <is>
          <t>2026-06-19 07:10:32</t>
        </is>
      </c>
      <c r="P1574" t="inlineStr">
        <is>
          <t>2026-06-19 07:10:32</t>
        </is>
      </c>
      <c r="Y1574" t="inlineStr">
        <is>
          <t>27826405637</t>
        </is>
      </c>
    </row>
    <row r="1575">
      <c r="A1575" t="inlineStr">
        <is>
          <t>14944497</t>
        </is>
      </c>
      <c r="B1575" t="inlineStr">
        <is>
          <t>a8433731-856d-4858-801b-e5722252340a</t>
        </is>
      </c>
      <c r="D1575" t="inlineStr">
        <is>
          <t>30001087</t>
        </is>
      </c>
      <c r="E1575" t="inlineStr">
        <is>
          <t>ussd_funeral_leads_altitude_20260619</t>
        </is>
      </c>
      <c r="J1575" t="inlineStr">
        <is>
          <t>NA</t>
        </is>
      </c>
      <c r="K1575" t="inlineStr">
        <is>
          <t>No Answer Autodial</t>
        </is>
      </c>
      <c r="L1575" t="n">
        <v>3</v>
      </c>
      <c r="M1575" t="inlineStr">
        <is>
          <t>2026-06-23 13:50:01</t>
        </is>
      </c>
      <c r="N1575" t="inlineStr">
        <is>
          <t>system</t>
        </is>
      </c>
      <c r="O1575" t="inlineStr">
        <is>
          <t>2026-06-19 07:10:32</t>
        </is>
      </c>
      <c r="P1575" t="inlineStr">
        <is>
          <t>2026-06-19 07:10:32</t>
        </is>
      </c>
      <c r="Y1575" t="inlineStr">
        <is>
          <t>27711134372</t>
        </is>
      </c>
    </row>
    <row r="1576">
      <c r="A1576" t="inlineStr">
        <is>
          <t>14944506</t>
        </is>
      </c>
      <c r="B1576" t="inlineStr">
        <is>
          <t>a65f829d-9671-4e18-a8bd-9419f259a2ba</t>
        </is>
      </c>
      <c r="D1576" t="inlineStr">
        <is>
          <t>30001087</t>
        </is>
      </c>
      <c r="E1576" t="inlineStr">
        <is>
          <t>ussd_funeral_leads_altitude_20260619</t>
        </is>
      </c>
      <c r="J1576" t="inlineStr">
        <is>
          <t>CU</t>
        </is>
      </c>
      <c r="K1576" t="inlineStr">
        <is>
          <t>Client Hung Up</t>
        </is>
      </c>
      <c r="L1576" t="n">
        <v>3</v>
      </c>
      <c r="M1576" t="inlineStr">
        <is>
          <t>2026-06-23 13:50:01</t>
        </is>
      </c>
      <c r="N1576" t="inlineStr">
        <is>
          <t>Lebohang Mabotja</t>
        </is>
      </c>
      <c r="O1576" t="inlineStr">
        <is>
          <t>2026-06-19 07:10:32</t>
        </is>
      </c>
      <c r="P1576" t="inlineStr">
        <is>
          <t>2026-06-19 07:10:32</t>
        </is>
      </c>
      <c r="Y1576" t="inlineStr">
        <is>
          <t>27664543940</t>
        </is>
      </c>
    </row>
    <row r="1577">
      <c r="A1577" t="inlineStr">
        <is>
          <t>14944493</t>
        </is>
      </c>
      <c r="B1577" t="inlineStr">
        <is>
          <t>258cc345-38c4-40dd-8792-84c569d4c32e</t>
        </is>
      </c>
      <c r="D1577" t="inlineStr">
        <is>
          <t>30001087</t>
        </is>
      </c>
      <c r="E1577" t="inlineStr">
        <is>
          <t>ussd_funeral_leads_altitude_20260619</t>
        </is>
      </c>
      <c r="J1577" t="inlineStr">
        <is>
          <t>A</t>
        </is>
      </c>
      <c r="K1577" t="inlineStr">
        <is>
          <t>Answering Machine</t>
        </is>
      </c>
      <c r="L1577" t="n">
        <v>3</v>
      </c>
      <c r="M1577" t="inlineStr">
        <is>
          <t>2026-06-23 13:49:57</t>
        </is>
      </c>
      <c r="N1577" t="inlineStr">
        <is>
          <t>Goitsimang Mogwasa</t>
        </is>
      </c>
      <c r="O1577" t="inlineStr">
        <is>
          <t>2026-06-19 07:10:32</t>
        </is>
      </c>
      <c r="P1577" t="inlineStr">
        <is>
          <t>2026-06-19 07:10:32</t>
        </is>
      </c>
      <c r="Y1577" t="inlineStr">
        <is>
          <t>27760585524</t>
        </is>
      </c>
    </row>
    <row r="1578">
      <c r="A1578" t="inlineStr">
        <is>
          <t>14944495</t>
        </is>
      </c>
      <c r="B1578" t="inlineStr">
        <is>
          <t>fae4e5b1-a361-4880-a4bb-1e7b11ae2b9e</t>
        </is>
      </c>
      <c r="D1578" t="inlineStr">
        <is>
          <t>30001087</t>
        </is>
      </c>
      <c r="E1578" t="inlineStr">
        <is>
          <t>ussd_funeral_leads_altitude_20260619</t>
        </is>
      </c>
      <c r="J1578" t="inlineStr">
        <is>
          <t>AA</t>
        </is>
      </c>
      <c r="K1578" t="inlineStr">
        <is>
          <t>Answering Machine Autodial</t>
        </is>
      </c>
      <c r="L1578" t="n">
        <v>3</v>
      </c>
      <c r="M1578" t="inlineStr">
        <is>
          <t>2026-06-23 13:49:57</t>
        </is>
      </c>
      <c r="N1578" t="inlineStr">
        <is>
          <t>system</t>
        </is>
      </c>
      <c r="O1578" t="inlineStr">
        <is>
          <t>2026-06-19 07:10:32</t>
        </is>
      </c>
      <c r="P1578" t="inlineStr">
        <is>
          <t>2026-06-19 07:10:32</t>
        </is>
      </c>
      <c r="Y1578" t="inlineStr">
        <is>
          <t>27609896396</t>
        </is>
      </c>
    </row>
    <row r="1579">
      <c r="A1579" t="inlineStr">
        <is>
          <t>14944496</t>
        </is>
      </c>
      <c r="B1579" t="inlineStr">
        <is>
          <t>1bb4c370-13ef-4b6f-8499-c1cb2b02e147</t>
        </is>
      </c>
      <c r="D1579" t="inlineStr">
        <is>
          <t>30001087</t>
        </is>
      </c>
      <c r="E1579" t="inlineStr">
        <is>
          <t>ussd_funeral_leads_altitude_20260619</t>
        </is>
      </c>
      <c r="J1579" t="inlineStr">
        <is>
          <t>NA</t>
        </is>
      </c>
      <c r="K1579" t="inlineStr">
        <is>
          <t>No Answer Autodial</t>
        </is>
      </c>
      <c r="L1579" t="n">
        <v>3</v>
      </c>
      <c r="M1579" t="inlineStr">
        <is>
          <t>2026-06-23 13:49:57</t>
        </is>
      </c>
      <c r="N1579" t="inlineStr">
        <is>
          <t>system</t>
        </is>
      </c>
      <c r="O1579" t="inlineStr">
        <is>
          <t>2026-06-19 07:10:32</t>
        </is>
      </c>
      <c r="P1579" t="inlineStr">
        <is>
          <t>2026-06-19 07:10:32</t>
        </is>
      </c>
      <c r="Y1579" t="inlineStr">
        <is>
          <t>27648872064</t>
        </is>
      </c>
    </row>
    <row r="1580">
      <c r="A1580" t="inlineStr">
        <is>
          <t>14944491</t>
        </is>
      </c>
      <c r="B1580" t="inlineStr">
        <is>
          <t>8baf65ee-7e1c-40f5-b325-77887c09bd1f</t>
        </is>
      </c>
      <c r="D1580" t="inlineStr">
        <is>
          <t>30001087</t>
        </is>
      </c>
      <c r="E1580" t="inlineStr">
        <is>
          <t>ussd_funeral_leads_altitude_20260619</t>
        </is>
      </c>
      <c r="J1580" t="inlineStr">
        <is>
          <t>AA</t>
        </is>
      </c>
      <c r="K1580" t="inlineStr">
        <is>
          <t>Answering Machine Autodial</t>
        </is>
      </c>
      <c r="L1580" t="n">
        <v>3</v>
      </c>
      <c r="M1580" t="inlineStr">
        <is>
          <t>2026-06-23 13:49:56</t>
        </is>
      </c>
      <c r="N1580" t="inlineStr">
        <is>
          <t>system</t>
        </is>
      </c>
      <c r="O1580" t="inlineStr">
        <is>
          <t>2026-06-19 07:10:32</t>
        </is>
      </c>
      <c r="P1580" t="inlineStr">
        <is>
          <t>2026-06-19 07:10:32</t>
        </is>
      </c>
      <c r="Y1580" t="inlineStr">
        <is>
          <t>27773889079</t>
        </is>
      </c>
    </row>
    <row r="1581">
      <c r="A1581" t="inlineStr">
        <is>
          <t>14944492</t>
        </is>
      </c>
      <c r="B1581" t="inlineStr">
        <is>
          <t>73a69af9-375a-47f4-851e-bcd6b4e00c5c</t>
        </is>
      </c>
      <c r="D1581" t="inlineStr">
        <is>
          <t>30001087</t>
        </is>
      </c>
      <c r="E1581" t="inlineStr">
        <is>
          <t>ussd_funeral_leads_altitude_20260619</t>
        </is>
      </c>
      <c r="J1581" t="inlineStr">
        <is>
          <t>AA</t>
        </is>
      </c>
      <c r="K1581" t="inlineStr">
        <is>
          <t>Answering Machine Autodial</t>
        </is>
      </c>
      <c r="L1581" t="n">
        <v>3</v>
      </c>
      <c r="M1581" t="inlineStr">
        <is>
          <t>2026-06-23 13:49:56</t>
        </is>
      </c>
      <c r="N1581" t="inlineStr">
        <is>
          <t>system</t>
        </is>
      </c>
      <c r="O1581" t="inlineStr">
        <is>
          <t>2026-06-19 07:10:32</t>
        </is>
      </c>
      <c r="P1581" t="inlineStr">
        <is>
          <t>2026-06-19 07:10:32</t>
        </is>
      </c>
      <c r="Y1581" t="inlineStr">
        <is>
          <t>27665138425</t>
        </is>
      </c>
    </row>
    <row r="1582">
      <c r="A1582" t="inlineStr">
        <is>
          <t>14944489</t>
        </is>
      </c>
      <c r="B1582" t="inlineStr">
        <is>
          <t>1bf89f9a-1317-4506-8cb7-31344f6e4108</t>
        </is>
      </c>
      <c r="D1582" t="inlineStr">
        <is>
          <t>30001087</t>
        </is>
      </c>
      <c r="E1582" t="inlineStr">
        <is>
          <t>ussd_funeral_leads_altitude_20260619</t>
        </is>
      </c>
      <c r="J1582" t="inlineStr">
        <is>
          <t>AA</t>
        </is>
      </c>
      <c r="K1582" t="inlineStr">
        <is>
          <t>Answering Machine Autodial</t>
        </is>
      </c>
      <c r="L1582" t="n">
        <v>3</v>
      </c>
      <c r="M1582" t="inlineStr">
        <is>
          <t>2026-06-23 13:49:55</t>
        </is>
      </c>
      <c r="N1582" t="inlineStr">
        <is>
          <t>system</t>
        </is>
      </c>
      <c r="O1582" t="inlineStr">
        <is>
          <t>2026-06-19 07:10:32</t>
        </is>
      </c>
      <c r="P1582" t="inlineStr">
        <is>
          <t>2026-06-19 07:10:32</t>
        </is>
      </c>
      <c r="Y1582" t="inlineStr">
        <is>
          <t>27767094399</t>
        </is>
      </c>
    </row>
    <row r="1583">
      <c r="A1583" t="inlineStr">
        <is>
          <t>14944490</t>
        </is>
      </c>
      <c r="B1583" t="inlineStr">
        <is>
          <t>9ad36496-d5b5-4ea8-a6d0-8c2dbc15f284</t>
        </is>
      </c>
      <c r="D1583" t="inlineStr">
        <is>
          <t>30001087</t>
        </is>
      </c>
      <c r="E1583" t="inlineStr">
        <is>
          <t>ussd_funeral_leads_altitude_20260619</t>
        </is>
      </c>
      <c r="J1583" t="inlineStr">
        <is>
          <t>TDN</t>
        </is>
      </c>
      <c r="K1583" t="inlineStr">
        <is>
          <t>Temporary Disconnected Number</t>
        </is>
      </c>
      <c r="L1583" t="n">
        <v>3</v>
      </c>
      <c r="M1583" t="inlineStr">
        <is>
          <t>2026-06-23 13:49:55</t>
        </is>
      </c>
      <c r="N1583" t="inlineStr">
        <is>
          <t>system</t>
        </is>
      </c>
      <c r="O1583" t="inlineStr">
        <is>
          <t>2026-06-19 07:10:32</t>
        </is>
      </c>
      <c r="P1583" t="inlineStr">
        <is>
          <t>2026-06-19 07:10:32</t>
        </is>
      </c>
      <c r="Y1583" t="inlineStr">
        <is>
          <t>27647561448</t>
        </is>
      </c>
    </row>
    <row r="1584">
      <c r="A1584" t="inlineStr">
        <is>
          <t>14944488</t>
        </is>
      </c>
      <c r="B1584" t="inlineStr">
        <is>
          <t>5bb2ecd3-1edf-4b93-be21-4342f667ddce</t>
        </is>
      </c>
      <c r="D1584" t="inlineStr">
        <is>
          <t>30001087</t>
        </is>
      </c>
      <c r="E1584" t="inlineStr">
        <is>
          <t>ussd_funeral_leads_altitude_20260619</t>
        </is>
      </c>
      <c r="J1584" t="inlineStr">
        <is>
          <t>AA</t>
        </is>
      </c>
      <c r="K1584" t="inlineStr">
        <is>
          <t>Answering Machine Autodial</t>
        </is>
      </c>
      <c r="L1584" t="n">
        <v>3</v>
      </c>
      <c r="M1584" t="inlineStr">
        <is>
          <t>2026-06-23 13:49:54</t>
        </is>
      </c>
      <c r="N1584" t="inlineStr">
        <is>
          <t>system</t>
        </is>
      </c>
      <c r="O1584" t="inlineStr">
        <is>
          <t>2026-06-19 07:10:32</t>
        </is>
      </c>
      <c r="P1584" t="inlineStr">
        <is>
          <t>2026-06-19 07:10:32</t>
        </is>
      </c>
      <c r="Y1584" t="inlineStr">
        <is>
          <t>27793058811</t>
        </is>
      </c>
    </row>
    <row r="1585">
      <c r="A1585" t="inlineStr">
        <is>
          <t>14944486</t>
        </is>
      </c>
      <c r="B1585" t="inlineStr">
        <is>
          <t>9f33782b-86ab-44b5-b9ca-7a58b0827416</t>
        </is>
      </c>
      <c r="D1585" t="inlineStr">
        <is>
          <t>30001087</t>
        </is>
      </c>
      <c r="E1585" t="inlineStr">
        <is>
          <t>ussd_funeral_leads_altitude_20260619</t>
        </is>
      </c>
      <c r="J1585" t="inlineStr">
        <is>
          <t>AA</t>
        </is>
      </c>
      <c r="K1585" t="inlineStr">
        <is>
          <t>Answering Machine Autodial</t>
        </is>
      </c>
      <c r="L1585" t="n">
        <v>3</v>
      </c>
      <c r="M1585" t="inlineStr">
        <is>
          <t>2026-06-23 13:49:51</t>
        </is>
      </c>
      <c r="N1585" t="inlineStr">
        <is>
          <t>system</t>
        </is>
      </c>
      <c r="O1585" t="inlineStr">
        <is>
          <t>2026-06-19 07:10:32</t>
        </is>
      </c>
      <c r="P1585" t="inlineStr">
        <is>
          <t>2026-06-19 07:10:32</t>
        </is>
      </c>
      <c r="Y1585" t="inlineStr">
        <is>
          <t>27766705323</t>
        </is>
      </c>
    </row>
    <row r="1586">
      <c r="A1586" t="inlineStr">
        <is>
          <t>14944487</t>
        </is>
      </c>
      <c r="B1586" t="inlineStr">
        <is>
          <t>4066f4ce-ce39-47c3-8487-f7fa253a48af</t>
        </is>
      </c>
      <c r="D1586" t="inlineStr">
        <is>
          <t>30001087</t>
        </is>
      </c>
      <c r="E1586" t="inlineStr">
        <is>
          <t>ussd_funeral_leads_altitude_20260619</t>
        </is>
      </c>
      <c r="J1586" t="inlineStr">
        <is>
          <t>AE</t>
        </is>
      </c>
      <c r="K1586" t="inlineStr">
        <is>
          <t>Auto Engaged</t>
        </is>
      </c>
      <c r="L1586" t="n">
        <v>3</v>
      </c>
      <c r="M1586" t="inlineStr">
        <is>
          <t>2026-06-23 13:49:51</t>
        </is>
      </c>
      <c r="N1586" t="inlineStr">
        <is>
          <t>system</t>
        </is>
      </c>
      <c r="O1586" t="inlineStr">
        <is>
          <t>2026-06-19 07:10:32</t>
        </is>
      </c>
      <c r="P1586" t="inlineStr">
        <is>
          <t>2026-06-19 07:10:32</t>
        </is>
      </c>
      <c r="Y1586" t="inlineStr">
        <is>
          <t>27796007605</t>
        </is>
      </c>
    </row>
    <row r="1587">
      <c r="A1587" t="inlineStr">
        <is>
          <t>14944480</t>
        </is>
      </c>
      <c r="B1587" t="inlineStr">
        <is>
          <t>6cdd4de7-df1d-4c20-89ef-f4b664873f0e</t>
        </is>
      </c>
      <c r="D1587" t="inlineStr">
        <is>
          <t>30001087</t>
        </is>
      </c>
      <c r="E1587" t="inlineStr">
        <is>
          <t>ussd_funeral_leads_altitude_20260619</t>
        </is>
      </c>
      <c r="J1587" t="inlineStr">
        <is>
          <t>NA</t>
        </is>
      </c>
      <c r="K1587" t="inlineStr">
        <is>
          <t>No Answer Autodial</t>
        </is>
      </c>
      <c r="L1587" t="n">
        <v>3</v>
      </c>
      <c r="M1587" t="inlineStr">
        <is>
          <t>2026-06-23 13:49:50</t>
        </is>
      </c>
      <c r="N1587" t="inlineStr">
        <is>
          <t>system</t>
        </is>
      </c>
      <c r="O1587" t="inlineStr">
        <is>
          <t>2026-06-19 07:10:32</t>
        </is>
      </c>
      <c r="P1587" t="inlineStr">
        <is>
          <t>2026-06-19 07:10:32</t>
        </is>
      </c>
      <c r="Y1587" t="inlineStr">
        <is>
          <t>27636594831</t>
        </is>
      </c>
    </row>
    <row r="1588">
      <c r="A1588" t="inlineStr">
        <is>
          <t>14944481</t>
        </is>
      </c>
      <c r="B1588" t="inlineStr">
        <is>
          <t>7f864bd1-54af-4242-860f-1ebeb97007d5</t>
        </is>
      </c>
      <c r="D1588" t="inlineStr">
        <is>
          <t>30001087</t>
        </is>
      </c>
      <c r="E1588" t="inlineStr">
        <is>
          <t>ussd_funeral_leads_altitude_20260619</t>
        </is>
      </c>
      <c r="J1588" t="inlineStr">
        <is>
          <t>AA</t>
        </is>
      </c>
      <c r="K1588" t="inlineStr">
        <is>
          <t>Answering Machine Autodial</t>
        </is>
      </c>
      <c r="L1588" t="n">
        <v>3</v>
      </c>
      <c r="M1588" t="inlineStr">
        <is>
          <t>2026-06-23 13:49:50</t>
        </is>
      </c>
      <c r="N1588" t="inlineStr">
        <is>
          <t>system</t>
        </is>
      </c>
      <c r="O1588" t="inlineStr">
        <is>
          <t>2026-06-19 07:10:32</t>
        </is>
      </c>
      <c r="P1588" t="inlineStr">
        <is>
          <t>2026-06-19 07:10:32</t>
        </is>
      </c>
      <c r="Y1588" t="inlineStr">
        <is>
          <t>27728731841</t>
        </is>
      </c>
    </row>
    <row r="1589">
      <c r="A1589" t="inlineStr">
        <is>
          <t>14944482</t>
        </is>
      </c>
      <c r="B1589" t="inlineStr">
        <is>
          <t>f9aa9c4e-04b6-429d-8f31-ec1a1a2900d3</t>
        </is>
      </c>
      <c r="D1589" t="inlineStr">
        <is>
          <t>30001087</t>
        </is>
      </c>
      <c r="E1589" t="inlineStr">
        <is>
          <t>ussd_funeral_leads_altitude_20260619</t>
        </is>
      </c>
      <c r="J1589" t="inlineStr">
        <is>
          <t>AA</t>
        </is>
      </c>
      <c r="K1589" t="inlineStr">
        <is>
          <t>Answering Machine Autodial</t>
        </is>
      </c>
      <c r="L1589" t="n">
        <v>3</v>
      </c>
      <c r="M1589" t="inlineStr">
        <is>
          <t>2026-06-23 13:49:50</t>
        </is>
      </c>
      <c r="N1589" t="inlineStr">
        <is>
          <t>system</t>
        </is>
      </c>
      <c r="O1589" t="inlineStr">
        <is>
          <t>2026-06-19 07:10:32</t>
        </is>
      </c>
      <c r="P1589" t="inlineStr">
        <is>
          <t>2026-06-19 07:10:32</t>
        </is>
      </c>
      <c r="Y1589" t="inlineStr">
        <is>
          <t>27608226597</t>
        </is>
      </c>
    </row>
    <row r="1590">
      <c r="A1590" t="inlineStr">
        <is>
          <t>14944483</t>
        </is>
      </c>
      <c r="B1590" t="inlineStr">
        <is>
          <t>32610b24-88df-4a6e-8e6b-637dda342ea1</t>
        </is>
      </c>
      <c r="D1590" t="inlineStr">
        <is>
          <t>30001087</t>
        </is>
      </c>
      <c r="E1590" t="inlineStr">
        <is>
          <t>ussd_funeral_leads_altitude_20260619</t>
        </is>
      </c>
      <c r="J1590" t="inlineStr">
        <is>
          <t>AA</t>
        </is>
      </c>
      <c r="K1590" t="inlineStr">
        <is>
          <t>Answering Machine Autodial</t>
        </is>
      </c>
      <c r="L1590" t="n">
        <v>3</v>
      </c>
      <c r="M1590" t="inlineStr">
        <is>
          <t>2026-06-23 13:49:50</t>
        </is>
      </c>
      <c r="N1590" t="inlineStr">
        <is>
          <t>system</t>
        </is>
      </c>
      <c r="O1590" t="inlineStr">
        <is>
          <t>2026-06-19 07:10:32</t>
        </is>
      </c>
      <c r="P1590" t="inlineStr">
        <is>
          <t>2026-06-19 07:10:32</t>
        </is>
      </c>
      <c r="Y1590" t="inlineStr">
        <is>
          <t>27765129262</t>
        </is>
      </c>
    </row>
    <row r="1591">
      <c r="A1591" t="inlineStr">
        <is>
          <t>14944484</t>
        </is>
      </c>
      <c r="B1591" t="inlineStr">
        <is>
          <t>78a785c6-cb17-443a-b8c6-e8f2e5f3415c</t>
        </is>
      </c>
      <c r="D1591" t="inlineStr">
        <is>
          <t>30001087</t>
        </is>
      </c>
      <c r="E1591" t="inlineStr">
        <is>
          <t>ussd_funeral_leads_altitude_20260619</t>
        </is>
      </c>
      <c r="J1591" t="inlineStr">
        <is>
          <t>AA</t>
        </is>
      </c>
      <c r="K1591" t="inlineStr">
        <is>
          <t>Answering Machine Autodial</t>
        </is>
      </c>
      <c r="L1591" t="n">
        <v>3</v>
      </c>
      <c r="M1591" t="inlineStr">
        <is>
          <t>2026-06-23 13:49:50</t>
        </is>
      </c>
      <c r="N1591" t="inlineStr">
        <is>
          <t>system</t>
        </is>
      </c>
      <c r="O1591" t="inlineStr">
        <is>
          <t>2026-06-19 07:10:32</t>
        </is>
      </c>
      <c r="P1591" t="inlineStr">
        <is>
          <t>2026-06-19 07:10:32</t>
        </is>
      </c>
      <c r="Y1591" t="inlineStr">
        <is>
          <t>27661424944</t>
        </is>
      </c>
    </row>
    <row r="1592">
      <c r="A1592" t="inlineStr">
        <is>
          <t>14944485</t>
        </is>
      </c>
      <c r="B1592" t="inlineStr">
        <is>
          <t>0e23c170-6c3d-45e0-ac2e-a4c5308f19a1</t>
        </is>
      </c>
      <c r="D1592" t="inlineStr">
        <is>
          <t>30001087</t>
        </is>
      </c>
      <c r="E1592" t="inlineStr">
        <is>
          <t>ussd_funeral_leads_altitude_20260619</t>
        </is>
      </c>
      <c r="J1592" t="inlineStr">
        <is>
          <t>AA</t>
        </is>
      </c>
      <c r="K1592" t="inlineStr">
        <is>
          <t>Answering Machine Autodial</t>
        </is>
      </c>
      <c r="L1592" t="n">
        <v>3</v>
      </c>
      <c r="M1592" t="inlineStr">
        <is>
          <t>2026-06-23 13:49:50</t>
        </is>
      </c>
      <c r="N1592" t="inlineStr">
        <is>
          <t>system</t>
        </is>
      </c>
      <c r="O1592" t="inlineStr">
        <is>
          <t>2026-06-19 07:10:32</t>
        </is>
      </c>
      <c r="P1592" t="inlineStr">
        <is>
          <t>2026-06-19 07:10:32</t>
        </is>
      </c>
      <c r="Y1592" t="inlineStr">
        <is>
          <t>27665236633</t>
        </is>
      </c>
    </row>
    <row r="1593">
      <c r="A1593" t="inlineStr">
        <is>
          <t>14944478</t>
        </is>
      </c>
      <c r="B1593" t="inlineStr">
        <is>
          <t>42b13167-ba7a-458c-8c5b-e45c73ac5f79</t>
        </is>
      </c>
      <c r="D1593" t="inlineStr">
        <is>
          <t>30001087</t>
        </is>
      </c>
      <c r="E1593" t="inlineStr">
        <is>
          <t>ussd_funeral_leads_altitude_20260619</t>
        </is>
      </c>
      <c r="J1593" t="inlineStr">
        <is>
          <t>AA</t>
        </is>
      </c>
      <c r="K1593" t="inlineStr">
        <is>
          <t>Answering Machine Autodial</t>
        </is>
      </c>
      <c r="L1593" t="n">
        <v>3</v>
      </c>
      <c r="M1593" t="inlineStr">
        <is>
          <t>2026-06-23 13:49:49</t>
        </is>
      </c>
      <c r="N1593" t="inlineStr">
        <is>
          <t>system</t>
        </is>
      </c>
      <c r="O1593" t="inlineStr">
        <is>
          <t>2026-06-19 07:10:32</t>
        </is>
      </c>
      <c r="P1593" t="inlineStr">
        <is>
          <t>2026-06-19 07:10:32</t>
        </is>
      </c>
      <c r="Y1593" t="inlineStr">
        <is>
          <t>27660016966</t>
        </is>
      </c>
    </row>
    <row r="1594">
      <c r="A1594" t="inlineStr">
        <is>
          <t>14944540</t>
        </is>
      </c>
      <c r="B1594" t="inlineStr">
        <is>
          <t>25147104-4505-4e37-bd7b-72ab99df8402</t>
        </is>
      </c>
      <c r="D1594" t="inlineStr">
        <is>
          <t>30001087</t>
        </is>
      </c>
      <c r="E1594" t="inlineStr">
        <is>
          <t>ussd_funeral_leads_altitude_20260619</t>
        </is>
      </c>
      <c r="J1594" t="inlineStr">
        <is>
          <t>DROP</t>
        </is>
      </c>
      <c r="K1594" t="inlineStr">
        <is>
          <t>Dropped</t>
        </is>
      </c>
      <c r="L1594" t="n">
        <v>3</v>
      </c>
      <c r="M1594" t="inlineStr">
        <is>
          <t>2026-06-23 13:49:25</t>
        </is>
      </c>
      <c r="N1594" t="inlineStr">
        <is>
          <t>system</t>
        </is>
      </c>
      <c r="O1594" t="inlineStr">
        <is>
          <t>2026-06-19 07:10:32</t>
        </is>
      </c>
      <c r="P1594" t="inlineStr">
        <is>
          <t>2026-06-19 07:10:32</t>
        </is>
      </c>
      <c r="Y1594" t="inlineStr">
        <is>
          <t>27720231561</t>
        </is>
      </c>
    </row>
    <row r="1595">
      <c r="A1595" t="inlineStr">
        <is>
          <t>14944541</t>
        </is>
      </c>
      <c r="B1595" t="inlineStr">
        <is>
          <t>e99cc2ab-3cec-4412-b216-13182a97bed3</t>
        </is>
      </c>
      <c r="D1595" t="inlineStr">
        <is>
          <t>30001087</t>
        </is>
      </c>
      <c r="E1595" t="inlineStr">
        <is>
          <t>ussd_funeral_leads_altitude_20260619</t>
        </is>
      </c>
      <c r="J1595" t="inlineStr">
        <is>
          <t>ADC</t>
        </is>
      </c>
      <c r="K1595" t="inlineStr">
        <is>
          <t>Auto Dial Disconnected</t>
        </is>
      </c>
      <c r="L1595" t="n">
        <v>3</v>
      </c>
      <c r="M1595" t="inlineStr">
        <is>
          <t>2026-06-23 13:49:25</t>
        </is>
      </c>
      <c r="N1595" t="inlineStr">
        <is>
          <t>system</t>
        </is>
      </c>
      <c r="O1595" t="inlineStr">
        <is>
          <t>2026-06-19 07:10:32</t>
        </is>
      </c>
      <c r="P1595" t="inlineStr">
        <is>
          <t>2026-06-19 07:10:32</t>
        </is>
      </c>
      <c r="Y1595" t="inlineStr">
        <is>
          <t>27768060681</t>
        </is>
      </c>
    </row>
    <row r="1596">
      <c r="A1596" t="inlineStr">
        <is>
          <t>14944538</t>
        </is>
      </c>
      <c r="B1596" t="inlineStr">
        <is>
          <t>d12f0883-bd52-46bc-8dc1-d1d0e29deb51</t>
        </is>
      </c>
      <c r="D1596" t="inlineStr">
        <is>
          <t>30001087</t>
        </is>
      </c>
      <c r="E1596" t="inlineStr">
        <is>
          <t>ussd_funeral_leads_altitude_20260619</t>
        </is>
      </c>
      <c r="J1596" t="inlineStr">
        <is>
          <t>AA</t>
        </is>
      </c>
      <c r="K1596" t="inlineStr">
        <is>
          <t>Answering Machine Autodial</t>
        </is>
      </c>
      <c r="L1596" t="n">
        <v>3</v>
      </c>
      <c r="M1596" t="inlineStr">
        <is>
          <t>2026-06-23 13:49:11</t>
        </is>
      </c>
      <c r="N1596" t="inlineStr">
        <is>
          <t>system</t>
        </is>
      </c>
      <c r="O1596" t="inlineStr">
        <is>
          <t>2026-06-19 07:10:32</t>
        </is>
      </c>
      <c r="P1596" t="inlineStr">
        <is>
          <t>2026-06-19 07:10:32</t>
        </is>
      </c>
      <c r="Y1596" t="inlineStr">
        <is>
          <t>27662160604</t>
        </is>
      </c>
    </row>
    <row r="1597">
      <c r="A1597" t="inlineStr">
        <is>
          <t>14944539</t>
        </is>
      </c>
      <c r="B1597" t="inlineStr">
        <is>
          <t>ed666269-55da-4d4d-b13c-5424e1138736</t>
        </is>
      </c>
      <c r="D1597" t="inlineStr">
        <is>
          <t>30001087</t>
        </is>
      </c>
      <c r="E1597" t="inlineStr">
        <is>
          <t>ussd_funeral_leads_altitude_20260619</t>
        </is>
      </c>
      <c r="J1597" t="inlineStr">
        <is>
          <t>NA</t>
        </is>
      </c>
      <c r="K1597" t="inlineStr">
        <is>
          <t>No Answer Autodial</t>
        </is>
      </c>
      <c r="L1597" t="n">
        <v>3</v>
      </c>
      <c r="M1597" t="inlineStr">
        <is>
          <t>2026-06-23 13:49:11</t>
        </is>
      </c>
      <c r="N1597" t="inlineStr">
        <is>
          <t>system</t>
        </is>
      </c>
      <c r="O1597" t="inlineStr">
        <is>
          <t>2026-06-19 07:10:32</t>
        </is>
      </c>
      <c r="P1597" t="inlineStr">
        <is>
          <t>2026-06-19 07:10:32</t>
        </is>
      </c>
      <c r="Y1597" t="inlineStr">
        <is>
          <t>27607108022</t>
        </is>
      </c>
    </row>
    <row r="1598">
      <c r="A1598" t="inlineStr">
        <is>
          <t>14944537</t>
        </is>
      </c>
      <c r="B1598" t="inlineStr">
        <is>
          <t>34c62148-e182-4f66-a0ca-4ba1e9d35c3c</t>
        </is>
      </c>
      <c r="D1598" t="inlineStr">
        <is>
          <t>30001087</t>
        </is>
      </c>
      <c r="E1598" t="inlineStr">
        <is>
          <t>ussd_funeral_leads_altitude_20260619</t>
        </is>
      </c>
      <c r="J1598" t="inlineStr">
        <is>
          <t>AA</t>
        </is>
      </c>
      <c r="K1598" t="inlineStr">
        <is>
          <t>Answering Machine Autodial</t>
        </is>
      </c>
      <c r="L1598" t="n">
        <v>3</v>
      </c>
      <c r="M1598" t="inlineStr">
        <is>
          <t>2026-06-23 13:49:09</t>
        </is>
      </c>
      <c r="N1598" t="inlineStr">
        <is>
          <t>system</t>
        </is>
      </c>
      <c r="O1598" t="inlineStr">
        <is>
          <t>2026-06-19 07:10:32</t>
        </is>
      </c>
      <c r="P1598" t="inlineStr">
        <is>
          <t>2026-06-19 07:10:32</t>
        </is>
      </c>
      <c r="Y1598" t="inlineStr">
        <is>
          <t>27763826032</t>
        </is>
      </c>
    </row>
    <row r="1599">
      <c r="A1599" t="inlineStr">
        <is>
          <t>14900000</t>
        </is>
      </c>
      <c r="B1599" t="inlineStr">
        <is>
          <t>7e877e2b-9b7d-435f-a421-9caa5479d746</t>
        </is>
      </c>
      <c r="D1599" t="inlineStr">
        <is>
          <t>30001087</t>
        </is>
      </c>
      <c r="E1599" t="inlineStr">
        <is>
          <t>ussd_funeral_leads_altitude_20260619</t>
        </is>
      </c>
      <c r="J1599" t="inlineStr">
        <is>
          <t>NA</t>
        </is>
      </c>
      <c r="K1599" t="inlineStr">
        <is>
          <t>No Answer Autodial</t>
        </is>
      </c>
      <c r="L1599" t="n">
        <v>3</v>
      </c>
      <c r="M1599" t="inlineStr">
        <is>
          <t>2026-06-23 13:49:07</t>
        </is>
      </c>
      <c r="N1599" t="inlineStr">
        <is>
          <t>system</t>
        </is>
      </c>
      <c r="O1599" t="inlineStr">
        <is>
          <t>2026-06-19 07:10:32</t>
        </is>
      </c>
      <c r="P1599" t="inlineStr">
        <is>
          <t>2026-06-19 07:10:32</t>
        </is>
      </c>
      <c r="Y1599" t="inlineStr">
        <is>
          <t>27637303563</t>
        </is>
      </c>
    </row>
    <row r="1600">
      <c r="A1600" t="inlineStr">
        <is>
          <t>14944536</t>
        </is>
      </c>
      <c r="B1600" t="inlineStr">
        <is>
          <t>c92e9c35-7a1e-4c23-831a-3d8cc1e94b7e</t>
        </is>
      </c>
      <c r="D1600" t="inlineStr">
        <is>
          <t>30001087</t>
        </is>
      </c>
      <c r="E1600" t="inlineStr">
        <is>
          <t>ussd_funeral_leads_altitude_20260619</t>
        </is>
      </c>
      <c r="J1600" t="inlineStr">
        <is>
          <t>ADC</t>
        </is>
      </c>
      <c r="K1600" t="inlineStr">
        <is>
          <t>Auto Dial Disconnected</t>
        </is>
      </c>
      <c r="L1600" t="n">
        <v>3</v>
      </c>
      <c r="M1600" t="inlineStr">
        <is>
          <t>2026-06-23 13:49:07</t>
        </is>
      </c>
      <c r="N1600" t="inlineStr">
        <is>
          <t>system</t>
        </is>
      </c>
      <c r="O1600" t="inlineStr">
        <is>
          <t>2026-06-19 07:10:32</t>
        </is>
      </c>
      <c r="P1600" t="inlineStr">
        <is>
          <t>2026-06-19 07:10:32</t>
        </is>
      </c>
      <c r="Y1600" t="inlineStr">
        <is>
          <t>27818691773</t>
        </is>
      </c>
    </row>
    <row r="1601">
      <c r="A1601" t="inlineStr">
        <is>
          <t>14944532</t>
        </is>
      </c>
      <c r="B1601" t="inlineStr">
        <is>
          <t>299a95d1-e04f-413d-8da8-1267126a0bec</t>
        </is>
      </c>
      <c r="D1601" t="inlineStr">
        <is>
          <t>30001087</t>
        </is>
      </c>
      <c r="E1601" t="inlineStr">
        <is>
          <t>ussd_funeral_leads_altitude_20260619</t>
        </is>
      </c>
      <c r="J1601" t="inlineStr">
        <is>
          <t>AA</t>
        </is>
      </c>
      <c r="K1601" t="inlineStr">
        <is>
          <t>Answering Machine Autodial</t>
        </is>
      </c>
      <c r="L1601" t="n">
        <v>3</v>
      </c>
      <c r="M1601" t="inlineStr">
        <is>
          <t>2026-06-23 13:49:06</t>
        </is>
      </c>
      <c r="N1601" t="inlineStr">
        <is>
          <t>system</t>
        </is>
      </c>
      <c r="O1601" t="inlineStr">
        <is>
          <t>2026-06-19 07:10:32</t>
        </is>
      </c>
      <c r="P1601" t="inlineStr">
        <is>
          <t>2026-06-19 07:10:32</t>
        </is>
      </c>
      <c r="Y1601" t="inlineStr">
        <is>
          <t>27723047494</t>
        </is>
      </c>
    </row>
    <row r="1602">
      <c r="A1602" t="inlineStr">
        <is>
          <t>14944533</t>
        </is>
      </c>
      <c r="B1602" t="inlineStr">
        <is>
          <t>bae462b1-e3b5-4f3d-8a9b-da60de69fc23</t>
        </is>
      </c>
      <c r="D1602" t="inlineStr">
        <is>
          <t>30001087</t>
        </is>
      </c>
      <c r="E1602" t="inlineStr">
        <is>
          <t>ussd_funeral_leads_altitude_20260619</t>
        </is>
      </c>
      <c r="J1602" t="inlineStr">
        <is>
          <t>TDN</t>
        </is>
      </c>
      <c r="K1602" t="inlineStr">
        <is>
          <t>Temporary Disconnected Number</t>
        </is>
      </c>
      <c r="L1602" t="n">
        <v>3</v>
      </c>
      <c r="M1602" t="inlineStr">
        <is>
          <t>2026-06-23 13:49:06</t>
        </is>
      </c>
      <c r="N1602" t="inlineStr">
        <is>
          <t>system</t>
        </is>
      </c>
      <c r="O1602" t="inlineStr">
        <is>
          <t>2026-06-19 07:10:32</t>
        </is>
      </c>
      <c r="P1602" t="inlineStr">
        <is>
          <t>2026-06-19 07:10:32</t>
        </is>
      </c>
      <c r="Y1602" t="inlineStr">
        <is>
          <t>27712025062</t>
        </is>
      </c>
    </row>
    <row r="1603">
      <c r="A1603" t="inlineStr">
        <is>
          <t>14944534</t>
        </is>
      </c>
      <c r="B1603" t="inlineStr">
        <is>
          <t>1a3dd098-d35e-414a-bc59-adea5e3bbaf8</t>
        </is>
      </c>
      <c r="D1603" t="inlineStr">
        <is>
          <t>30001087</t>
        </is>
      </c>
      <c r="E1603" t="inlineStr">
        <is>
          <t>ussd_funeral_leads_altitude_20260619</t>
        </is>
      </c>
      <c r="J1603" t="inlineStr">
        <is>
          <t>AA</t>
        </is>
      </c>
      <c r="K1603" t="inlineStr">
        <is>
          <t>Answering Machine Autodial</t>
        </is>
      </c>
      <c r="L1603" t="n">
        <v>3</v>
      </c>
      <c r="M1603" t="inlineStr">
        <is>
          <t>2026-06-23 13:49:06</t>
        </is>
      </c>
      <c r="N1603" t="inlineStr">
        <is>
          <t>system</t>
        </is>
      </c>
      <c r="O1603" t="inlineStr">
        <is>
          <t>2026-06-19 07:10:32</t>
        </is>
      </c>
      <c r="P1603" t="inlineStr">
        <is>
          <t>2026-06-19 07:10:32</t>
        </is>
      </c>
      <c r="Y1603" t="inlineStr">
        <is>
          <t>27608167101</t>
        </is>
      </c>
    </row>
    <row r="1604">
      <c r="A1604" t="inlineStr">
        <is>
          <t>14944526</t>
        </is>
      </c>
      <c r="B1604" t="inlineStr">
        <is>
          <t>1ebf5783-ce7d-474c-b043-52f973bf81b1</t>
        </is>
      </c>
      <c r="D1604" t="inlineStr">
        <is>
          <t>30001087</t>
        </is>
      </c>
      <c r="E1604" t="inlineStr">
        <is>
          <t>ussd_funeral_leads_altitude_20260619</t>
        </is>
      </c>
      <c r="J1604" t="inlineStr">
        <is>
          <t>ADC</t>
        </is>
      </c>
      <c r="K1604" t="inlineStr">
        <is>
          <t>Auto Dial Disconnected</t>
        </is>
      </c>
      <c r="L1604" t="n">
        <v>3</v>
      </c>
      <c r="M1604" t="inlineStr">
        <is>
          <t>2026-06-23 13:49:05</t>
        </is>
      </c>
      <c r="N1604" t="inlineStr">
        <is>
          <t>system</t>
        </is>
      </c>
      <c r="O1604" t="inlineStr">
        <is>
          <t>2026-06-19 07:10:32</t>
        </is>
      </c>
      <c r="P1604" t="inlineStr">
        <is>
          <t>2026-06-19 07:10:32</t>
        </is>
      </c>
      <c r="Y1604" t="inlineStr">
        <is>
          <t>27675499427</t>
        </is>
      </c>
    </row>
    <row r="1605">
      <c r="A1605" t="inlineStr">
        <is>
          <t>14944527</t>
        </is>
      </c>
      <c r="B1605" t="inlineStr">
        <is>
          <t>5d58a1d4-1654-4e63-b523-465d8d1bc23e</t>
        </is>
      </c>
      <c r="D1605" t="inlineStr">
        <is>
          <t>30001087</t>
        </is>
      </c>
      <c r="E1605" t="inlineStr">
        <is>
          <t>ussd_funeral_leads_altitude_20260619</t>
        </is>
      </c>
      <c r="J1605" t="inlineStr">
        <is>
          <t>AA</t>
        </is>
      </c>
      <c r="K1605" t="inlineStr">
        <is>
          <t>Answering Machine Autodial</t>
        </is>
      </c>
      <c r="L1605" t="n">
        <v>3</v>
      </c>
      <c r="M1605" t="inlineStr">
        <is>
          <t>2026-06-23 13:49:05</t>
        </is>
      </c>
      <c r="N1605" t="inlineStr">
        <is>
          <t>system</t>
        </is>
      </c>
      <c r="O1605" t="inlineStr">
        <is>
          <t>2026-06-19 07:10:32</t>
        </is>
      </c>
      <c r="P1605" t="inlineStr">
        <is>
          <t>2026-06-19 07:10:32</t>
        </is>
      </c>
      <c r="Y1605" t="inlineStr">
        <is>
          <t>27729466167</t>
        </is>
      </c>
    </row>
    <row r="1606">
      <c r="A1606" t="inlineStr">
        <is>
          <t>14944528</t>
        </is>
      </c>
      <c r="B1606" t="inlineStr">
        <is>
          <t>01db812b-21eb-46c5-a804-b6c10506a5d8</t>
        </is>
      </c>
      <c r="D1606" t="inlineStr">
        <is>
          <t>30001087</t>
        </is>
      </c>
      <c r="E1606" t="inlineStr">
        <is>
          <t>ussd_funeral_leads_altitude_20260619</t>
        </is>
      </c>
      <c r="J1606" t="inlineStr">
        <is>
          <t>ADC</t>
        </is>
      </c>
      <c r="K1606" t="inlineStr">
        <is>
          <t>Auto Dial Disconnected</t>
        </is>
      </c>
      <c r="L1606" t="n">
        <v>3</v>
      </c>
      <c r="M1606" t="inlineStr">
        <is>
          <t>2026-06-23 13:49:05</t>
        </is>
      </c>
      <c r="N1606" t="inlineStr">
        <is>
          <t>system</t>
        </is>
      </c>
      <c r="O1606" t="inlineStr">
        <is>
          <t>2026-06-19 07:10:32</t>
        </is>
      </c>
      <c r="P1606" t="inlineStr">
        <is>
          <t>2026-06-19 07:10:32</t>
        </is>
      </c>
      <c r="Y1606" t="inlineStr">
        <is>
          <t>27723192749</t>
        </is>
      </c>
    </row>
    <row r="1607">
      <c r="A1607" t="inlineStr">
        <is>
          <t>14944529</t>
        </is>
      </c>
      <c r="B1607" t="inlineStr">
        <is>
          <t>ea1c7e6a-3a0b-4b5d-87db-c4c2e2a2c8ee</t>
        </is>
      </c>
      <c r="D1607" t="inlineStr">
        <is>
          <t>30001087</t>
        </is>
      </c>
      <c r="E1607" t="inlineStr">
        <is>
          <t>ussd_funeral_leads_altitude_20260619</t>
        </is>
      </c>
      <c r="J1607" t="inlineStr">
        <is>
          <t>AA</t>
        </is>
      </c>
      <c r="K1607" t="inlineStr">
        <is>
          <t>Answering Machine Autodial</t>
        </is>
      </c>
      <c r="L1607" t="n">
        <v>3</v>
      </c>
      <c r="M1607" t="inlineStr">
        <is>
          <t>2026-06-23 13:49:05</t>
        </is>
      </c>
      <c r="N1607" t="inlineStr">
        <is>
          <t>system</t>
        </is>
      </c>
      <c r="O1607" t="inlineStr">
        <is>
          <t>2026-06-19 07:10:32</t>
        </is>
      </c>
      <c r="P1607" t="inlineStr">
        <is>
          <t>2026-06-19 07:10:32</t>
        </is>
      </c>
      <c r="Y1607" t="inlineStr">
        <is>
          <t>27607042553</t>
        </is>
      </c>
    </row>
    <row r="1608">
      <c r="A1608" t="inlineStr">
        <is>
          <t>14900000</t>
        </is>
      </c>
      <c r="B1608" t="inlineStr">
        <is>
          <t>e8908f43-f297-40cc-a273-62e2107a6326</t>
        </is>
      </c>
      <c r="D1608" t="inlineStr">
        <is>
          <t>30001087</t>
        </is>
      </c>
      <c r="E1608" t="inlineStr">
        <is>
          <t>ussd_funeral_leads_altitude_20260619</t>
        </is>
      </c>
      <c r="J1608" t="inlineStr">
        <is>
          <t>CU</t>
        </is>
      </c>
      <c r="K1608" t="inlineStr">
        <is>
          <t>Client Hung Up</t>
        </is>
      </c>
      <c r="L1608" t="n">
        <v>3</v>
      </c>
      <c r="M1608" t="inlineStr">
        <is>
          <t>2026-06-23 13:49:05</t>
        </is>
      </c>
      <c r="N1608" t="inlineStr">
        <is>
          <t>Lebohang Mabotja</t>
        </is>
      </c>
      <c r="O1608" t="inlineStr">
        <is>
          <t>2026-06-19 07:10:32</t>
        </is>
      </c>
      <c r="P1608" t="inlineStr">
        <is>
          <t>2026-06-19 07:10:32</t>
        </is>
      </c>
      <c r="Y1608" t="inlineStr">
        <is>
          <t>27673274493</t>
        </is>
      </c>
    </row>
    <row r="1609">
      <c r="A1609" t="inlineStr">
        <is>
          <t>14944531</t>
        </is>
      </c>
      <c r="B1609" t="inlineStr">
        <is>
          <t>aec338a2-c6e7-4a32-ab3e-5529b9ccdeee</t>
        </is>
      </c>
      <c r="D1609" t="inlineStr">
        <is>
          <t>30001087</t>
        </is>
      </c>
      <c r="E1609" t="inlineStr">
        <is>
          <t>ussd_funeral_leads_altitude_20260619</t>
        </is>
      </c>
      <c r="J1609" t="inlineStr">
        <is>
          <t>ADC</t>
        </is>
      </c>
      <c r="K1609" t="inlineStr">
        <is>
          <t>Auto Dial Disconnected</t>
        </is>
      </c>
      <c r="L1609" t="n">
        <v>3</v>
      </c>
      <c r="M1609" t="inlineStr">
        <is>
          <t>2026-06-23 13:49:05</t>
        </is>
      </c>
      <c r="N1609" t="inlineStr">
        <is>
          <t>system</t>
        </is>
      </c>
      <c r="O1609" t="inlineStr">
        <is>
          <t>2026-06-19 07:10:32</t>
        </is>
      </c>
      <c r="P1609" t="inlineStr">
        <is>
          <t>2026-06-19 07:10:32</t>
        </is>
      </c>
      <c r="Y1609" t="inlineStr">
        <is>
          <t>27665677047</t>
        </is>
      </c>
    </row>
    <row r="1610">
      <c r="A1610" t="inlineStr">
        <is>
          <t>14944513</t>
        </is>
      </c>
      <c r="B1610" t="inlineStr">
        <is>
          <t>f6c99349-12ad-4d9b-a77b-a8260226698b</t>
        </is>
      </c>
      <c r="D1610" t="inlineStr">
        <is>
          <t>30001087</t>
        </is>
      </c>
      <c r="E1610" t="inlineStr">
        <is>
          <t>ussd_funeral_leads_altitude_20260619</t>
        </is>
      </c>
      <c r="J1610" t="inlineStr">
        <is>
          <t>TDN</t>
        </is>
      </c>
      <c r="K1610" t="inlineStr">
        <is>
          <t>Temporary Disconnected Number</t>
        </is>
      </c>
      <c r="L1610" t="n">
        <v>3</v>
      </c>
      <c r="M1610" t="inlineStr">
        <is>
          <t>2026-06-23 13:49:00</t>
        </is>
      </c>
      <c r="N1610" t="inlineStr">
        <is>
          <t>system</t>
        </is>
      </c>
      <c r="O1610" t="inlineStr">
        <is>
          <t>2026-06-19 07:10:32</t>
        </is>
      </c>
      <c r="P1610" t="inlineStr">
        <is>
          <t>2026-06-19 07:10:32</t>
        </is>
      </c>
      <c r="Y1610" t="inlineStr">
        <is>
          <t>27767237788</t>
        </is>
      </c>
    </row>
    <row r="1611">
      <c r="A1611" t="inlineStr">
        <is>
          <t>14944515</t>
        </is>
      </c>
      <c r="B1611" t="inlineStr">
        <is>
          <t>6b4f7fcd-b331-45a6-91e0-7af22f845e1e</t>
        </is>
      </c>
      <c r="D1611" t="inlineStr">
        <is>
          <t>30001087</t>
        </is>
      </c>
      <c r="E1611" t="inlineStr">
        <is>
          <t>ussd_funeral_leads_altitude_20260619</t>
        </is>
      </c>
      <c r="J1611" t="inlineStr">
        <is>
          <t>AA</t>
        </is>
      </c>
      <c r="K1611" t="inlineStr">
        <is>
          <t>Answering Machine Autodial</t>
        </is>
      </c>
      <c r="L1611" t="n">
        <v>3</v>
      </c>
      <c r="M1611" t="inlineStr">
        <is>
          <t>2026-06-23 13:49:00</t>
        </is>
      </c>
      <c r="N1611" t="inlineStr">
        <is>
          <t>system</t>
        </is>
      </c>
      <c r="O1611" t="inlineStr">
        <is>
          <t>2026-06-19 07:10:32</t>
        </is>
      </c>
      <c r="P1611" t="inlineStr">
        <is>
          <t>2026-06-19 07:10:32</t>
        </is>
      </c>
      <c r="Y1611" t="inlineStr">
        <is>
          <t>27762279091</t>
        </is>
      </c>
    </row>
    <row r="1612">
      <c r="A1612" t="inlineStr">
        <is>
          <t>14944525</t>
        </is>
      </c>
      <c r="B1612" t="inlineStr">
        <is>
          <t>6c600cbf-4837-45f9-a234-241cf5582460</t>
        </is>
      </c>
      <c r="D1612" t="inlineStr">
        <is>
          <t>30001087</t>
        </is>
      </c>
      <c r="E1612" t="inlineStr">
        <is>
          <t>ussd_funeral_leads_altitude_20260619</t>
        </is>
      </c>
      <c r="J1612" t="inlineStr">
        <is>
          <t>TDN</t>
        </is>
      </c>
      <c r="K1612" t="inlineStr">
        <is>
          <t>Temporary Disconnected Number</t>
        </is>
      </c>
      <c r="L1612" t="n">
        <v>3</v>
      </c>
      <c r="M1612" t="inlineStr">
        <is>
          <t>2026-06-23 13:49:00</t>
        </is>
      </c>
      <c r="N1612" t="inlineStr">
        <is>
          <t>system</t>
        </is>
      </c>
      <c r="O1612" t="inlineStr">
        <is>
          <t>2026-06-19 07:10:32</t>
        </is>
      </c>
      <c r="P1612" t="inlineStr">
        <is>
          <t>2026-06-19 07:10:32</t>
        </is>
      </c>
      <c r="Y1612" t="inlineStr">
        <is>
          <t>27661783017</t>
        </is>
      </c>
    </row>
    <row r="1613">
      <c r="A1613" t="inlineStr">
        <is>
          <t>14944511</t>
        </is>
      </c>
      <c r="B1613" t="inlineStr">
        <is>
          <t>c0fc0273-c401-473c-ac06-589ce23ab4f8</t>
        </is>
      </c>
      <c r="D1613" t="inlineStr">
        <is>
          <t>30001087</t>
        </is>
      </c>
      <c r="E1613" t="inlineStr">
        <is>
          <t>ussd_funeral_leads_altitude_20260619</t>
        </is>
      </c>
      <c r="J1613" t="inlineStr">
        <is>
          <t>AA</t>
        </is>
      </c>
      <c r="K1613" t="inlineStr">
        <is>
          <t>Answering Machine Autodial</t>
        </is>
      </c>
      <c r="L1613" t="n">
        <v>3</v>
      </c>
      <c r="M1613" t="inlineStr">
        <is>
          <t>2026-06-23 13:48:59</t>
        </is>
      </c>
      <c r="N1613" t="inlineStr">
        <is>
          <t>system</t>
        </is>
      </c>
      <c r="O1613" t="inlineStr">
        <is>
          <t>2026-06-19 07:10:32</t>
        </is>
      </c>
      <c r="P1613" t="inlineStr">
        <is>
          <t>2026-06-19 07:10:32</t>
        </is>
      </c>
      <c r="Y1613" t="inlineStr">
        <is>
          <t>27791846650</t>
        </is>
      </c>
    </row>
    <row r="1614">
      <c r="A1614" t="inlineStr">
        <is>
          <t>14944512</t>
        </is>
      </c>
      <c r="B1614" t="inlineStr">
        <is>
          <t>51b170ed-fb02-4948-a04f-ddee52bfbd65</t>
        </is>
      </c>
      <c r="D1614" t="inlineStr">
        <is>
          <t>30001087</t>
        </is>
      </c>
      <c r="E1614" t="inlineStr">
        <is>
          <t>ussd_funeral_leads_altitude_20260619</t>
        </is>
      </c>
      <c r="J1614" t="inlineStr">
        <is>
          <t>AA</t>
        </is>
      </c>
      <c r="K1614" t="inlineStr">
        <is>
          <t>Answering Machine Autodial</t>
        </is>
      </c>
      <c r="L1614" t="n">
        <v>3</v>
      </c>
      <c r="M1614" t="inlineStr">
        <is>
          <t>2026-06-23 13:48:59</t>
        </is>
      </c>
      <c r="N1614" t="inlineStr">
        <is>
          <t>system</t>
        </is>
      </c>
      <c r="O1614" t="inlineStr">
        <is>
          <t>2026-06-19 07:10:32</t>
        </is>
      </c>
      <c r="P1614" t="inlineStr">
        <is>
          <t>2026-06-19 07:10:32</t>
        </is>
      </c>
      <c r="Y1614" t="inlineStr">
        <is>
          <t>27764350113</t>
        </is>
      </c>
    </row>
    <row r="1615">
      <c r="A1615" t="inlineStr">
        <is>
          <t>14944508</t>
        </is>
      </c>
      <c r="B1615" t="inlineStr">
        <is>
          <t>693ec6b9-9cef-49d9-a87b-477848ef6462</t>
        </is>
      </c>
      <c r="D1615" t="inlineStr">
        <is>
          <t>30001087</t>
        </is>
      </c>
      <c r="E1615" t="inlineStr">
        <is>
          <t>ussd_funeral_leads_altitude_20260619</t>
        </is>
      </c>
      <c r="J1615" t="inlineStr">
        <is>
          <t>AA</t>
        </is>
      </c>
      <c r="K1615" t="inlineStr">
        <is>
          <t>Answering Machine Autodial</t>
        </is>
      </c>
      <c r="L1615" t="n">
        <v>3</v>
      </c>
      <c r="M1615" t="inlineStr">
        <is>
          <t>2026-06-23 13:48:45</t>
        </is>
      </c>
      <c r="N1615" t="inlineStr">
        <is>
          <t>system</t>
        </is>
      </c>
      <c r="O1615" t="inlineStr">
        <is>
          <t>2026-06-19 07:10:32</t>
        </is>
      </c>
      <c r="P1615" t="inlineStr">
        <is>
          <t>2026-06-19 07:10:32</t>
        </is>
      </c>
      <c r="Y1615" t="inlineStr">
        <is>
          <t>27762618712</t>
        </is>
      </c>
    </row>
    <row r="1616">
      <c r="A1616" t="inlineStr">
        <is>
          <t>14944509</t>
        </is>
      </c>
      <c r="B1616" t="inlineStr">
        <is>
          <t>397d3101-daec-4ba1-b09b-2e5b143f84f8</t>
        </is>
      </c>
      <c r="D1616" t="inlineStr">
        <is>
          <t>30001087</t>
        </is>
      </c>
      <c r="E1616" t="inlineStr">
        <is>
          <t>ussd_funeral_leads_altitude_20260619</t>
        </is>
      </c>
      <c r="J1616" t="inlineStr">
        <is>
          <t>AA</t>
        </is>
      </c>
      <c r="K1616" t="inlineStr">
        <is>
          <t>Answering Machine Autodial</t>
        </is>
      </c>
      <c r="L1616" t="n">
        <v>3</v>
      </c>
      <c r="M1616" t="inlineStr">
        <is>
          <t>2026-06-23 13:48:45</t>
        </is>
      </c>
      <c r="N1616" t="inlineStr">
        <is>
          <t>system</t>
        </is>
      </c>
      <c r="O1616" t="inlineStr">
        <is>
          <t>2026-06-19 07:10:32</t>
        </is>
      </c>
      <c r="P1616" t="inlineStr">
        <is>
          <t>2026-06-19 07:10:32</t>
        </is>
      </c>
      <c r="Y1616" t="inlineStr">
        <is>
          <t>27793565492</t>
        </is>
      </c>
    </row>
    <row r="1617">
      <c r="A1617" t="inlineStr">
        <is>
          <t>14944510</t>
        </is>
      </c>
      <c r="B1617" t="inlineStr">
        <is>
          <t>8d907e9a-a6f3-48cd-8e80-e41b8cc15cdd</t>
        </is>
      </c>
      <c r="D1617" t="inlineStr">
        <is>
          <t>30001087</t>
        </is>
      </c>
      <c r="E1617" t="inlineStr">
        <is>
          <t>ussd_funeral_leads_altitude_20260619</t>
        </is>
      </c>
      <c r="J1617" t="inlineStr">
        <is>
          <t>ADC</t>
        </is>
      </c>
      <c r="K1617" t="inlineStr">
        <is>
          <t>Auto Dial Disconnected</t>
        </is>
      </c>
      <c r="L1617" t="n">
        <v>3</v>
      </c>
      <c r="M1617" t="inlineStr">
        <is>
          <t>2026-06-23 13:48:45</t>
        </is>
      </c>
      <c r="N1617" t="inlineStr">
        <is>
          <t>system</t>
        </is>
      </c>
      <c r="O1617" t="inlineStr">
        <is>
          <t>2026-06-19 07:10:32</t>
        </is>
      </c>
      <c r="P1617" t="inlineStr">
        <is>
          <t>2026-06-19 07:10:32</t>
        </is>
      </c>
      <c r="Y1617" t="inlineStr">
        <is>
          <t>27791843410</t>
        </is>
      </c>
    </row>
    <row r="1618">
      <c r="A1618" t="inlineStr">
        <is>
          <t>14900000</t>
        </is>
      </c>
      <c r="B1618" t="inlineStr">
        <is>
          <t>8e907378-9561-4ee8-bfb1-fdc348802b7c</t>
        </is>
      </c>
      <c r="D1618" t="inlineStr">
        <is>
          <t>30001087</t>
        </is>
      </c>
      <c r="E1618" t="inlineStr">
        <is>
          <t>ussd_funeral_leads_altitude_20260619</t>
        </is>
      </c>
      <c r="J1618" t="inlineStr">
        <is>
          <t>AA</t>
        </is>
      </c>
      <c r="K1618" t="inlineStr">
        <is>
          <t>Answering Machine Autodial</t>
        </is>
      </c>
      <c r="L1618" t="n">
        <v>3</v>
      </c>
      <c r="M1618" t="inlineStr">
        <is>
          <t>2026-06-23 13:48:44</t>
        </is>
      </c>
      <c r="N1618" t="inlineStr">
        <is>
          <t>system</t>
        </is>
      </c>
      <c r="O1618" t="inlineStr">
        <is>
          <t>2026-06-19 07:10:32</t>
        </is>
      </c>
      <c r="P1618" t="inlineStr">
        <is>
          <t>2026-06-19 07:10:32</t>
        </is>
      </c>
      <c r="Y1618" t="inlineStr">
        <is>
          <t>27712657383</t>
        </is>
      </c>
    </row>
    <row r="1619">
      <c r="A1619" t="inlineStr">
        <is>
          <t>14944505</t>
        </is>
      </c>
      <c r="B1619" t="inlineStr">
        <is>
          <t>99ed258a-db40-450b-a0f1-3621d234df67</t>
        </is>
      </c>
      <c r="D1619" t="inlineStr">
        <is>
          <t>30001087</t>
        </is>
      </c>
      <c r="E1619" t="inlineStr">
        <is>
          <t>ussd_funeral_leads_altitude_20260619</t>
        </is>
      </c>
      <c r="J1619" t="inlineStr">
        <is>
          <t>AA</t>
        </is>
      </c>
      <c r="K1619" t="inlineStr">
        <is>
          <t>Answering Machine Autodial</t>
        </is>
      </c>
      <c r="L1619" t="n">
        <v>3</v>
      </c>
      <c r="M1619" t="inlineStr">
        <is>
          <t>2026-06-23 13:48:25</t>
        </is>
      </c>
      <c r="N1619" t="inlineStr">
        <is>
          <t>system</t>
        </is>
      </c>
      <c r="O1619" t="inlineStr">
        <is>
          <t>2026-06-19 07:10:32</t>
        </is>
      </c>
      <c r="P1619" t="inlineStr">
        <is>
          <t>2026-06-19 07:10:32</t>
        </is>
      </c>
      <c r="Y1619" t="inlineStr">
        <is>
          <t>27647786697</t>
        </is>
      </c>
    </row>
    <row r="1620">
      <c r="A1620" t="inlineStr">
        <is>
          <t>14944522</t>
        </is>
      </c>
      <c r="B1620" t="inlineStr">
        <is>
          <t>6e2ab472-215f-4569-a850-fbffa2303c80</t>
        </is>
      </c>
      <c r="D1620" t="inlineStr">
        <is>
          <t>30001087</t>
        </is>
      </c>
      <c r="E1620" t="inlineStr">
        <is>
          <t>ussd_funeral_leads_altitude_20260619</t>
        </is>
      </c>
      <c r="J1620" t="inlineStr">
        <is>
          <t>NA</t>
        </is>
      </c>
      <c r="K1620" t="inlineStr">
        <is>
          <t>No Answer Autodial</t>
        </is>
      </c>
      <c r="L1620" t="n">
        <v>3</v>
      </c>
      <c r="M1620" t="inlineStr">
        <is>
          <t>2026-06-23 13:47:33</t>
        </is>
      </c>
      <c r="N1620" t="inlineStr">
        <is>
          <t>system</t>
        </is>
      </c>
      <c r="O1620" t="inlineStr">
        <is>
          <t>2026-06-19 07:10:32</t>
        </is>
      </c>
      <c r="P1620" t="inlineStr">
        <is>
          <t>2026-06-19 07:10:32</t>
        </is>
      </c>
      <c r="Y1620" t="inlineStr">
        <is>
          <t>27725680936</t>
        </is>
      </c>
    </row>
    <row r="1621">
      <c r="A1621" t="inlineStr">
        <is>
          <t>14944524</t>
        </is>
      </c>
      <c r="B1621" t="inlineStr">
        <is>
          <t>d1663ebc-ae96-4354-8d93-ac116ff8f7a1</t>
        </is>
      </c>
      <c r="D1621" t="inlineStr">
        <is>
          <t>30001087</t>
        </is>
      </c>
      <c r="E1621" t="inlineStr">
        <is>
          <t>ussd_funeral_leads_altitude_20260619</t>
        </is>
      </c>
      <c r="J1621" t="inlineStr">
        <is>
          <t>NA</t>
        </is>
      </c>
      <c r="K1621" t="inlineStr">
        <is>
          <t>No Answer Autodial</t>
        </is>
      </c>
      <c r="L1621" t="n">
        <v>3</v>
      </c>
      <c r="M1621" t="inlineStr">
        <is>
          <t>2026-06-23 13:47:33</t>
        </is>
      </c>
      <c r="N1621" t="inlineStr">
        <is>
          <t>system</t>
        </is>
      </c>
      <c r="O1621" t="inlineStr">
        <is>
          <t>2026-06-19 07:10:32</t>
        </is>
      </c>
      <c r="P1621" t="inlineStr">
        <is>
          <t>2026-06-19 07:10:32</t>
        </is>
      </c>
      <c r="Y1621" t="inlineStr">
        <is>
          <t>27772725249</t>
        </is>
      </c>
    </row>
    <row r="1622">
      <c r="A1622" t="inlineStr">
        <is>
          <t>14944516</t>
        </is>
      </c>
      <c r="B1622" t="inlineStr">
        <is>
          <t>2ef72942-01b9-4225-9634-2fb17854f373</t>
        </is>
      </c>
      <c r="D1622" t="inlineStr">
        <is>
          <t>30001087</t>
        </is>
      </c>
      <c r="E1622" t="inlineStr">
        <is>
          <t>ussd_funeral_leads_altitude_20260619</t>
        </is>
      </c>
      <c r="J1622" t="inlineStr">
        <is>
          <t>AA</t>
        </is>
      </c>
      <c r="K1622" t="inlineStr">
        <is>
          <t>Answering Machine Autodial</t>
        </is>
      </c>
      <c r="L1622" t="n">
        <v>3</v>
      </c>
      <c r="M1622" t="inlineStr">
        <is>
          <t>2026-06-23 13:47:32</t>
        </is>
      </c>
      <c r="N1622" t="inlineStr">
        <is>
          <t>system</t>
        </is>
      </c>
      <c r="O1622" t="inlineStr">
        <is>
          <t>2026-06-19 07:10:32</t>
        </is>
      </c>
      <c r="P1622" t="inlineStr">
        <is>
          <t>2026-06-19 07:10:32</t>
        </is>
      </c>
      <c r="Y1622" t="inlineStr">
        <is>
          <t>27715026158</t>
        </is>
      </c>
    </row>
    <row r="1623">
      <c r="A1623" t="inlineStr">
        <is>
          <t>14944517</t>
        </is>
      </c>
      <c r="B1623" t="inlineStr">
        <is>
          <t>9ebc5667-f897-40fd-a95b-8cac881daa6d</t>
        </is>
      </c>
      <c r="D1623" t="inlineStr">
        <is>
          <t>30001087</t>
        </is>
      </c>
      <c r="E1623" t="inlineStr">
        <is>
          <t>ussd_funeral_leads_altitude_20260619</t>
        </is>
      </c>
      <c r="J1623" t="inlineStr">
        <is>
          <t>ADC</t>
        </is>
      </c>
      <c r="K1623" t="inlineStr">
        <is>
          <t>Auto Dial Disconnected</t>
        </is>
      </c>
      <c r="L1623" t="n">
        <v>3</v>
      </c>
      <c r="M1623" t="inlineStr">
        <is>
          <t>2026-06-23 13:47:32</t>
        </is>
      </c>
      <c r="N1623" t="inlineStr">
        <is>
          <t>system</t>
        </is>
      </c>
      <c r="O1623" t="inlineStr">
        <is>
          <t>2026-06-19 07:10:32</t>
        </is>
      </c>
      <c r="P1623" t="inlineStr">
        <is>
          <t>2026-06-19 07:10:32</t>
        </is>
      </c>
      <c r="Y1623" t="inlineStr">
        <is>
          <t>27609299073</t>
        </is>
      </c>
    </row>
    <row r="1624">
      <c r="A1624" t="inlineStr">
        <is>
          <t>14900000</t>
        </is>
      </c>
      <c r="B1624" t="inlineStr">
        <is>
          <t>4153e726-7be7-4efd-b784-c517aec60498</t>
        </is>
      </c>
      <c r="D1624" t="inlineStr">
        <is>
          <t>30001087</t>
        </is>
      </c>
      <c r="E1624" t="inlineStr">
        <is>
          <t>ussd_funeral_leads_altitude_20260619</t>
        </is>
      </c>
      <c r="J1624" t="inlineStr">
        <is>
          <t>NA</t>
        </is>
      </c>
      <c r="K1624" t="inlineStr">
        <is>
          <t>No Answer Autodial</t>
        </is>
      </c>
      <c r="L1624" t="n">
        <v>3</v>
      </c>
      <c r="M1624" t="inlineStr">
        <is>
          <t>2026-06-23 13:47:32</t>
        </is>
      </c>
      <c r="N1624" t="inlineStr">
        <is>
          <t>system</t>
        </is>
      </c>
      <c r="O1624" t="inlineStr">
        <is>
          <t>2026-06-19 07:10:32</t>
        </is>
      </c>
      <c r="P1624" t="inlineStr">
        <is>
          <t>2026-06-19 07:10:32</t>
        </is>
      </c>
      <c r="Y1624" t="inlineStr">
        <is>
          <t>27673575371</t>
        </is>
      </c>
    </row>
    <row r="1625">
      <c r="A1625" t="inlineStr">
        <is>
          <t>14944521</t>
        </is>
      </c>
      <c r="B1625" t="inlineStr">
        <is>
          <t>fbab4007-ba21-4f39-ae3c-0004a1c3cc07</t>
        </is>
      </c>
      <c r="D1625" t="inlineStr">
        <is>
          <t>30001087</t>
        </is>
      </c>
      <c r="E1625" t="inlineStr">
        <is>
          <t>ussd_funeral_leads_altitude_20260619</t>
        </is>
      </c>
      <c r="J1625" t="inlineStr">
        <is>
          <t>ADC</t>
        </is>
      </c>
      <c r="K1625" t="inlineStr">
        <is>
          <t>Auto Dial Disconnected</t>
        </is>
      </c>
      <c r="L1625" t="n">
        <v>3</v>
      </c>
      <c r="M1625" t="inlineStr">
        <is>
          <t>2026-06-23 13:47:32</t>
        </is>
      </c>
      <c r="N1625" t="inlineStr">
        <is>
          <t>system</t>
        </is>
      </c>
      <c r="O1625" t="inlineStr">
        <is>
          <t>2026-06-19 07:10:32</t>
        </is>
      </c>
      <c r="P1625" t="inlineStr">
        <is>
          <t>2026-06-19 07:10:32</t>
        </is>
      </c>
      <c r="Y1625" t="inlineStr">
        <is>
          <t>27646831034</t>
        </is>
      </c>
    </row>
    <row r="1626">
      <c r="A1626" t="inlineStr">
        <is>
          <t>14944514</t>
        </is>
      </c>
      <c r="B1626" t="inlineStr">
        <is>
          <t>940a35fc-68f1-4c94-a46a-ffd56ca55afc</t>
        </is>
      </c>
      <c r="D1626" t="inlineStr">
        <is>
          <t>30001087</t>
        </is>
      </c>
      <c r="E1626" t="inlineStr">
        <is>
          <t>ussd_funeral_leads_altitude_20260619</t>
        </is>
      </c>
      <c r="J1626" t="inlineStr">
        <is>
          <t>NA</t>
        </is>
      </c>
      <c r="K1626" t="inlineStr">
        <is>
          <t>No Answer Autodial</t>
        </is>
      </c>
      <c r="L1626" t="n">
        <v>3</v>
      </c>
      <c r="M1626" t="inlineStr">
        <is>
          <t>2026-06-23 13:47:28</t>
        </is>
      </c>
      <c r="N1626" t="inlineStr">
        <is>
          <t>system</t>
        </is>
      </c>
      <c r="O1626" t="inlineStr">
        <is>
          <t>2026-06-19 07:10:32</t>
        </is>
      </c>
      <c r="P1626" t="inlineStr">
        <is>
          <t>2026-06-19 07:10:32</t>
        </is>
      </c>
      <c r="Y1626" t="inlineStr">
        <is>
          <t>27674061899</t>
        </is>
      </c>
    </row>
    <row r="1627">
      <c r="A1627" t="inlineStr">
        <is>
          <t>14944602</t>
        </is>
      </c>
      <c r="B1627" t="inlineStr">
        <is>
          <t>b81f3cf5-795d-46c4-b27d-35bc48805874</t>
        </is>
      </c>
      <c r="D1627" t="inlineStr">
        <is>
          <t>30001087</t>
        </is>
      </c>
      <c r="E1627" t="inlineStr">
        <is>
          <t>ussd_funeral_leads_altitude_20260619</t>
        </is>
      </c>
      <c r="J1627" t="inlineStr">
        <is>
          <t>AA</t>
        </is>
      </c>
      <c r="K1627" t="inlineStr">
        <is>
          <t>Answering Machine Autodial</t>
        </is>
      </c>
      <c r="L1627" t="n">
        <v>3</v>
      </c>
      <c r="M1627" t="inlineStr">
        <is>
          <t>2026-06-23 13:47:18</t>
        </is>
      </c>
      <c r="N1627" t="inlineStr">
        <is>
          <t>system</t>
        </is>
      </c>
      <c r="O1627" t="inlineStr">
        <is>
          <t>2026-06-19 07:10:32</t>
        </is>
      </c>
      <c r="P1627" t="inlineStr">
        <is>
          <t>2026-06-19 07:10:32</t>
        </is>
      </c>
      <c r="Y1627" t="inlineStr">
        <is>
          <t>27663469765</t>
        </is>
      </c>
    </row>
    <row r="1628">
      <c r="A1628" t="inlineStr">
        <is>
          <t>14946737</t>
        </is>
      </c>
      <c r="B1628" t="inlineStr">
        <is>
          <t>42af78ce-5384-4d3a-9c89-fb533a19f511</t>
        </is>
      </c>
      <c r="D1628" t="inlineStr">
        <is>
          <t>30001087</t>
        </is>
      </c>
      <c r="E1628" t="inlineStr">
        <is>
          <t>ussd_funeral_leads_altitude_20260619</t>
        </is>
      </c>
      <c r="J1628" t="inlineStr">
        <is>
          <t>AA</t>
        </is>
      </c>
      <c r="K1628" t="inlineStr">
        <is>
          <t>Answering Machine Autodial</t>
        </is>
      </c>
      <c r="L1628" t="n">
        <v>3</v>
      </c>
      <c r="M1628" t="inlineStr">
        <is>
          <t>2026-06-23 13:47:18</t>
        </is>
      </c>
      <c r="N1628" t="inlineStr">
        <is>
          <t>system</t>
        </is>
      </c>
      <c r="O1628" t="inlineStr">
        <is>
          <t>2026-06-19 07:10:32</t>
        </is>
      </c>
      <c r="P1628" t="inlineStr">
        <is>
          <t>2026-06-19 07:10:32</t>
        </is>
      </c>
      <c r="Y1628" t="inlineStr">
        <is>
          <t>27674380161</t>
        </is>
      </c>
    </row>
    <row r="1629">
      <c r="A1629" t="inlineStr">
        <is>
          <t>14946745</t>
        </is>
      </c>
      <c r="B1629" t="inlineStr">
        <is>
          <t>a01094ff-1e24-466c-86b0-20ae567a0535</t>
        </is>
      </c>
      <c r="D1629" t="inlineStr">
        <is>
          <t>30001087</t>
        </is>
      </c>
      <c r="E1629" t="inlineStr">
        <is>
          <t>ussd_funeral_leads_altitude_20260619</t>
        </is>
      </c>
      <c r="J1629" t="inlineStr">
        <is>
          <t>AA</t>
        </is>
      </c>
      <c r="K1629" t="inlineStr">
        <is>
          <t>Answering Machine Autodial</t>
        </is>
      </c>
      <c r="L1629" t="n">
        <v>3</v>
      </c>
      <c r="M1629" t="inlineStr">
        <is>
          <t>2026-06-23 13:47:18</t>
        </is>
      </c>
      <c r="N1629" t="inlineStr">
        <is>
          <t>system</t>
        </is>
      </c>
      <c r="O1629" t="inlineStr">
        <is>
          <t>2026-06-19 07:10:32</t>
        </is>
      </c>
      <c r="P1629" t="inlineStr">
        <is>
          <t>2026-06-19 07:10:32</t>
        </is>
      </c>
      <c r="Y1629" t="inlineStr">
        <is>
          <t>27716365430</t>
        </is>
      </c>
    </row>
    <row r="1630">
      <c r="A1630" t="inlineStr">
        <is>
          <t>14946746</t>
        </is>
      </c>
      <c r="B1630" t="inlineStr">
        <is>
          <t>65cde986-eedb-4c1a-bc57-178aa28e8818</t>
        </is>
      </c>
      <c r="D1630" t="inlineStr">
        <is>
          <t>30001087</t>
        </is>
      </c>
      <c r="E1630" t="inlineStr">
        <is>
          <t>ussd_funeral_leads_altitude_20260619</t>
        </is>
      </c>
      <c r="J1630" t="inlineStr">
        <is>
          <t>NI</t>
        </is>
      </c>
      <c r="K1630" t="inlineStr">
        <is>
          <t>Not Interested</t>
        </is>
      </c>
      <c r="L1630" t="n">
        <v>3</v>
      </c>
      <c r="M1630" t="inlineStr">
        <is>
          <t>2026-06-23 13:47:18</t>
        </is>
      </c>
      <c r="N1630" t="inlineStr">
        <is>
          <t>Gontse Monageng</t>
        </is>
      </c>
      <c r="O1630" t="inlineStr">
        <is>
          <t>2026-06-19 07:10:32</t>
        </is>
      </c>
      <c r="P1630" t="inlineStr">
        <is>
          <t>2026-06-19 07:10:32</t>
        </is>
      </c>
      <c r="Y1630" t="inlineStr">
        <is>
          <t>27794547080</t>
        </is>
      </c>
    </row>
    <row r="1631">
      <c r="A1631" t="inlineStr">
        <is>
          <t>14948046</t>
        </is>
      </c>
      <c r="B1631" t="inlineStr">
        <is>
          <t>d63599b7-4ca5-4634-a558-e95a667d7415</t>
        </is>
      </c>
      <c r="D1631" t="inlineStr">
        <is>
          <t>30001087</t>
        </is>
      </c>
      <c r="E1631" t="inlineStr">
        <is>
          <t>ussd_funeral_leads_altitude_20260619</t>
        </is>
      </c>
      <c r="J1631" t="inlineStr">
        <is>
          <t>AE</t>
        </is>
      </c>
      <c r="K1631" t="inlineStr">
        <is>
          <t>Auto Engaged</t>
        </is>
      </c>
      <c r="L1631" t="n">
        <v>3</v>
      </c>
      <c r="M1631" t="inlineStr">
        <is>
          <t>2026-06-23 13:47:18</t>
        </is>
      </c>
      <c r="N1631" t="inlineStr">
        <is>
          <t>system</t>
        </is>
      </c>
      <c r="O1631" t="inlineStr">
        <is>
          <t>2026-06-19 07:10:32</t>
        </is>
      </c>
      <c r="P1631" t="inlineStr">
        <is>
          <t>2026-06-19 07:10:32</t>
        </is>
      </c>
      <c r="Y1631" t="inlineStr">
        <is>
          <t>27675320281</t>
        </is>
      </c>
    </row>
    <row r="1632">
      <c r="A1632" t="inlineStr">
        <is>
          <t>14945778</t>
        </is>
      </c>
      <c r="B1632" t="inlineStr">
        <is>
          <t>e4fba55d-ad5c-4b57-9c0e-66f9d0f397be</t>
        </is>
      </c>
      <c r="D1632" t="inlineStr">
        <is>
          <t>30001087</t>
        </is>
      </c>
      <c r="E1632" t="inlineStr">
        <is>
          <t>ussd_funeral_leads_altitude_20260619</t>
        </is>
      </c>
      <c r="J1632" t="inlineStr">
        <is>
          <t>DROP</t>
        </is>
      </c>
      <c r="K1632" t="inlineStr">
        <is>
          <t>Dropped</t>
        </is>
      </c>
      <c r="L1632" t="n">
        <v>3</v>
      </c>
      <c r="M1632" t="inlineStr">
        <is>
          <t>2026-06-23 13:47:17</t>
        </is>
      </c>
      <c r="N1632" t="inlineStr">
        <is>
          <t>system</t>
        </is>
      </c>
      <c r="O1632" t="inlineStr">
        <is>
          <t>2026-06-19 07:10:32</t>
        </is>
      </c>
      <c r="P1632" t="inlineStr">
        <is>
          <t>2026-06-19 07:10:32</t>
        </is>
      </c>
      <c r="Y1632" t="inlineStr">
        <is>
          <t>27649381880</t>
        </is>
      </c>
    </row>
    <row r="1633">
      <c r="A1633" t="inlineStr">
        <is>
          <t>14946559</t>
        </is>
      </c>
      <c r="B1633" t="inlineStr">
        <is>
          <t>5c96d1e3-b9f8-4f56-9e8b-dba8815c1b6f</t>
        </is>
      </c>
      <c r="D1633" t="inlineStr">
        <is>
          <t>30001087</t>
        </is>
      </c>
      <c r="E1633" t="inlineStr">
        <is>
          <t>ussd_funeral_leads_altitude_20260619</t>
        </is>
      </c>
      <c r="H1633" t="inlineStr">
        <is>
          <t>27607457259</t>
        </is>
      </c>
      <c r="J1633" t="inlineStr">
        <is>
          <t>CU</t>
        </is>
      </c>
      <c r="K1633" t="inlineStr">
        <is>
          <t>Client Hung Up</t>
        </is>
      </c>
      <c r="L1633" t="n">
        <v>3</v>
      </c>
      <c r="M1633" t="inlineStr">
        <is>
          <t>2026-06-23 13:47:17</t>
        </is>
      </c>
      <c r="N1633" t="inlineStr">
        <is>
          <t>Dimakatso Nkomo</t>
        </is>
      </c>
      <c r="O1633" t="inlineStr">
        <is>
          <t>2026-06-19 07:10:32</t>
        </is>
      </c>
      <c r="P1633" t="inlineStr">
        <is>
          <t>2026-06-19 07:10:32</t>
        </is>
      </c>
      <c r="Y1633" t="inlineStr">
        <is>
          <t>27607457259</t>
        </is>
      </c>
    </row>
    <row r="1634">
      <c r="A1634" t="inlineStr">
        <is>
          <t>14900000</t>
        </is>
      </c>
      <c r="B1634" t="inlineStr">
        <is>
          <t>e3409884-f6cf-46c7-8fe8-a1dfdcca4f87</t>
        </is>
      </c>
      <c r="D1634" t="inlineStr">
        <is>
          <t>30001087</t>
        </is>
      </c>
      <c r="E1634" t="inlineStr">
        <is>
          <t>ussd_funeral_leads_altitude_20260619</t>
        </is>
      </c>
      <c r="J1634" t="inlineStr">
        <is>
          <t>AA</t>
        </is>
      </c>
      <c r="K1634" t="inlineStr">
        <is>
          <t>Answering Machine Autodial</t>
        </is>
      </c>
      <c r="L1634" t="n">
        <v>3</v>
      </c>
      <c r="M1634" t="inlineStr">
        <is>
          <t>2026-06-23 13:47:17</t>
        </is>
      </c>
      <c r="N1634" t="inlineStr">
        <is>
          <t>system</t>
        </is>
      </c>
      <c r="O1634" t="inlineStr">
        <is>
          <t>2026-06-19 07:10:32</t>
        </is>
      </c>
      <c r="P1634" t="inlineStr">
        <is>
          <t>2026-06-19 07:10:32</t>
        </is>
      </c>
      <c r="Y1634" t="inlineStr">
        <is>
          <t>27822969829</t>
        </is>
      </c>
    </row>
    <row r="1635">
      <c r="A1635" t="inlineStr">
        <is>
          <t>14946736</t>
        </is>
      </c>
      <c r="B1635" t="inlineStr">
        <is>
          <t>ed84f54d-e37b-4d9e-8e65-9dce89d8e413</t>
        </is>
      </c>
      <c r="D1635" t="inlineStr">
        <is>
          <t>30001087</t>
        </is>
      </c>
      <c r="E1635" t="inlineStr">
        <is>
          <t>ussd_funeral_leads_altitude_20260619</t>
        </is>
      </c>
      <c r="J1635" t="inlineStr">
        <is>
          <t>AA</t>
        </is>
      </c>
      <c r="K1635" t="inlineStr">
        <is>
          <t>Answering Machine Autodial</t>
        </is>
      </c>
      <c r="L1635" t="n">
        <v>3</v>
      </c>
      <c r="M1635" t="inlineStr">
        <is>
          <t>2026-06-23 13:47:17</t>
        </is>
      </c>
      <c r="N1635" t="inlineStr">
        <is>
          <t>system</t>
        </is>
      </c>
      <c r="O1635" t="inlineStr">
        <is>
          <t>2026-06-19 07:10:32</t>
        </is>
      </c>
      <c r="P1635" t="inlineStr">
        <is>
          <t>2026-06-19 07:10:32</t>
        </is>
      </c>
      <c r="Y1635" t="inlineStr">
        <is>
          <t>27845580625</t>
        </is>
      </c>
    </row>
    <row r="1636">
      <c r="A1636" t="inlineStr">
        <is>
          <t>14948047</t>
        </is>
      </c>
      <c r="B1636" t="inlineStr">
        <is>
          <t>c1294311-24b4-4e80-8ca8-0bc6bc08de5d</t>
        </is>
      </c>
      <c r="D1636" t="inlineStr">
        <is>
          <t>30001087</t>
        </is>
      </c>
      <c r="E1636" t="inlineStr">
        <is>
          <t>ussd_funeral_leads_altitude_20260619</t>
        </is>
      </c>
      <c r="J1636" t="inlineStr">
        <is>
          <t>NA</t>
        </is>
      </c>
      <c r="K1636" t="inlineStr">
        <is>
          <t>No Answer Autodial</t>
        </is>
      </c>
      <c r="L1636" t="n">
        <v>3</v>
      </c>
      <c r="M1636" t="inlineStr">
        <is>
          <t>2026-06-23 13:47:17</t>
        </is>
      </c>
      <c r="N1636" t="inlineStr">
        <is>
          <t>system</t>
        </is>
      </c>
      <c r="O1636" t="inlineStr">
        <is>
          <t>2026-06-19 07:10:32</t>
        </is>
      </c>
      <c r="P1636" t="inlineStr">
        <is>
          <t>2026-06-19 07:10:32</t>
        </is>
      </c>
      <c r="Y1636" t="inlineStr">
        <is>
          <t>27665774979</t>
        </is>
      </c>
    </row>
    <row r="1637">
      <c r="A1637" t="inlineStr">
        <is>
          <t>14946747</t>
        </is>
      </c>
      <c r="B1637" t="inlineStr">
        <is>
          <t>b5870e4d-7b08-43d6-9172-1a36fbdcc3b8</t>
        </is>
      </c>
      <c r="D1637" t="inlineStr">
        <is>
          <t>30001087</t>
        </is>
      </c>
      <c r="E1637" t="inlineStr">
        <is>
          <t>ussd_funeral_leads_altitude_20260619</t>
        </is>
      </c>
      <c r="J1637" t="inlineStr">
        <is>
          <t>AA</t>
        </is>
      </c>
      <c r="K1637" t="inlineStr">
        <is>
          <t>Answering Machine Autodial</t>
        </is>
      </c>
      <c r="L1637" t="n">
        <v>3</v>
      </c>
      <c r="M1637" t="inlineStr">
        <is>
          <t>2026-06-23 13:47:15</t>
        </is>
      </c>
      <c r="N1637" t="inlineStr">
        <is>
          <t>system</t>
        </is>
      </c>
      <c r="O1637" t="inlineStr">
        <is>
          <t>2026-06-19 07:10:32</t>
        </is>
      </c>
      <c r="P1637" t="inlineStr">
        <is>
          <t>2026-06-19 07:10:32</t>
        </is>
      </c>
      <c r="Y1637" t="inlineStr">
        <is>
          <t>27791691560</t>
        </is>
      </c>
    </row>
    <row r="1638">
      <c r="A1638" t="inlineStr">
        <is>
          <t>14946748</t>
        </is>
      </c>
      <c r="B1638" t="inlineStr">
        <is>
          <t>3ecdda20-7254-4965-a943-35ace6ae816b</t>
        </is>
      </c>
      <c r="D1638" t="inlineStr">
        <is>
          <t>30001087</t>
        </is>
      </c>
      <c r="E1638" t="inlineStr">
        <is>
          <t>ussd_funeral_leads_altitude_20260619</t>
        </is>
      </c>
      <c r="J1638" t="inlineStr">
        <is>
          <t>CU</t>
        </is>
      </c>
      <c r="K1638" t="inlineStr">
        <is>
          <t>Client Hung Up</t>
        </is>
      </c>
      <c r="L1638" t="n">
        <v>3</v>
      </c>
      <c r="M1638" t="inlineStr">
        <is>
          <t>2026-06-23 13:47:15</t>
        </is>
      </c>
      <c r="N1638" t="inlineStr">
        <is>
          <t>Bongiwe Precious Cele</t>
        </is>
      </c>
      <c r="O1638" t="inlineStr">
        <is>
          <t>2026-06-19 07:10:32</t>
        </is>
      </c>
      <c r="P1638" t="inlineStr">
        <is>
          <t>2026-06-19 07:10:32</t>
        </is>
      </c>
      <c r="Y1638" t="inlineStr">
        <is>
          <t>27768626357</t>
        </is>
      </c>
    </row>
    <row r="1639">
      <c r="A1639" t="inlineStr">
        <is>
          <t>14945062</t>
        </is>
      </c>
      <c r="B1639" t="inlineStr">
        <is>
          <t>58874b43-ad3d-432e-957a-f37826e95ace</t>
        </is>
      </c>
      <c r="D1639" t="inlineStr">
        <is>
          <t>30001087</t>
        </is>
      </c>
      <c r="E1639" t="inlineStr">
        <is>
          <t>ussd_funeral_leads_altitude_20260619</t>
        </is>
      </c>
      <c r="J1639" t="inlineStr">
        <is>
          <t>NA</t>
        </is>
      </c>
      <c r="K1639" t="inlineStr">
        <is>
          <t>No Answer Autodial</t>
        </is>
      </c>
      <c r="L1639" t="n">
        <v>3</v>
      </c>
      <c r="M1639" t="inlineStr">
        <is>
          <t>2026-06-23 13:47:13</t>
        </is>
      </c>
      <c r="N1639" t="inlineStr">
        <is>
          <t>system</t>
        </is>
      </c>
      <c r="O1639" t="inlineStr">
        <is>
          <t>2026-06-19 07:10:32</t>
        </is>
      </c>
      <c r="P1639" t="inlineStr">
        <is>
          <t>2026-06-19 07:10:32</t>
        </is>
      </c>
      <c r="Y1639" t="inlineStr">
        <is>
          <t>27660556629</t>
        </is>
      </c>
    </row>
    <row r="1640">
      <c r="A1640" t="inlineStr">
        <is>
          <t>14945063</t>
        </is>
      </c>
      <c r="B1640" t="inlineStr">
        <is>
          <t>3037dbf9-16aa-41e9-bfe9-91f8e54b3b18</t>
        </is>
      </c>
      <c r="D1640" t="inlineStr">
        <is>
          <t>30001087</t>
        </is>
      </c>
      <c r="E1640" t="inlineStr">
        <is>
          <t>ussd_funeral_leads_altitude_20260619</t>
        </is>
      </c>
      <c r="J1640" t="inlineStr">
        <is>
          <t>CU</t>
        </is>
      </c>
      <c r="K1640" t="inlineStr">
        <is>
          <t>Client Hung Up</t>
        </is>
      </c>
      <c r="L1640" t="n">
        <v>3</v>
      </c>
      <c r="M1640" t="inlineStr">
        <is>
          <t>2026-06-23 13:47:13</t>
        </is>
      </c>
      <c r="N1640" t="inlineStr">
        <is>
          <t>Goitsimang Mogwasa</t>
        </is>
      </c>
      <c r="O1640" t="inlineStr">
        <is>
          <t>2026-06-19 07:10:32</t>
        </is>
      </c>
      <c r="P1640" t="inlineStr">
        <is>
          <t>2026-06-19 07:10:32</t>
        </is>
      </c>
      <c r="Y1640" t="inlineStr">
        <is>
          <t>27799217748</t>
        </is>
      </c>
    </row>
    <row r="1641">
      <c r="A1641" t="inlineStr">
        <is>
          <t>14944880</t>
        </is>
      </c>
      <c r="B1641" t="inlineStr">
        <is>
          <t>0e32b731-727e-4c63-9b07-775979188ba8</t>
        </is>
      </c>
      <c r="D1641" t="inlineStr">
        <is>
          <t>30001087</t>
        </is>
      </c>
      <c r="E1641" t="inlineStr">
        <is>
          <t>ussd_funeral_leads_altitude_20260619</t>
        </is>
      </c>
      <c r="J1641" t="inlineStr">
        <is>
          <t>AA</t>
        </is>
      </c>
      <c r="K1641" t="inlineStr">
        <is>
          <t>Answering Machine Autodial</t>
        </is>
      </c>
      <c r="L1641" t="n">
        <v>3</v>
      </c>
      <c r="M1641" t="inlineStr">
        <is>
          <t>2026-06-23 13:47:10</t>
        </is>
      </c>
      <c r="N1641" t="inlineStr">
        <is>
          <t>system</t>
        </is>
      </c>
      <c r="O1641" t="inlineStr">
        <is>
          <t>2026-06-19 07:10:32</t>
        </is>
      </c>
      <c r="P1641" t="inlineStr">
        <is>
          <t>2026-06-19 07:10:32</t>
        </is>
      </c>
      <c r="Y1641" t="inlineStr">
        <is>
          <t>27760779959</t>
        </is>
      </c>
    </row>
    <row r="1642">
      <c r="A1642" t="inlineStr">
        <is>
          <t>14944881</t>
        </is>
      </c>
      <c r="B1642" t="inlineStr">
        <is>
          <t>0efab515-b4b0-444c-ad17-be04927a3d66</t>
        </is>
      </c>
      <c r="D1642" t="inlineStr">
        <is>
          <t>30001087</t>
        </is>
      </c>
      <c r="E1642" t="inlineStr">
        <is>
          <t>ussd_funeral_leads_altitude_20260619</t>
        </is>
      </c>
      <c r="J1642" t="inlineStr">
        <is>
          <t>AA</t>
        </is>
      </c>
      <c r="K1642" t="inlineStr">
        <is>
          <t>Answering Machine Autodial</t>
        </is>
      </c>
      <c r="L1642" t="n">
        <v>3</v>
      </c>
      <c r="M1642" t="inlineStr">
        <is>
          <t>2026-06-23 13:47:10</t>
        </is>
      </c>
      <c r="N1642" t="inlineStr">
        <is>
          <t>system</t>
        </is>
      </c>
      <c r="O1642" t="inlineStr">
        <is>
          <t>2026-06-19 07:10:32</t>
        </is>
      </c>
      <c r="P1642" t="inlineStr">
        <is>
          <t>2026-06-19 07:10:32</t>
        </is>
      </c>
      <c r="Y1642" t="inlineStr">
        <is>
          <t>27714739783</t>
        </is>
      </c>
    </row>
    <row r="1643">
      <c r="A1643" t="inlineStr">
        <is>
          <t>14944882</t>
        </is>
      </c>
      <c r="B1643" t="inlineStr">
        <is>
          <t>f797316d-4467-4bf8-9ccc-75ad8d967294</t>
        </is>
      </c>
      <c r="D1643" t="inlineStr">
        <is>
          <t>30001087</t>
        </is>
      </c>
      <c r="E1643" t="inlineStr">
        <is>
          <t>ussd_funeral_leads_altitude_20260619</t>
        </is>
      </c>
      <c r="J1643" t="inlineStr">
        <is>
          <t>AA</t>
        </is>
      </c>
      <c r="K1643" t="inlineStr">
        <is>
          <t>Answering Machine Autodial</t>
        </is>
      </c>
      <c r="L1643" t="n">
        <v>3</v>
      </c>
      <c r="M1643" t="inlineStr">
        <is>
          <t>2026-06-23 13:47:10</t>
        </is>
      </c>
      <c r="N1643" t="inlineStr">
        <is>
          <t>system</t>
        </is>
      </c>
      <c r="O1643" t="inlineStr">
        <is>
          <t>2026-06-19 07:10:32</t>
        </is>
      </c>
      <c r="P1643" t="inlineStr">
        <is>
          <t>2026-06-19 07:10:32</t>
        </is>
      </c>
      <c r="Y1643" t="inlineStr">
        <is>
          <t>27791289438</t>
        </is>
      </c>
    </row>
    <row r="1644">
      <c r="A1644" t="inlineStr">
        <is>
          <t>14944883</t>
        </is>
      </c>
      <c r="B1644" t="inlineStr">
        <is>
          <t>949836bf-077e-4a8a-be0f-237994407e7a</t>
        </is>
      </c>
      <c r="D1644" t="inlineStr">
        <is>
          <t>30001087</t>
        </is>
      </c>
      <c r="E1644" t="inlineStr">
        <is>
          <t>ussd_funeral_leads_altitude_20260619</t>
        </is>
      </c>
      <c r="J1644" t="inlineStr">
        <is>
          <t>AA</t>
        </is>
      </c>
      <c r="K1644" t="inlineStr">
        <is>
          <t>Answering Machine Autodial</t>
        </is>
      </c>
      <c r="L1644" t="n">
        <v>3</v>
      </c>
      <c r="M1644" t="inlineStr">
        <is>
          <t>2026-06-23 13:47:10</t>
        </is>
      </c>
      <c r="N1644" t="inlineStr">
        <is>
          <t>system</t>
        </is>
      </c>
      <c r="O1644" t="inlineStr">
        <is>
          <t>2026-06-19 07:10:32</t>
        </is>
      </c>
      <c r="P1644" t="inlineStr">
        <is>
          <t>2026-06-19 07:10:32</t>
        </is>
      </c>
      <c r="Y1644" t="inlineStr">
        <is>
          <t>27713338138</t>
        </is>
      </c>
    </row>
    <row r="1645">
      <c r="A1645" t="inlineStr">
        <is>
          <t>14945038</t>
        </is>
      </c>
      <c r="B1645" t="inlineStr">
        <is>
          <t>6ab73e13-a3ac-41b6-a30e-c69ee382b160</t>
        </is>
      </c>
      <c r="D1645" t="inlineStr">
        <is>
          <t>30001087</t>
        </is>
      </c>
      <c r="E1645" t="inlineStr">
        <is>
          <t>ussd_funeral_leads_altitude_20260619</t>
        </is>
      </c>
      <c r="J1645" t="inlineStr">
        <is>
          <t>TDN</t>
        </is>
      </c>
      <c r="K1645" t="inlineStr">
        <is>
          <t>Temporary Disconnected Number</t>
        </is>
      </c>
      <c r="L1645" t="n">
        <v>3</v>
      </c>
      <c r="M1645" t="inlineStr">
        <is>
          <t>2026-06-23 13:47:10</t>
        </is>
      </c>
      <c r="N1645" t="inlineStr">
        <is>
          <t>system</t>
        </is>
      </c>
      <c r="O1645" t="inlineStr">
        <is>
          <t>2026-06-19 07:10:32</t>
        </is>
      </c>
      <c r="P1645" t="inlineStr">
        <is>
          <t>2026-06-19 07:10:32</t>
        </is>
      </c>
      <c r="Y1645" t="inlineStr">
        <is>
          <t>27607027149</t>
        </is>
      </c>
    </row>
    <row r="1646">
      <c r="A1646" t="inlineStr">
        <is>
          <t>14944876</t>
        </is>
      </c>
      <c r="B1646" t="inlineStr">
        <is>
          <t>84469540-0069-4e1c-992c-af446ca67bc5</t>
        </is>
      </c>
      <c r="D1646" t="inlineStr">
        <is>
          <t>30001087</t>
        </is>
      </c>
      <c r="E1646" t="inlineStr">
        <is>
          <t>ussd_funeral_leads_altitude_20260619</t>
        </is>
      </c>
      <c r="J1646" t="inlineStr">
        <is>
          <t>TDN</t>
        </is>
      </c>
      <c r="K1646" t="inlineStr">
        <is>
          <t>Temporary Disconnected Number</t>
        </is>
      </c>
      <c r="L1646" t="n">
        <v>3</v>
      </c>
      <c r="M1646" t="inlineStr">
        <is>
          <t>2026-06-23 13:47:09</t>
        </is>
      </c>
      <c r="N1646" t="inlineStr">
        <is>
          <t>system</t>
        </is>
      </c>
      <c r="O1646" t="inlineStr">
        <is>
          <t>2026-06-19 07:10:32</t>
        </is>
      </c>
      <c r="P1646" t="inlineStr">
        <is>
          <t>2026-06-19 07:10:32</t>
        </is>
      </c>
      <c r="Y1646" t="inlineStr">
        <is>
          <t>27825989515</t>
        </is>
      </c>
    </row>
    <row r="1647">
      <c r="A1647" t="inlineStr">
        <is>
          <t>14944877</t>
        </is>
      </c>
      <c r="B1647" t="inlineStr">
        <is>
          <t>4b3811eb-d004-49d1-b67a-e709b45f949c</t>
        </is>
      </c>
      <c r="D1647" t="inlineStr">
        <is>
          <t>30001087</t>
        </is>
      </c>
      <c r="E1647" t="inlineStr">
        <is>
          <t>ussd_funeral_leads_altitude_20260619</t>
        </is>
      </c>
      <c r="J1647" t="inlineStr">
        <is>
          <t>ADC</t>
        </is>
      </c>
      <c r="K1647" t="inlineStr">
        <is>
          <t>Auto Dial Disconnected</t>
        </is>
      </c>
      <c r="L1647" t="n">
        <v>3</v>
      </c>
      <c r="M1647" t="inlineStr">
        <is>
          <t>2026-06-23 13:47:09</t>
        </is>
      </c>
      <c r="N1647" t="inlineStr">
        <is>
          <t>system</t>
        </is>
      </c>
      <c r="O1647" t="inlineStr">
        <is>
          <t>2026-06-19 07:10:32</t>
        </is>
      </c>
      <c r="P1647" t="inlineStr">
        <is>
          <t>2026-06-19 07:10:32</t>
        </is>
      </c>
      <c r="Y1647" t="inlineStr">
        <is>
          <t>27761419746</t>
        </is>
      </c>
    </row>
    <row r="1648">
      <c r="A1648" t="inlineStr">
        <is>
          <t>14944879</t>
        </is>
      </c>
      <c r="B1648" t="inlineStr">
        <is>
          <t>a74b86bf-130e-4f31-9dae-fc28cfebe3b3</t>
        </is>
      </c>
      <c r="D1648" t="inlineStr">
        <is>
          <t>30001087</t>
        </is>
      </c>
      <c r="E1648" t="inlineStr">
        <is>
          <t>ussd_funeral_leads_altitude_20260619</t>
        </is>
      </c>
      <c r="J1648" t="inlineStr">
        <is>
          <t>TDN</t>
        </is>
      </c>
      <c r="K1648" t="inlineStr">
        <is>
          <t>Temporary Disconnected Number</t>
        </is>
      </c>
      <c r="L1648" t="n">
        <v>3</v>
      </c>
      <c r="M1648" t="inlineStr">
        <is>
          <t>2026-06-23 13:47:09</t>
        </is>
      </c>
      <c r="N1648" t="inlineStr">
        <is>
          <t>system</t>
        </is>
      </c>
      <c r="O1648" t="inlineStr">
        <is>
          <t>2026-06-19 07:10:32</t>
        </is>
      </c>
      <c r="P1648" t="inlineStr">
        <is>
          <t>2026-06-19 07:10:32</t>
        </is>
      </c>
      <c r="Y1648" t="inlineStr">
        <is>
          <t>27793276280</t>
        </is>
      </c>
    </row>
    <row r="1649">
      <c r="A1649" t="inlineStr">
        <is>
          <t>14900000</t>
        </is>
      </c>
      <c r="B1649" t="inlineStr">
        <is>
          <t>e8174401-71c5-4d37-a5be-1935369615a6</t>
        </is>
      </c>
      <c r="D1649" t="inlineStr">
        <is>
          <t>30001087</t>
        </is>
      </c>
      <c r="E1649" t="inlineStr">
        <is>
          <t>ussd_funeral_leads_altitude_20260619</t>
        </is>
      </c>
      <c r="J1649" t="inlineStr">
        <is>
          <t>AA</t>
        </is>
      </c>
      <c r="K1649" t="inlineStr">
        <is>
          <t>Answering Machine Autodial</t>
        </is>
      </c>
      <c r="L1649" t="n">
        <v>3</v>
      </c>
      <c r="M1649" t="inlineStr">
        <is>
          <t>2026-06-23 13:47:08</t>
        </is>
      </c>
      <c r="N1649" t="inlineStr">
        <is>
          <t>system</t>
        </is>
      </c>
      <c r="O1649" t="inlineStr">
        <is>
          <t>2026-06-19 07:10:32</t>
        </is>
      </c>
      <c r="P1649" t="inlineStr">
        <is>
          <t>2026-06-19 07:10:32</t>
        </is>
      </c>
      <c r="Y1649" t="inlineStr">
        <is>
          <t>27797161026</t>
        </is>
      </c>
    </row>
    <row r="1650">
      <c r="A1650" t="inlineStr">
        <is>
          <t>14944875</t>
        </is>
      </c>
      <c r="B1650" t="inlineStr">
        <is>
          <t>9ee19473-75aa-45e8-a1e6-ba7dbae5833f</t>
        </is>
      </c>
      <c r="D1650" t="inlineStr">
        <is>
          <t>30001087</t>
        </is>
      </c>
      <c r="E1650" t="inlineStr">
        <is>
          <t>ussd_funeral_leads_altitude_20260619</t>
        </is>
      </c>
      <c r="J1650" t="inlineStr">
        <is>
          <t>AF</t>
        </is>
      </c>
      <c r="K1650" t="inlineStr">
        <is>
          <t>Cannot Afford</t>
        </is>
      </c>
      <c r="L1650" t="n">
        <v>3</v>
      </c>
      <c r="M1650" t="inlineStr">
        <is>
          <t>2026-06-23 13:47:04</t>
        </is>
      </c>
      <c r="N1650" t="inlineStr">
        <is>
          <t>Lebohang Mabotja</t>
        </is>
      </c>
      <c r="O1650" t="inlineStr">
        <is>
          <t>2026-06-19 07:10:32</t>
        </is>
      </c>
      <c r="P1650" t="inlineStr">
        <is>
          <t>2026-06-19 07:10:32</t>
        </is>
      </c>
      <c r="Y1650" t="inlineStr">
        <is>
          <t>27674018045</t>
        </is>
      </c>
    </row>
    <row r="1651">
      <c r="A1651" t="inlineStr">
        <is>
          <t>14944874</t>
        </is>
      </c>
      <c r="B1651" t="inlineStr">
        <is>
          <t>eccf35e7-5fbd-472b-b5c2-af51278d9fe0</t>
        </is>
      </c>
      <c r="D1651" t="inlineStr">
        <is>
          <t>30001087</t>
        </is>
      </c>
      <c r="E1651" t="inlineStr">
        <is>
          <t>ussd_funeral_leads_altitude_20260619</t>
        </is>
      </c>
      <c r="J1651" t="inlineStr">
        <is>
          <t>AA</t>
        </is>
      </c>
      <c r="K1651" t="inlineStr">
        <is>
          <t>Answering Machine Autodial</t>
        </is>
      </c>
      <c r="L1651" t="n">
        <v>3</v>
      </c>
      <c r="M1651" t="inlineStr">
        <is>
          <t>2026-06-23 13:47:03</t>
        </is>
      </c>
      <c r="N1651" t="inlineStr">
        <is>
          <t>system</t>
        </is>
      </c>
      <c r="O1651" t="inlineStr">
        <is>
          <t>2026-06-19 07:10:32</t>
        </is>
      </c>
      <c r="P1651" t="inlineStr">
        <is>
          <t>2026-06-19 07:10:32</t>
        </is>
      </c>
      <c r="Y1651" t="inlineStr">
        <is>
          <t>27725016624</t>
        </is>
      </c>
    </row>
    <row r="1652">
      <c r="A1652" t="inlineStr">
        <is>
          <t>14944873</t>
        </is>
      </c>
      <c r="B1652" t="inlineStr">
        <is>
          <t>89edd43d-0fb0-48ee-8040-299ee0f0eda6</t>
        </is>
      </c>
      <c r="D1652" t="inlineStr">
        <is>
          <t>30001087</t>
        </is>
      </c>
      <c r="E1652" t="inlineStr">
        <is>
          <t>ussd_funeral_leads_altitude_20260619</t>
        </is>
      </c>
      <c r="J1652" t="inlineStr">
        <is>
          <t>CU</t>
        </is>
      </c>
      <c r="K1652" t="inlineStr">
        <is>
          <t>Client Hung Up</t>
        </is>
      </c>
      <c r="L1652" t="n">
        <v>3</v>
      </c>
      <c r="M1652" t="inlineStr">
        <is>
          <t>2026-06-23 13:46:59</t>
        </is>
      </c>
      <c r="N1652" t="inlineStr">
        <is>
          <t>Gontse Monageng</t>
        </is>
      </c>
      <c r="O1652" t="inlineStr">
        <is>
          <t>2026-06-19 07:10:32</t>
        </is>
      </c>
      <c r="P1652" t="inlineStr">
        <is>
          <t>2026-06-19 07:10:32</t>
        </is>
      </c>
      <c r="Y1652" t="inlineStr">
        <is>
          <t>27818805902</t>
        </is>
      </c>
    </row>
    <row r="1653">
      <c r="A1653" t="inlineStr">
        <is>
          <t>14944871</t>
        </is>
      </c>
      <c r="B1653" t="inlineStr">
        <is>
          <t>3e5d3a03-bd28-4e45-88a0-a3af06a00ff2</t>
        </is>
      </c>
      <c r="D1653" t="inlineStr">
        <is>
          <t>30001087</t>
        </is>
      </c>
      <c r="E1653" t="inlineStr">
        <is>
          <t>ussd_funeral_leads_altitude_20260619</t>
        </is>
      </c>
      <c r="J1653" t="inlineStr">
        <is>
          <t>AA</t>
        </is>
      </c>
      <c r="K1653" t="inlineStr">
        <is>
          <t>Answering Machine Autodial</t>
        </is>
      </c>
      <c r="L1653" t="n">
        <v>3</v>
      </c>
      <c r="M1653" t="inlineStr">
        <is>
          <t>2026-06-23 13:46:58</t>
        </is>
      </c>
      <c r="N1653" t="inlineStr">
        <is>
          <t>system</t>
        </is>
      </c>
      <c r="O1653" t="inlineStr">
        <is>
          <t>2026-06-19 07:10:32</t>
        </is>
      </c>
      <c r="P1653" t="inlineStr">
        <is>
          <t>2026-06-19 07:10:32</t>
        </is>
      </c>
      <c r="Y1653" t="inlineStr">
        <is>
          <t>27723903443</t>
        </is>
      </c>
    </row>
    <row r="1654">
      <c r="A1654" t="inlineStr">
        <is>
          <t>14944869</t>
        </is>
      </c>
      <c r="B1654" t="inlineStr">
        <is>
          <t>7e12f1e4-b54d-4c61-80dd-3587bfe0ff2e</t>
        </is>
      </c>
      <c r="D1654" t="inlineStr">
        <is>
          <t>30001087</t>
        </is>
      </c>
      <c r="E1654" t="inlineStr">
        <is>
          <t>ussd_funeral_leads_altitude_20260619</t>
        </is>
      </c>
      <c r="J1654" t="inlineStr">
        <is>
          <t>AA</t>
        </is>
      </c>
      <c r="K1654" t="inlineStr">
        <is>
          <t>Answering Machine Autodial</t>
        </is>
      </c>
      <c r="L1654" t="n">
        <v>3</v>
      </c>
      <c r="M1654" t="inlineStr">
        <is>
          <t>2026-06-23 13:46:57</t>
        </is>
      </c>
      <c r="N1654" t="inlineStr">
        <is>
          <t>system</t>
        </is>
      </c>
      <c r="O1654" t="inlineStr">
        <is>
          <t>2026-06-19 07:10:32</t>
        </is>
      </c>
      <c r="P1654" t="inlineStr">
        <is>
          <t>2026-06-19 07:10:32</t>
        </is>
      </c>
      <c r="Y1654" t="inlineStr">
        <is>
          <t>27724296813</t>
        </is>
      </c>
    </row>
    <row r="1655">
      <c r="A1655" t="inlineStr">
        <is>
          <t>14944870</t>
        </is>
      </c>
      <c r="B1655" t="inlineStr">
        <is>
          <t>49a632cf-486a-4fb6-9480-25e67661b9bd</t>
        </is>
      </c>
      <c r="D1655" t="inlineStr">
        <is>
          <t>30001087</t>
        </is>
      </c>
      <c r="E1655" t="inlineStr">
        <is>
          <t>ussd_funeral_leads_altitude_20260619</t>
        </is>
      </c>
      <c r="J1655" t="inlineStr">
        <is>
          <t>TDN</t>
        </is>
      </c>
      <c r="K1655" t="inlineStr">
        <is>
          <t>Temporary Disconnected Number</t>
        </is>
      </c>
      <c r="L1655" t="n">
        <v>3</v>
      </c>
      <c r="M1655" t="inlineStr">
        <is>
          <t>2026-06-23 13:46:57</t>
        </is>
      </c>
      <c r="N1655" t="inlineStr">
        <is>
          <t>system</t>
        </is>
      </c>
      <c r="O1655" t="inlineStr">
        <is>
          <t>2026-06-19 07:10:32</t>
        </is>
      </c>
      <c r="P1655" t="inlineStr">
        <is>
          <t>2026-06-19 07:10:32</t>
        </is>
      </c>
      <c r="Y1655" t="inlineStr">
        <is>
          <t>27760566129</t>
        </is>
      </c>
    </row>
    <row r="1656">
      <c r="A1656" t="inlineStr">
        <is>
          <t>14944865</t>
        </is>
      </c>
      <c r="B1656" t="inlineStr">
        <is>
          <t>970d5614-4017-4b49-8f0c-100db42d6bd1</t>
        </is>
      </c>
      <c r="D1656" t="inlineStr">
        <is>
          <t>30001087</t>
        </is>
      </c>
      <c r="E1656" t="inlineStr">
        <is>
          <t>ussd_funeral_leads_altitude_20260619</t>
        </is>
      </c>
      <c r="J1656" t="inlineStr">
        <is>
          <t>ADC</t>
        </is>
      </c>
      <c r="K1656" t="inlineStr">
        <is>
          <t>Auto Dial Disconnected</t>
        </is>
      </c>
      <c r="L1656" t="n">
        <v>3</v>
      </c>
      <c r="M1656" t="inlineStr">
        <is>
          <t>2026-06-23 13:46:52</t>
        </is>
      </c>
      <c r="N1656" t="inlineStr">
        <is>
          <t>system</t>
        </is>
      </c>
      <c r="O1656" t="inlineStr">
        <is>
          <t>2026-06-19 07:10:32</t>
        </is>
      </c>
      <c r="P1656" t="inlineStr">
        <is>
          <t>2026-06-19 07:10:32</t>
        </is>
      </c>
      <c r="Y1656" t="inlineStr">
        <is>
          <t>27822906045</t>
        </is>
      </c>
    </row>
    <row r="1657">
      <c r="A1657" t="inlineStr">
        <is>
          <t>14944866</t>
        </is>
      </c>
      <c r="B1657" t="inlineStr">
        <is>
          <t>dd26d612-7a23-4dd1-a691-161220c7fd1e</t>
        </is>
      </c>
      <c r="D1657" t="inlineStr">
        <is>
          <t>30001087</t>
        </is>
      </c>
      <c r="E1657" t="inlineStr">
        <is>
          <t>ussd_funeral_leads_altitude_20260619</t>
        </is>
      </c>
      <c r="J1657" t="inlineStr">
        <is>
          <t>AA</t>
        </is>
      </c>
      <c r="K1657" t="inlineStr">
        <is>
          <t>Answering Machine Autodial</t>
        </is>
      </c>
      <c r="L1657" t="n">
        <v>3</v>
      </c>
      <c r="M1657" t="inlineStr">
        <is>
          <t>2026-06-23 13:46:52</t>
        </is>
      </c>
      <c r="N1657" t="inlineStr">
        <is>
          <t>system</t>
        </is>
      </c>
      <c r="O1657" t="inlineStr">
        <is>
          <t>2026-06-19 07:10:32</t>
        </is>
      </c>
      <c r="P1657" t="inlineStr">
        <is>
          <t>2026-06-19 07:10:32</t>
        </is>
      </c>
      <c r="Y1657" t="inlineStr">
        <is>
          <t>27664182902</t>
        </is>
      </c>
    </row>
    <row r="1658">
      <c r="A1658" t="inlineStr">
        <is>
          <t>14944867</t>
        </is>
      </c>
      <c r="B1658" t="inlineStr">
        <is>
          <t>ac0a4613-dcb1-4ce3-8a05-a48a48f337f3</t>
        </is>
      </c>
      <c r="D1658" t="inlineStr">
        <is>
          <t>30001087</t>
        </is>
      </c>
      <c r="E1658" t="inlineStr">
        <is>
          <t>ussd_funeral_leads_altitude_20260619</t>
        </is>
      </c>
      <c r="J1658" t="inlineStr">
        <is>
          <t>AA</t>
        </is>
      </c>
      <c r="K1658" t="inlineStr">
        <is>
          <t>Answering Machine Autodial</t>
        </is>
      </c>
      <c r="L1658" t="n">
        <v>3</v>
      </c>
      <c r="M1658" t="inlineStr">
        <is>
          <t>2026-06-23 13:46:52</t>
        </is>
      </c>
      <c r="N1658" t="inlineStr">
        <is>
          <t>system</t>
        </is>
      </c>
      <c r="O1658" t="inlineStr">
        <is>
          <t>2026-06-19 07:10:32</t>
        </is>
      </c>
      <c r="P1658" t="inlineStr">
        <is>
          <t>2026-06-19 07:10:32</t>
        </is>
      </c>
      <c r="Y1658" t="inlineStr">
        <is>
          <t>27799487658</t>
        </is>
      </c>
    </row>
    <row r="1659">
      <c r="A1659" t="inlineStr">
        <is>
          <t>14944863</t>
        </is>
      </c>
      <c r="B1659" t="inlineStr">
        <is>
          <t>694c69d4-67ff-41f8-8363-1b4dbc635ebd</t>
        </is>
      </c>
      <c r="D1659" t="inlineStr">
        <is>
          <t>30001087</t>
        </is>
      </c>
      <c r="E1659" t="inlineStr">
        <is>
          <t>ussd_funeral_leads_altitude_20260619</t>
        </is>
      </c>
      <c r="J1659" t="inlineStr">
        <is>
          <t>AA</t>
        </is>
      </c>
      <c r="K1659" t="inlineStr">
        <is>
          <t>Answering Machine Autodial</t>
        </is>
      </c>
      <c r="L1659" t="n">
        <v>3</v>
      </c>
      <c r="M1659" t="inlineStr">
        <is>
          <t>2026-06-23 13:46:51</t>
        </is>
      </c>
      <c r="N1659" t="inlineStr">
        <is>
          <t>system</t>
        </is>
      </c>
      <c r="O1659" t="inlineStr">
        <is>
          <t>2026-06-19 07:10:32</t>
        </is>
      </c>
      <c r="P1659" t="inlineStr">
        <is>
          <t>2026-06-19 07:10:32</t>
        </is>
      </c>
      <c r="Y1659" t="inlineStr">
        <is>
          <t>27791375205</t>
        </is>
      </c>
    </row>
    <row r="1660">
      <c r="A1660" t="inlineStr">
        <is>
          <t>14944864</t>
        </is>
      </c>
      <c r="B1660" t="inlineStr">
        <is>
          <t>5628ecde-2168-4dfc-8218-28ea185ab811</t>
        </is>
      </c>
      <c r="D1660" t="inlineStr">
        <is>
          <t>30001087</t>
        </is>
      </c>
      <c r="E1660" t="inlineStr">
        <is>
          <t>ussd_funeral_leads_altitude_20260619</t>
        </is>
      </c>
      <c r="J1660" t="inlineStr">
        <is>
          <t>AA</t>
        </is>
      </c>
      <c r="K1660" t="inlineStr">
        <is>
          <t>Answering Machine Autodial</t>
        </is>
      </c>
      <c r="L1660" t="n">
        <v>3</v>
      </c>
      <c r="M1660" t="inlineStr">
        <is>
          <t>2026-06-23 13:46:51</t>
        </is>
      </c>
      <c r="N1660" t="inlineStr">
        <is>
          <t>system</t>
        </is>
      </c>
      <c r="O1660" t="inlineStr">
        <is>
          <t>2026-06-19 07:10:32</t>
        </is>
      </c>
      <c r="P1660" t="inlineStr">
        <is>
          <t>2026-06-19 07:10:32</t>
        </is>
      </c>
      <c r="Y1660" t="inlineStr">
        <is>
          <t>27760238744</t>
        </is>
      </c>
    </row>
    <row r="1661">
      <c r="A1661" t="inlineStr">
        <is>
          <t>14944820</t>
        </is>
      </c>
      <c r="B1661" t="inlineStr">
        <is>
          <t>216dfb92-0bcf-43f3-893f-8632c4071c34</t>
        </is>
      </c>
      <c r="D1661" t="inlineStr">
        <is>
          <t>30001087</t>
        </is>
      </c>
      <c r="E1661" t="inlineStr">
        <is>
          <t>ussd_funeral_leads_altitude_20260619</t>
        </is>
      </c>
      <c r="H1661" t="inlineStr">
        <is>
          <t>27607054200</t>
        </is>
      </c>
      <c r="J1661" t="inlineStr">
        <is>
          <t>CU</t>
        </is>
      </c>
      <c r="K1661" t="inlineStr">
        <is>
          <t>Client Hung Up</t>
        </is>
      </c>
      <c r="L1661" t="n">
        <v>3</v>
      </c>
      <c r="M1661" t="inlineStr">
        <is>
          <t>2026-06-23 13:46:27</t>
        </is>
      </c>
      <c r="N1661" t="inlineStr">
        <is>
          <t>Lebohang Mabotja</t>
        </is>
      </c>
      <c r="O1661" t="inlineStr">
        <is>
          <t>2026-06-19 07:10:32</t>
        </is>
      </c>
      <c r="P1661" t="inlineStr">
        <is>
          <t>2026-06-19 07:10:32</t>
        </is>
      </c>
      <c r="Y1661" t="inlineStr">
        <is>
          <t>27607054200</t>
        </is>
      </c>
    </row>
    <row r="1662">
      <c r="A1662" t="inlineStr">
        <is>
          <t>14946788</t>
        </is>
      </c>
      <c r="B1662" t="inlineStr">
        <is>
          <t>69cc6e53-39db-4ef0-b596-76957c49c822</t>
        </is>
      </c>
      <c r="D1662" t="inlineStr">
        <is>
          <t>30001087</t>
        </is>
      </c>
      <c r="E1662" t="inlineStr">
        <is>
          <t>ussd_funeral_leads_altitude_20260619</t>
        </is>
      </c>
      <c r="J1662" t="inlineStr">
        <is>
          <t>AA</t>
        </is>
      </c>
      <c r="K1662" t="inlineStr">
        <is>
          <t>Answering Machine Autodial</t>
        </is>
      </c>
      <c r="L1662" t="n">
        <v>3</v>
      </c>
      <c r="M1662" t="inlineStr">
        <is>
          <t>2026-06-23 13:46:22</t>
        </is>
      </c>
      <c r="N1662" t="inlineStr">
        <is>
          <t>system</t>
        </is>
      </c>
      <c r="O1662" t="inlineStr">
        <is>
          <t>2026-06-19 07:10:32</t>
        </is>
      </c>
      <c r="P1662" t="inlineStr">
        <is>
          <t>2026-06-19 07:10:32</t>
        </is>
      </c>
      <c r="Y1662" t="inlineStr">
        <is>
          <t>27662466106</t>
        </is>
      </c>
    </row>
    <row r="1663">
      <c r="A1663" t="inlineStr">
        <is>
          <t>14944686</t>
        </is>
      </c>
      <c r="B1663" t="inlineStr">
        <is>
          <t>b55ebc20-65f4-4035-ad4a-fa051d560bbf</t>
        </is>
      </c>
      <c r="D1663" t="inlineStr">
        <is>
          <t>30001087</t>
        </is>
      </c>
      <c r="E1663" t="inlineStr">
        <is>
          <t>ussd_funeral_leads_altitude_20260619</t>
        </is>
      </c>
      <c r="J1663" t="inlineStr">
        <is>
          <t>AA</t>
        </is>
      </c>
      <c r="K1663" t="inlineStr">
        <is>
          <t>Answering Machine Autodial</t>
        </is>
      </c>
      <c r="L1663" t="n">
        <v>3</v>
      </c>
      <c r="M1663" t="inlineStr">
        <is>
          <t>2026-06-23 13:46:06</t>
        </is>
      </c>
      <c r="N1663" t="inlineStr">
        <is>
          <t>system</t>
        </is>
      </c>
      <c r="O1663" t="inlineStr">
        <is>
          <t>2026-06-19 07:10:32</t>
        </is>
      </c>
      <c r="P1663" t="inlineStr">
        <is>
          <t>2026-06-19 07:10:32</t>
        </is>
      </c>
      <c r="Y1663" t="inlineStr">
        <is>
          <t>27774807770</t>
        </is>
      </c>
    </row>
    <row r="1664">
      <c r="A1664" t="inlineStr">
        <is>
          <t>14944684</t>
        </is>
      </c>
      <c r="B1664" t="inlineStr">
        <is>
          <t>2048cb79-0fb7-4dfd-a2d2-f467a1e7c94d</t>
        </is>
      </c>
      <c r="D1664" t="inlineStr">
        <is>
          <t>30001087</t>
        </is>
      </c>
      <c r="E1664" t="inlineStr">
        <is>
          <t>ussd_funeral_leads_altitude_20260619</t>
        </is>
      </c>
      <c r="J1664" t="inlineStr">
        <is>
          <t>AA</t>
        </is>
      </c>
      <c r="K1664" t="inlineStr">
        <is>
          <t>Answering Machine Autodial</t>
        </is>
      </c>
      <c r="L1664" t="n">
        <v>3</v>
      </c>
      <c r="M1664" t="inlineStr">
        <is>
          <t>2026-06-23 13:46:05</t>
        </is>
      </c>
      <c r="N1664" t="inlineStr">
        <is>
          <t>system</t>
        </is>
      </c>
      <c r="O1664" t="inlineStr">
        <is>
          <t>2026-06-19 07:10:32</t>
        </is>
      </c>
      <c r="P1664" t="inlineStr">
        <is>
          <t>2026-06-19 07:10:32</t>
        </is>
      </c>
      <c r="Y1664" t="inlineStr">
        <is>
          <t>27764030257</t>
        </is>
      </c>
    </row>
    <row r="1665">
      <c r="A1665" t="inlineStr">
        <is>
          <t>14944682</t>
        </is>
      </c>
      <c r="B1665" t="inlineStr">
        <is>
          <t>292ec83c-dd11-454f-ae45-bccbbf26f616</t>
        </is>
      </c>
      <c r="D1665" t="inlineStr">
        <is>
          <t>30001087</t>
        </is>
      </c>
      <c r="E1665" t="inlineStr">
        <is>
          <t>ussd_funeral_leads_altitude_20260619</t>
        </is>
      </c>
      <c r="J1665" t="inlineStr">
        <is>
          <t>TDN</t>
        </is>
      </c>
      <c r="K1665" t="inlineStr">
        <is>
          <t>Temporary Disconnected Number</t>
        </is>
      </c>
      <c r="L1665" t="n">
        <v>3</v>
      </c>
      <c r="M1665" t="inlineStr">
        <is>
          <t>2026-06-23 13:46:02</t>
        </is>
      </c>
      <c r="N1665" t="inlineStr">
        <is>
          <t>system</t>
        </is>
      </c>
      <c r="O1665" t="inlineStr">
        <is>
          <t>2026-06-19 07:10:32</t>
        </is>
      </c>
      <c r="P1665" t="inlineStr">
        <is>
          <t>2026-06-19 07:10:32</t>
        </is>
      </c>
      <c r="Y1665" t="inlineStr">
        <is>
          <t>27649169705</t>
        </is>
      </c>
    </row>
    <row r="1666">
      <c r="A1666" t="inlineStr">
        <is>
          <t>14944683</t>
        </is>
      </c>
      <c r="B1666" t="inlineStr">
        <is>
          <t>3f87c3a5-6298-472d-88f1-761151eceb43</t>
        </is>
      </c>
      <c r="D1666" t="inlineStr">
        <is>
          <t>30001087</t>
        </is>
      </c>
      <c r="E1666" t="inlineStr">
        <is>
          <t>ussd_funeral_leads_altitude_20260619</t>
        </is>
      </c>
      <c r="J1666" t="inlineStr">
        <is>
          <t>AA</t>
        </is>
      </c>
      <c r="K1666" t="inlineStr">
        <is>
          <t>Answering Machine Autodial</t>
        </is>
      </c>
      <c r="L1666" t="n">
        <v>3</v>
      </c>
      <c r="M1666" t="inlineStr">
        <is>
          <t>2026-06-23 13:46:02</t>
        </is>
      </c>
      <c r="N1666" t="inlineStr">
        <is>
          <t>system</t>
        </is>
      </c>
      <c r="O1666" t="inlineStr">
        <is>
          <t>2026-06-19 07:10:32</t>
        </is>
      </c>
      <c r="P1666" t="inlineStr">
        <is>
          <t>2026-06-19 07:10:32</t>
        </is>
      </c>
      <c r="Y1666" t="inlineStr">
        <is>
          <t>27609190019</t>
        </is>
      </c>
    </row>
    <row r="1667">
      <c r="A1667" t="inlineStr">
        <is>
          <t>14944679</t>
        </is>
      </c>
      <c r="B1667" t="inlineStr">
        <is>
          <t>35cedde3-d3fa-42a4-ac63-d54c24c3a048</t>
        </is>
      </c>
      <c r="D1667" t="inlineStr">
        <is>
          <t>30001087</t>
        </is>
      </c>
      <c r="E1667" t="inlineStr">
        <is>
          <t>ussd_funeral_leads_altitude_20260619</t>
        </is>
      </c>
      <c r="J1667" t="inlineStr">
        <is>
          <t>NA</t>
        </is>
      </c>
      <c r="K1667" t="inlineStr">
        <is>
          <t>No Answer Autodial</t>
        </is>
      </c>
      <c r="L1667" t="n">
        <v>3</v>
      </c>
      <c r="M1667" t="inlineStr">
        <is>
          <t>2026-06-23 13:46:01</t>
        </is>
      </c>
      <c r="N1667" t="inlineStr">
        <is>
          <t>system</t>
        </is>
      </c>
      <c r="O1667" t="inlineStr">
        <is>
          <t>2026-06-19 07:10:32</t>
        </is>
      </c>
      <c r="P1667" t="inlineStr">
        <is>
          <t>2026-06-19 07:10:32</t>
        </is>
      </c>
      <c r="Y1667" t="inlineStr">
        <is>
          <t>27829331905</t>
        </is>
      </c>
    </row>
    <row r="1668">
      <c r="A1668" t="inlineStr">
        <is>
          <t>14944675</t>
        </is>
      </c>
      <c r="B1668" t="inlineStr">
        <is>
          <t>5fc2176a-e3ba-4b76-be58-de9eaecd366c</t>
        </is>
      </c>
      <c r="D1668" t="inlineStr">
        <is>
          <t>30001087</t>
        </is>
      </c>
      <c r="E1668" t="inlineStr">
        <is>
          <t>ussd_funeral_leads_altitude_20260619</t>
        </is>
      </c>
      <c r="J1668" t="inlineStr">
        <is>
          <t>AE</t>
        </is>
      </c>
      <c r="K1668" t="inlineStr">
        <is>
          <t>Auto Engaged</t>
        </is>
      </c>
      <c r="L1668" t="n">
        <v>3</v>
      </c>
      <c r="M1668" t="inlineStr">
        <is>
          <t>2026-06-23 13:45:58</t>
        </is>
      </c>
      <c r="N1668" t="inlineStr">
        <is>
          <t>system</t>
        </is>
      </c>
      <c r="O1668" t="inlineStr">
        <is>
          <t>2026-06-19 07:10:32</t>
        </is>
      </c>
      <c r="P1668" t="inlineStr">
        <is>
          <t>2026-06-19 07:10:32</t>
        </is>
      </c>
      <c r="Y1668" t="inlineStr">
        <is>
          <t>27827313233</t>
        </is>
      </c>
    </row>
    <row r="1669">
      <c r="A1669" t="inlineStr">
        <is>
          <t>14944676</t>
        </is>
      </c>
      <c r="B1669" t="inlineStr">
        <is>
          <t>bd1acb91-cf5c-44a3-a823-573443667eb4</t>
        </is>
      </c>
      <c r="D1669" t="inlineStr">
        <is>
          <t>30001087</t>
        </is>
      </c>
      <c r="E1669" t="inlineStr">
        <is>
          <t>ussd_funeral_leads_altitude_20260619</t>
        </is>
      </c>
      <c r="J1669" t="inlineStr">
        <is>
          <t>AA</t>
        </is>
      </c>
      <c r="K1669" t="inlineStr">
        <is>
          <t>Answering Machine Autodial</t>
        </is>
      </c>
      <c r="L1669" t="n">
        <v>3</v>
      </c>
      <c r="M1669" t="inlineStr">
        <is>
          <t>2026-06-23 13:45:58</t>
        </is>
      </c>
      <c r="N1669" t="inlineStr">
        <is>
          <t>system</t>
        </is>
      </c>
      <c r="O1669" t="inlineStr">
        <is>
          <t>2026-06-19 07:10:32</t>
        </is>
      </c>
      <c r="P1669" t="inlineStr">
        <is>
          <t>2026-06-19 07:10:32</t>
        </is>
      </c>
      <c r="Y1669" t="inlineStr">
        <is>
          <t>27713643579</t>
        </is>
      </c>
    </row>
    <row r="1670">
      <c r="A1670" t="inlineStr">
        <is>
          <t>14944677</t>
        </is>
      </c>
      <c r="B1670" t="inlineStr">
        <is>
          <t>aa3a4bbe-e456-4a50-a66f-e2cede523ec1</t>
        </is>
      </c>
      <c r="D1670" t="inlineStr">
        <is>
          <t>30001087</t>
        </is>
      </c>
      <c r="E1670" t="inlineStr">
        <is>
          <t>ussd_funeral_leads_altitude_20260619</t>
        </is>
      </c>
      <c r="J1670" t="inlineStr">
        <is>
          <t>AA</t>
        </is>
      </c>
      <c r="K1670" t="inlineStr">
        <is>
          <t>Answering Machine Autodial</t>
        </is>
      </c>
      <c r="L1670" t="n">
        <v>3</v>
      </c>
      <c r="M1670" t="inlineStr">
        <is>
          <t>2026-06-23 13:45:58</t>
        </is>
      </c>
      <c r="N1670" t="inlineStr">
        <is>
          <t>system</t>
        </is>
      </c>
      <c r="O1670" t="inlineStr">
        <is>
          <t>2026-06-19 07:10:32</t>
        </is>
      </c>
      <c r="P1670" t="inlineStr">
        <is>
          <t>2026-06-19 07:10:32</t>
        </is>
      </c>
      <c r="Y1670" t="inlineStr">
        <is>
          <t>27799554568</t>
        </is>
      </c>
    </row>
    <row r="1671">
      <c r="A1671" t="inlineStr">
        <is>
          <t>14944678</t>
        </is>
      </c>
      <c r="B1671" t="inlineStr">
        <is>
          <t>bca76ea2-5899-4554-9447-a33487130e48</t>
        </is>
      </c>
      <c r="D1671" t="inlineStr">
        <is>
          <t>30001087</t>
        </is>
      </c>
      <c r="E1671" t="inlineStr">
        <is>
          <t>ussd_funeral_leads_altitude_20260619</t>
        </is>
      </c>
      <c r="J1671" t="inlineStr">
        <is>
          <t>TDN</t>
        </is>
      </c>
      <c r="K1671" t="inlineStr">
        <is>
          <t>Temporary Disconnected Number</t>
        </is>
      </c>
      <c r="L1671" t="n">
        <v>3</v>
      </c>
      <c r="M1671" t="inlineStr">
        <is>
          <t>2026-06-23 13:45:58</t>
        </is>
      </c>
      <c r="N1671" t="inlineStr">
        <is>
          <t>system</t>
        </is>
      </c>
      <c r="O1671" t="inlineStr">
        <is>
          <t>2026-06-19 07:10:32</t>
        </is>
      </c>
      <c r="P1671" t="inlineStr">
        <is>
          <t>2026-06-19 07:10:32</t>
        </is>
      </c>
      <c r="Y1671" t="inlineStr">
        <is>
          <t>27726155462</t>
        </is>
      </c>
    </row>
    <row r="1672">
      <c r="A1672" t="inlineStr">
        <is>
          <t>14944674</t>
        </is>
      </c>
      <c r="B1672" t="inlineStr">
        <is>
          <t>ea69e9d9-1947-4d73-9483-20247f94a176</t>
        </is>
      </c>
      <c r="D1672" t="inlineStr">
        <is>
          <t>30001087</t>
        </is>
      </c>
      <c r="E1672" t="inlineStr">
        <is>
          <t>ussd_funeral_leads_altitude_20260619</t>
        </is>
      </c>
      <c r="J1672" t="inlineStr">
        <is>
          <t>AA</t>
        </is>
      </c>
      <c r="K1672" t="inlineStr">
        <is>
          <t>Answering Machine Autodial</t>
        </is>
      </c>
      <c r="L1672" t="n">
        <v>3</v>
      </c>
      <c r="M1672" t="inlineStr">
        <is>
          <t>2026-06-23 13:45:56</t>
        </is>
      </c>
      <c r="N1672" t="inlineStr">
        <is>
          <t>system</t>
        </is>
      </c>
      <c r="O1672" t="inlineStr">
        <is>
          <t>2026-06-19 07:10:32</t>
        </is>
      </c>
      <c r="P1672" t="inlineStr">
        <is>
          <t>2026-06-19 07:10:32</t>
        </is>
      </c>
      <c r="Y1672" t="inlineStr">
        <is>
          <t>27769399748</t>
        </is>
      </c>
    </row>
    <row r="1673">
      <c r="A1673" t="inlineStr">
        <is>
          <t>14900000</t>
        </is>
      </c>
      <c r="B1673" t="inlineStr">
        <is>
          <t>e1781ac6-c96d-470d-b1c1-a53830f13231</t>
        </is>
      </c>
      <c r="D1673" t="inlineStr">
        <is>
          <t>30001087</t>
        </is>
      </c>
      <c r="E1673" t="inlineStr">
        <is>
          <t>ussd_funeral_leads_altitude_20260619</t>
        </is>
      </c>
      <c r="J1673" t="inlineStr">
        <is>
          <t>TDN</t>
        </is>
      </c>
      <c r="K1673" t="inlineStr">
        <is>
          <t>Temporary Disconnected Number</t>
        </is>
      </c>
      <c r="L1673" t="n">
        <v>3</v>
      </c>
      <c r="M1673" t="inlineStr">
        <is>
          <t>2026-06-23 13:45:53</t>
        </is>
      </c>
      <c r="N1673" t="inlineStr">
        <is>
          <t>system</t>
        </is>
      </c>
      <c r="O1673" t="inlineStr">
        <is>
          <t>2026-06-19 07:10:32</t>
        </is>
      </c>
      <c r="P1673" t="inlineStr">
        <is>
          <t>2026-06-19 07:10:32</t>
        </is>
      </c>
      <c r="Y1673" t="inlineStr">
        <is>
          <t>27661916527</t>
        </is>
      </c>
    </row>
    <row r="1674">
      <c r="A1674" t="inlineStr">
        <is>
          <t>14944671</t>
        </is>
      </c>
      <c r="B1674" t="inlineStr">
        <is>
          <t>56fb74ad-e4a8-4484-b853-3a17f5b4c095</t>
        </is>
      </c>
      <c r="D1674" t="inlineStr">
        <is>
          <t>30001087</t>
        </is>
      </c>
      <c r="E1674" t="inlineStr">
        <is>
          <t>ussd_funeral_leads_altitude_20260619</t>
        </is>
      </c>
      <c r="J1674" t="inlineStr">
        <is>
          <t>AA</t>
        </is>
      </c>
      <c r="K1674" t="inlineStr">
        <is>
          <t>Answering Machine Autodial</t>
        </is>
      </c>
      <c r="L1674" t="n">
        <v>3</v>
      </c>
      <c r="M1674" t="inlineStr">
        <is>
          <t>2026-06-23 13:45:53</t>
        </is>
      </c>
      <c r="N1674" t="inlineStr">
        <is>
          <t>system</t>
        </is>
      </c>
      <c r="O1674" t="inlineStr">
        <is>
          <t>2026-06-19 07:10:32</t>
        </is>
      </c>
      <c r="P1674" t="inlineStr">
        <is>
          <t>2026-06-19 07:10:32</t>
        </is>
      </c>
      <c r="Y1674" t="inlineStr">
        <is>
          <t>27646391716</t>
        </is>
      </c>
    </row>
    <row r="1675">
      <c r="A1675" t="inlineStr">
        <is>
          <t>14944672</t>
        </is>
      </c>
      <c r="B1675" t="inlineStr">
        <is>
          <t>21fbc7f8-dcd7-4ef9-a137-458fe5af1b64</t>
        </is>
      </c>
      <c r="D1675" t="inlineStr">
        <is>
          <t>30001087</t>
        </is>
      </c>
      <c r="E1675" t="inlineStr">
        <is>
          <t>ussd_funeral_leads_altitude_20260619</t>
        </is>
      </c>
      <c r="J1675" t="inlineStr">
        <is>
          <t>AA</t>
        </is>
      </c>
      <c r="K1675" t="inlineStr">
        <is>
          <t>Answering Machine Autodial</t>
        </is>
      </c>
      <c r="L1675" t="n">
        <v>3</v>
      </c>
      <c r="M1675" t="inlineStr">
        <is>
          <t>2026-06-23 13:45:53</t>
        </is>
      </c>
      <c r="N1675" t="inlineStr">
        <is>
          <t>system</t>
        </is>
      </c>
      <c r="O1675" t="inlineStr">
        <is>
          <t>2026-06-19 07:10:32</t>
        </is>
      </c>
      <c r="P1675" t="inlineStr">
        <is>
          <t>2026-06-19 07:10:32</t>
        </is>
      </c>
      <c r="Y1675" t="inlineStr">
        <is>
          <t>27774135966</t>
        </is>
      </c>
    </row>
    <row r="1676">
      <c r="A1676" t="inlineStr">
        <is>
          <t>14944673</t>
        </is>
      </c>
      <c r="B1676" t="inlineStr">
        <is>
          <t>3b494f02-7c9a-485f-a61f-bef879d9a0da</t>
        </is>
      </c>
      <c r="D1676" t="inlineStr">
        <is>
          <t>30001087</t>
        </is>
      </c>
      <c r="E1676" t="inlineStr">
        <is>
          <t>ussd_funeral_leads_altitude_20260619</t>
        </is>
      </c>
      <c r="J1676" t="inlineStr">
        <is>
          <t>AA</t>
        </is>
      </c>
      <c r="K1676" t="inlineStr">
        <is>
          <t>Answering Machine Autodial</t>
        </is>
      </c>
      <c r="L1676" t="n">
        <v>3</v>
      </c>
      <c r="M1676" t="inlineStr">
        <is>
          <t>2026-06-23 13:45:53</t>
        </is>
      </c>
      <c r="N1676" t="inlineStr">
        <is>
          <t>system</t>
        </is>
      </c>
      <c r="O1676" t="inlineStr">
        <is>
          <t>2026-06-19 07:10:32</t>
        </is>
      </c>
      <c r="P1676" t="inlineStr">
        <is>
          <t>2026-06-19 07:10:32</t>
        </is>
      </c>
      <c r="Y1676" t="inlineStr">
        <is>
          <t>27728907133</t>
        </is>
      </c>
    </row>
    <row r="1677">
      <c r="A1677" t="inlineStr">
        <is>
          <t>14944668</t>
        </is>
      </c>
      <c r="B1677" t="inlineStr">
        <is>
          <t>20c88f2c-df8e-42b2-8407-5e0c45463e09</t>
        </is>
      </c>
      <c r="D1677" t="inlineStr">
        <is>
          <t>30001087</t>
        </is>
      </c>
      <c r="E1677" t="inlineStr">
        <is>
          <t>ussd_funeral_leads_altitude_20260619</t>
        </is>
      </c>
      <c r="J1677" t="inlineStr">
        <is>
          <t>AA</t>
        </is>
      </c>
      <c r="K1677" t="inlineStr">
        <is>
          <t>Answering Machine Autodial</t>
        </is>
      </c>
      <c r="L1677" t="n">
        <v>3</v>
      </c>
      <c r="M1677" t="inlineStr">
        <is>
          <t>2026-06-23 13:45:52</t>
        </is>
      </c>
      <c r="N1677" t="inlineStr">
        <is>
          <t>system</t>
        </is>
      </c>
      <c r="O1677" t="inlineStr">
        <is>
          <t>2026-06-19 07:10:32</t>
        </is>
      </c>
      <c r="P1677" t="inlineStr">
        <is>
          <t>2026-06-19 07:10:32</t>
        </is>
      </c>
      <c r="Y1677" t="inlineStr">
        <is>
          <t>27769971103</t>
        </is>
      </c>
    </row>
    <row r="1678">
      <c r="A1678" t="inlineStr">
        <is>
          <t>14944669</t>
        </is>
      </c>
      <c r="B1678" t="inlineStr">
        <is>
          <t>7d037405-d717-4bc5-a67d-229e5b19a161</t>
        </is>
      </c>
      <c r="D1678" t="inlineStr">
        <is>
          <t>30001087</t>
        </is>
      </c>
      <c r="E1678" t="inlineStr">
        <is>
          <t>ussd_funeral_leads_altitude_20260619</t>
        </is>
      </c>
      <c r="J1678" t="inlineStr">
        <is>
          <t>AA</t>
        </is>
      </c>
      <c r="K1678" t="inlineStr">
        <is>
          <t>Answering Machine Autodial</t>
        </is>
      </c>
      <c r="L1678" t="n">
        <v>3</v>
      </c>
      <c r="M1678" t="inlineStr">
        <is>
          <t>2026-06-23 13:45:52</t>
        </is>
      </c>
      <c r="N1678" t="inlineStr">
        <is>
          <t>system</t>
        </is>
      </c>
      <c r="O1678" t="inlineStr">
        <is>
          <t>2026-06-19 07:10:32</t>
        </is>
      </c>
      <c r="P1678" t="inlineStr">
        <is>
          <t>2026-06-19 07:10:32</t>
        </is>
      </c>
      <c r="Y1678" t="inlineStr">
        <is>
          <t>27792439539</t>
        </is>
      </c>
    </row>
    <row r="1679">
      <c r="A1679" t="inlineStr">
        <is>
          <t>14944665</t>
        </is>
      </c>
      <c r="B1679" t="inlineStr">
        <is>
          <t>0708fe1b-eb3e-484a-b63c-a5126377bcdb</t>
        </is>
      </c>
      <c r="D1679" t="inlineStr">
        <is>
          <t>30001087</t>
        </is>
      </c>
      <c r="E1679" t="inlineStr">
        <is>
          <t>ussd_funeral_leads_altitude_20260619</t>
        </is>
      </c>
      <c r="J1679" t="inlineStr">
        <is>
          <t>NA</t>
        </is>
      </c>
      <c r="K1679" t="inlineStr">
        <is>
          <t>No Answer Autodial</t>
        </is>
      </c>
      <c r="L1679" t="n">
        <v>3</v>
      </c>
      <c r="M1679" t="inlineStr">
        <is>
          <t>2026-06-23 13:45:47</t>
        </is>
      </c>
      <c r="N1679" t="inlineStr">
        <is>
          <t>system</t>
        </is>
      </c>
      <c r="O1679" t="inlineStr">
        <is>
          <t>2026-06-19 07:10:32</t>
        </is>
      </c>
      <c r="P1679" t="inlineStr">
        <is>
          <t>2026-06-19 07:10:32</t>
        </is>
      </c>
      <c r="Y1679" t="inlineStr">
        <is>
          <t>27675825252</t>
        </is>
      </c>
    </row>
    <row r="1680">
      <c r="A1680" t="inlineStr">
        <is>
          <t>14944667</t>
        </is>
      </c>
      <c r="B1680" t="inlineStr">
        <is>
          <t>2d345e3b-1351-409c-ac0b-9106a33f6592</t>
        </is>
      </c>
      <c r="D1680" t="inlineStr">
        <is>
          <t>30001087</t>
        </is>
      </c>
      <c r="E1680" t="inlineStr">
        <is>
          <t>ussd_funeral_leads_altitude_20260619</t>
        </is>
      </c>
      <c r="J1680" t="inlineStr">
        <is>
          <t>CU</t>
        </is>
      </c>
      <c r="K1680" t="inlineStr">
        <is>
          <t>Client Hung Up</t>
        </is>
      </c>
      <c r="L1680" t="n">
        <v>3</v>
      </c>
      <c r="M1680" t="inlineStr">
        <is>
          <t>2026-06-23 13:45:47</t>
        </is>
      </c>
      <c r="N1680" t="inlineStr">
        <is>
          <t>Gontse Monageng</t>
        </is>
      </c>
      <c r="O1680" t="inlineStr">
        <is>
          <t>2026-06-19 07:10:32</t>
        </is>
      </c>
      <c r="P1680" t="inlineStr">
        <is>
          <t>2026-06-19 07:10:32</t>
        </is>
      </c>
      <c r="Y1680" t="inlineStr">
        <is>
          <t>27767108906</t>
        </is>
      </c>
    </row>
    <row r="1681">
      <c r="A1681" t="inlineStr">
        <is>
          <t>14944664</t>
        </is>
      </c>
      <c r="B1681" t="inlineStr">
        <is>
          <t>2b308844-e7ef-4cc3-805b-b344c15d5223</t>
        </is>
      </c>
      <c r="D1681" t="inlineStr">
        <is>
          <t>30001087</t>
        </is>
      </c>
      <c r="E1681" t="inlineStr">
        <is>
          <t>ussd_funeral_leads_altitude_20260619</t>
        </is>
      </c>
      <c r="J1681" t="inlineStr">
        <is>
          <t>AA</t>
        </is>
      </c>
      <c r="K1681" t="inlineStr">
        <is>
          <t>Answering Machine Autodial</t>
        </is>
      </c>
      <c r="L1681" t="n">
        <v>3</v>
      </c>
      <c r="M1681" t="inlineStr">
        <is>
          <t>2026-06-23 13:45:46</t>
        </is>
      </c>
      <c r="N1681" t="inlineStr">
        <is>
          <t>system</t>
        </is>
      </c>
      <c r="O1681" t="inlineStr">
        <is>
          <t>2026-06-19 07:10:32</t>
        </is>
      </c>
      <c r="P1681" t="inlineStr">
        <is>
          <t>2026-06-19 07:10:32</t>
        </is>
      </c>
      <c r="Y1681" t="inlineStr">
        <is>
          <t>27649903717</t>
        </is>
      </c>
    </row>
    <row r="1682">
      <c r="A1682" t="inlineStr">
        <is>
          <t>14944666</t>
        </is>
      </c>
      <c r="B1682" t="inlineStr">
        <is>
          <t>8c12e135-1ff3-48fd-b392-015509f5e733</t>
        </is>
      </c>
      <c r="D1682" t="inlineStr">
        <is>
          <t>30001087</t>
        </is>
      </c>
      <c r="E1682" t="inlineStr">
        <is>
          <t>ussd_funeral_leads_altitude_20260619</t>
        </is>
      </c>
      <c r="J1682" t="inlineStr">
        <is>
          <t>NA</t>
        </is>
      </c>
      <c r="K1682" t="inlineStr">
        <is>
          <t>No Answer Autodial</t>
        </is>
      </c>
      <c r="L1682" t="n">
        <v>3</v>
      </c>
      <c r="M1682" t="inlineStr">
        <is>
          <t>2026-06-23 13:45:46</t>
        </is>
      </c>
      <c r="N1682" t="inlineStr">
        <is>
          <t>system</t>
        </is>
      </c>
      <c r="O1682" t="inlineStr">
        <is>
          <t>2026-06-19 07:10:32</t>
        </is>
      </c>
      <c r="P1682" t="inlineStr">
        <is>
          <t>2026-06-19 07:10:32</t>
        </is>
      </c>
      <c r="Y1682" t="inlineStr">
        <is>
          <t>27828451911</t>
        </is>
      </c>
    </row>
    <row r="1683">
      <c r="A1683" t="inlineStr">
        <is>
          <t>14944663</t>
        </is>
      </c>
      <c r="B1683" t="inlineStr">
        <is>
          <t>a10e1994-ca87-43af-b1ca-f37471b1e5bb</t>
        </is>
      </c>
      <c r="D1683" t="inlineStr">
        <is>
          <t>30001087</t>
        </is>
      </c>
      <c r="E1683" t="inlineStr">
        <is>
          <t>ussd_funeral_leads_altitude_20260619</t>
        </is>
      </c>
      <c r="J1683" t="inlineStr">
        <is>
          <t>AA</t>
        </is>
      </c>
      <c r="K1683" t="inlineStr">
        <is>
          <t>Answering Machine Autodial</t>
        </is>
      </c>
      <c r="L1683" t="n">
        <v>3</v>
      </c>
      <c r="M1683" t="inlineStr">
        <is>
          <t>2026-06-23 13:45:40</t>
        </is>
      </c>
      <c r="N1683" t="inlineStr">
        <is>
          <t>system</t>
        </is>
      </c>
      <c r="O1683" t="inlineStr">
        <is>
          <t>2026-06-19 07:10:32</t>
        </is>
      </c>
      <c r="P1683" t="inlineStr">
        <is>
          <t>2026-06-19 07:10:32</t>
        </is>
      </c>
      <c r="Y1683" t="inlineStr">
        <is>
          <t>27663604376</t>
        </is>
      </c>
    </row>
    <row r="1684">
      <c r="A1684" t="inlineStr">
        <is>
          <t>14944660</t>
        </is>
      </c>
      <c r="B1684" t="inlineStr">
        <is>
          <t>960afe37-2023-4463-a3ae-dc2ca92cfc29</t>
        </is>
      </c>
      <c r="D1684" t="inlineStr">
        <is>
          <t>30001087</t>
        </is>
      </c>
      <c r="E1684" t="inlineStr">
        <is>
          <t>ussd_funeral_leads_altitude_20260619</t>
        </is>
      </c>
      <c r="J1684" t="inlineStr">
        <is>
          <t>NA</t>
        </is>
      </c>
      <c r="K1684" t="inlineStr">
        <is>
          <t>No Answer Autodial</t>
        </is>
      </c>
      <c r="L1684" t="n">
        <v>3</v>
      </c>
      <c r="M1684" t="inlineStr">
        <is>
          <t>2026-06-23 13:45:39</t>
        </is>
      </c>
      <c r="N1684" t="inlineStr">
        <is>
          <t>system</t>
        </is>
      </c>
      <c r="O1684" t="inlineStr">
        <is>
          <t>2026-06-19 07:10:32</t>
        </is>
      </c>
      <c r="P1684" t="inlineStr">
        <is>
          <t>2026-06-19 07:10:32</t>
        </is>
      </c>
      <c r="Y1684" t="inlineStr">
        <is>
          <t>27762685190</t>
        </is>
      </c>
    </row>
    <row r="1685">
      <c r="A1685" t="inlineStr">
        <is>
          <t>14944661</t>
        </is>
      </c>
      <c r="B1685" t="inlineStr">
        <is>
          <t>503dc1fb-dfa7-4073-88fc-a3fb32373c25</t>
        </is>
      </c>
      <c r="D1685" t="inlineStr">
        <is>
          <t>30001087</t>
        </is>
      </c>
      <c r="E1685" t="inlineStr">
        <is>
          <t>ussd_funeral_leads_altitude_20260619</t>
        </is>
      </c>
      <c r="J1685" t="inlineStr">
        <is>
          <t>AA</t>
        </is>
      </c>
      <c r="K1685" t="inlineStr">
        <is>
          <t>Answering Machine Autodial</t>
        </is>
      </c>
      <c r="L1685" t="n">
        <v>3</v>
      </c>
      <c r="M1685" t="inlineStr">
        <is>
          <t>2026-06-23 13:45:39</t>
        </is>
      </c>
      <c r="N1685" t="inlineStr">
        <is>
          <t>system</t>
        </is>
      </c>
      <c r="O1685" t="inlineStr">
        <is>
          <t>2026-06-19 07:10:32</t>
        </is>
      </c>
      <c r="P1685" t="inlineStr">
        <is>
          <t>2026-06-19 07:10:32</t>
        </is>
      </c>
      <c r="Y1685" t="inlineStr">
        <is>
          <t>27660236708</t>
        </is>
      </c>
    </row>
    <row r="1686">
      <c r="A1686" t="inlineStr">
        <is>
          <t>14944662</t>
        </is>
      </c>
      <c r="B1686" t="inlineStr">
        <is>
          <t>eca39708-01bc-4788-be69-8d1f1e99e006</t>
        </is>
      </c>
      <c r="D1686" t="inlineStr">
        <is>
          <t>30001087</t>
        </is>
      </c>
      <c r="E1686" t="inlineStr">
        <is>
          <t>ussd_funeral_leads_altitude_20260619</t>
        </is>
      </c>
      <c r="J1686" t="inlineStr">
        <is>
          <t>AA</t>
        </is>
      </c>
      <c r="K1686" t="inlineStr">
        <is>
          <t>Answering Machine Autodial</t>
        </is>
      </c>
      <c r="L1686" t="n">
        <v>3</v>
      </c>
      <c r="M1686" t="inlineStr">
        <is>
          <t>2026-06-23 13:45:39</t>
        </is>
      </c>
      <c r="N1686" t="inlineStr">
        <is>
          <t>system</t>
        </is>
      </c>
      <c r="O1686" t="inlineStr">
        <is>
          <t>2026-06-19 07:10:32</t>
        </is>
      </c>
      <c r="P1686" t="inlineStr">
        <is>
          <t>2026-06-19 07:10:32</t>
        </is>
      </c>
      <c r="Y1686" t="inlineStr">
        <is>
          <t>27608356612</t>
        </is>
      </c>
    </row>
    <row r="1687">
      <c r="A1687" t="inlineStr">
        <is>
          <t>14944659</t>
        </is>
      </c>
      <c r="B1687" t="inlineStr">
        <is>
          <t>f528159f-85bf-41cf-be9e-043a42e273ff</t>
        </is>
      </c>
      <c r="D1687" t="inlineStr">
        <is>
          <t>30001087</t>
        </is>
      </c>
      <c r="E1687" t="inlineStr">
        <is>
          <t>ussd_funeral_leads_altitude_20260619</t>
        </is>
      </c>
      <c r="J1687" t="inlineStr">
        <is>
          <t>AA</t>
        </is>
      </c>
      <c r="K1687" t="inlineStr">
        <is>
          <t>Answering Machine Autodial</t>
        </is>
      </c>
      <c r="L1687" t="n">
        <v>3</v>
      </c>
      <c r="M1687" t="inlineStr">
        <is>
          <t>2026-06-23 13:45:38</t>
        </is>
      </c>
      <c r="N1687" t="inlineStr">
        <is>
          <t>system</t>
        </is>
      </c>
      <c r="O1687" t="inlineStr">
        <is>
          <t>2026-06-19 07:10:32</t>
        </is>
      </c>
      <c r="P1687" t="inlineStr">
        <is>
          <t>2026-06-19 07:10:32</t>
        </is>
      </c>
      <c r="Y1687" t="inlineStr">
        <is>
          <t>27722335256</t>
        </is>
      </c>
    </row>
    <row r="1688">
      <c r="A1688" t="inlineStr">
        <is>
          <t>14946789</t>
        </is>
      </c>
      <c r="B1688" t="inlineStr">
        <is>
          <t>d97adfa6-2ac9-4d57-9f86-124b9693e802</t>
        </is>
      </c>
      <c r="D1688" t="inlineStr">
        <is>
          <t>30001087</t>
        </is>
      </c>
      <c r="E1688" t="inlineStr">
        <is>
          <t>ussd_funeral_leads_altitude_20260619</t>
        </is>
      </c>
      <c r="J1688" t="inlineStr">
        <is>
          <t>AA</t>
        </is>
      </c>
      <c r="K1688" t="inlineStr">
        <is>
          <t>Answering Machine Autodial</t>
        </is>
      </c>
      <c r="L1688" t="n">
        <v>3</v>
      </c>
      <c r="M1688" t="inlineStr">
        <is>
          <t>2026-06-23 13:45:38</t>
        </is>
      </c>
      <c r="N1688" t="inlineStr">
        <is>
          <t>system</t>
        </is>
      </c>
      <c r="O1688" t="inlineStr">
        <is>
          <t>2026-06-19 07:10:32</t>
        </is>
      </c>
      <c r="P1688" t="inlineStr">
        <is>
          <t>2026-06-19 07:10:32</t>
        </is>
      </c>
      <c r="Y1688" t="inlineStr">
        <is>
          <t>27818784555</t>
        </is>
      </c>
    </row>
    <row r="1689">
      <c r="A1689" t="inlineStr">
        <is>
          <t>14944633</t>
        </is>
      </c>
      <c r="B1689" t="inlineStr">
        <is>
          <t>3fbba7ed-b1c4-4516-9879-acf6394aab4a</t>
        </is>
      </c>
      <c r="D1689" t="inlineStr">
        <is>
          <t>30001087</t>
        </is>
      </c>
      <c r="E1689" t="inlineStr">
        <is>
          <t>ussd_funeral_leads_altitude_20260619</t>
        </is>
      </c>
      <c r="J1689" t="inlineStr">
        <is>
          <t>NA</t>
        </is>
      </c>
      <c r="K1689" t="inlineStr">
        <is>
          <t>No Answer Autodial</t>
        </is>
      </c>
      <c r="L1689" t="n">
        <v>3</v>
      </c>
      <c r="M1689" t="inlineStr">
        <is>
          <t>2026-06-23 13:45:36</t>
        </is>
      </c>
      <c r="N1689" t="inlineStr">
        <is>
          <t>system</t>
        </is>
      </c>
      <c r="O1689" t="inlineStr">
        <is>
          <t>2026-06-19 07:10:32</t>
        </is>
      </c>
      <c r="P1689" t="inlineStr">
        <is>
          <t>2026-06-19 07:10:32</t>
        </is>
      </c>
      <c r="Y1689" t="inlineStr">
        <is>
          <t>27761248739</t>
        </is>
      </c>
    </row>
    <row r="1690">
      <c r="A1690" t="inlineStr">
        <is>
          <t>14944634</t>
        </is>
      </c>
      <c r="B1690" t="inlineStr">
        <is>
          <t>aac4e8e1-2f17-4de8-89d1-012dcef5fc3d</t>
        </is>
      </c>
      <c r="D1690" t="inlineStr">
        <is>
          <t>30001087</t>
        </is>
      </c>
      <c r="E1690" t="inlineStr">
        <is>
          <t>ussd_funeral_leads_altitude_20260619</t>
        </is>
      </c>
      <c r="J1690" t="inlineStr">
        <is>
          <t>AA</t>
        </is>
      </c>
      <c r="K1690" t="inlineStr">
        <is>
          <t>Answering Machine Autodial</t>
        </is>
      </c>
      <c r="L1690" t="n">
        <v>3</v>
      </c>
      <c r="M1690" t="inlineStr">
        <is>
          <t>2026-06-23 13:45:36</t>
        </is>
      </c>
      <c r="N1690" t="inlineStr">
        <is>
          <t>system</t>
        </is>
      </c>
      <c r="O1690" t="inlineStr">
        <is>
          <t>2026-06-19 07:10:32</t>
        </is>
      </c>
      <c r="P1690" t="inlineStr">
        <is>
          <t>2026-06-19 07:10:32</t>
        </is>
      </c>
      <c r="Y1690" t="inlineStr">
        <is>
          <t>27790564657</t>
        </is>
      </c>
    </row>
    <row r="1691">
      <c r="A1691" t="inlineStr">
        <is>
          <t>14944631</t>
        </is>
      </c>
      <c r="B1691" t="inlineStr">
        <is>
          <t>55ca4fc7-ae34-449d-98df-17f0b7e0f2df</t>
        </is>
      </c>
      <c r="D1691" t="inlineStr">
        <is>
          <t>30001087</t>
        </is>
      </c>
      <c r="E1691" t="inlineStr">
        <is>
          <t>ussd_funeral_leads_altitude_20260619</t>
        </is>
      </c>
      <c r="J1691" t="inlineStr">
        <is>
          <t>AA</t>
        </is>
      </c>
      <c r="K1691" t="inlineStr">
        <is>
          <t>Answering Machine Autodial</t>
        </is>
      </c>
      <c r="L1691" t="n">
        <v>3</v>
      </c>
      <c r="M1691" t="inlineStr">
        <is>
          <t>2026-06-23 13:45:33</t>
        </is>
      </c>
      <c r="N1691" t="inlineStr">
        <is>
          <t>system</t>
        </is>
      </c>
      <c r="O1691" t="inlineStr">
        <is>
          <t>2026-06-19 07:10:32</t>
        </is>
      </c>
      <c r="P1691" t="inlineStr">
        <is>
          <t>2026-06-19 07:10:32</t>
        </is>
      </c>
      <c r="Y1691" t="inlineStr">
        <is>
          <t>27665406860</t>
        </is>
      </c>
    </row>
    <row r="1692">
      <c r="A1692" t="inlineStr">
        <is>
          <t>14944632</t>
        </is>
      </c>
      <c r="B1692" t="inlineStr">
        <is>
          <t>c33721f5-6dd1-4aca-a538-2f3010282b66</t>
        </is>
      </c>
      <c r="D1692" t="inlineStr">
        <is>
          <t>30001087</t>
        </is>
      </c>
      <c r="E1692" t="inlineStr">
        <is>
          <t>ussd_funeral_leads_altitude_20260619</t>
        </is>
      </c>
      <c r="J1692" t="inlineStr">
        <is>
          <t>AA</t>
        </is>
      </c>
      <c r="K1692" t="inlineStr">
        <is>
          <t>Answering Machine Autodial</t>
        </is>
      </c>
      <c r="L1692" t="n">
        <v>3</v>
      </c>
      <c r="M1692" t="inlineStr">
        <is>
          <t>2026-06-23 13:45:33</t>
        </is>
      </c>
      <c r="N1692" t="inlineStr">
        <is>
          <t>system</t>
        </is>
      </c>
      <c r="O1692" t="inlineStr">
        <is>
          <t>2026-06-19 07:10:32</t>
        </is>
      </c>
      <c r="P1692" t="inlineStr">
        <is>
          <t>2026-06-19 07:10:32</t>
        </is>
      </c>
      <c r="Y1692" t="inlineStr">
        <is>
          <t>27772899268</t>
        </is>
      </c>
    </row>
    <row r="1693">
      <c r="A1693" t="inlineStr">
        <is>
          <t>14944627</t>
        </is>
      </c>
      <c r="B1693" t="inlineStr">
        <is>
          <t>4278e87d-aa2d-40f3-b986-aa39009a9754</t>
        </is>
      </c>
      <c r="D1693" t="inlineStr">
        <is>
          <t>30001087</t>
        </is>
      </c>
      <c r="E1693" t="inlineStr">
        <is>
          <t>ussd_funeral_leads_altitude_20260619</t>
        </is>
      </c>
      <c r="J1693" t="inlineStr">
        <is>
          <t>NA</t>
        </is>
      </c>
      <c r="K1693" t="inlineStr">
        <is>
          <t>No Answer Autodial</t>
        </is>
      </c>
      <c r="L1693" t="n">
        <v>3</v>
      </c>
      <c r="M1693" t="inlineStr">
        <is>
          <t>2026-06-23 13:45:32</t>
        </is>
      </c>
      <c r="N1693" t="inlineStr">
        <is>
          <t>system</t>
        </is>
      </c>
      <c r="O1693" t="inlineStr">
        <is>
          <t>2026-06-19 07:10:32</t>
        </is>
      </c>
      <c r="P1693" t="inlineStr">
        <is>
          <t>2026-06-19 07:10:32</t>
        </is>
      </c>
      <c r="Y1693" t="inlineStr">
        <is>
          <t>27664128834</t>
        </is>
      </c>
    </row>
    <row r="1694">
      <c r="A1694" t="inlineStr">
        <is>
          <t>14944628</t>
        </is>
      </c>
      <c r="B1694" t="inlineStr">
        <is>
          <t>3391b8d9-adc0-450d-ad4a-a1af8d45d187</t>
        </is>
      </c>
      <c r="D1694" t="inlineStr">
        <is>
          <t>30001087</t>
        </is>
      </c>
      <c r="E1694" t="inlineStr">
        <is>
          <t>ussd_funeral_leads_altitude_20260619</t>
        </is>
      </c>
      <c r="J1694" t="inlineStr">
        <is>
          <t>AA</t>
        </is>
      </c>
      <c r="K1694" t="inlineStr">
        <is>
          <t>Answering Machine Autodial</t>
        </is>
      </c>
      <c r="L1694" t="n">
        <v>3</v>
      </c>
      <c r="M1694" t="inlineStr">
        <is>
          <t>2026-06-23 13:45:32</t>
        </is>
      </c>
      <c r="N1694" t="inlineStr">
        <is>
          <t>system</t>
        </is>
      </c>
      <c r="O1694" t="inlineStr">
        <is>
          <t>2026-06-19 07:10:32</t>
        </is>
      </c>
      <c r="P1694" t="inlineStr">
        <is>
          <t>2026-06-19 07:10:32</t>
        </is>
      </c>
      <c r="Y1694" t="inlineStr">
        <is>
          <t>27606266814</t>
        </is>
      </c>
    </row>
    <row r="1695">
      <c r="A1695" t="inlineStr">
        <is>
          <t>14900000</t>
        </is>
      </c>
      <c r="B1695" t="inlineStr">
        <is>
          <t>2564e676-4a06-404b-92a2-d424b7914d31</t>
        </is>
      </c>
      <c r="D1695" t="inlineStr">
        <is>
          <t>30001087</t>
        </is>
      </c>
      <c r="E1695" t="inlineStr">
        <is>
          <t>ussd_funeral_leads_altitude_20260619</t>
        </is>
      </c>
      <c r="J1695" t="inlineStr">
        <is>
          <t>ADC</t>
        </is>
      </c>
      <c r="K1695" t="inlineStr">
        <is>
          <t>Auto Dial Disconnected</t>
        </is>
      </c>
      <c r="L1695" t="n">
        <v>3</v>
      </c>
      <c r="M1695" t="inlineStr">
        <is>
          <t>2026-06-23 13:45:32</t>
        </is>
      </c>
      <c r="N1695" t="inlineStr">
        <is>
          <t>system</t>
        </is>
      </c>
      <c r="O1695" t="inlineStr">
        <is>
          <t>2026-06-19 07:10:32</t>
        </is>
      </c>
      <c r="P1695" t="inlineStr">
        <is>
          <t>2026-06-19 07:10:32</t>
        </is>
      </c>
      <c r="Y1695" t="inlineStr">
        <is>
          <t>27663842856</t>
        </is>
      </c>
    </row>
    <row r="1696">
      <c r="A1696" t="inlineStr">
        <is>
          <t>14944630</t>
        </is>
      </c>
      <c r="B1696" t="inlineStr">
        <is>
          <t>92eb0379-d0eb-485b-a89b-d669e61486b4</t>
        </is>
      </c>
      <c r="D1696" t="inlineStr">
        <is>
          <t>30001087</t>
        </is>
      </c>
      <c r="E1696" t="inlineStr">
        <is>
          <t>ussd_funeral_leads_altitude_20260619</t>
        </is>
      </c>
      <c r="J1696" t="inlineStr">
        <is>
          <t>AA</t>
        </is>
      </c>
      <c r="K1696" t="inlineStr">
        <is>
          <t>Answering Machine Autodial</t>
        </is>
      </c>
      <c r="L1696" t="n">
        <v>3</v>
      </c>
      <c r="M1696" t="inlineStr">
        <is>
          <t>2026-06-23 13:45:32</t>
        </is>
      </c>
      <c r="N1696" t="inlineStr">
        <is>
          <t>system</t>
        </is>
      </c>
      <c r="O1696" t="inlineStr">
        <is>
          <t>2026-06-19 07:10:32</t>
        </is>
      </c>
      <c r="P1696" t="inlineStr">
        <is>
          <t>2026-06-19 07:10:32</t>
        </is>
      </c>
      <c r="Y1696" t="inlineStr">
        <is>
          <t>27724591651</t>
        </is>
      </c>
    </row>
    <row r="1697">
      <c r="A1697" t="inlineStr">
        <is>
          <t>14944626</t>
        </is>
      </c>
      <c r="B1697" t="inlineStr">
        <is>
          <t>d9e41201-2c97-426d-a599-7d616c0eb948</t>
        </is>
      </c>
      <c r="D1697" t="inlineStr">
        <is>
          <t>30001087</t>
        </is>
      </c>
      <c r="E1697" t="inlineStr">
        <is>
          <t>ussd_funeral_leads_altitude_20260619</t>
        </is>
      </c>
      <c r="J1697" t="inlineStr">
        <is>
          <t>AA</t>
        </is>
      </c>
      <c r="K1697" t="inlineStr">
        <is>
          <t>Answering Machine Autodial</t>
        </is>
      </c>
      <c r="L1697" t="n">
        <v>3</v>
      </c>
      <c r="M1697" t="inlineStr">
        <is>
          <t>2026-06-23 13:45:31</t>
        </is>
      </c>
      <c r="N1697" t="inlineStr">
        <is>
          <t>system</t>
        </is>
      </c>
      <c r="O1697" t="inlineStr">
        <is>
          <t>2026-06-19 07:10:32</t>
        </is>
      </c>
      <c r="P1697" t="inlineStr">
        <is>
          <t>2026-06-19 07:10:32</t>
        </is>
      </c>
      <c r="Y1697" t="inlineStr">
        <is>
          <t>27675349560</t>
        </is>
      </c>
    </row>
    <row r="1698">
      <c r="A1698" t="inlineStr">
        <is>
          <t>14944623</t>
        </is>
      </c>
      <c r="B1698" t="inlineStr">
        <is>
          <t>8813f4d5-349e-42bd-8a43-b4b01ff5f127</t>
        </is>
      </c>
      <c r="D1698" t="inlineStr">
        <is>
          <t>30001087</t>
        </is>
      </c>
      <c r="E1698" t="inlineStr">
        <is>
          <t>ussd_funeral_leads_altitude_20260619</t>
        </is>
      </c>
      <c r="J1698" t="inlineStr">
        <is>
          <t>TDN</t>
        </is>
      </c>
      <c r="K1698" t="inlineStr">
        <is>
          <t>Temporary Disconnected Number</t>
        </is>
      </c>
      <c r="L1698" t="n">
        <v>3</v>
      </c>
      <c r="M1698" t="inlineStr">
        <is>
          <t>2026-06-23 13:45:30</t>
        </is>
      </c>
      <c r="N1698" t="inlineStr">
        <is>
          <t>system</t>
        </is>
      </c>
      <c r="O1698" t="inlineStr">
        <is>
          <t>2026-06-19 07:10:32</t>
        </is>
      </c>
      <c r="P1698" t="inlineStr">
        <is>
          <t>2026-06-19 07:10:32</t>
        </is>
      </c>
      <c r="Y1698" t="inlineStr">
        <is>
          <t>27663890135</t>
        </is>
      </c>
    </row>
    <row r="1699">
      <c r="A1699" t="inlineStr">
        <is>
          <t>14944622</t>
        </is>
      </c>
      <c r="B1699" t="inlineStr">
        <is>
          <t>c19fc5a5-63b4-4c99-a06c-1f0bed71b90c</t>
        </is>
      </c>
      <c r="D1699" t="inlineStr">
        <is>
          <t>30001087</t>
        </is>
      </c>
      <c r="E1699" t="inlineStr">
        <is>
          <t>ussd_funeral_leads_altitude_20260619</t>
        </is>
      </c>
      <c r="J1699" t="inlineStr">
        <is>
          <t>AA</t>
        </is>
      </c>
      <c r="K1699" t="inlineStr">
        <is>
          <t>Answering Machine Autodial</t>
        </is>
      </c>
      <c r="L1699" t="n">
        <v>3</v>
      </c>
      <c r="M1699" t="inlineStr">
        <is>
          <t>2026-06-23 13:45:28</t>
        </is>
      </c>
      <c r="N1699" t="inlineStr">
        <is>
          <t>system</t>
        </is>
      </c>
      <c r="O1699" t="inlineStr">
        <is>
          <t>2026-06-19 07:10:32</t>
        </is>
      </c>
      <c r="P1699" t="inlineStr">
        <is>
          <t>2026-06-19 07:10:32</t>
        </is>
      </c>
      <c r="Y1699" t="inlineStr">
        <is>
          <t>27728755235</t>
        </is>
      </c>
    </row>
    <row r="1700">
      <c r="A1700" t="inlineStr">
        <is>
          <t>14944610</t>
        </is>
      </c>
      <c r="B1700" t="inlineStr">
        <is>
          <t>9fc9d72b-d420-49c6-9e00-5802173252d5</t>
        </is>
      </c>
      <c r="D1700" t="inlineStr">
        <is>
          <t>30001087</t>
        </is>
      </c>
      <c r="E1700" t="inlineStr">
        <is>
          <t>ussd_funeral_leads_altitude_20260619</t>
        </is>
      </c>
      <c r="J1700" t="inlineStr">
        <is>
          <t>AA</t>
        </is>
      </c>
      <c r="K1700" t="inlineStr">
        <is>
          <t>Answering Machine Autodial</t>
        </is>
      </c>
      <c r="L1700" t="n">
        <v>3</v>
      </c>
      <c r="M1700" t="inlineStr">
        <is>
          <t>2026-06-23 13:45:27</t>
        </is>
      </c>
      <c r="N1700" t="inlineStr">
        <is>
          <t>system</t>
        </is>
      </c>
      <c r="O1700" t="inlineStr">
        <is>
          <t>2026-06-19 07:10:32</t>
        </is>
      </c>
      <c r="P1700" t="inlineStr">
        <is>
          <t>2026-06-19 07:10:32</t>
        </is>
      </c>
      <c r="Y1700" t="inlineStr">
        <is>
          <t>27769349902</t>
        </is>
      </c>
    </row>
    <row r="1701">
      <c r="A1701" t="inlineStr">
        <is>
          <t>14944607</t>
        </is>
      </c>
      <c r="B1701" t="inlineStr">
        <is>
          <t>d40eef42-7235-486e-90d7-6213dc814aaa</t>
        </is>
      </c>
      <c r="D1701" t="inlineStr">
        <is>
          <t>30001087</t>
        </is>
      </c>
      <c r="E1701" t="inlineStr">
        <is>
          <t>ussd_funeral_leads_altitude_20260619</t>
        </is>
      </c>
      <c r="J1701" t="inlineStr">
        <is>
          <t>AA</t>
        </is>
      </c>
      <c r="K1701" t="inlineStr">
        <is>
          <t>Answering Machine Autodial</t>
        </is>
      </c>
      <c r="L1701" t="n">
        <v>3</v>
      </c>
      <c r="M1701" t="inlineStr">
        <is>
          <t>2026-06-23 13:45:26</t>
        </is>
      </c>
      <c r="N1701" t="inlineStr">
        <is>
          <t>system</t>
        </is>
      </c>
      <c r="O1701" t="inlineStr">
        <is>
          <t>2026-06-19 07:10:32</t>
        </is>
      </c>
      <c r="P1701" t="inlineStr">
        <is>
          <t>2026-06-19 07:10:32</t>
        </is>
      </c>
      <c r="Y1701" t="inlineStr">
        <is>
          <t>27649378565</t>
        </is>
      </c>
    </row>
    <row r="1702">
      <c r="A1702" t="inlineStr">
        <is>
          <t>14944608</t>
        </is>
      </c>
      <c r="B1702" t="inlineStr">
        <is>
          <t>8511759e-fb8d-493b-b1d1-7e65d875b002</t>
        </is>
      </c>
      <c r="D1702" t="inlineStr">
        <is>
          <t>30001087</t>
        </is>
      </c>
      <c r="E1702" t="inlineStr">
        <is>
          <t>ussd_funeral_leads_altitude_20260619</t>
        </is>
      </c>
      <c r="J1702" t="inlineStr">
        <is>
          <t>AA</t>
        </is>
      </c>
      <c r="K1702" t="inlineStr">
        <is>
          <t>Answering Machine Autodial</t>
        </is>
      </c>
      <c r="L1702" t="n">
        <v>3</v>
      </c>
      <c r="M1702" t="inlineStr">
        <is>
          <t>2026-06-23 13:45:26</t>
        </is>
      </c>
      <c r="N1702" t="inlineStr">
        <is>
          <t>system</t>
        </is>
      </c>
      <c r="O1702" t="inlineStr">
        <is>
          <t>2026-06-19 07:10:32</t>
        </is>
      </c>
      <c r="P1702" t="inlineStr">
        <is>
          <t>2026-06-19 07:10:32</t>
        </is>
      </c>
      <c r="Y1702" t="inlineStr">
        <is>
          <t>27661607210</t>
        </is>
      </c>
    </row>
    <row r="1703">
      <c r="A1703" t="inlineStr">
        <is>
          <t>14944606</t>
        </is>
      </c>
      <c r="B1703" t="inlineStr">
        <is>
          <t>6fe1fff8-10c1-41bf-b912-12461e69e0c7</t>
        </is>
      </c>
      <c r="D1703" t="inlineStr">
        <is>
          <t>30001087</t>
        </is>
      </c>
      <c r="E1703" t="inlineStr">
        <is>
          <t>ussd_funeral_leads_altitude_20260619</t>
        </is>
      </c>
      <c r="J1703" t="inlineStr">
        <is>
          <t>ADC</t>
        </is>
      </c>
      <c r="K1703" t="inlineStr">
        <is>
          <t>Auto Dial Disconnected</t>
        </is>
      </c>
      <c r="L1703" t="n">
        <v>3</v>
      </c>
      <c r="M1703" t="inlineStr">
        <is>
          <t>2026-06-23 13:45:24</t>
        </is>
      </c>
      <c r="N1703" t="inlineStr">
        <is>
          <t>system</t>
        </is>
      </c>
      <c r="O1703" t="inlineStr">
        <is>
          <t>2026-06-19 07:10:32</t>
        </is>
      </c>
      <c r="P1703" t="inlineStr">
        <is>
          <t>2026-06-19 07:10:32</t>
        </is>
      </c>
      <c r="Y1703" t="inlineStr">
        <is>
          <t>27761359714</t>
        </is>
      </c>
    </row>
    <row r="1704">
      <c r="A1704" t="inlineStr">
        <is>
          <t>14944605</t>
        </is>
      </c>
      <c r="B1704" t="inlineStr">
        <is>
          <t>ed5d268f-f46c-4e0e-a242-febc2abb9de0</t>
        </is>
      </c>
      <c r="D1704" t="inlineStr">
        <is>
          <t>30001087</t>
        </is>
      </c>
      <c r="E1704" t="inlineStr">
        <is>
          <t>ussd_funeral_leads_altitude_20260619</t>
        </is>
      </c>
      <c r="J1704" t="inlineStr">
        <is>
          <t>AA</t>
        </is>
      </c>
      <c r="K1704" t="inlineStr">
        <is>
          <t>Answering Machine Autodial</t>
        </is>
      </c>
      <c r="L1704" t="n">
        <v>3</v>
      </c>
      <c r="M1704" t="inlineStr">
        <is>
          <t>2026-06-23 13:45:23</t>
        </is>
      </c>
      <c r="N1704" t="inlineStr">
        <is>
          <t>system</t>
        </is>
      </c>
      <c r="O1704" t="inlineStr">
        <is>
          <t>2026-06-19 07:10:32</t>
        </is>
      </c>
      <c r="P1704" t="inlineStr">
        <is>
          <t>2026-06-19 07:10:32</t>
        </is>
      </c>
      <c r="Y1704" t="inlineStr">
        <is>
          <t>27768507607</t>
        </is>
      </c>
    </row>
    <row r="1705">
      <c r="A1705" t="inlineStr">
        <is>
          <t>14944603</t>
        </is>
      </c>
      <c r="B1705" t="inlineStr">
        <is>
          <t>b826f98a-c4d5-4e44-aa11-7697c639b628</t>
        </is>
      </c>
      <c r="D1705" t="inlineStr">
        <is>
          <t>30001087</t>
        </is>
      </c>
      <c r="E1705" t="inlineStr">
        <is>
          <t>ussd_funeral_leads_altitude_20260619</t>
        </is>
      </c>
      <c r="J1705" t="inlineStr">
        <is>
          <t>CU</t>
        </is>
      </c>
      <c r="K1705" t="inlineStr">
        <is>
          <t>Client Hung Up</t>
        </is>
      </c>
      <c r="L1705" t="n">
        <v>3</v>
      </c>
      <c r="M1705" t="inlineStr">
        <is>
          <t>2026-06-23 13:45:22</t>
        </is>
      </c>
      <c r="N1705" t="inlineStr">
        <is>
          <t>Lebohang Mabotja</t>
        </is>
      </c>
      <c r="O1705" t="inlineStr">
        <is>
          <t>2026-06-19 07:10:32</t>
        </is>
      </c>
      <c r="P1705" t="inlineStr">
        <is>
          <t>2026-06-19 07:10:32</t>
        </is>
      </c>
      <c r="Y1705" t="inlineStr">
        <is>
          <t>27723966569</t>
        </is>
      </c>
    </row>
    <row r="1706">
      <c r="A1706" t="inlineStr">
        <is>
          <t>14944618</t>
        </is>
      </c>
      <c r="B1706" t="inlineStr">
        <is>
          <t>8c31bda2-e0fe-4ba2-ac9c-963c137d69bc</t>
        </is>
      </c>
      <c r="D1706" t="inlineStr">
        <is>
          <t>30001087</t>
        </is>
      </c>
      <c r="E1706" t="inlineStr">
        <is>
          <t>ussd_funeral_leads_altitude_20260619</t>
        </is>
      </c>
      <c r="J1706" t="inlineStr">
        <is>
          <t>ADC</t>
        </is>
      </c>
      <c r="K1706" t="inlineStr">
        <is>
          <t>Auto Dial Disconnected</t>
        </is>
      </c>
      <c r="L1706" t="n">
        <v>3</v>
      </c>
      <c r="M1706" t="inlineStr">
        <is>
          <t>2026-06-23 13:45:19</t>
        </is>
      </c>
      <c r="N1706" t="inlineStr">
        <is>
          <t>system</t>
        </is>
      </c>
      <c r="O1706" t="inlineStr">
        <is>
          <t>2026-06-19 07:10:32</t>
        </is>
      </c>
      <c r="P1706" t="inlineStr">
        <is>
          <t>2026-06-19 07:10:32</t>
        </is>
      </c>
      <c r="Y1706" t="inlineStr">
        <is>
          <t>27793807338</t>
        </is>
      </c>
    </row>
    <row r="1707">
      <c r="A1707" t="inlineStr">
        <is>
          <t>14944619</t>
        </is>
      </c>
      <c r="B1707" t="inlineStr">
        <is>
          <t>81fd8bb0-687a-433d-adb2-d4555e6edcdd</t>
        </is>
      </c>
      <c r="D1707" t="inlineStr">
        <is>
          <t>30001087</t>
        </is>
      </c>
      <c r="E1707" t="inlineStr">
        <is>
          <t>ussd_funeral_leads_altitude_20260619</t>
        </is>
      </c>
      <c r="J1707" t="inlineStr">
        <is>
          <t>ADC</t>
        </is>
      </c>
      <c r="K1707" t="inlineStr">
        <is>
          <t>Auto Dial Disconnected</t>
        </is>
      </c>
      <c r="L1707" t="n">
        <v>3</v>
      </c>
      <c r="M1707" t="inlineStr">
        <is>
          <t>2026-06-23 13:45:19</t>
        </is>
      </c>
      <c r="N1707" t="inlineStr">
        <is>
          <t>system</t>
        </is>
      </c>
      <c r="O1707" t="inlineStr">
        <is>
          <t>2026-06-19 07:10:32</t>
        </is>
      </c>
      <c r="P1707" t="inlineStr">
        <is>
          <t>2026-06-19 07:10:32</t>
        </is>
      </c>
      <c r="Y1707" t="inlineStr">
        <is>
          <t>27727956645</t>
        </is>
      </c>
    </row>
    <row r="1708">
      <c r="A1708" t="inlineStr">
        <is>
          <t>14944620</t>
        </is>
      </c>
      <c r="B1708" t="inlineStr">
        <is>
          <t>99e75bf8-488c-4d36-b900-cb4a9b61e94b</t>
        </is>
      </c>
      <c r="D1708" t="inlineStr">
        <is>
          <t>30001087</t>
        </is>
      </c>
      <c r="E1708" t="inlineStr">
        <is>
          <t>ussd_funeral_leads_altitude_20260619</t>
        </is>
      </c>
      <c r="H1708" t="inlineStr">
        <is>
          <t>27766615795</t>
        </is>
      </c>
      <c r="J1708" t="inlineStr">
        <is>
          <t>AA</t>
        </is>
      </c>
      <c r="K1708" t="inlineStr">
        <is>
          <t>Answering Machine Autodial</t>
        </is>
      </c>
      <c r="L1708" t="n">
        <v>3</v>
      </c>
      <c r="M1708" t="inlineStr">
        <is>
          <t>2026-06-23 13:45:19</t>
        </is>
      </c>
      <c r="N1708" t="inlineStr">
        <is>
          <t>system</t>
        </is>
      </c>
      <c r="O1708" t="inlineStr">
        <is>
          <t>2026-06-19 07:10:32</t>
        </is>
      </c>
      <c r="P1708" t="inlineStr">
        <is>
          <t>2026-06-19 07:10:32</t>
        </is>
      </c>
      <c r="Y1708" t="inlineStr">
        <is>
          <t>27766615795</t>
        </is>
      </c>
    </row>
    <row r="1709">
      <c r="A1709" t="inlineStr">
        <is>
          <t>14944621</t>
        </is>
      </c>
      <c r="B1709" t="inlineStr">
        <is>
          <t>bec936af-a0a9-43ba-84b7-fed1c9090ead</t>
        </is>
      </c>
      <c r="D1709" t="inlineStr">
        <is>
          <t>30001087</t>
        </is>
      </c>
      <c r="E1709" t="inlineStr">
        <is>
          <t>ussd_funeral_leads_altitude_20260619</t>
        </is>
      </c>
      <c r="H1709" t="inlineStr">
        <is>
          <t>27727856419</t>
        </is>
      </c>
      <c r="J1709" t="inlineStr">
        <is>
          <t>ADC</t>
        </is>
      </c>
      <c r="K1709" t="inlineStr">
        <is>
          <t>Auto Dial Disconnected</t>
        </is>
      </c>
      <c r="L1709" t="n">
        <v>3</v>
      </c>
      <c r="M1709" t="inlineStr">
        <is>
          <t>2026-06-23 13:45:19</t>
        </is>
      </c>
      <c r="N1709" t="inlineStr">
        <is>
          <t>system</t>
        </is>
      </c>
      <c r="O1709" t="inlineStr">
        <is>
          <t>2026-06-19 07:10:32</t>
        </is>
      </c>
      <c r="P1709" t="inlineStr">
        <is>
          <t>2026-06-19 07:10:32</t>
        </is>
      </c>
      <c r="Y1709" t="inlineStr">
        <is>
          <t>27727856419</t>
        </is>
      </c>
    </row>
    <row r="1710">
      <c r="A1710" t="inlineStr">
        <is>
          <t>14944616</t>
        </is>
      </c>
      <c r="B1710" t="inlineStr">
        <is>
          <t>b853b87b-71e4-40c4-b188-adbbfdcadb92</t>
        </is>
      </c>
      <c r="D1710" t="inlineStr">
        <is>
          <t>30001087</t>
        </is>
      </c>
      <c r="E1710" t="inlineStr">
        <is>
          <t>ussd_funeral_leads_altitude_20260619</t>
        </is>
      </c>
      <c r="J1710" t="inlineStr">
        <is>
          <t>NA</t>
        </is>
      </c>
      <c r="K1710" t="inlineStr">
        <is>
          <t>No Answer Autodial</t>
        </is>
      </c>
      <c r="L1710" t="n">
        <v>3</v>
      </c>
      <c r="M1710" t="inlineStr">
        <is>
          <t>2026-06-23 13:45:18</t>
        </is>
      </c>
      <c r="N1710" t="inlineStr">
        <is>
          <t>system</t>
        </is>
      </c>
      <c r="O1710" t="inlineStr">
        <is>
          <t>2026-06-19 07:10:32</t>
        </is>
      </c>
      <c r="P1710" t="inlineStr">
        <is>
          <t>2026-06-19 07:10:32</t>
        </is>
      </c>
      <c r="Y1710" t="inlineStr">
        <is>
          <t>27712247134</t>
        </is>
      </c>
    </row>
    <row r="1711">
      <c r="A1711" t="inlineStr">
        <is>
          <t>14944617</t>
        </is>
      </c>
      <c r="B1711" t="inlineStr">
        <is>
          <t>2d0ff15f-9d7b-4067-938a-febab475d558</t>
        </is>
      </c>
      <c r="D1711" t="inlineStr">
        <is>
          <t>30001087</t>
        </is>
      </c>
      <c r="E1711" t="inlineStr">
        <is>
          <t>ussd_funeral_leads_altitude_20260619</t>
        </is>
      </c>
      <c r="J1711" t="inlineStr">
        <is>
          <t>AA</t>
        </is>
      </c>
      <c r="K1711" t="inlineStr">
        <is>
          <t>Answering Machine Autodial</t>
        </is>
      </c>
      <c r="L1711" t="n">
        <v>3</v>
      </c>
      <c r="M1711" t="inlineStr">
        <is>
          <t>2026-06-23 13:45:18</t>
        </is>
      </c>
      <c r="N1711" t="inlineStr">
        <is>
          <t>system</t>
        </is>
      </c>
      <c r="O1711" t="inlineStr">
        <is>
          <t>2026-06-19 07:10:32</t>
        </is>
      </c>
      <c r="P1711" t="inlineStr">
        <is>
          <t>2026-06-19 07:10:32</t>
        </is>
      </c>
      <c r="Y1711" t="inlineStr">
        <is>
          <t>27799617833</t>
        </is>
      </c>
    </row>
    <row r="1712">
      <c r="A1712" t="inlineStr">
        <is>
          <t>14944615</t>
        </is>
      </c>
      <c r="B1712" t="inlineStr">
        <is>
          <t>7596cfe2-0fb0-42ab-922f-1c35590ec1de</t>
        </is>
      </c>
      <c r="D1712" t="inlineStr">
        <is>
          <t>30001087</t>
        </is>
      </c>
      <c r="E1712" t="inlineStr">
        <is>
          <t>ussd_funeral_leads_altitude_20260619</t>
        </is>
      </c>
      <c r="J1712" t="inlineStr">
        <is>
          <t>AE</t>
        </is>
      </c>
      <c r="K1712" t="inlineStr">
        <is>
          <t>Auto Engaged</t>
        </is>
      </c>
      <c r="L1712" t="n">
        <v>3</v>
      </c>
      <c r="M1712" t="inlineStr">
        <is>
          <t>2026-06-23 13:45:16</t>
        </is>
      </c>
      <c r="N1712" t="inlineStr">
        <is>
          <t>system</t>
        </is>
      </c>
      <c r="O1712" t="inlineStr">
        <is>
          <t>2026-06-19 07:10:32</t>
        </is>
      </c>
      <c r="P1712" t="inlineStr">
        <is>
          <t>2026-06-19 07:10:32</t>
        </is>
      </c>
      <c r="Y1712" t="inlineStr">
        <is>
          <t>27798562394</t>
        </is>
      </c>
    </row>
    <row r="1713">
      <c r="A1713" t="inlineStr">
        <is>
          <t>14944614</t>
        </is>
      </c>
      <c r="B1713" t="inlineStr">
        <is>
          <t>e4a21e88-fd23-45da-84dc-362832daefa6</t>
        </is>
      </c>
      <c r="D1713" t="inlineStr">
        <is>
          <t>30001087</t>
        </is>
      </c>
      <c r="E1713" t="inlineStr">
        <is>
          <t>ussd_funeral_leads_altitude_20260619</t>
        </is>
      </c>
      <c r="J1713" t="inlineStr">
        <is>
          <t>ADC</t>
        </is>
      </c>
      <c r="K1713" t="inlineStr">
        <is>
          <t>Auto Dial Disconnected</t>
        </is>
      </c>
      <c r="L1713" t="n">
        <v>3</v>
      </c>
      <c r="M1713" t="inlineStr">
        <is>
          <t>2026-06-23 13:45:13</t>
        </is>
      </c>
      <c r="N1713" t="inlineStr">
        <is>
          <t>system</t>
        </is>
      </c>
      <c r="O1713" t="inlineStr">
        <is>
          <t>2026-06-19 07:10:32</t>
        </is>
      </c>
      <c r="P1713" t="inlineStr">
        <is>
          <t>2026-06-19 07:10:32</t>
        </is>
      </c>
      <c r="Y1713" t="inlineStr">
        <is>
          <t>27792737356</t>
        </is>
      </c>
    </row>
    <row r="1714">
      <c r="A1714" t="inlineStr">
        <is>
          <t>14944613</t>
        </is>
      </c>
      <c r="B1714" t="inlineStr">
        <is>
          <t>efb682d1-54af-4bbe-9caa-aa4c3089cf89</t>
        </is>
      </c>
      <c r="D1714" t="inlineStr">
        <is>
          <t>30001087</t>
        </is>
      </c>
      <c r="E1714" t="inlineStr">
        <is>
          <t>ussd_funeral_leads_altitude_20260619</t>
        </is>
      </c>
      <c r="J1714" t="inlineStr">
        <is>
          <t>ADC</t>
        </is>
      </c>
      <c r="K1714" t="inlineStr">
        <is>
          <t>Auto Dial Disconnected</t>
        </is>
      </c>
      <c r="L1714" t="n">
        <v>3</v>
      </c>
      <c r="M1714" t="inlineStr">
        <is>
          <t>2026-06-23 13:45:10</t>
        </is>
      </c>
      <c r="N1714" t="inlineStr">
        <is>
          <t>system</t>
        </is>
      </c>
      <c r="O1714" t="inlineStr">
        <is>
          <t>2026-06-19 07:10:32</t>
        </is>
      </c>
      <c r="P1714" t="inlineStr">
        <is>
          <t>2026-06-19 07:10:32</t>
        </is>
      </c>
      <c r="Y1714" t="inlineStr">
        <is>
          <t>27795407617</t>
        </is>
      </c>
    </row>
    <row r="1715">
      <c r="A1715" t="inlineStr">
        <is>
          <t>14944611</t>
        </is>
      </c>
      <c r="B1715" t="inlineStr">
        <is>
          <t>f953cd36-23d1-4a75-a38e-446d212c116c</t>
        </is>
      </c>
      <c r="D1715" t="inlineStr">
        <is>
          <t>30001087</t>
        </is>
      </c>
      <c r="E1715" t="inlineStr">
        <is>
          <t>ussd_funeral_leads_altitude_20260619</t>
        </is>
      </c>
      <c r="J1715" t="inlineStr">
        <is>
          <t>AA</t>
        </is>
      </c>
      <c r="K1715" t="inlineStr">
        <is>
          <t>Answering Machine Autodial</t>
        </is>
      </c>
      <c r="L1715" t="n">
        <v>3</v>
      </c>
      <c r="M1715" t="inlineStr">
        <is>
          <t>2026-06-23 13:45:08</t>
        </is>
      </c>
      <c r="N1715" t="inlineStr">
        <is>
          <t>system</t>
        </is>
      </c>
      <c r="O1715" t="inlineStr">
        <is>
          <t>2026-06-19 07:10:32</t>
        </is>
      </c>
      <c r="P1715" t="inlineStr">
        <is>
          <t>2026-06-19 07:10:32</t>
        </is>
      </c>
      <c r="Y1715" t="inlineStr">
        <is>
          <t>27820528108</t>
        </is>
      </c>
    </row>
    <row r="1716">
      <c r="A1716" t="inlineStr">
        <is>
          <t>14944612</t>
        </is>
      </c>
      <c r="B1716" t="inlineStr">
        <is>
          <t>e97f3f70-2044-4ac0-8a16-4732b41139e9</t>
        </is>
      </c>
      <c r="D1716" t="inlineStr">
        <is>
          <t>30001087</t>
        </is>
      </c>
      <c r="E1716" t="inlineStr">
        <is>
          <t>ussd_funeral_leads_altitude_20260619</t>
        </is>
      </c>
      <c r="J1716" t="inlineStr">
        <is>
          <t>AA</t>
        </is>
      </c>
      <c r="K1716" t="inlineStr">
        <is>
          <t>Answering Machine Autodial</t>
        </is>
      </c>
      <c r="L1716" t="n">
        <v>3</v>
      </c>
      <c r="M1716" t="inlineStr">
        <is>
          <t>2026-06-23 13:45:08</t>
        </is>
      </c>
      <c r="N1716" t="inlineStr">
        <is>
          <t>system</t>
        </is>
      </c>
      <c r="O1716" t="inlineStr">
        <is>
          <t>2026-06-19 07:10:32</t>
        </is>
      </c>
      <c r="P1716" t="inlineStr">
        <is>
          <t>2026-06-19 07:10:32</t>
        </is>
      </c>
      <c r="Y1716" t="inlineStr">
        <is>
          <t>27790128008</t>
        </is>
      </c>
    </row>
    <row r="1717">
      <c r="A1717" t="inlineStr">
        <is>
          <t>14944609</t>
        </is>
      </c>
      <c r="B1717" t="inlineStr">
        <is>
          <t>8e3f0511-48ec-4f50-8863-a70898c0babb</t>
        </is>
      </c>
      <c r="D1717" t="inlineStr">
        <is>
          <t>30001087</t>
        </is>
      </c>
      <c r="E1717" t="inlineStr">
        <is>
          <t>ussd_funeral_leads_altitude_20260619</t>
        </is>
      </c>
      <c r="H1717" t="inlineStr">
        <is>
          <t>27673708992</t>
        </is>
      </c>
      <c r="J1717" t="inlineStr">
        <is>
          <t>NA</t>
        </is>
      </c>
      <c r="K1717" t="inlineStr">
        <is>
          <t>No Answer Autodial</t>
        </is>
      </c>
      <c r="L1717" t="n">
        <v>3</v>
      </c>
      <c r="M1717" t="inlineStr">
        <is>
          <t>2026-06-23 13:45:04</t>
        </is>
      </c>
      <c r="N1717" t="inlineStr">
        <is>
          <t>system</t>
        </is>
      </c>
      <c r="O1717" t="inlineStr">
        <is>
          <t>2026-06-19 07:10:32</t>
        </is>
      </c>
      <c r="P1717" t="inlineStr">
        <is>
          <t>2026-06-19 07:10:32</t>
        </is>
      </c>
      <c r="Y1717" t="inlineStr">
        <is>
          <t>27673708992</t>
        </is>
      </c>
    </row>
    <row r="1718">
      <c r="A1718" t="inlineStr">
        <is>
          <t>14944657</t>
        </is>
      </c>
      <c r="B1718" t="inlineStr">
        <is>
          <t>f229ab7b-7437-4021-8ee9-e9f0825bf88a</t>
        </is>
      </c>
      <c r="D1718" t="inlineStr">
        <is>
          <t>30001087</t>
        </is>
      </c>
      <c r="E1718" t="inlineStr">
        <is>
          <t>ussd_funeral_leads_altitude_20260619</t>
        </is>
      </c>
      <c r="J1718" t="inlineStr">
        <is>
          <t>AA</t>
        </is>
      </c>
      <c r="K1718" t="inlineStr">
        <is>
          <t>Answering Machine Autodial</t>
        </is>
      </c>
      <c r="L1718" t="n">
        <v>3</v>
      </c>
      <c r="M1718" t="inlineStr">
        <is>
          <t>2026-06-23 13:44:05</t>
        </is>
      </c>
      <c r="N1718" t="inlineStr">
        <is>
          <t>system</t>
        </is>
      </c>
      <c r="O1718" t="inlineStr">
        <is>
          <t>2026-06-19 07:10:32</t>
        </is>
      </c>
      <c r="P1718" t="inlineStr">
        <is>
          <t>2026-06-19 07:10:32</t>
        </is>
      </c>
      <c r="Y1718" t="inlineStr">
        <is>
          <t>27792266970</t>
        </is>
      </c>
    </row>
    <row r="1719">
      <c r="A1719" t="inlineStr">
        <is>
          <t>14944658</t>
        </is>
      </c>
      <c r="B1719" t="inlineStr">
        <is>
          <t>2a7ea4be-93b3-4ae6-9e5e-1cd30e283281</t>
        </is>
      </c>
      <c r="D1719" t="inlineStr">
        <is>
          <t>30001087</t>
        </is>
      </c>
      <c r="E1719" t="inlineStr">
        <is>
          <t>ussd_funeral_leads_altitude_20260619</t>
        </is>
      </c>
      <c r="J1719" t="inlineStr">
        <is>
          <t>AA</t>
        </is>
      </c>
      <c r="K1719" t="inlineStr">
        <is>
          <t>Answering Machine Autodial</t>
        </is>
      </c>
      <c r="L1719" t="n">
        <v>3</v>
      </c>
      <c r="M1719" t="inlineStr">
        <is>
          <t>2026-06-23 13:44:05</t>
        </is>
      </c>
      <c r="N1719" t="inlineStr">
        <is>
          <t>system</t>
        </is>
      </c>
      <c r="O1719" t="inlineStr">
        <is>
          <t>2026-06-19 07:10:32</t>
        </is>
      </c>
      <c r="P1719" t="inlineStr">
        <is>
          <t>2026-06-19 07:10:32</t>
        </is>
      </c>
      <c r="Y1719" t="inlineStr">
        <is>
          <t>27664422520</t>
        </is>
      </c>
    </row>
    <row r="1720">
      <c r="A1720" t="inlineStr">
        <is>
          <t>14944656</t>
        </is>
      </c>
      <c r="B1720" t="inlineStr">
        <is>
          <t>bcf49165-67f3-45fc-a137-7bcb2b8cce69</t>
        </is>
      </c>
      <c r="D1720" t="inlineStr">
        <is>
          <t>30001087</t>
        </is>
      </c>
      <c r="E1720" t="inlineStr">
        <is>
          <t>ussd_funeral_leads_altitude_20260619</t>
        </is>
      </c>
      <c r="J1720" t="inlineStr">
        <is>
          <t>NA</t>
        </is>
      </c>
      <c r="K1720" t="inlineStr">
        <is>
          <t>No Answer Autodial</t>
        </is>
      </c>
      <c r="L1720" t="n">
        <v>3</v>
      </c>
      <c r="M1720" t="inlineStr">
        <is>
          <t>2026-06-23 13:44:04</t>
        </is>
      </c>
      <c r="N1720" t="inlineStr">
        <is>
          <t>system</t>
        </is>
      </c>
      <c r="O1720" t="inlineStr">
        <is>
          <t>2026-06-19 07:10:32</t>
        </is>
      </c>
      <c r="P1720" t="inlineStr">
        <is>
          <t>2026-06-19 07:10:32</t>
        </is>
      </c>
      <c r="Y1720" t="inlineStr">
        <is>
          <t>27728960444</t>
        </is>
      </c>
    </row>
    <row r="1721">
      <c r="A1721" t="inlineStr">
        <is>
          <t>14944655</t>
        </is>
      </c>
      <c r="B1721" t="inlineStr">
        <is>
          <t>c3e79644-c262-4203-b198-de3ff6c5311a</t>
        </is>
      </c>
      <c r="D1721" t="inlineStr">
        <is>
          <t>30001087</t>
        </is>
      </c>
      <c r="E1721" t="inlineStr">
        <is>
          <t>ussd_funeral_leads_altitude_20260619</t>
        </is>
      </c>
      <c r="J1721" t="inlineStr">
        <is>
          <t>AA</t>
        </is>
      </c>
      <c r="K1721" t="inlineStr">
        <is>
          <t>Answering Machine Autodial</t>
        </is>
      </c>
      <c r="L1721" t="n">
        <v>3</v>
      </c>
      <c r="M1721" t="inlineStr">
        <is>
          <t>2026-06-23 13:44:03</t>
        </is>
      </c>
      <c r="N1721" t="inlineStr">
        <is>
          <t>system</t>
        </is>
      </c>
      <c r="O1721" t="inlineStr">
        <is>
          <t>2026-06-19 07:10:32</t>
        </is>
      </c>
      <c r="P1721" t="inlineStr">
        <is>
          <t>2026-06-19 07:10:32</t>
        </is>
      </c>
      <c r="Y1721" t="inlineStr">
        <is>
          <t>27648777576</t>
        </is>
      </c>
    </row>
    <row r="1722">
      <c r="A1722" t="inlineStr">
        <is>
          <t>14944654</t>
        </is>
      </c>
      <c r="B1722" t="inlineStr">
        <is>
          <t>cb795c93-c3fa-4eb7-aed0-b4180bb1df10</t>
        </is>
      </c>
      <c r="D1722" t="inlineStr">
        <is>
          <t>30001087</t>
        </is>
      </c>
      <c r="E1722" t="inlineStr">
        <is>
          <t>ussd_funeral_leads_altitude_20260619</t>
        </is>
      </c>
      <c r="J1722" t="inlineStr">
        <is>
          <t>CU</t>
        </is>
      </c>
      <c r="K1722" t="inlineStr">
        <is>
          <t>Client Hung Up</t>
        </is>
      </c>
      <c r="L1722" t="n">
        <v>3</v>
      </c>
      <c r="M1722" t="inlineStr">
        <is>
          <t>2026-06-23 13:44:01</t>
        </is>
      </c>
      <c r="N1722" t="inlineStr">
        <is>
          <t>Dimakatso Nkomo</t>
        </is>
      </c>
      <c r="O1722" t="inlineStr">
        <is>
          <t>2026-06-19 07:10:32</t>
        </is>
      </c>
      <c r="P1722" t="inlineStr">
        <is>
          <t>2026-06-19 07:10:32</t>
        </is>
      </c>
      <c r="Y1722" t="inlineStr">
        <is>
          <t>27795794783</t>
        </is>
      </c>
    </row>
    <row r="1723">
      <c r="A1723" t="inlineStr">
        <is>
          <t>14944652</t>
        </is>
      </c>
      <c r="B1723" t="inlineStr">
        <is>
          <t>7d02979c-d8e4-4e92-8732-acadfd7bdf13</t>
        </is>
      </c>
      <c r="D1723" t="inlineStr">
        <is>
          <t>30001087</t>
        </is>
      </c>
      <c r="E1723" t="inlineStr">
        <is>
          <t>ussd_funeral_leads_altitude_20260619</t>
        </is>
      </c>
      <c r="J1723" t="inlineStr">
        <is>
          <t>AA</t>
        </is>
      </c>
      <c r="K1723" t="inlineStr">
        <is>
          <t>Answering Machine Autodial</t>
        </is>
      </c>
      <c r="L1723" t="n">
        <v>3</v>
      </c>
      <c r="M1723" t="inlineStr">
        <is>
          <t>2026-06-23 13:44:00</t>
        </is>
      </c>
      <c r="N1723" t="inlineStr">
        <is>
          <t>system</t>
        </is>
      </c>
      <c r="O1723" t="inlineStr">
        <is>
          <t>2026-06-19 07:10:32</t>
        </is>
      </c>
      <c r="P1723" t="inlineStr">
        <is>
          <t>2026-06-19 07:10:32</t>
        </is>
      </c>
      <c r="Y1723" t="inlineStr">
        <is>
          <t>27820973903</t>
        </is>
      </c>
    </row>
    <row r="1724">
      <c r="A1724" t="inlineStr">
        <is>
          <t>14944653</t>
        </is>
      </c>
      <c r="B1724" t="inlineStr">
        <is>
          <t>b68bb937-42f4-4bf3-9074-42d93c352e16</t>
        </is>
      </c>
      <c r="D1724" t="inlineStr">
        <is>
          <t>30001087</t>
        </is>
      </c>
      <c r="E1724" t="inlineStr">
        <is>
          <t>ussd_funeral_leads_altitude_20260619</t>
        </is>
      </c>
      <c r="J1724" t="inlineStr">
        <is>
          <t>AA</t>
        </is>
      </c>
      <c r="K1724" t="inlineStr">
        <is>
          <t>Answering Machine Autodial</t>
        </is>
      </c>
      <c r="L1724" t="n">
        <v>3</v>
      </c>
      <c r="M1724" t="inlineStr">
        <is>
          <t>2026-06-23 13:44:00</t>
        </is>
      </c>
      <c r="N1724" t="inlineStr">
        <is>
          <t>system</t>
        </is>
      </c>
      <c r="O1724" t="inlineStr">
        <is>
          <t>2026-06-19 07:10:32</t>
        </is>
      </c>
      <c r="P1724" t="inlineStr">
        <is>
          <t>2026-06-19 07:10:32</t>
        </is>
      </c>
      <c r="Y1724" t="inlineStr">
        <is>
          <t>27722500827</t>
        </is>
      </c>
    </row>
    <row r="1725">
      <c r="A1725" t="inlineStr">
        <is>
          <t>14944648</t>
        </is>
      </c>
      <c r="B1725" t="inlineStr">
        <is>
          <t>3f838116-3f58-44cd-af73-f230b463f928</t>
        </is>
      </c>
      <c r="D1725" t="inlineStr">
        <is>
          <t>30001087</t>
        </is>
      </c>
      <c r="E1725" t="inlineStr">
        <is>
          <t>ussd_funeral_leads_altitude_20260619</t>
        </is>
      </c>
      <c r="J1725" t="inlineStr">
        <is>
          <t>ADC</t>
        </is>
      </c>
      <c r="K1725" t="inlineStr">
        <is>
          <t>Auto Dial Disconnected</t>
        </is>
      </c>
      <c r="L1725" t="n">
        <v>3</v>
      </c>
      <c r="M1725" t="inlineStr">
        <is>
          <t>2026-06-23 13:43:59</t>
        </is>
      </c>
      <c r="N1725" t="inlineStr">
        <is>
          <t>system</t>
        </is>
      </c>
      <c r="O1725" t="inlineStr">
        <is>
          <t>2026-06-19 07:10:32</t>
        </is>
      </c>
      <c r="P1725" t="inlineStr">
        <is>
          <t>2026-06-19 07:10:32</t>
        </is>
      </c>
      <c r="Y1725" t="inlineStr">
        <is>
          <t>27792516143</t>
        </is>
      </c>
    </row>
    <row r="1726">
      <c r="A1726" t="inlineStr">
        <is>
          <t>14944649</t>
        </is>
      </c>
      <c r="B1726" t="inlineStr">
        <is>
          <t>b675a970-a600-42cc-96b2-7486eabafa84</t>
        </is>
      </c>
      <c r="D1726" t="inlineStr">
        <is>
          <t>30001087</t>
        </is>
      </c>
      <c r="E1726" t="inlineStr">
        <is>
          <t>ussd_funeral_leads_altitude_20260619</t>
        </is>
      </c>
      <c r="J1726" t="inlineStr">
        <is>
          <t>AA</t>
        </is>
      </c>
      <c r="K1726" t="inlineStr">
        <is>
          <t>Answering Machine Autodial</t>
        </is>
      </c>
      <c r="L1726" t="n">
        <v>3</v>
      </c>
      <c r="M1726" t="inlineStr">
        <is>
          <t>2026-06-23 13:43:59</t>
        </is>
      </c>
      <c r="N1726" t="inlineStr">
        <is>
          <t>system</t>
        </is>
      </c>
      <c r="O1726" t="inlineStr">
        <is>
          <t>2026-06-19 07:10:32</t>
        </is>
      </c>
      <c r="P1726" t="inlineStr">
        <is>
          <t>2026-06-19 07:10:32</t>
        </is>
      </c>
      <c r="Y1726" t="inlineStr">
        <is>
          <t>27608241524</t>
        </is>
      </c>
    </row>
    <row r="1727">
      <c r="A1727" t="inlineStr">
        <is>
          <t>14944650</t>
        </is>
      </c>
      <c r="B1727" t="inlineStr">
        <is>
          <t>e9e3003d-af63-4767-95b0-d9957d00ea74</t>
        </is>
      </c>
      <c r="D1727" t="inlineStr">
        <is>
          <t>30001087</t>
        </is>
      </c>
      <c r="E1727" t="inlineStr">
        <is>
          <t>ussd_funeral_leads_altitude_20260619</t>
        </is>
      </c>
      <c r="J1727" t="inlineStr">
        <is>
          <t>AA</t>
        </is>
      </c>
      <c r="K1727" t="inlineStr">
        <is>
          <t>Answering Machine Autodial</t>
        </is>
      </c>
      <c r="L1727" t="n">
        <v>3</v>
      </c>
      <c r="M1727" t="inlineStr">
        <is>
          <t>2026-06-23 13:43:59</t>
        </is>
      </c>
      <c r="N1727" t="inlineStr">
        <is>
          <t>system</t>
        </is>
      </c>
      <c r="O1727" t="inlineStr">
        <is>
          <t>2026-06-19 07:10:32</t>
        </is>
      </c>
      <c r="P1727" t="inlineStr">
        <is>
          <t>2026-06-19 07:10:32</t>
        </is>
      </c>
      <c r="Y1727" t="inlineStr">
        <is>
          <t>27795327981</t>
        </is>
      </c>
    </row>
    <row r="1728">
      <c r="A1728" t="inlineStr">
        <is>
          <t>14944651</t>
        </is>
      </c>
      <c r="B1728" t="inlineStr">
        <is>
          <t>441186aa-5ddc-4b2e-a18a-4751a532d0e9</t>
        </is>
      </c>
      <c r="D1728" t="inlineStr">
        <is>
          <t>30001087</t>
        </is>
      </c>
      <c r="E1728" t="inlineStr">
        <is>
          <t>ussd_funeral_leads_altitude_20260619</t>
        </is>
      </c>
      <c r="J1728" t="inlineStr">
        <is>
          <t>AE</t>
        </is>
      </c>
      <c r="K1728" t="inlineStr">
        <is>
          <t>Auto Engaged</t>
        </is>
      </c>
      <c r="L1728" t="n">
        <v>3</v>
      </c>
      <c r="M1728" t="inlineStr">
        <is>
          <t>2026-06-23 13:43:59</t>
        </is>
      </c>
      <c r="N1728" t="inlineStr">
        <is>
          <t>system</t>
        </is>
      </c>
      <c r="O1728" t="inlineStr">
        <is>
          <t>2026-06-19 07:10:32</t>
        </is>
      </c>
      <c r="P1728" t="inlineStr">
        <is>
          <t>2026-06-19 07:10:32</t>
        </is>
      </c>
      <c r="Y1728" t="inlineStr">
        <is>
          <t>27773700189</t>
        </is>
      </c>
    </row>
    <row r="1729">
      <c r="A1729" t="inlineStr">
        <is>
          <t>14944647</t>
        </is>
      </c>
      <c r="B1729" t="inlineStr">
        <is>
          <t>802a9ab3-2435-45b0-bf02-bac91f587f2c</t>
        </is>
      </c>
      <c r="D1729" t="inlineStr">
        <is>
          <t>30001087</t>
        </is>
      </c>
      <c r="E1729" t="inlineStr">
        <is>
          <t>ussd_funeral_leads_altitude_20260619</t>
        </is>
      </c>
      <c r="J1729" t="inlineStr">
        <is>
          <t>NA</t>
        </is>
      </c>
      <c r="K1729" t="inlineStr">
        <is>
          <t>No Answer Autodial</t>
        </is>
      </c>
      <c r="L1729" t="n">
        <v>3</v>
      </c>
      <c r="M1729" t="inlineStr">
        <is>
          <t>2026-06-23 13:43:58</t>
        </is>
      </c>
      <c r="N1729" t="inlineStr">
        <is>
          <t>system</t>
        </is>
      </c>
      <c r="O1729" t="inlineStr">
        <is>
          <t>2026-06-19 07:10:32</t>
        </is>
      </c>
      <c r="P1729" t="inlineStr">
        <is>
          <t>2026-06-19 07:10:32</t>
        </is>
      </c>
      <c r="Y1729" t="inlineStr">
        <is>
          <t>27794988397</t>
        </is>
      </c>
    </row>
    <row r="1730">
      <c r="A1730" t="inlineStr">
        <is>
          <t>14944646</t>
        </is>
      </c>
      <c r="B1730" t="inlineStr">
        <is>
          <t>be63280d-2c9f-4627-a5ec-9856434be731</t>
        </is>
      </c>
      <c r="D1730" t="inlineStr">
        <is>
          <t>30001087</t>
        </is>
      </c>
      <c r="E1730" t="inlineStr">
        <is>
          <t>ussd_funeral_leads_altitude_20260619</t>
        </is>
      </c>
      <c r="J1730" t="inlineStr">
        <is>
          <t>NA</t>
        </is>
      </c>
      <c r="K1730" t="inlineStr">
        <is>
          <t>No Answer Autodial</t>
        </is>
      </c>
      <c r="L1730" t="n">
        <v>3</v>
      </c>
      <c r="M1730" t="inlineStr">
        <is>
          <t>2026-06-23 13:43:55</t>
        </is>
      </c>
      <c r="N1730" t="inlineStr">
        <is>
          <t>system</t>
        </is>
      </c>
      <c r="O1730" t="inlineStr">
        <is>
          <t>2026-06-19 07:10:32</t>
        </is>
      </c>
      <c r="P1730" t="inlineStr">
        <is>
          <t>2026-06-19 07:10:32</t>
        </is>
      </c>
      <c r="Y1730" t="inlineStr">
        <is>
          <t>27609740931</t>
        </is>
      </c>
    </row>
    <row r="1731">
      <c r="A1731" t="inlineStr">
        <is>
          <t>14944644</t>
        </is>
      </c>
      <c r="B1731" t="inlineStr">
        <is>
          <t>40d54a99-16ca-4602-a39b-9105d7c6665e</t>
        </is>
      </c>
      <c r="D1731" t="inlineStr">
        <is>
          <t>30001087</t>
        </is>
      </c>
      <c r="E1731" t="inlineStr">
        <is>
          <t>ussd_funeral_leads_altitude_20260619</t>
        </is>
      </c>
      <c r="J1731" t="inlineStr">
        <is>
          <t>NA</t>
        </is>
      </c>
      <c r="K1731" t="inlineStr">
        <is>
          <t>No Answer Autodial</t>
        </is>
      </c>
      <c r="L1731" t="n">
        <v>3</v>
      </c>
      <c r="M1731" t="inlineStr">
        <is>
          <t>2026-06-23 13:43:54</t>
        </is>
      </c>
      <c r="N1731" t="inlineStr">
        <is>
          <t>system</t>
        </is>
      </c>
      <c r="O1731" t="inlineStr">
        <is>
          <t>2026-06-19 07:10:32</t>
        </is>
      </c>
      <c r="P1731" t="inlineStr">
        <is>
          <t>2026-06-19 07:10:32</t>
        </is>
      </c>
      <c r="Y1731" t="inlineStr">
        <is>
          <t>27724086415</t>
        </is>
      </c>
    </row>
    <row r="1732">
      <c r="A1732" t="inlineStr">
        <is>
          <t>14944645</t>
        </is>
      </c>
      <c r="B1732" t="inlineStr">
        <is>
          <t>6713155b-720c-4cc7-94a0-74f8d2cf5d6b</t>
        </is>
      </c>
      <c r="D1732" t="inlineStr">
        <is>
          <t>30001087</t>
        </is>
      </c>
      <c r="E1732" t="inlineStr">
        <is>
          <t>ussd_funeral_leads_altitude_20260619</t>
        </is>
      </c>
      <c r="J1732" t="inlineStr">
        <is>
          <t>CU</t>
        </is>
      </c>
      <c r="K1732" t="inlineStr">
        <is>
          <t>Client Hung Up</t>
        </is>
      </c>
      <c r="L1732" t="n">
        <v>3</v>
      </c>
      <c r="M1732" t="inlineStr">
        <is>
          <t>2026-06-23 13:43:54</t>
        </is>
      </c>
      <c r="N1732" t="inlineStr">
        <is>
          <t>Gontse Monageng</t>
        </is>
      </c>
      <c r="O1732" t="inlineStr">
        <is>
          <t>2026-06-19 07:10:32</t>
        </is>
      </c>
      <c r="P1732" t="inlineStr">
        <is>
          <t>2026-06-19 07:10:32</t>
        </is>
      </c>
      <c r="Y1732" t="inlineStr">
        <is>
          <t>27761177317</t>
        </is>
      </c>
    </row>
    <row r="1733">
      <c r="A1733" t="inlineStr">
        <is>
          <t>14944642</t>
        </is>
      </c>
      <c r="B1733" t="inlineStr">
        <is>
          <t>9166fbd3-3f0b-4459-a060-9f5f25f63bb8</t>
        </is>
      </c>
      <c r="D1733" t="inlineStr">
        <is>
          <t>30001087</t>
        </is>
      </c>
      <c r="E1733" t="inlineStr">
        <is>
          <t>ussd_funeral_leads_altitude_20260619</t>
        </is>
      </c>
      <c r="J1733" t="inlineStr">
        <is>
          <t>ADC</t>
        </is>
      </c>
      <c r="K1733" t="inlineStr">
        <is>
          <t>Auto Dial Disconnected</t>
        </is>
      </c>
      <c r="L1733" t="n">
        <v>3</v>
      </c>
      <c r="M1733" t="inlineStr">
        <is>
          <t>2026-06-23 13:43:51</t>
        </is>
      </c>
      <c r="N1733" t="inlineStr">
        <is>
          <t>system</t>
        </is>
      </c>
      <c r="O1733" t="inlineStr">
        <is>
          <t>2026-06-19 07:10:32</t>
        </is>
      </c>
      <c r="P1733" t="inlineStr">
        <is>
          <t>2026-06-19 07:10:32</t>
        </is>
      </c>
      <c r="Y1733" t="inlineStr">
        <is>
          <t>27662697524</t>
        </is>
      </c>
    </row>
    <row r="1734">
      <c r="A1734" t="inlineStr">
        <is>
          <t>14944639</t>
        </is>
      </c>
      <c r="B1734" t="inlineStr">
        <is>
          <t>8d027ff2-149e-44b6-980c-e21338800eb8</t>
        </is>
      </c>
      <c r="D1734" t="inlineStr">
        <is>
          <t>30001087</t>
        </is>
      </c>
      <c r="E1734" t="inlineStr">
        <is>
          <t>ussd_funeral_leads_altitude_20260619</t>
        </is>
      </c>
      <c r="J1734" t="inlineStr">
        <is>
          <t>ADC</t>
        </is>
      </c>
      <c r="K1734" t="inlineStr">
        <is>
          <t>Auto Dial Disconnected</t>
        </is>
      </c>
      <c r="L1734" t="n">
        <v>3</v>
      </c>
      <c r="M1734" t="inlineStr">
        <is>
          <t>2026-06-23 13:43:50</t>
        </is>
      </c>
      <c r="N1734" t="inlineStr">
        <is>
          <t>system</t>
        </is>
      </c>
      <c r="O1734" t="inlineStr">
        <is>
          <t>2026-06-19 07:10:32</t>
        </is>
      </c>
      <c r="P1734" t="inlineStr">
        <is>
          <t>2026-06-19 07:10:32</t>
        </is>
      </c>
      <c r="Y1734" t="inlineStr">
        <is>
          <t>27729554471</t>
        </is>
      </c>
    </row>
    <row r="1735">
      <c r="A1735" t="inlineStr">
        <is>
          <t>14944641</t>
        </is>
      </c>
      <c r="B1735" t="inlineStr">
        <is>
          <t>32703b38-61cc-4ed5-9801-3d8956087604</t>
        </is>
      </c>
      <c r="D1735" t="inlineStr">
        <is>
          <t>30001087</t>
        </is>
      </c>
      <c r="E1735" t="inlineStr">
        <is>
          <t>ussd_funeral_leads_altitude_20260619</t>
        </is>
      </c>
      <c r="J1735" t="inlineStr">
        <is>
          <t>AA</t>
        </is>
      </c>
      <c r="K1735" t="inlineStr">
        <is>
          <t>Answering Machine Autodial</t>
        </is>
      </c>
      <c r="L1735" t="n">
        <v>3</v>
      </c>
      <c r="M1735" t="inlineStr">
        <is>
          <t>2026-06-23 13:43:50</t>
        </is>
      </c>
      <c r="N1735" t="inlineStr">
        <is>
          <t>system</t>
        </is>
      </c>
      <c r="O1735" t="inlineStr">
        <is>
          <t>2026-06-19 07:10:32</t>
        </is>
      </c>
      <c r="P1735" t="inlineStr">
        <is>
          <t>2026-06-19 07:10:32</t>
        </is>
      </c>
      <c r="Y1735" t="inlineStr">
        <is>
          <t>27739091915</t>
        </is>
      </c>
    </row>
    <row r="1736">
      <c r="A1736" t="inlineStr">
        <is>
          <t>14944638</t>
        </is>
      </c>
      <c r="B1736" t="inlineStr">
        <is>
          <t>6037c111-7861-46e8-8b6a-6c662b007f47</t>
        </is>
      </c>
      <c r="D1736" t="inlineStr">
        <is>
          <t>30001087</t>
        </is>
      </c>
      <c r="E1736" t="inlineStr">
        <is>
          <t>ussd_funeral_leads_altitude_20260619</t>
        </is>
      </c>
      <c r="J1736" t="inlineStr">
        <is>
          <t>ADC</t>
        </is>
      </c>
      <c r="K1736" t="inlineStr">
        <is>
          <t>Auto Dial Disconnected</t>
        </is>
      </c>
      <c r="L1736" t="n">
        <v>3</v>
      </c>
      <c r="M1736" t="inlineStr">
        <is>
          <t>2026-06-23 13:43:47</t>
        </is>
      </c>
      <c r="N1736" t="inlineStr">
        <is>
          <t>system</t>
        </is>
      </c>
      <c r="O1736" t="inlineStr">
        <is>
          <t>2026-06-19 07:10:32</t>
        </is>
      </c>
      <c r="P1736" t="inlineStr">
        <is>
          <t>2026-06-19 07:10:32</t>
        </is>
      </c>
      <c r="Y1736" t="inlineStr">
        <is>
          <t>27609549147</t>
        </is>
      </c>
    </row>
    <row r="1737">
      <c r="A1737" t="inlineStr">
        <is>
          <t>14944635</t>
        </is>
      </c>
      <c r="B1737" t="inlineStr">
        <is>
          <t>42dd97de-a4a6-4f13-acfa-e4a6deff48b6</t>
        </is>
      </c>
      <c r="D1737" t="inlineStr">
        <is>
          <t>30001087</t>
        </is>
      </c>
      <c r="E1737" t="inlineStr">
        <is>
          <t>ussd_funeral_leads_altitude_20260619</t>
        </is>
      </c>
      <c r="J1737" t="inlineStr">
        <is>
          <t>TDN</t>
        </is>
      </c>
      <c r="K1737" t="inlineStr">
        <is>
          <t>Temporary Disconnected Number</t>
        </is>
      </c>
      <c r="L1737" t="n">
        <v>3</v>
      </c>
      <c r="M1737" t="inlineStr">
        <is>
          <t>2026-06-23 13:43:45</t>
        </is>
      </c>
      <c r="N1737" t="inlineStr">
        <is>
          <t>system</t>
        </is>
      </c>
      <c r="O1737" t="inlineStr">
        <is>
          <t>2026-06-19 07:10:32</t>
        </is>
      </c>
      <c r="P1737" t="inlineStr">
        <is>
          <t>2026-06-19 07:10:32</t>
        </is>
      </c>
      <c r="Y1737" t="inlineStr">
        <is>
          <t>27818882359</t>
        </is>
      </c>
    </row>
    <row r="1738">
      <c r="A1738" t="inlineStr">
        <is>
          <t>14944637</t>
        </is>
      </c>
      <c r="B1738" t="inlineStr">
        <is>
          <t>a87986b3-35f7-47cc-9e43-12752a0bce27</t>
        </is>
      </c>
      <c r="D1738" t="inlineStr">
        <is>
          <t>30001087</t>
        </is>
      </c>
      <c r="E1738" t="inlineStr">
        <is>
          <t>ussd_funeral_leads_altitude_20260619</t>
        </is>
      </c>
      <c r="J1738" t="inlineStr">
        <is>
          <t>ADC</t>
        </is>
      </c>
      <c r="K1738" t="inlineStr">
        <is>
          <t>Auto Dial Disconnected</t>
        </is>
      </c>
      <c r="L1738" t="n">
        <v>3</v>
      </c>
      <c r="M1738" t="inlineStr">
        <is>
          <t>2026-06-23 13:43:45</t>
        </is>
      </c>
      <c r="N1738" t="inlineStr">
        <is>
          <t>system</t>
        </is>
      </c>
      <c r="O1738" t="inlineStr">
        <is>
          <t>2026-06-19 07:10:32</t>
        </is>
      </c>
      <c r="P1738" t="inlineStr">
        <is>
          <t>2026-06-19 07:10:32</t>
        </is>
      </c>
      <c r="Y1738" t="inlineStr">
        <is>
          <t>27822241418</t>
        </is>
      </c>
    </row>
    <row r="1739">
      <c r="A1739" t="inlineStr">
        <is>
          <t>14947245</t>
        </is>
      </c>
      <c r="B1739" t="inlineStr">
        <is>
          <t>ca6ff318-7870-4ce2-8112-8fd9f18e7fe6</t>
        </is>
      </c>
      <c r="D1739" t="inlineStr">
        <is>
          <t>30001087</t>
        </is>
      </c>
      <c r="E1739" t="inlineStr">
        <is>
          <t>ussd_funeral_leads_altitude_20260619</t>
        </is>
      </c>
      <c r="J1739" t="inlineStr">
        <is>
          <t>AA</t>
        </is>
      </c>
      <c r="K1739" t="inlineStr">
        <is>
          <t>Answering Machine Autodial</t>
        </is>
      </c>
      <c r="L1739" t="n">
        <v>3</v>
      </c>
      <c r="M1739" t="inlineStr">
        <is>
          <t>2026-06-23 13:43:45</t>
        </is>
      </c>
      <c r="N1739" t="inlineStr">
        <is>
          <t>system</t>
        </is>
      </c>
      <c r="O1739" t="inlineStr">
        <is>
          <t>2026-06-19 07:10:32</t>
        </is>
      </c>
      <c r="P1739" t="inlineStr">
        <is>
          <t>2026-06-19 07:10:32</t>
        </is>
      </c>
      <c r="Y1739" t="inlineStr">
        <is>
          <t>27820467896</t>
        </is>
      </c>
    </row>
    <row r="1740">
      <c r="A1740" t="inlineStr">
        <is>
          <t>14944860</t>
        </is>
      </c>
      <c r="B1740" t="inlineStr">
        <is>
          <t>d68c0a40-d19c-4446-aad3-84caa1d18c0f</t>
        </is>
      </c>
      <c r="D1740" t="inlineStr">
        <is>
          <t>30001087</t>
        </is>
      </c>
      <c r="E1740" t="inlineStr">
        <is>
          <t>ussd_funeral_leads_altitude_20260619</t>
        </is>
      </c>
      <c r="J1740" t="inlineStr">
        <is>
          <t>AA</t>
        </is>
      </c>
      <c r="K1740" t="inlineStr">
        <is>
          <t>Answering Machine Autodial</t>
        </is>
      </c>
      <c r="L1740" t="n">
        <v>3</v>
      </c>
      <c r="M1740" t="inlineStr">
        <is>
          <t>2026-06-23 13:42:15</t>
        </is>
      </c>
      <c r="N1740" t="inlineStr">
        <is>
          <t>system</t>
        </is>
      </c>
      <c r="O1740" t="inlineStr">
        <is>
          <t>2026-06-19 07:10:32</t>
        </is>
      </c>
      <c r="P1740" t="inlineStr">
        <is>
          <t>2026-06-19 07:10:32</t>
        </is>
      </c>
      <c r="Y1740" t="inlineStr">
        <is>
          <t>27665190087</t>
        </is>
      </c>
    </row>
    <row r="1741">
      <c r="A1741" t="inlineStr">
        <is>
          <t>14944861</t>
        </is>
      </c>
      <c r="B1741" t="inlineStr">
        <is>
          <t>dc0c978b-2125-4c95-b7bf-f00aac11a238</t>
        </is>
      </c>
      <c r="D1741" t="inlineStr">
        <is>
          <t>30001087</t>
        </is>
      </c>
      <c r="E1741" t="inlineStr">
        <is>
          <t>ussd_funeral_leads_altitude_20260619</t>
        </is>
      </c>
      <c r="J1741" t="inlineStr">
        <is>
          <t>NA</t>
        </is>
      </c>
      <c r="K1741" t="inlineStr">
        <is>
          <t>No Answer Autodial</t>
        </is>
      </c>
      <c r="L1741" t="n">
        <v>3</v>
      </c>
      <c r="M1741" t="inlineStr">
        <is>
          <t>2026-06-23 13:42:15</t>
        </is>
      </c>
      <c r="N1741" t="inlineStr">
        <is>
          <t>system</t>
        </is>
      </c>
      <c r="O1741" t="inlineStr">
        <is>
          <t>2026-06-19 07:10:32</t>
        </is>
      </c>
      <c r="P1741" t="inlineStr">
        <is>
          <t>2026-06-19 07:10:32</t>
        </is>
      </c>
      <c r="Y1741" t="inlineStr">
        <is>
          <t>27636584081</t>
        </is>
      </c>
    </row>
    <row r="1742">
      <c r="A1742" t="inlineStr">
        <is>
          <t>14944862</t>
        </is>
      </c>
      <c r="B1742" t="inlineStr">
        <is>
          <t>88701e65-c2d3-4ab0-8677-94f4d35c3739</t>
        </is>
      </c>
      <c r="D1742" t="inlineStr">
        <is>
          <t>30001087</t>
        </is>
      </c>
      <c r="E1742" t="inlineStr">
        <is>
          <t>ussd_funeral_leads_altitude_20260619</t>
        </is>
      </c>
      <c r="H1742" t="inlineStr">
        <is>
          <t>27720187044</t>
        </is>
      </c>
      <c r="J1742" t="inlineStr">
        <is>
          <t>CU</t>
        </is>
      </c>
      <c r="K1742" t="inlineStr">
        <is>
          <t>Client Hung Up</t>
        </is>
      </c>
      <c r="L1742" t="n">
        <v>3</v>
      </c>
      <c r="M1742" t="inlineStr">
        <is>
          <t>2026-06-23 13:42:15</t>
        </is>
      </c>
      <c r="N1742" t="inlineStr">
        <is>
          <t>Gontse Monageng</t>
        </is>
      </c>
      <c r="O1742" t="inlineStr">
        <is>
          <t>2026-06-19 07:10:32</t>
        </is>
      </c>
      <c r="P1742" t="inlineStr">
        <is>
          <t>2026-06-19 07:10:32</t>
        </is>
      </c>
      <c r="Y1742" t="inlineStr">
        <is>
          <t>27720187044</t>
        </is>
      </c>
    </row>
    <row r="1743">
      <c r="A1743" t="inlineStr">
        <is>
          <t>14944859</t>
        </is>
      </c>
      <c r="B1743" t="inlineStr">
        <is>
          <t>5b7f017e-b88a-438e-99db-dfc34d74e539</t>
        </is>
      </c>
      <c r="D1743" t="inlineStr">
        <is>
          <t>30001087</t>
        </is>
      </c>
      <c r="E1743" t="inlineStr">
        <is>
          <t>ussd_funeral_leads_altitude_20260619</t>
        </is>
      </c>
      <c r="J1743" t="inlineStr">
        <is>
          <t>NA</t>
        </is>
      </c>
      <c r="K1743" t="inlineStr">
        <is>
          <t>No Answer Autodial</t>
        </is>
      </c>
      <c r="L1743" t="n">
        <v>3</v>
      </c>
      <c r="M1743" t="inlineStr">
        <is>
          <t>2026-06-23 13:42:04</t>
        </is>
      </c>
      <c r="N1743" t="inlineStr">
        <is>
          <t>system</t>
        </is>
      </c>
      <c r="O1743" t="inlineStr">
        <is>
          <t>2026-06-19 07:10:32</t>
        </is>
      </c>
      <c r="P1743" t="inlineStr">
        <is>
          <t>2026-06-19 07:10:32</t>
        </is>
      </c>
      <c r="Y1743" t="inlineStr">
        <is>
          <t>27637535429</t>
        </is>
      </c>
    </row>
    <row r="1744">
      <c r="A1744" t="inlineStr">
        <is>
          <t>14944858</t>
        </is>
      </c>
      <c r="B1744" t="inlineStr">
        <is>
          <t>b9b105d8-3485-4d97-853d-097a3a863593</t>
        </is>
      </c>
      <c r="D1744" t="inlineStr">
        <is>
          <t>30001087</t>
        </is>
      </c>
      <c r="E1744" t="inlineStr">
        <is>
          <t>ussd_funeral_leads_altitude_20260619</t>
        </is>
      </c>
      <c r="J1744" t="inlineStr">
        <is>
          <t>U</t>
        </is>
      </c>
      <c r="K1744" t="inlineStr">
        <is>
          <t>Unemployed</t>
        </is>
      </c>
      <c r="L1744" t="n">
        <v>3</v>
      </c>
      <c r="M1744" t="inlineStr">
        <is>
          <t>2026-06-23 13:42:03</t>
        </is>
      </c>
      <c r="N1744" t="inlineStr">
        <is>
          <t>Lebohang Mabotja</t>
        </is>
      </c>
      <c r="O1744" t="inlineStr">
        <is>
          <t>2026-06-19 07:10:32</t>
        </is>
      </c>
      <c r="P1744" t="inlineStr">
        <is>
          <t>2026-06-19 07:10:32</t>
        </is>
      </c>
      <c r="Y1744" t="inlineStr">
        <is>
          <t>27768039464</t>
        </is>
      </c>
    </row>
    <row r="1745">
      <c r="A1745" t="inlineStr">
        <is>
          <t>14944856</t>
        </is>
      </c>
      <c r="B1745" t="inlineStr">
        <is>
          <t>0cd7d5c6-5a65-4709-a1a9-e27157779c27</t>
        </is>
      </c>
      <c r="D1745" t="inlineStr">
        <is>
          <t>30001087</t>
        </is>
      </c>
      <c r="E1745" t="inlineStr">
        <is>
          <t>ussd_funeral_leads_altitude_20260619</t>
        </is>
      </c>
      <c r="J1745" t="inlineStr">
        <is>
          <t>CU</t>
        </is>
      </c>
      <c r="K1745" t="inlineStr">
        <is>
          <t>Client Hung Up</t>
        </is>
      </c>
      <c r="L1745" t="n">
        <v>3</v>
      </c>
      <c r="M1745" t="inlineStr">
        <is>
          <t>2026-06-23 13:42:00</t>
        </is>
      </c>
      <c r="N1745" t="inlineStr">
        <is>
          <t>Gontse Monageng</t>
        </is>
      </c>
      <c r="O1745" t="inlineStr">
        <is>
          <t>2026-06-19 07:10:32</t>
        </is>
      </c>
      <c r="P1745" t="inlineStr">
        <is>
          <t>2026-06-19 07:10:32</t>
        </is>
      </c>
      <c r="Y1745" t="inlineStr">
        <is>
          <t>27724366915</t>
        </is>
      </c>
    </row>
    <row r="1746">
      <c r="A1746" t="inlineStr">
        <is>
          <t>14944855</t>
        </is>
      </c>
      <c r="B1746" t="inlineStr">
        <is>
          <t>381dae3b-5453-4304-9575-99c8e08217f0</t>
        </is>
      </c>
      <c r="D1746" t="inlineStr">
        <is>
          <t>30001087</t>
        </is>
      </c>
      <c r="E1746" t="inlineStr">
        <is>
          <t>ussd_funeral_leads_altitude_20260619</t>
        </is>
      </c>
      <c r="J1746" t="inlineStr">
        <is>
          <t>NA</t>
        </is>
      </c>
      <c r="K1746" t="inlineStr">
        <is>
          <t>No Answer Autodial</t>
        </is>
      </c>
      <c r="L1746" t="n">
        <v>3</v>
      </c>
      <c r="M1746" t="inlineStr">
        <is>
          <t>2026-06-23 13:41:58</t>
        </is>
      </c>
      <c r="N1746" t="inlineStr">
        <is>
          <t>system</t>
        </is>
      </c>
      <c r="O1746" t="inlineStr">
        <is>
          <t>2026-06-19 07:10:32</t>
        </is>
      </c>
      <c r="P1746" t="inlineStr">
        <is>
          <t>2026-06-19 07:10:32</t>
        </is>
      </c>
      <c r="Y1746" t="inlineStr">
        <is>
          <t>27713348168</t>
        </is>
      </c>
    </row>
    <row r="1747">
      <c r="A1747" t="inlineStr">
        <is>
          <t>14944851</t>
        </is>
      </c>
      <c r="B1747" t="inlineStr">
        <is>
          <t>8cfae6ea-90f6-4cc5-86a1-6e2d0e32ebb7</t>
        </is>
      </c>
      <c r="D1747" t="inlineStr">
        <is>
          <t>30001087</t>
        </is>
      </c>
      <c r="E1747" t="inlineStr">
        <is>
          <t>ussd_funeral_leads_altitude_20260619</t>
        </is>
      </c>
      <c r="J1747" t="inlineStr">
        <is>
          <t>ADC</t>
        </is>
      </c>
      <c r="K1747" t="inlineStr">
        <is>
          <t>Auto Dial Disconnected</t>
        </is>
      </c>
      <c r="L1747" t="n">
        <v>3</v>
      </c>
      <c r="M1747" t="inlineStr">
        <is>
          <t>2026-06-23 13:41:51</t>
        </is>
      </c>
      <c r="N1747" t="inlineStr">
        <is>
          <t>system</t>
        </is>
      </c>
      <c r="O1747" t="inlineStr">
        <is>
          <t>2026-06-19 07:10:32</t>
        </is>
      </c>
      <c r="P1747" t="inlineStr">
        <is>
          <t>2026-06-19 07:10:32</t>
        </is>
      </c>
      <c r="Y1747" t="inlineStr">
        <is>
          <t>27765668486</t>
        </is>
      </c>
    </row>
    <row r="1748">
      <c r="A1748" t="inlineStr">
        <is>
          <t>14944852</t>
        </is>
      </c>
      <c r="B1748" t="inlineStr">
        <is>
          <t>6d0aeb75-1ead-44d9-8c32-6138ba40f225</t>
        </is>
      </c>
      <c r="D1748" t="inlineStr">
        <is>
          <t>30001087</t>
        </is>
      </c>
      <c r="E1748" t="inlineStr">
        <is>
          <t>ussd_funeral_leads_altitude_20260619</t>
        </is>
      </c>
      <c r="J1748" t="inlineStr">
        <is>
          <t>AA</t>
        </is>
      </c>
      <c r="K1748" t="inlineStr">
        <is>
          <t>Answering Machine Autodial</t>
        </is>
      </c>
      <c r="L1748" t="n">
        <v>3</v>
      </c>
      <c r="M1748" t="inlineStr">
        <is>
          <t>2026-06-23 13:41:51</t>
        </is>
      </c>
      <c r="N1748" t="inlineStr">
        <is>
          <t>system</t>
        </is>
      </c>
      <c r="O1748" t="inlineStr">
        <is>
          <t>2026-06-19 07:10:32</t>
        </is>
      </c>
      <c r="P1748" t="inlineStr">
        <is>
          <t>2026-06-19 07:10:32</t>
        </is>
      </c>
      <c r="Y1748" t="inlineStr">
        <is>
          <t>27722182252</t>
        </is>
      </c>
    </row>
    <row r="1749">
      <c r="A1749" t="inlineStr">
        <is>
          <t>14944853</t>
        </is>
      </c>
      <c r="B1749" t="inlineStr">
        <is>
          <t>528c10b0-0d4e-4aa8-b876-e77dc845159b</t>
        </is>
      </c>
      <c r="D1749" t="inlineStr">
        <is>
          <t>30001087</t>
        </is>
      </c>
      <c r="E1749" t="inlineStr">
        <is>
          <t>ussd_funeral_leads_altitude_20260619</t>
        </is>
      </c>
      <c r="J1749" t="inlineStr">
        <is>
          <t>ADC</t>
        </is>
      </c>
      <c r="K1749" t="inlineStr">
        <is>
          <t>Auto Dial Disconnected</t>
        </is>
      </c>
      <c r="L1749" t="n">
        <v>3</v>
      </c>
      <c r="M1749" t="inlineStr">
        <is>
          <t>2026-06-23 13:41:51</t>
        </is>
      </c>
      <c r="N1749" t="inlineStr">
        <is>
          <t>system</t>
        </is>
      </c>
      <c r="O1749" t="inlineStr">
        <is>
          <t>2026-06-19 07:10:32</t>
        </is>
      </c>
      <c r="P1749" t="inlineStr">
        <is>
          <t>2026-06-19 07:10:32</t>
        </is>
      </c>
      <c r="Y1749" t="inlineStr">
        <is>
          <t>27772802078</t>
        </is>
      </c>
    </row>
    <row r="1750">
      <c r="A1750" t="inlineStr">
        <is>
          <t>14944854</t>
        </is>
      </c>
      <c r="B1750" t="inlineStr">
        <is>
          <t>646b7319-a228-43a2-9b73-6f81f4247f91</t>
        </is>
      </c>
      <c r="D1750" t="inlineStr">
        <is>
          <t>30001087</t>
        </is>
      </c>
      <c r="E1750" t="inlineStr">
        <is>
          <t>ussd_funeral_leads_altitude_20260619</t>
        </is>
      </c>
      <c r="J1750" t="inlineStr">
        <is>
          <t>AA</t>
        </is>
      </c>
      <c r="K1750" t="inlineStr">
        <is>
          <t>Answering Machine Autodial</t>
        </is>
      </c>
      <c r="L1750" t="n">
        <v>3</v>
      </c>
      <c r="M1750" t="inlineStr">
        <is>
          <t>2026-06-23 13:41:51</t>
        </is>
      </c>
      <c r="N1750" t="inlineStr">
        <is>
          <t>system</t>
        </is>
      </c>
      <c r="O1750" t="inlineStr">
        <is>
          <t>2026-06-19 07:10:32</t>
        </is>
      </c>
      <c r="P1750" t="inlineStr">
        <is>
          <t>2026-06-19 07:10:32</t>
        </is>
      </c>
      <c r="Y1750" t="inlineStr">
        <is>
          <t>27818931432</t>
        </is>
      </c>
    </row>
    <row r="1751">
      <c r="A1751" t="inlineStr">
        <is>
          <t>14944849</t>
        </is>
      </c>
      <c r="B1751" t="inlineStr">
        <is>
          <t>ba07d83b-da9d-47a0-b9a2-49c7231e106e</t>
        </is>
      </c>
      <c r="D1751" t="inlineStr">
        <is>
          <t>30001087</t>
        </is>
      </c>
      <c r="E1751" t="inlineStr">
        <is>
          <t>ussd_funeral_leads_altitude_20260619</t>
        </is>
      </c>
      <c r="J1751" t="inlineStr">
        <is>
          <t>AA</t>
        </is>
      </c>
      <c r="K1751" t="inlineStr">
        <is>
          <t>Answering Machine Autodial</t>
        </is>
      </c>
      <c r="L1751" t="n">
        <v>3</v>
      </c>
      <c r="M1751" t="inlineStr">
        <is>
          <t>2026-06-23 13:41:50</t>
        </is>
      </c>
      <c r="N1751" t="inlineStr">
        <is>
          <t>system</t>
        </is>
      </c>
      <c r="O1751" t="inlineStr">
        <is>
          <t>2026-06-19 07:10:32</t>
        </is>
      </c>
      <c r="P1751" t="inlineStr">
        <is>
          <t>2026-06-19 07:10:32</t>
        </is>
      </c>
      <c r="Y1751" t="inlineStr">
        <is>
          <t>27724566730</t>
        </is>
      </c>
    </row>
    <row r="1752">
      <c r="A1752" t="inlineStr">
        <is>
          <t>14944850</t>
        </is>
      </c>
      <c r="B1752" t="inlineStr">
        <is>
          <t>357fc8a8-db37-49ef-8199-d43a511f8a52</t>
        </is>
      </c>
      <c r="D1752" t="inlineStr">
        <is>
          <t>30001087</t>
        </is>
      </c>
      <c r="E1752" t="inlineStr">
        <is>
          <t>ussd_funeral_leads_altitude_20260619</t>
        </is>
      </c>
      <c r="J1752" t="inlineStr">
        <is>
          <t>AA</t>
        </is>
      </c>
      <c r="K1752" t="inlineStr">
        <is>
          <t>Answering Machine Autodial</t>
        </is>
      </c>
      <c r="L1752" t="n">
        <v>3</v>
      </c>
      <c r="M1752" t="inlineStr">
        <is>
          <t>2026-06-23 13:41:50</t>
        </is>
      </c>
      <c r="N1752" t="inlineStr">
        <is>
          <t>system</t>
        </is>
      </c>
      <c r="O1752" t="inlineStr">
        <is>
          <t>2026-06-19 07:10:32</t>
        </is>
      </c>
      <c r="P1752" t="inlineStr">
        <is>
          <t>2026-06-19 07:10:32</t>
        </is>
      </c>
      <c r="Y1752" t="inlineStr">
        <is>
          <t>27818356229</t>
        </is>
      </c>
    </row>
    <row r="1753">
      <c r="A1753" t="inlineStr">
        <is>
          <t>14944848</t>
        </is>
      </c>
      <c r="B1753" t="inlineStr">
        <is>
          <t>d310101f-5edb-403d-83a2-8a7b0da00cf3</t>
        </is>
      </c>
      <c r="D1753" t="inlineStr">
        <is>
          <t>30001087</t>
        </is>
      </c>
      <c r="E1753" t="inlineStr">
        <is>
          <t>ussd_funeral_leads_altitude_20260619</t>
        </is>
      </c>
      <c r="J1753" t="inlineStr">
        <is>
          <t>AA</t>
        </is>
      </c>
      <c r="K1753" t="inlineStr">
        <is>
          <t>Answering Machine Autodial</t>
        </is>
      </c>
      <c r="L1753" t="n">
        <v>3</v>
      </c>
      <c r="M1753" t="inlineStr">
        <is>
          <t>2026-06-23 13:41:48</t>
        </is>
      </c>
      <c r="N1753" t="inlineStr">
        <is>
          <t>system</t>
        </is>
      </c>
      <c r="O1753" t="inlineStr">
        <is>
          <t>2026-06-19 07:10:32</t>
        </is>
      </c>
      <c r="P1753" t="inlineStr">
        <is>
          <t>2026-06-19 07:10:32</t>
        </is>
      </c>
      <c r="Y1753" t="inlineStr">
        <is>
          <t>27761364052</t>
        </is>
      </c>
    </row>
    <row r="1754">
      <c r="A1754" t="inlineStr">
        <is>
          <t>14944847</t>
        </is>
      </c>
      <c r="B1754" t="inlineStr">
        <is>
          <t>eb363180-6c77-4eae-b8c9-89fab71bc03a</t>
        </is>
      </c>
      <c r="D1754" t="inlineStr">
        <is>
          <t>30001087</t>
        </is>
      </c>
      <c r="E1754" t="inlineStr">
        <is>
          <t>ussd_funeral_leads_altitude_20260619</t>
        </is>
      </c>
      <c r="J1754" t="inlineStr">
        <is>
          <t>TDN</t>
        </is>
      </c>
      <c r="K1754" t="inlineStr">
        <is>
          <t>Temporary Disconnected Number</t>
        </is>
      </c>
      <c r="L1754" t="n">
        <v>3</v>
      </c>
      <c r="M1754" t="inlineStr">
        <is>
          <t>2026-06-23 13:41:47</t>
        </is>
      </c>
      <c r="N1754" t="inlineStr">
        <is>
          <t>system</t>
        </is>
      </c>
      <c r="O1754" t="inlineStr">
        <is>
          <t>2026-06-19 07:10:32</t>
        </is>
      </c>
      <c r="P1754" t="inlineStr">
        <is>
          <t>2026-06-19 07:10:32</t>
        </is>
      </c>
      <c r="Y1754" t="inlineStr">
        <is>
          <t>27822502291</t>
        </is>
      </c>
    </row>
    <row r="1755">
      <c r="A1755" t="inlineStr">
        <is>
          <t>14944846</t>
        </is>
      </c>
      <c r="B1755" t="inlineStr">
        <is>
          <t>fbb0886e-8199-4d04-818c-66fec6faed67</t>
        </is>
      </c>
      <c r="D1755" t="inlineStr">
        <is>
          <t>30001087</t>
        </is>
      </c>
      <c r="E1755" t="inlineStr">
        <is>
          <t>ussd_funeral_leads_altitude_20260619</t>
        </is>
      </c>
      <c r="J1755" t="inlineStr">
        <is>
          <t>NA</t>
        </is>
      </c>
      <c r="K1755" t="inlineStr">
        <is>
          <t>No Answer Autodial</t>
        </is>
      </c>
      <c r="L1755" t="n">
        <v>3</v>
      </c>
      <c r="M1755" t="inlineStr">
        <is>
          <t>2026-06-23 13:41:46</t>
        </is>
      </c>
      <c r="N1755" t="inlineStr">
        <is>
          <t>system</t>
        </is>
      </c>
      <c r="O1755" t="inlineStr">
        <is>
          <t>2026-06-19 07:10:32</t>
        </is>
      </c>
      <c r="P1755" t="inlineStr">
        <is>
          <t>2026-06-19 07:10:32</t>
        </is>
      </c>
      <c r="Y1755" t="inlineStr">
        <is>
          <t>27728414999</t>
        </is>
      </c>
    </row>
    <row r="1756">
      <c r="A1756" t="inlineStr">
        <is>
          <t>14944845</t>
        </is>
      </c>
      <c r="B1756" t="inlineStr">
        <is>
          <t>d05cc7bf-c28f-40ed-8703-2ee98c98350c</t>
        </is>
      </c>
      <c r="D1756" t="inlineStr">
        <is>
          <t>30001087</t>
        </is>
      </c>
      <c r="E1756" t="inlineStr">
        <is>
          <t>ussd_funeral_leads_altitude_20260619</t>
        </is>
      </c>
      <c r="J1756" t="inlineStr">
        <is>
          <t>NA</t>
        </is>
      </c>
      <c r="K1756" t="inlineStr">
        <is>
          <t>No Answer Autodial</t>
        </is>
      </c>
      <c r="L1756" t="n">
        <v>3</v>
      </c>
      <c r="M1756" t="inlineStr">
        <is>
          <t>2026-06-23 13:41:43</t>
        </is>
      </c>
      <c r="N1756" t="inlineStr">
        <is>
          <t>system</t>
        </is>
      </c>
      <c r="O1756" t="inlineStr">
        <is>
          <t>2026-06-19 07:10:32</t>
        </is>
      </c>
      <c r="P1756" t="inlineStr">
        <is>
          <t>2026-06-19 07:10:32</t>
        </is>
      </c>
      <c r="Y1756" t="inlineStr">
        <is>
          <t>27606592527</t>
        </is>
      </c>
    </row>
    <row r="1757">
      <c r="A1757" t="inlineStr">
        <is>
          <t>14944842</t>
        </is>
      </c>
      <c r="B1757" t="inlineStr">
        <is>
          <t>d303441c-d6d3-4ad9-9136-e03617698086</t>
        </is>
      </c>
      <c r="D1757" t="inlineStr">
        <is>
          <t>30001087</t>
        </is>
      </c>
      <c r="E1757" t="inlineStr">
        <is>
          <t>ussd_funeral_leads_altitude_20260619</t>
        </is>
      </c>
      <c r="J1757" t="inlineStr">
        <is>
          <t>AA</t>
        </is>
      </c>
      <c r="K1757" t="inlineStr">
        <is>
          <t>Answering Machine Autodial</t>
        </is>
      </c>
      <c r="L1757" t="n">
        <v>3</v>
      </c>
      <c r="M1757" t="inlineStr">
        <is>
          <t>2026-06-23 13:41:42</t>
        </is>
      </c>
      <c r="N1757" t="inlineStr">
        <is>
          <t>system</t>
        </is>
      </c>
      <c r="O1757" t="inlineStr">
        <is>
          <t>2026-06-19 07:10:32</t>
        </is>
      </c>
      <c r="P1757" t="inlineStr">
        <is>
          <t>2026-06-19 07:10:32</t>
        </is>
      </c>
      <c r="Y1757" t="inlineStr">
        <is>
          <t>27649783417</t>
        </is>
      </c>
    </row>
    <row r="1758">
      <c r="A1758" t="inlineStr">
        <is>
          <t>14944843</t>
        </is>
      </c>
      <c r="B1758" t="inlineStr">
        <is>
          <t>fb8b19db-dfcb-4696-b31e-c6a6356a64d1</t>
        </is>
      </c>
      <c r="D1758" t="inlineStr">
        <is>
          <t>30001087</t>
        </is>
      </c>
      <c r="E1758" t="inlineStr">
        <is>
          <t>ussd_funeral_leads_altitude_20260619</t>
        </is>
      </c>
      <c r="J1758" t="inlineStr">
        <is>
          <t>NA</t>
        </is>
      </c>
      <c r="K1758" t="inlineStr">
        <is>
          <t>No Answer Autodial</t>
        </is>
      </c>
      <c r="L1758" t="n">
        <v>3</v>
      </c>
      <c r="M1758" t="inlineStr">
        <is>
          <t>2026-06-23 13:41:42</t>
        </is>
      </c>
      <c r="N1758" t="inlineStr">
        <is>
          <t>system</t>
        </is>
      </c>
      <c r="O1758" t="inlineStr">
        <is>
          <t>2026-06-19 07:10:32</t>
        </is>
      </c>
      <c r="P1758" t="inlineStr">
        <is>
          <t>2026-06-19 07:10:32</t>
        </is>
      </c>
      <c r="Y1758" t="inlineStr">
        <is>
          <t>27798461838</t>
        </is>
      </c>
    </row>
    <row r="1759">
      <c r="A1759" t="inlineStr">
        <is>
          <t>14944844</t>
        </is>
      </c>
      <c r="B1759" t="inlineStr">
        <is>
          <t>0b49747c-832b-4257-aea9-f1b57c0b3438</t>
        </is>
      </c>
      <c r="D1759" t="inlineStr">
        <is>
          <t>30001087</t>
        </is>
      </c>
      <c r="E1759" t="inlineStr">
        <is>
          <t>ussd_funeral_leads_altitude_20260619</t>
        </is>
      </c>
      <c r="J1759" t="inlineStr">
        <is>
          <t>TDN</t>
        </is>
      </c>
      <c r="K1759" t="inlineStr">
        <is>
          <t>Temporary Disconnected Number</t>
        </is>
      </c>
      <c r="L1759" t="n">
        <v>3</v>
      </c>
      <c r="M1759" t="inlineStr">
        <is>
          <t>2026-06-23 13:41:42</t>
        </is>
      </c>
      <c r="N1759" t="inlineStr">
        <is>
          <t>system</t>
        </is>
      </c>
      <c r="O1759" t="inlineStr">
        <is>
          <t>2026-06-19 07:10:32</t>
        </is>
      </c>
      <c r="P1759" t="inlineStr">
        <is>
          <t>2026-06-19 07:10:32</t>
        </is>
      </c>
      <c r="Y1759" t="inlineStr">
        <is>
          <t>27725230086</t>
        </is>
      </c>
    </row>
    <row r="1760">
      <c r="A1760" t="inlineStr">
        <is>
          <t>14944841</t>
        </is>
      </c>
      <c r="B1760" t="inlineStr">
        <is>
          <t>a5c4f378-eb4b-490c-bff2-94101dc83589</t>
        </is>
      </c>
      <c r="D1760" t="inlineStr">
        <is>
          <t>30001087</t>
        </is>
      </c>
      <c r="E1760" t="inlineStr">
        <is>
          <t>ussd_funeral_leads_altitude_20260619</t>
        </is>
      </c>
      <c r="J1760" t="inlineStr">
        <is>
          <t>AA</t>
        </is>
      </c>
      <c r="K1760" t="inlineStr">
        <is>
          <t>Answering Machine Autodial</t>
        </is>
      </c>
      <c r="L1760" t="n">
        <v>3</v>
      </c>
      <c r="M1760" t="inlineStr">
        <is>
          <t>2026-06-23 13:41:39</t>
        </is>
      </c>
      <c r="N1760" t="inlineStr">
        <is>
          <t>system</t>
        </is>
      </c>
      <c r="O1760" t="inlineStr">
        <is>
          <t>2026-06-19 07:10:32</t>
        </is>
      </c>
      <c r="P1760" t="inlineStr">
        <is>
          <t>2026-06-19 07:10:32</t>
        </is>
      </c>
      <c r="Y1760" t="inlineStr">
        <is>
          <t>27636488059</t>
        </is>
      </c>
    </row>
    <row r="1761">
      <c r="A1761" t="inlineStr">
        <is>
          <t>14944840</t>
        </is>
      </c>
      <c r="B1761" t="inlineStr">
        <is>
          <t>5bc1576e-d603-40c8-afbd-689ff54e57db</t>
        </is>
      </c>
      <c r="D1761" t="inlineStr">
        <is>
          <t>30001087</t>
        </is>
      </c>
      <c r="E1761" t="inlineStr">
        <is>
          <t>ussd_funeral_leads_altitude_20260619</t>
        </is>
      </c>
      <c r="J1761" t="inlineStr">
        <is>
          <t>ADC</t>
        </is>
      </c>
      <c r="K1761" t="inlineStr">
        <is>
          <t>Auto Dial Disconnected</t>
        </is>
      </c>
      <c r="L1761" t="n">
        <v>3</v>
      </c>
      <c r="M1761" t="inlineStr">
        <is>
          <t>2026-06-23 13:41:37</t>
        </is>
      </c>
      <c r="N1761" t="inlineStr">
        <is>
          <t>system</t>
        </is>
      </c>
      <c r="O1761" t="inlineStr">
        <is>
          <t>2026-06-19 07:10:32</t>
        </is>
      </c>
      <c r="P1761" t="inlineStr">
        <is>
          <t>2026-06-19 07:10:32</t>
        </is>
      </c>
      <c r="Y1761" t="inlineStr">
        <is>
          <t>27662084020</t>
        </is>
      </c>
    </row>
    <row r="1762">
      <c r="A1762" t="inlineStr">
        <is>
          <t>14944838</t>
        </is>
      </c>
      <c r="B1762" t="inlineStr">
        <is>
          <t>9641e066-ef78-4db8-b9fc-352c2a5fb2c0</t>
        </is>
      </c>
      <c r="D1762" t="inlineStr">
        <is>
          <t>30001087</t>
        </is>
      </c>
      <c r="E1762" t="inlineStr">
        <is>
          <t>ussd_funeral_leads_altitude_20260619</t>
        </is>
      </c>
      <c r="J1762" t="inlineStr">
        <is>
          <t>AA</t>
        </is>
      </c>
      <c r="K1762" t="inlineStr">
        <is>
          <t>Answering Machine Autodial</t>
        </is>
      </c>
      <c r="L1762" t="n">
        <v>3</v>
      </c>
      <c r="M1762" t="inlineStr">
        <is>
          <t>2026-06-23 13:41:36</t>
        </is>
      </c>
      <c r="N1762" t="inlineStr">
        <is>
          <t>system</t>
        </is>
      </c>
      <c r="O1762" t="inlineStr">
        <is>
          <t>2026-06-19 07:10:32</t>
        </is>
      </c>
      <c r="P1762" t="inlineStr">
        <is>
          <t>2026-06-19 07:10:32</t>
        </is>
      </c>
      <c r="Y1762" t="inlineStr">
        <is>
          <t>27637085436</t>
        </is>
      </c>
    </row>
    <row r="1763">
      <c r="A1763" t="inlineStr">
        <is>
          <t>14900000</t>
        </is>
      </c>
      <c r="B1763" t="inlineStr">
        <is>
          <t>126e902a-a428-49e4-be4c-d8af4c239d47</t>
        </is>
      </c>
      <c r="D1763" t="inlineStr">
        <is>
          <t>30001087</t>
        </is>
      </c>
      <c r="E1763" t="inlineStr">
        <is>
          <t>ussd_funeral_leads_altitude_20260619</t>
        </is>
      </c>
      <c r="J1763" t="inlineStr">
        <is>
          <t>CU</t>
        </is>
      </c>
      <c r="K1763" t="inlineStr">
        <is>
          <t>Client Hung Up</t>
        </is>
      </c>
      <c r="L1763" t="n">
        <v>3</v>
      </c>
      <c r="M1763" t="inlineStr">
        <is>
          <t>2026-06-23 13:41:36</t>
        </is>
      </c>
      <c r="N1763" t="inlineStr">
        <is>
          <t>Lebohang Mabotja</t>
        </is>
      </c>
      <c r="O1763" t="inlineStr">
        <is>
          <t>2026-06-19 07:10:32</t>
        </is>
      </c>
      <c r="P1763" t="inlineStr">
        <is>
          <t>2026-06-19 07:10:32</t>
        </is>
      </c>
      <c r="Y1763" t="inlineStr">
        <is>
          <t>27797391784</t>
        </is>
      </c>
    </row>
    <row r="1764">
      <c r="A1764" t="inlineStr">
        <is>
          <t>14944697</t>
        </is>
      </c>
      <c r="B1764" t="inlineStr">
        <is>
          <t>06018d7c-285f-4027-9e07-1d7f7c11407a</t>
        </is>
      </c>
      <c r="D1764" t="inlineStr">
        <is>
          <t>30001087</t>
        </is>
      </c>
      <c r="E1764" t="inlineStr">
        <is>
          <t>ussd_funeral_leads_altitude_20260619</t>
        </is>
      </c>
      <c r="J1764" t="inlineStr">
        <is>
          <t>AA</t>
        </is>
      </c>
      <c r="K1764" t="inlineStr">
        <is>
          <t>Answering Machine Autodial</t>
        </is>
      </c>
      <c r="L1764" t="n">
        <v>3</v>
      </c>
      <c r="M1764" t="inlineStr">
        <is>
          <t>2026-06-23 13:41:36</t>
        </is>
      </c>
      <c r="N1764" t="inlineStr">
        <is>
          <t>system</t>
        </is>
      </c>
      <c r="O1764" t="inlineStr">
        <is>
          <t>2026-06-19 07:10:32</t>
        </is>
      </c>
      <c r="P1764" t="inlineStr">
        <is>
          <t>2026-06-19 07:10:32</t>
        </is>
      </c>
      <c r="Y1764" t="inlineStr">
        <is>
          <t>27649492454</t>
        </is>
      </c>
    </row>
    <row r="1765">
      <c r="A1765" t="inlineStr">
        <is>
          <t>14944698</t>
        </is>
      </c>
      <c r="B1765" t="inlineStr">
        <is>
          <t>d847707f-8f59-465e-a5df-d04077a04bb6</t>
        </is>
      </c>
      <c r="D1765" t="inlineStr">
        <is>
          <t>30001087</t>
        </is>
      </c>
      <c r="E1765" t="inlineStr">
        <is>
          <t>ussd_funeral_leads_altitude_20260619</t>
        </is>
      </c>
      <c r="J1765" t="inlineStr">
        <is>
          <t>AA</t>
        </is>
      </c>
      <c r="K1765" t="inlineStr">
        <is>
          <t>Answering Machine Autodial</t>
        </is>
      </c>
      <c r="L1765" t="n">
        <v>3</v>
      </c>
      <c r="M1765" t="inlineStr">
        <is>
          <t>2026-06-23 13:41:36</t>
        </is>
      </c>
      <c r="N1765" t="inlineStr">
        <is>
          <t>system</t>
        </is>
      </c>
      <c r="O1765" t="inlineStr">
        <is>
          <t>2026-06-19 07:10:32</t>
        </is>
      </c>
      <c r="P1765" t="inlineStr">
        <is>
          <t>2026-06-19 07:10:32</t>
        </is>
      </c>
      <c r="Y1765" t="inlineStr">
        <is>
          <t>27799736943</t>
        </is>
      </c>
    </row>
    <row r="1766">
      <c r="A1766" t="inlineStr">
        <is>
          <t>14944699</t>
        </is>
      </c>
      <c r="B1766" t="inlineStr">
        <is>
          <t>a77df49f-12b6-4c6e-8222-dfe50c41141a</t>
        </is>
      </c>
      <c r="D1766" t="inlineStr">
        <is>
          <t>30001087</t>
        </is>
      </c>
      <c r="E1766" t="inlineStr">
        <is>
          <t>ussd_funeral_leads_altitude_20260619</t>
        </is>
      </c>
      <c r="J1766" t="inlineStr">
        <is>
          <t>AA</t>
        </is>
      </c>
      <c r="K1766" t="inlineStr">
        <is>
          <t>Answering Machine Autodial</t>
        </is>
      </c>
      <c r="L1766" t="n">
        <v>3</v>
      </c>
      <c r="M1766" t="inlineStr">
        <is>
          <t>2026-06-23 13:41:36</t>
        </is>
      </c>
      <c r="N1766" t="inlineStr">
        <is>
          <t>system</t>
        </is>
      </c>
      <c r="O1766" t="inlineStr">
        <is>
          <t>2026-06-19 07:10:32</t>
        </is>
      </c>
      <c r="P1766" t="inlineStr">
        <is>
          <t>2026-06-19 07:10:32</t>
        </is>
      </c>
      <c r="Y1766" t="inlineStr">
        <is>
          <t>27648565347</t>
        </is>
      </c>
    </row>
    <row r="1767">
      <c r="A1767" t="inlineStr">
        <is>
          <t>14944700</t>
        </is>
      </c>
      <c r="B1767" t="inlineStr">
        <is>
          <t>098145e4-933c-420f-9076-9a6707963ce3</t>
        </is>
      </c>
      <c r="D1767" t="inlineStr">
        <is>
          <t>30001087</t>
        </is>
      </c>
      <c r="E1767" t="inlineStr">
        <is>
          <t>ussd_funeral_leads_altitude_20260619</t>
        </is>
      </c>
      <c r="J1767" t="inlineStr">
        <is>
          <t>AA</t>
        </is>
      </c>
      <c r="K1767" t="inlineStr">
        <is>
          <t>Answering Machine Autodial</t>
        </is>
      </c>
      <c r="L1767" t="n">
        <v>3</v>
      </c>
      <c r="M1767" t="inlineStr">
        <is>
          <t>2026-06-23 13:41:36</t>
        </is>
      </c>
      <c r="N1767" t="inlineStr">
        <is>
          <t>system</t>
        </is>
      </c>
      <c r="O1767" t="inlineStr">
        <is>
          <t>2026-06-19 07:10:32</t>
        </is>
      </c>
      <c r="P1767" t="inlineStr">
        <is>
          <t>2026-06-19 07:10:32</t>
        </is>
      </c>
      <c r="Y1767" t="inlineStr">
        <is>
          <t>27646043516</t>
        </is>
      </c>
    </row>
    <row r="1768">
      <c r="A1768" t="inlineStr">
        <is>
          <t>14944701</t>
        </is>
      </c>
      <c r="B1768" t="inlineStr">
        <is>
          <t>c15a8211-0c03-4fe5-8b07-9c19cbcaa81d</t>
        </is>
      </c>
      <c r="D1768" t="inlineStr">
        <is>
          <t>30001087</t>
        </is>
      </c>
      <c r="E1768" t="inlineStr">
        <is>
          <t>ussd_funeral_leads_altitude_20260619</t>
        </is>
      </c>
      <c r="J1768" t="inlineStr">
        <is>
          <t>AA</t>
        </is>
      </c>
      <c r="K1768" t="inlineStr">
        <is>
          <t>Answering Machine Autodial</t>
        </is>
      </c>
      <c r="L1768" t="n">
        <v>3</v>
      </c>
      <c r="M1768" t="inlineStr">
        <is>
          <t>2026-06-23 13:41:36</t>
        </is>
      </c>
      <c r="N1768" t="inlineStr">
        <is>
          <t>system</t>
        </is>
      </c>
      <c r="O1768" t="inlineStr">
        <is>
          <t>2026-06-19 07:10:32</t>
        </is>
      </c>
      <c r="P1768" t="inlineStr">
        <is>
          <t>2026-06-19 07:10:32</t>
        </is>
      </c>
      <c r="Y1768" t="inlineStr">
        <is>
          <t>27825486072</t>
        </is>
      </c>
    </row>
    <row r="1769">
      <c r="A1769" t="inlineStr">
        <is>
          <t>14947244</t>
        </is>
      </c>
      <c r="B1769" t="inlineStr">
        <is>
          <t>dae76146-931a-47e0-a503-87a7a487a0e6</t>
        </is>
      </c>
      <c r="D1769" t="inlineStr">
        <is>
          <t>30001087</t>
        </is>
      </c>
      <c r="E1769" t="inlineStr">
        <is>
          <t>ussd_funeral_leads_altitude_20260619</t>
        </is>
      </c>
      <c r="J1769" t="inlineStr">
        <is>
          <t>AA</t>
        </is>
      </c>
      <c r="K1769" t="inlineStr">
        <is>
          <t>Answering Machine Autodial</t>
        </is>
      </c>
      <c r="L1769" t="n">
        <v>3</v>
      </c>
      <c r="M1769" t="inlineStr">
        <is>
          <t>2026-06-23 13:41:36</t>
        </is>
      </c>
      <c r="N1769" t="inlineStr">
        <is>
          <t>system</t>
        </is>
      </c>
      <c r="O1769" t="inlineStr">
        <is>
          <t>2026-06-19 07:10:32</t>
        </is>
      </c>
      <c r="P1769" t="inlineStr">
        <is>
          <t>2026-06-19 07:10:32</t>
        </is>
      </c>
      <c r="Y1769" t="inlineStr">
        <is>
          <t>27713780343</t>
        </is>
      </c>
    </row>
    <row r="1770">
      <c r="A1770" t="inlineStr">
        <is>
          <t>14944692</t>
        </is>
      </c>
      <c r="B1770" t="inlineStr">
        <is>
          <t>3c599e62-be19-484d-b8c9-c359e78ab68b</t>
        </is>
      </c>
      <c r="D1770" t="inlineStr">
        <is>
          <t>30001087</t>
        </is>
      </c>
      <c r="E1770" t="inlineStr">
        <is>
          <t>ussd_funeral_leads_altitude_20260619</t>
        </is>
      </c>
      <c r="J1770" t="inlineStr">
        <is>
          <t>AA</t>
        </is>
      </c>
      <c r="K1770" t="inlineStr">
        <is>
          <t>Answering Machine Autodial</t>
        </is>
      </c>
      <c r="L1770" t="n">
        <v>3</v>
      </c>
      <c r="M1770" t="inlineStr">
        <is>
          <t>2026-06-23 13:41:35</t>
        </is>
      </c>
      <c r="N1770" t="inlineStr">
        <is>
          <t>system</t>
        </is>
      </c>
      <c r="O1770" t="inlineStr">
        <is>
          <t>2026-06-19 07:10:32</t>
        </is>
      </c>
      <c r="P1770" t="inlineStr">
        <is>
          <t>2026-06-19 07:10:32</t>
        </is>
      </c>
      <c r="Y1770" t="inlineStr">
        <is>
          <t>27715038471</t>
        </is>
      </c>
    </row>
    <row r="1771">
      <c r="A1771" t="inlineStr">
        <is>
          <t>14944693</t>
        </is>
      </c>
      <c r="B1771" t="inlineStr">
        <is>
          <t>b6391737-05cf-4422-8daf-2584c51036b1</t>
        </is>
      </c>
      <c r="D1771" t="inlineStr">
        <is>
          <t>30001087</t>
        </is>
      </c>
      <c r="E1771" t="inlineStr">
        <is>
          <t>ussd_funeral_leads_altitude_20260619</t>
        </is>
      </c>
      <c r="J1771" t="inlineStr">
        <is>
          <t>TDN</t>
        </is>
      </c>
      <c r="K1771" t="inlineStr">
        <is>
          <t>Temporary Disconnected Number</t>
        </is>
      </c>
      <c r="L1771" t="n">
        <v>3</v>
      </c>
      <c r="M1771" t="inlineStr">
        <is>
          <t>2026-06-23 13:41:35</t>
        </is>
      </c>
      <c r="N1771" t="inlineStr">
        <is>
          <t>system</t>
        </is>
      </c>
      <c r="O1771" t="inlineStr">
        <is>
          <t>2026-06-19 07:10:32</t>
        </is>
      </c>
      <c r="P1771" t="inlineStr">
        <is>
          <t>2026-06-19 07:10:32</t>
        </is>
      </c>
      <c r="Y1771" t="inlineStr">
        <is>
          <t>27637626181</t>
        </is>
      </c>
    </row>
    <row r="1772">
      <c r="A1772" t="inlineStr">
        <is>
          <t>14944695</t>
        </is>
      </c>
      <c r="B1772" t="inlineStr">
        <is>
          <t>0a952ded-d7e1-4053-b88d-62d7d67d55d0</t>
        </is>
      </c>
      <c r="D1772" t="inlineStr">
        <is>
          <t>30001087</t>
        </is>
      </c>
      <c r="E1772" t="inlineStr">
        <is>
          <t>ussd_funeral_leads_altitude_20260619</t>
        </is>
      </c>
      <c r="J1772" t="inlineStr">
        <is>
          <t>ADC</t>
        </is>
      </c>
      <c r="K1772" t="inlineStr">
        <is>
          <t>Auto Dial Disconnected</t>
        </is>
      </c>
      <c r="L1772" t="n">
        <v>3</v>
      </c>
      <c r="M1772" t="inlineStr">
        <is>
          <t>2026-06-23 13:41:35</t>
        </is>
      </c>
      <c r="N1772" t="inlineStr">
        <is>
          <t>system</t>
        </is>
      </c>
      <c r="O1772" t="inlineStr">
        <is>
          <t>2026-06-19 07:10:32</t>
        </is>
      </c>
      <c r="P1772" t="inlineStr">
        <is>
          <t>2026-06-19 07:10:32</t>
        </is>
      </c>
      <c r="Y1772" t="inlineStr">
        <is>
          <t>27714454548</t>
        </is>
      </c>
    </row>
    <row r="1773">
      <c r="A1773" t="inlineStr">
        <is>
          <t>14944691</t>
        </is>
      </c>
      <c r="B1773" t="inlineStr">
        <is>
          <t>1e259beb-d4c7-42c9-bedf-e3db34d010af</t>
        </is>
      </c>
      <c r="D1773" t="inlineStr">
        <is>
          <t>30001087</t>
        </is>
      </c>
      <c r="E1773" t="inlineStr">
        <is>
          <t>ussd_funeral_leads_altitude_20260619</t>
        </is>
      </c>
      <c r="J1773" t="inlineStr">
        <is>
          <t>NA</t>
        </is>
      </c>
      <c r="K1773" t="inlineStr">
        <is>
          <t>No Answer Autodial</t>
        </is>
      </c>
      <c r="L1773" t="n">
        <v>3</v>
      </c>
      <c r="M1773" t="inlineStr">
        <is>
          <t>2026-06-23 13:41:28</t>
        </is>
      </c>
      <c r="N1773" t="inlineStr">
        <is>
          <t>system</t>
        </is>
      </c>
      <c r="O1773" t="inlineStr">
        <is>
          <t>2026-06-19 07:10:32</t>
        </is>
      </c>
      <c r="P1773" t="inlineStr">
        <is>
          <t>2026-06-19 07:10:32</t>
        </is>
      </c>
      <c r="Y1773" t="inlineStr">
        <is>
          <t>27790152973</t>
        </is>
      </c>
    </row>
    <row r="1774">
      <c r="A1774" t="inlineStr">
        <is>
          <t>14944689</t>
        </is>
      </c>
      <c r="B1774" t="inlineStr">
        <is>
          <t>93681d4e-a8eb-44fd-bfe9-86f9c9c93940</t>
        </is>
      </c>
      <c r="D1774" t="inlineStr">
        <is>
          <t>30001087</t>
        </is>
      </c>
      <c r="E1774" t="inlineStr">
        <is>
          <t>ussd_funeral_leads_altitude_20260619</t>
        </is>
      </c>
      <c r="J1774" t="inlineStr">
        <is>
          <t>TDN</t>
        </is>
      </c>
      <c r="K1774" t="inlineStr">
        <is>
          <t>Temporary Disconnected Number</t>
        </is>
      </c>
      <c r="L1774" t="n">
        <v>3</v>
      </c>
      <c r="M1774" t="inlineStr">
        <is>
          <t>2026-06-23 13:41:25</t>
        </is>
      </c>
      <c r="N1774" t="inlineStr">
        <is>
          <t>system</t>
        </is>
      </c>
      <c r="O1774" t="inlineStr">
        <is>
          <t>2026-06-19 07:10:32</t>
        </is>
      </c>
      <c r="P1774" t="inlineStr">
        <is>
          <t>2026-06-19 07:10:32</t>
        </is>
      </c>
      <c r="Y1774" t="inlineStr">
        <is>
          <t>27674768499</t>
        </is>
      </c>
    </row>
    <row r="1775">
      <c r="A1775" t="inlineStr">
        <is>
          <t>14944688</t>
        </is>
      </c>
      <c r="B1775" t="inlineStr">
        <is>
          <t>def4699d-3240-48fa-94cd-309e96d9a4aa</t>
        </is>
      </c>
      <c r="D1775" t="inlineStr">
        <is>
          <t>30001087</t>
        </is>
      </c>
      <c r="E1775" t="inlineStr">
        <is>
          <t>ussd_funeral_leads_altitude_20260619</t>
        </is>
      </c>
      <c r="J1775" t="inlineStr">
        <is>
          <t>U</t>
        </is>
      </c>
      <c r="K1775" t="inlineStr">
        <is>
          <t>Unemployed</t>
        </is>
      </c>
      <c r="L1775" t="n">
        <v>3</v>
      </c>
      <c r="M1775" t="inlineStr">
        <is>
          <t>2026-06-23 13:41:24</t>
        </is>
      </c>
      <c r="N1775" t="inlineStr">
        <is>
          <t>Dimakatso Nkomo</t>
        </is>
      </c>
      <c r="O1775" t="inlineStr">
        <is>
          <t>2026-06-19 07:10:32</t>
        </is>
      </c>
      <c r="P1775" t="inlineStr">
        <is>
          <t>2026-06-19 07:10:32</t>
        </is>
      </c>
      <c r="Y1775" t="inlineStr">
        <is>
          <t>27606289336</t>
        </is>
      </c>
    </row>
    <row r="1776">
      <c r="A1776" t="inlineStr">
        <is>
          <t>14944687</t>
        </is>
      </c>
      <c r="B1776" t="inlineStr">
        <is>
          <t>1dd5cfcd-0340-4d7b-9f01-81df8266993d</t>
        </is>
      </c>
      <c r="D1776" t="inlineStr">
        <is>
          <t>30001087</t>
        </is>
      </c>
      <c r="E1776" t="inlineStr">
        <is>
          <t>ussd_funeral_leads_altitude_20260619</t>
        </is>
      </c>
      <c r="J1776" t="inlineStr">
        <is>
          <t>AA</t>
        </is>
      </c>
      <c r="K1776" t="inlineStr">
        <is>
          <t>Answering Machine Autodial</t>
        </is>
      </c>
      <c r="L1776" t="n">
        <v>3</v>
      </c>
      <c r="M1776" t="inlineStr">
        <is>
          <t>2026-06-23 13:41:18</t>
        </is>
      </c>
      <c r="N1776" t="inlineStr">
        <is>
          <t>system</t>
        </is>
      </c>
      <c r="O1776" t="inlineStr">
        <is>
          <t>2026-06-19 07:10:32</t>
        </is>
      </c>
      <c r="P1776" t="inlineStr">
        <is>
          <t>2026-06-19 07:10:32</t>
        </is>
      </c>
      <c r="Y1776" t="inlineStr">
        <is>
          <t>27661664673</t>
        </is>
      </c>
    </row>
    <row r="1777">
      <c r="A1777" t="inlineStr">
        <is>
          <t>14944685</t>
        </is>
      </c>
      <c r="B1777" t="inlineStr">
        <is>
          <t>5444a037-5610-48c1-b680-43d7b39b7cb1</t>
        </is>
      </c>
      <c r="D1777" t="inlineStr">
        <is>
          <t>30001087</t>
        </is>
      </c>
      <c r="E1777" t="inlineStr">
        <is>
          <t>ussd_funeral_leads_altitude_20260619</t>
        </is>
      </c>
      <c r="J1777" t="inlineStr">
        <is>
          <t>TDN</t>
        </is>
      </c>
      <c r="K1777" t="inlineStr">
        <is>
          <t>Temporary Disconnected Number</t>
        </is>
      </c>
      <c r="L1777" t="n">
        <v>3</v>
      </c>
      <c r="M1777" t="inlineStr">
        <is>
          <t>2026-06-23 13:41:17</t>
        </is>
      </c>
      <c r="N1777" t="inlineStr">
        <is>
          <t>system</t>
        </is>
      </c>
      <c r="O1777" t="inlineStr">
        <is>
          <t>2026-06-19 07:10:32</t>
        </is>
      </c>
      <c r="P1777" t="inlineStr">
        <is>
          <t>2026-06-19 07:10:32</t>
        </is>
      </c>
      <c r="Y1777" t="inlineStr">
        <is>
          <t>27661682221</t>
        </is>
      </c>
    </row>
    <row r="1778">
      <c r="A1778" t="inlineStr">
        <is>
          <t>14944835</t>
        </is>
      </c>
      <c r="B1778" t="inlineStr">
        <is>
          <t>454164b6-c0df-4125-95db-92ad7661134f</t>
        </is>
      </c>
      <c r="D1778" t="inlineStr">
        <is>
          <t>30001087</t>
        </is>
      </c>
      <c r="E1778" t="inlineStr">
        <is>
          <t>ussd_funeral_leads_altitude_20260619</t>
        </is>
      </c>
      <c r="J1778" t="inlineStr">
        <is>
          <t>AA</t>
        </is>
      </c>
      <c r="K1778" t="inlineStr">
        <is>
          <t>Answering Machine Autodial</t>
        </is>
      </c>
      <c r="L1778" t="n">
        <v>3</v>
      </c>
      <c r="M1778" t="inlineStr">
        <is>
          <t>2026-06-23 13:40:30</t>
        </is>
      </c>
      <c r="N1778" t="inlineStr">
        <is>
          <t>system</t>
        </is>
      </c>
      <c r="O1778" t="inlineStr">
        <is>
          <t>2026-06-19 07:10:32</t>
        </is>
      </c>
      <c r="P1778" t="inlineStr">
        <is>
          <t>2026-06-19 07:10:32</t>
        </is>
      </c>
      <c r="Y1778" t="inlineStr">
        <is>
          <t>27721784660</t>
        </is>
      </c>
    </row>
    <row r="1779">
      <c r="A1779" t="inlineStr">
        <is>
          <t>14946791</t>
        </is>
      </c>
      <c r="B1779" t="inlineStr">
        <is>
          <t>685b33c0-9a6b-4dbd-ba88-85237ddb6394</t>
        </is>
      </c>
      <c r="D1779" t="inlineStr">
        <is>
          <t>30001087</t>
        </is>
      </c>
      <c r="E1779" t="inlineStr">
        <is>
          <t>ussd_funeral_leads_altitude_20260619</t>
        </is>
      </c>
      <c r="J1779" t="inlineStr">
        <is>
          <t>AA</t>
        </is>
      </c>
      <c r="K1779" t="inlineStr">
        <is>
          <t>Answering Machine Autodial</t>
        </is>
      </c>
      <c r="L1779" t="n">
        <v>3</v>
      </c>
      <c r="M1779" t="inlineStr">
        <is>
          <t>2026-06-23 13:40:30</t>
        </is>
      </c>
      <c r="N1779" t="inlineStr">
        <is>
          <t>system</t>
        </is>
      </c>
      <c r="O1779" t="inlineStr">
        <is>
          <t>2026-06-19 07:10:32</t>
        </is>
      </c>
      <c r="P1779" t="inlineStr">
        <is>
          <t>2026-06-19 07:10:32</t>
        </is>
      </c>
      <c r="Y1779" t="inlineStr">
        <is>
          <t>27711646899</t>
        </is>
      </c>
    </row>
    <row r="1780">
      <c r="A1780" t="inlineStr">
        <is>
          <t>14944833</t>
        </is>
      </c>
      <c r="B1780" t="inlineStr">
        <is>
          <t>67d106eb-0f2b-43b6-b285-bfc803bbc92e</t>
        </is>
      </c>
      <c r="D1780" t="inlineStr">
        <is>
          <t>30001087</t>
        </is>
      </c>
      <c r="E1780" t="inlineStr">
        <is>
          <t>ussd_funeral_leads_altitude_20260619</t>
        </is>
      </c>
      <c r="J1780" t="inlineStr">
        <is>
          <t>AF</t>
        </is>
      </c>
      <c r="K1780" t="inlineStr">
        <is>
          <t>Cannot Afford</t>
        </is>
      </c>
      <c r="L1780" t="n">
        <v>3</v>
      </c>
      <c r="M1780" t="inlineStr">
        <is>
          <t>2026-06-23 13:40:29</t>
        </is>
      </c>
      <c r="N1780" t="inlineStr">
        <is>
          <t>Vuyiswa Nxumalo</t>
        </is>
      </c>
      <c r="O1780" t="inlineStr">
        <is>
          <t>2026-06-19 07:10:32</t>
        </is>
      </c>
      <c r="P1780" t="inlineStr">
        <is>
          <t>2026-06-19 07:10:32</t>
        </is>
      </c>
      <c r="Y1780" t="inlineStr">
        <is>
          <t>27797167001</t>
        </is>
      </c>
    </row>
    <row r="1781">
      <c r="A1781" t="inlineStr">
        <is>
          <t>14944834</t>
        </is>
      </c>
      <c r="B1781" t="inlineStr">
        <is>
          <t>8f78ed32-4b94-4f04-ab92-5b25c113f6f1</t>
        </is>
      </c>
      <c r="D1781" t="inlineStr">
        <is>
          <t>30001087</t>
        </is>
      </c>
      <c r="E1781" t="inlineStr">
        <is>
          <t>ussd_funeral_leads_altitude_20260619</t>
        </is>
      </c>
      <c r="J1781" t="inlineStr">
        <is>
          <t>ADC</t>
        </is>
      </c>
      <c r="K1781" t="inlineStr">
        <is>
          <t>Auto Dial Disconnected</t>
        </is>
      </c>
      <c r="L1781" t="n">
        <v>3</v>
      </c>
      <c r="M1781" t="inlineStr">
        <is>
          <t>2026-06-23 13:40:29</t>
        </is>
      </c>
      <c r="N1781" t="inlineStr">
        <is>
          <t>system</t>
        </is>
      </c>
      <c r="O1781" t="inlineStr">
        <is>
          <t>2026-06-19 07:10:32</t>
        </is>
      </c>
      <c r="P1781" t="inlineStr">
        <is>
          <t>2026-06-19 07:10:32</t>
        </is>
      </c>
      <c r="Y1781" t="inlineStr">
        <is>
          <t>27763116445</t>
        </is>
      </c>
    </row>
    <row r="1782">
      <c r="A1782" t="inlineStr">
        <is>
          <t>14946793</t>
        </is>
      </c>
      <c r="B1782" t="inlineStr">
        <is>
          <t>c09c54fc-5fe1-4276-85e9-2f24912d5a50</t>
        </is>
      </c>
      <c r="D1782" t="inlineStr">
        <is>
          <t>30001087</t>
        </is>
      </c>
      <c r="E1782" t="inlineStr">
        <is>
          <t>ussd_funeral_leads_altitude_20260619</t>
        </is>
      </c>
      <c r="J1782" t="inlineStr">
        <is>
          <t>AA</t>
        </is>
      </c>
      <c r="K1782" t="inlineStr">
        <is>
          <t>Answering Machine Autodial</t>
        </is>
      </c>
      <c r="L1782" t="n">
        <v>3</v>
      </c>
      <c r="M1782" t="inlineStr">
        <is>
          <t>2026-06-23 13:40:29</t>
        </is>
      </c>
      <c r="N1782" t="inlineStr">
        <is>
          <t>system</t>
        </is>
      </c>
      <c r="O1782" t="inlineStr">
        <is>
          <t>2026-06-19 07:10:32</t>
        </is>
      </c>
      <c r="P1782" t="inlineStr">
        <is>
          <t>2026-06-19 07:10:32</t>
        </is>
      </c>
      <c r="Y1782" t="inlineStr">
        <is>
          <t>27660437841</t>
        </is>
      </c>
    </row>
    <row r="1783">
      <c r="A1783" t="inlineStr">
        <is>
          <t>14946795</t>
        </is>
      </c>
      <c r="B1783" t="inlineStr">
        <is>
          <t>c30dc5ea-ae1f-4997-90cf-85889f91191e</t>
        </is>
      </c>
      <c r="D1783" t="inlineStr">
        <is>
          <t>30001087</t>
        </is>
      </c>
      <c r="E1783" t="inlineStr">
        <is>
          <t>ussd_funeral_leads_altitude_20260619</t>
        </is>
      </c>
      <c r="J1783" t="inlineStr">
        <is>
          <t>AA</t>
        </is>
      </c>
      <c r="K1783" t="inlineStr">
        <is>
          <t>Answering Machine Autodial</t>
        </is>
      </c>
      <c r="L1783" t="n">
        <v>3</v>
      </c>
      <c r="M1783" t="inlineStr">
        <is>
          <t>2026-06-23 13:40:29</t>
        </is>
      </c>
      <c r="N1783" t="inlineStr">
        <is>
          <t>system</t>
        </is>
      </c>
      <c r="O1783" t="inlineStr">
        <is>
          <t>2026-06-19 07:10:32</t>
        </is>
      </c>
      <c r="P1783" t="inlineStr">
        <is>
          <t>2026-06-19 07:10:32</t>
        </is>
      </c>
      <c r="Y1783" t="inlineStr">
        <is>
          <t>27766550841</t>
        </is>
      </c>
    </row>
    <row r="1784">
      <c r="A1784" t="inlineStr">
        <is>
          <t>14946821</t>
        </is>
      </c>
      <c r="B1784" t="inlineStr">
        <is>
          <t>56847682-56b7-4605-867c-67786f7ebd8c</t>
        </is>
      </c>
      <c r="D1784" t="inlineStr">
        <is>
          <t>30001087</t>
        </is>
      </c>
      <c r="E1784" t="inlineStr">
        <is>
          <t>ussd_funeral_leads_altitude_20260619</t>
        </is>
      </c>
      <c r="J1784" t="inlineStr">
        <is>
          <t>AA</t>
        </is>
      </c>
      <c r="K1784" t="inlineStr">
        <is>
          <t>Answering Machine Autodial</t>
        </is>
      </c>
      <c r="L1784" t="n">
        <v>3</v>
      </c>
      <c r="M1784" t="inlineStr">
        <is>
          <t>2026-06-23 13:40:29</t>
        </is>
      </c>
      <c r="N1784" t="inlineStr">
        <is>
          <t>system</t>
        </is>
      </c>
      <c r="O1784" t="inlineStr">
        <is>
          <t>2026-06-19 07:10:32</t>
        </is>
      </c>
      <c r="P1784" t="inlineStr">
        <is>
          <t>2026-06-19 07:10:32</t>
        </is>
      </c>
      <c r="Y1784" t="inlineStr">
        <is>
          <t>27724492319</t>
        </is>
      </c>
    </row>
    <row r="1785">
      <c r="A1785" t="inlineStr">
        <is>
          <t>14944832</t>
        </is>
      </c>
      <c r="B1785" t="inlineStr">
        <is>
          <t>59e0dd7e-64e5-476d-bb94-4cea72c20de1</t>
        </is>
      </c>
      <c r="D1785" t="inlineStr">
        <is>
          <t>30001087</t>
        </is>
      </c>
      <c r="E1785" t="inlineStr">
        <is>
          <t>ussd_funeral_leads_altitude_20260619</t>
        </is>
      </c>
      <c r="J1785" t="inlineStr">
        <is>
          <t>DROP</t>
        </is>
      </c>
      <c r="K1785" t="inlineStr">
        <is>
          <t>Dropped</t>
        </is>
      </c>
      <c r="L1785" t="n">
        <v>3</v>
      </c>
      <c r="M1785" t="inlineStr">
        <is>
          <t>2026-06-23 13:40:28</t>
        </is>
      </c>
      <c r="N1785" t="inlineStr">
        <is>
          <t>system</t>
        </is>
      </c>
      <c r="O1785" t="inlineStr">
        <is>
          <t>2026-06-19 07:10:32</t>
        </is>
      </c>
      <c r="P1785" t="inlineStr">
        <is>
          <t>2026-06-19 07:10:32</t>
        </is>
      </c>
      <c r="Y1785" t="inlineStr">
        <is>
          <t>27648389775</t>
        </is>
      </c>
    </row>
    <row r="1786">
      <c r="A1786" t="inlineStr">
        <is>
          <t>14944836</t>
        </is>
      </c>
      <c r="B1786" t="inlineStr">
        <is>
          <t>69bbd158-4ee6-4cfe-9671-cb196e322828</t>
        </is>
      </c>
      <c r="D1786" t="inlineStr">
        <is>
          <t>30001087</t>
        </is>
      </c>
      <c r="E1786" t="inlineStr">
        <is>
          <t>ussd_funeral_leads_altitude_20260619</t>
        </is>
      </c>
      <c r="J1786" t="inlineStr">
        <is>
          <t>AA</t>
        </is>
      </c>
      <c r="K1786" t="inlineStr">
        <is>
          <t>Answering Machine Autodial</t>
        </is>
      </c>
      <c r="L1786" t="n">
        <v>3</v>
      </c>
      <c r="M1786" t="inlineStr">
        <is>
          <t>2026-06-23 13:40:28</t>
        </is>
      </c>
      <c r="N1786" t="inlineStr">
        <is>
          <t>system</t>
        </is>
      </c>
      <c r="O1786" t="inlineStr">
        <is>
          <t>2026-06-19 07:10:32</t>
        </is>
      </c>
      <c r="P1786" t="inlineStr">
        <is>
          <t>2026-06-19 07:10:32</t>
        </is>
      </c>
      <c r="Y1786" t="inlineStr">
        <is>
          <t>27725018906</t>
        </is>
      </c>
    </row>
    <row r="1787">
      <c r="A1787" t="inlineStr">
        <is>
          <t>14944837</t>
        </is>
      </c>
      <c r="B1787" t="inlineStr">
        <is>
          <t>bb4c7ff4-7cbd-4d06-8299-965bf9990658</t>
        </is>
      </c>
      <c r="D1787" t="inlineStr">
        <is>
          <t>30001087</t>
        </is>
      </c>
      <c r="E1787" t="inlineStr">
        <is>
          <t>ussd_funeral_leads_altitude_20260619</t>
        </is>
      </c>
      <c r="J1787" t="inlineStr">
        <is>
          <t>AA</t>
        </is>
      </c>
      <c r="K1787" t="inlineStr">
        <is>
          <t>Answering Machine Autodial</t>
        </is>
      </c>
      <c r="L1787" t="n">
        <v>3</v>
      </c>
      <c r="M1787" t="inlineStr">
        <is>
          <t>2026-06-23 13:40:28</t>
        </is>
      </c>
      <c r="N1787" t="inlineStr">
        <is>
          <t>system</t>
        </is>
      </c>
      <c r="O1787" t="inlineStr">
        <is>
          <t>2026-06-19 07:10:32</t>
        </is>
      </c>
      <c r="P1787" t="inlineStr">
        <is>
          <t>2026-06-19 07:10:32</t>
        </is>
      </c>
      <c r="Y1787" t="inlineStr">
        <is>
          <t>27721539655</t>
        </is>
      </c>
    </row>
    <row r="1788">
      <c r="A1788" t="inlineStr">
        <is>
          <t>14946790</t>
        </is>
      </c>
      <c r="B1788" t="inlineStr">
        <is>
          <t>d9246225-c40a-43e9-82b0-0d9ae3a2035e</t>
        </is>
      </c>
      <c r="D1788" t="inlineStr">
        <is>
          <t>30001087</t>
        </is>
      </c>
      <c r="E1788" t="inlineStr">
        <is>
          <t>ussd_funeral_leads_altitude_20260619</t>
        </is>
      </c>
      <c r="J1788" t="inlineStr">
        <is>
          <t>CU</t>
        </is>
      </c>
      <c r="K1788" t="inlineStr">
        <is>
          <t>Client Hung Up</t>
        </is>
      </c>
      <c r="L1788" t="n">
        <v>3</v>
      </c>
      <c r="M1788" t="inlineStr">
        <is>
          <t>2026-06-23 13:40:28</t>
        </is>
      </c>
      <c r="N1788" t="inlineStr">
        <is>
          <t>Dimakatso Nkomo</t>
        </is>
      </c>
      <c r="O1788" t="inlineStr">
        <is>
          <t>2026-06-19 07:10:32</t>
        </is>
      </c>
      <c r="P1788" t="inlineStr">
        <is>
          <t>2026-06-19 07:10:32</t>
        </is>
      </c>
      <c r="Y1788" t="inlineStr">
        <is>
          <t>27713486079</t>
        </is>
      </c>
    </row>
    <row r="1789">
      <c r="A1789" t="inlineStr">
        <is>
          <t>14944831</t>
        </is>
      </c>
      <c r="B1789" t="inlineStr">
        <is>
          <t>9db9bb98-bb1c-441a-9e9c-b52433b2a071</t>
        </is>
      </c>
      <c r="D1789" t="inlineStr">
        <is>
          <t>30001087</t>
        </is>
      </c>
      <c r="E1789" t="inlineStr">
        <is>
          <t>ussd_funeral_leads_altitude_20260619</t>
        </is>
      </c>
      <c r="J1789" t="inlineStr">
        <is>
          <t>AA</t>
        </is>
      </c>
      <c r="K1789" t="inlineStr">
        <is>
          <t>Answering Machine Autodial</t>
        </is>
      </c>
      <c r="L1789" t="n">
        <v>3</v>
      </c>
      <c r="M1789" t="inlineStr">
        <is>
          <t>2026-06-23 13:40:23</t>
        </is>
      </c>
      <c r="N1789" t="inlineStr">
        <is>
          <t>system</t>
        </is>
      </c>
      <c r="O1789" t="inlineStr">
        <is>
          <t>2026-06-19 07:10:32</t>
        </is>
      </c>
      <c r="P1789" t="inlineStr">
        <is>
          <t>2026-06-19 07:10:32</t>
        </is>
      </c>
      <c r="Y1789" t="inlineStr">
        <is>
          <t>27828618753</t>
        </is>
      </c>
    </row>
    <row r="1790">
      <c r="A1790" t="inlineStr">
        <is>
          <t>14946840</t>
        </is>
      </c>
      <c r="B1790" t="inlineStr">
        <is>
          <t>46dba42b-e130-4f8f-934d-11f923b8e7a2</t>
        </is>
      </c>
      <c r="D1790" t="inlineStr">
        <is>
          <t>30001087</t>
        </is>
      </c>
      <c r="E1790" t="inlineStr">
        <is>
          <t>ussd_funeral_leads_altitude_20260619</t>
        </is>
      </c>
      <c r="J1790" t="inlineStr">
        <is>
          <t>AA</t>
        </is>
      </c>
      <c r="K1790" t="inlineStr">
        <is>
          <t>Answering Machine Autodial</t>
        </is>
      </c>
      <c r="L1790" t="n">
        <v>3</v>
      </c>
      <c r="M1790" t="inlineStr">
        <is>
          <t>2026-06-23 13:40:23</t>
        </is>
      </c>
      <c r="N1790" t="inlineStr">
        <is>
          <t>system</t>
        </is>
      </c>
      <c r="O1790" t="inlineStr">
        <is>
          <t>2026-06-19 07:10:32</t>
        </is>
      </c>
      <c r="P1790" t="inlineStr">
        <is>
          <t>2026-06-19 07:10:32</t>
        </is>
      </c>
      <c r="Y1790" t="inlineStr">
        <is>
          <t>27761678924</t>
        </is>
      </c>
    </row>
    <row r="1791">
      <c r="A1791" t="inlineStr">
        <is>
          <t>14947058</t>
        </is>
      </c>
      <c r="B1791" t="inlineStr">
        <is>
          <t>3b56ac24-6649-46d6-9839-df0a59b0d840</t>
        </is>
      </c>
      <c r="D1791" t="inlineStr">
        <is>
          <t>30001087</t>
        </is>
      </c>
      <c r="E1791" t="inlineStr">
        <is>
          <t>ussd_funeral_leads_altitude_20260619</t>
        </is>
      </c>
      <c r="J1791" t="inlineStr">
        <is>
          <t>AA</t>
        </is>
      </c>
      <c r="K1791" t="inlineStr">
        <is>
          <t>Answering Machine Autodial</t>
        </is>
      </c>
      <c r="L1791" t="n">
        <v>3</v>
      </c>
      <c r="M1791" t="inlineStr">
        <is>
          <t>2026-06-23 13:40:23</t>
        </is>
      </c>
      <c r="N1791" t="inlineStr">
        <is>
          <t>system</t>
        </is>
      </c>
      <c r="O1791" t="inlineStr">
        <is>
          <t>2026-06-19 07:10:32</t>
        </is>
      </c>
      <c r="P1791" t="inlineStr">
        <is>
          <t>2026-06-19 07:10:32</t>
        </is>
      </c>
      <c r="Y1791" t="inlineStr">
        <is>
          <t>27796139831</t>
        </is>
      </c>
    </row>
    <row r="1792">
      <c r="A1792" t="inlineStr">
        <is>
          <t>14944829</t>
        </is>
      </c>
      <c r="B1792" t="inlineStr">
        <is>
          <t>ee73387b-4bda-4719-9ab5-8a193abbdd83</t>
        </is>
      </c>
      <c r="D1792" t="inlineStr">
        <is>
          <t>30001087</t>
        </is>
      </c>
      <c r="E1792" t="inlineStr">
        <is>
          <t>ussd_funeral_leads_altitude_20260619</t>
        </is>
      </c>
      <c r="J1792" t="inlineStr">
        <is>
          <t>ADC</t>
        </is>
      </c>
      <c r="K1792" t="inlineStr">
        <is>
          <t>Auto Dial Disconnected</t>
        </is>
      </c>
      <c r="L1792" t="n">
        <v>3</v>
      </c>
      <c r="M1792" t="inlineStr">
        <is>
          <t>2026-06-23 13:40:22</t>
        </is>
      </c>
      <c r="N1792" t="inlineStr">
        <is>
          <t>system</t>
        </is>
      </c>
      <c r="O1792" t="inlineStr">
        <is>
          <t>2026-06-19 07:10:32</t>
        </is>
      </c>
      <c r="P1792" t="inlineStr">
        <is>
          <t>2026-06-19 07:10:32</t>
        </is>
      </c>
      <c r="Y1792" t="inlineStr">
        <is>
          <t>27828707358</t>
        </is>
      </c>
    </row>
    <row r="1793">
      <c r="A1793" t="inlineStr">
        <is>
          <t>14944830</t>
        </is>
      </c>
      <c r="B1793" t="inlineStr">
        <is>
          <t>f6272b12-576f-4641-b6fb-a73eced8125d</t>
        </is>
      </c>
      <c r="D1793" t="inlineStr">
        <is>
          <t>30001087</t>
        </is>
      </c>
      <c r="E1793" t="inlineStr">
        <is>
          <t>ussd_funeral_leads_altitude_20260619</t>
        </is>
      </c>
      <c r="J1793" t="inlineStr">
        <is>
          <t>AA</t>
        </is>
      </c>
      <c r="K1793" t="inlineStr">
        <is>
          <t>Answering Machine Autodial</t>
        </is>
      </c>
      <c r="L1793" t="n">
        <v>3</v>
      </c>
      <c r="M1793" t="inlineStr">
        <is>
          <t>2026-06-23 13:40:22</t>
        </is>
      </c>
      <c r="N1793" t="inlineStr">
        <is>
          <t>system</t>
        </is>
      </c>
      <c r="O1793" t="inlineStr">
        <is>
          <t>2026-06-19 07:10:32</t>
        </is>
      </c>
      <c r="P1793" t="inlineStr">
        <is>
          <t>2026-06-19 07:10:32</t>
        </is>
      </c>
      <c r="Y1793" t="inlineStr">
        <is>
          <t>27820882548</t>
        </is>
      </c>
    </row>
    <row r="1794">
      <c r="A1794" t="inlineStr">
        <is>
          <t>14947059</t>
        </is>
      </c>
      <c r="B1794" t="inlineStr">
        <is>
          <t>56ff135e-612e-43d2-9d7b-04c68195a565</t>
        </is>
      </c>
      <c r="D1794" t="inlineStr">
        <is>
          <t>30001087</t>
        </is>
      </c>
      <c r="E1794" t="inlineStr">
        <is>
          <t>ussd_funeral_leads_altitude_20260619</t>
        </is>
      </c>
      <c r="J1794" t="inlineStr">
        <is>
          <t>AA</t>
        </is>
      </c>
      <c r="K1794" t="inlineStr">
        <is>
          <t>Answering Machine Autodial</t>
        </is>
      </c>
      <c r="L1794" t="n">
        <v>3</v>
      </c>
      <c r="M1794" t="inlineStr">
        <is>
          <t>2026-06-23 13:40:22</t>
        </is>
      </c>
      <c r="N1794" t="inlineStr">
        <is>
          <t>system</t>
        </is>
      </c>
      <c r="O1794" t="inlineStr">
        <is>
          <t>2026-06-19 07:10:32</t>
        </is>
      </c>
      <c r="P1794" t="inlineStr">
        <is>
          <t>2026-06-19 07:10:32</t>
        </is>
      </c>
      <c r="Y1794" t="inlineStr">
        <is>
          <t>27791560771</t>
        </is>
      </c>
    </row>
    <row r="1795">
      <c r="A1795" t="inlineStr">
        <is>
          <t>14944825</t>
        </is>
      </c>
      <c r="B1795" t="inlineStr">
        <is>
          <t>08c6ccb2-12fa-4f4d-a73f-fbbc26f2cf7e</t>
        </is>
      </c>
      <c r="D1795" t="inlineStr">
        <is>
          <t>30001087</t>
        </is>
      </c>
      <c r="E1795" t="inlineStr">
        <is>
          <t>ussd_funeral_leads_altitude_20260619</t>
        </is>
      </c>
      <c r="J1795" t="inlineStr">
        <is>
          <t>ADC</t>
        </is>
      </c>
      <c r="K1795" t="inlineStr">
        <is>
          <t>Auto Dial Disconnected</t>
        </is>
      </c>
      <c r="L1795" t="n">
        <v>3</v>
      </c>
      <c r="M1795" t="inlineStr">
        <is>
          <t>2026-06-23 13:40:01</t>
        </is>
      </c>
      <c r="N1795" t="inlineStr">
        <is>
          <t>system</t>
        </is>
      </c>
      <c r="O1795" t="inlineStr">
        <is>
          <t>2026-06-19 07:10:32</t>
        </is>
      </c>
      <c r="P1795" t="inlineStr">
        <is>
          <t>2026-06-19 07:10:32</t>
        </is>
      </c>
      <c r="Y1795" t="inlineStr">
        <is>
          <t>27762587865</t>
        </is>
      </c>
    </row>
    <row r="1796">
      <c r="A1796" t="inlineStr">
        <is>
          <t>14944826</t>
        </is>
      </c>
      <c r="B1796" t="inlineStr">
        <is>
          <t>1aa781eb-ebc0-4f51-9575-e09933b2f0fb</t>
        </is>
      </c>
      <c r="D1796" t="inlineStr">
        <is>
          <t>30001087</t>
        </is>
      </c>
      <c r="E1796" t="inlineStr">
        <is>
          <t>ussd_funeral_leads_altitude_20260619</t>
        </is>
      </c>
      <c r="J1796" t="inlineStr">
        <is>
          <t>NA</t>
        </is>
      </c>
      <c r="K1796" t="inlineStr">
        <is>
          <t>No Answer Autodial</t>
        </is>
      </c>
      <c r="L1796" t="n">
        <v>3</v>
      </c>
      <c r="M1796" t="inlineStr">
        <is>
          <t>2026-06-23 13:40:01</t>
        </is>
      </c>
      <c r="N1796" t="inlineStr">
        <is>
          <t>system</t>
        </is>
      </c>
      <c r="O1796" t="inlineStr">
        <is>
          <t>2026-06-19 07:10:32</t>
        </is>
      </c>
      <c r="P1796" t="inlineStr">
        <is>
          <t>2026-06-19 07:10:32</t>
        </is>
      </c>
      <c r="Y1796" t="inlineStr">
        <is>
          <t>27762375880</t>
        </is>
      </c>
    </row>
    <row r="1797">
      <c r="A1797" t="inlineStr">
        <is>
          <t>14944827</t>
        </is>
      </c>
      <c r="B1797" t="inlineStr">
        <is>
          <t>bd0be09f-9d80-40a2-a4c8-fe9212e6e27b</t>
        </is>
      </c>
      <c r="D1797" t="inlineStr">
        <is>
          <t>30001087</t>
        </is>
      </c>
      <c r="E1797" t="inlineStr">
        <is>
          <t>ussd_funeral_leads_altitude_20260619</t>
        </is>
      </c>
      <c r="J1797" t="inlineStr">
        <is>
          <t>AA</t>
        </is>
      </c>
      <c r="K1797" t="inlineStr">
        <is>
          <t>Answering Machine Autodial</t>
        </is>
      </c>
      <c r="L1797" t="n">
        <v>3</v>
      </c>
      <c r="M1797" t="inlineStr">
        <is>
          <t>2026-06-23 13:40:01</t>
        </is>
      </c>
      <c r="N1797" t="inlineStr">
        <is>
          <t>system</t>
        </is>
      </c>
      <c r="O1797" t="inlineStr">
        <is>
          <t>2026-06-19 07:10:32</t>
        </is>
      </c>
      <c r="P1797" t="inlineStr">
        <is>
          <t>2026-06-19 07:10:32</t>
        </is>
      </c>
      <c r="Y1797" t="inlineStr">
        <is>
          <t>27763302700</t>
        </is>
      </c>
    </row>
    <row r="1798">
      <c r="A1798" t="inlineStr">
        <is>
          <t>14947062</t>
        </is>
      </c>
      <c r="B1798" t="inlineStr">
        <is>
          <t>a279f8ee-0b07-41a1-a7b3-d14f2ee56991</t>
        </is>
      </c>
      <c r="D1798" t="inlineStr">
        <is>
          <t>30001087</t>
        </is>
      </c>
      <c r="E1798" t="inlineStr">
        <is>
          <t>ussd_funeral_leads_altitude_20260619</t>
        </is>
      </c>
      <c r="J1798" t="inlineStr">
        <is>
          <t>AA</t>
        </is>
      </c>
      <c r="K1798" t="inlineStr">
        <is>
          <t>Answering Machine Autodial</t>
        </is>
      </c>
      <c r="L1798" t="n">
        <v>3</v>
      </c>
      <c r="M1798" t="inlineStr">
        <is>
          <t>2026-06-23 13:40:01</t>
        </is>
      </c>
      <c r="N1798" t="inlineStr">
        <is>
          <t>system</t>
        </is>
      </c>
      <c r="O1798" t="inlineStr">
        <is>
          <t>2026-06-19 07:10:32</t>
        </is>
      </c>
      <c r="P1798" t="inlineStr">
        <is>
          <t>2026-06-19 07:10:32</t>
        </is>
      </c>
      <c r="Y1798" t="inlineStr">
        <is>
          <t>27715281078</t>
        </is>
      </c>
    </row>
    <row r="1799">
      <c r="A1799" t="inlineStr">
        <is>
          <t>14947063</t>
        </is>
      </c>
      <c r="B1799" t="inlineStr">
        <is>
          <t>8de79245-3ebe-471e-b28a-d60349468325</t>
        </is>
      </c>
      <c r="D1799" t="inlineStr">
        <is>
          <t>30001087</t>
        </is>
      </c>
      <c r="E1799" t="inlineStr">
        <is>
          <t>ussd_funeral_leads_altitude_20260619</t>
        </is>
      </c>
      <c r="J1799" t="inlineStr">
        <is>
          <t>ADC</t>
        </is>
      </c>
      <c r="K1799" t="inlineStr">
        <is>
          <t>Auto Dial Disconnected</t>
        </is>
      </c>
      <c r="L1799" t="n">
        <v>3</v>
      </c>
      <c r="M1799" t="inlineStr">
        <is>
          <t>2026-06-23 13:40:01</t>
        </is>
      </c>
      <c r="N1799" t="inlineStr">
        <is>
          <t>system</t>
        </is>
      </c>
      <c r="O1799" t="inlineStr">
        <is>
          <t>2026-06-19 07:10:32</t>
        </is>
      </c>
      <c r="P1799" t="inlineStr">
        <is>
          <t>2026-06-19 07:10:32</t>
        </is>
      </c>
      <c r="Y1799" t="inlineStr">
        <is>
          <t>27664257552</t>
        </is>
      </c>
    </row>
    <row r="1800">
      <c r="A1800" t="inlineStr">
        <is>
          <t>14947064</t>
        </is>
      </c>
      <c r="B1800" t="inlineStr">
        <is>
          <t>28f9f417-53dc-4e07-a126-6caafe18828c</t>
        </is>
      </c>
      <c r="D1800" t="inlineStr">
        <is>
          <t>30001087</t>
        </is>
      </c>
      <c r="E1800" t="inlineStr">
        <is>
          <t>ussd_funeral_leads_altitude_20260619</t>
        </is>
      </c>
      <c r="J1800" t="inlineStr">
        <is>
          <t>AA</t>
        </is>
      </c>
      <c r="K1800" t="inlineStr">
        <is>
          <t>Answering Machine Autodial</t>
        </is>
      </c>
      <c r="L1800" t="n">
        <v>3</v>
      </c>
      <c r="M1800" t="inlineStr">
        <is>
          <t>2026-06-23 13:40:00</t>
        </is>
      </c>
      <c r="N1800" t="inlineStr">
        <is>
          <t>system</t>
        </is>
      </c>
      <c r="O1800" t="inlineStr">
        <is>
          <t>2026-06-19 07:10:32</t>
        </is>
      </c>
      <c r="P1800" t="inlineStr">
        <is>
          <t>2026-06-19 07:10:32</t>
        </is>
      </c>
      <c r="Y1800" t="inlineStr">
        <is>
          <t>27665893657</t>
        </is>
      </c>
    </row>
    <row r="1801">
      <c r="A1801" t="inlineStr">
        <is>
          <t>14944828</t>
        </is>
      </c>
      <c r="B1801" t="inlineStr">
        <is>
          <t>1fa0598a-383f-477a-858b-42767949c339</t>
        </is>
      </c>
      <c r="D1801" t="inlineStr">
        <is>
          <t>30001087</t>
        </is>
      </c>
      <c r="E1801" t="inlineStr">
        <is>
          <t>ussd_funeral_leads_altitude_20260619</t>
        </is>
      </c>
      <c r="J1801" t="inlineStr">
        <is>
          <t>TDN</t>
        </is>
      </c>
      <c r="K1801" t="inlineStr">
        <is>
          <t>Temporary Disconnected Number</t>
        </is>
      </c>
      <c r="L1801" t="n">
        <v>3</v>
      </c>
      <c r="M1801" t="inlineStr">
        <is>
          <t>2026-06-23 13:39:58</t>
        </is>
      </c>
      <c r="N1801" t="inlineStr">
        <is>
          <t>system</t>
        </is>
      </c>
      <c r="O1801" t="inlineStr">
        <is>
          <t>2026-06-19 07:10:32</t>
        </is>
      </c>
      <c r="P1801" t="inlineStr">
        <is>
          <t>2026-06-19 07:10:32</t>
        </is>
      </c>
      <c r="Y1801" t="inlineStr">
        <is>
          <t>27773574537</t>
        </is>
      </c>
    </row>
    <row r="1802">
      <c r="A1802" t="inlineStr">
        <is>
          <t>14947060</t>
        </is>
      </c>
      <c r="B1802" t="inlineStr">
        <is>
          <t>3325acf1-9dc5-43b2-a794-eeea6f9bd594</t>
        </is>
      </c>
      <c r="D1802" t="inlineStr">
        <is>
          <t>30001087</t>
        </is>
      </c>
      <c r="E1802" t="inlineStr">
        <is>
          <t>ussd_funeral_leads_altitude_20260619</t>
        </is>
      </c>
      <c r="J1802" t="inlineStr">
        <is>
          <t>NA</t>
        </is>
      </c>
      <c r="K1802" t="inlineStr">
        <is>
          <t>No Answer Autodial</t>
        </is>
      </c>
      <c r="L1802" t="n">
        <v>3</v>
      </c>
      <c r="M1802" t="inlineStr">
        <is>
          <t>2026-06-23 13:39:58</t>
        </is>
      </c>
      <c r="N1802" t="inlineStr">
        <is>
          <t>system</t>
        </is>
      </c>
      <c r="O1802" t="inlineStr">
        <is>
          <t>2026-06-19 07:10:32</t>
        </is>
      </c>
      <c r="P1802" t="inlineStr">
        <is>
          <t>2026-06-19 07:10:32</t>
        </is>
      </c>
      <c r="Y1802" t="inlineStr">
        <is>
          <t>27765214296</t>
        </is>
      </c>
    </row>
    <row r="1803">
      <c r="A1803" t="inlineStr">
        <is>
          <t>14947061</t>
        </is>
      </c>
      <c r="B1803" t="inlineStr">
        <is>
          <t>93d8fece-8583-4c5b-b65f-2cb5e21d1805</t>
        </is>
      </c>
      <c r="D1803" t="inlineStr">
        <is>
          <t>30001087</t>
        </is>
      </c>
      <c r="E1803" t="inlineStr">
        <is>
          <t>ussd_funeral_leads_altitude_20260619</t>
        </is>
      </c>
      <c r="J1803" t="inlineStr">
        <is>
          <t>ADC</t>
        </is>
      </c>
      <c r="K1803" t="inlineStr">
        <is>
          <t>Auto Dial Disconnected</t>
        </is>
      </c>
      <c r="L1803" t="n">
        <v>3</v>
      </c>
      <c r="M1803" t="inlineStr">
        <is>
          <t>2026-06-23 13:39:58</t>
        </is>
      </c>
      <c r="N1803" t="inlineStr">
        <is>
          <t>system</t>
        </is>
      </c>
      <c r="O1803" t="inlineStr">
        <is>
          <t>2026-06-19 07:10:32</t>
        </is>
      </c>
      <c r="P1803" t="inlineStr">
        <is>
          <t>2026-06-19 07:10:32</t>
        </is>
      </c>
      <c r="Y1803" t="inlineStr">
        <is>
          <t>27799797236</t>
        </is>
      </c>
    </row>
    <row r="1804">
      <c r="A1804" t="inlineStr">
        <is>
          <t>14944824</t>
        </is>
      </c>
      <c r="B1804" t="inlineStr">
        <is>
          <t>bad6845b-8bc4-418d-af60-9d5465499d95</t>
        </is>
      </c>
      <c r="D1804" t="inlineStr">
        <is>
          <t>30001087</t>
        </is>
      </c>
      <c r="E1804" t="inlineStr">
        <is>
          <t>ussd_funeral_leads_altitude_20260619</t>
        </is>
      </c>
      <c r="J1804" t="inlineStr">
        <is>
          <t>AA</t>
        </is>
      </c>
      <c r="K1804" t="inlineStr">
        <is>
          <t>Answering Machine Autodial</t>
        </is>
      </c>
      <c r="L1804" t="n">
        <v>3</v>
      </c>
      <c r="M1804" t="inlineStr">
        <is>
          <t>2026-06-23 13:39:45</t>
        </is>
      </c>
      <c r="N1804" t="inlineStr">
        <is>
          <t>system</t>
        </is>
      </c>
      <c r="O1804" t="inlineStr">
        <is>
          <t>2026-06-19 07:10:32</t>
        </is>
      </c>
      <c r="P1804" t="inlineStr">
        <is>
          <t>2026-06-19 07:10:32</t>
        </is>
      </c>
      <c r="Y1804" t="inlineStr">
        <is>
          <t>27724106104</t>
        </is>
      </c>
    </row>
    <row r="1805">
      <c r="A1805" t="inlineStr">
        <is>
          <t>14944819</t>
        </is>
      </c>
      <c r="B1805" t="inlineStr">
        <is>
          <t>c96e3fb9-6513-4f84-af26-a2711e71489a</t>
        </is>
      </c>
      <c r="D1805" t="inlineStr">
        <is>
          <t>30001087</t>
        </is>
      </c>
      <c r="E1805" t="inlineStr">
        <is>
          <t>ussd_funeral_leads_altitude_20260619</t>
        </is>
      </c>
      <c r="J1805" t="inlineStr">
        <is>
          <t>AA</t>
        </is>
      </c>
      <c r="K1805" t="inlineStr">
        <is>
          <t>Answering Machine Autodial</t>
        </is>
      </c>
      <c r="L1805" t="n">
        <v>3</v>
      </c>
      <c r="M1805" t="inlineStr">
        <is>
          <t>2026-06-23 13:39:43</t>
        </is>
      </c>
      <c r="N1805" t="inlineStr">
        <is>
          <t>system</t>
        </is>
      </c>
      <c r="O1805" t="inlineStr">
        <is>
          <t>2026-06-19 07:10:32</t>
        </is>
      </c>
      <c r="P1805" t="inlineStr">
        <is>
          <t>2026-06-19 07:10:32</t>
        </is>
      </c>
      <c r="Y1805" t="inlineStr">
        <is>
          <t>27724466342</t>
        </is>
      </c>
    </row>
    <row r="1806">
      <c r="A1806" t="inlineStr">
        <is>
          <t>14944821</t>
        </is>
      </c>
      <c r="B1806" t="inlineStr">
        <is>
          <t>2b6df0eb-07a2-4bf1-847c-cf2671707ea1</t>
        </is>
      </c>
      <c r="D1806" t="inlineStr">
        <is>
          <t>30001087</t>
        </is>
      </c>
      <c r="E1806" t="inlineStr">
        <is>
          <t>ussd_funeral_leads_altitude_20260619</t>
        </is>
      </c>
      <c r="J1806" t="inlineStr">
        <is>
          <t>ADC</t>
        </is>
      </c>
      <c r="K1806" t="inlineStr">
        <is>
          <t>Auto Dial Disconnected</t>
        </is>
      </c>
      <c r="L1806" t="n">
        <v>3</v>
      </c>
      <c r="M1806" t="inlineStr">
        <is>
          <t>2026-06-23 13:39:43</t>
        </is>
      </c>
      <c r="N1806" t="inlineStr">
        <is>
          <t>system</t>
        </is>
      </c>
      <c r="O1806" t="inlineStr">
        <is>
          <t>2026-06-19 07:10:32</t>
        </is>
      </c>
      <c r="P1806" t="inlineStr">
        <is>
          <t>2026-06-19 07:10:32</t>
        </is>
      </c>
      <c r="Y1806" t="inlineStr">
        <is>
          <t>27675423401</t>
        </is>
      </c>
    </row>
    <row r="1807">
      <c r="A1807" t="inlineStr">
        <is>
          <t>14947065</t>
        </is>
      </c>
      <c r="B1807" t="inlineStr">
        <is>
          <t>0a74650e-ed34-4cf2-b58b-f262e802e131</t>
        </is>
      </c>
      <c r="D1807" t="inlineStr">
        <is>
          <t>30001087</t>
        </is>
      </c>
      <c r="E1807" t="inlineStr">
        <is>
          <t>ussd_funeral_leads_altitude_20260619</t>
        </is>
      </c>
      <c r="J1807" t="inlineStr">
        <is>
          <t>AA</t>
        </is>
      </c>
      <c r="K1807" t="inlineStr">
        <is>
          <t>Answering Machine Autodial</t>
        </is>
      </c>
      <c r="L1807" t="n">
        <v>3</v>
      </c>
      <c r="M1807" t="inlineStr">
        <is>
          <t>2026-06-23 13:39:43</t>
        </is>
      </c>
      <c r="N1807" t="inlineStr">
        <is>
          <t>system</t>
        </is>
      </c>
      <c r="O1807" t="inlineStr">
        <is>
          <t>2026-06-19 07:10:32</t>
        </is>
      </c>
      <c r="P1807" t="inlineStr">
        <is>
          <t>2026-06-19 07:10:32</t>
        </is>
      </c>
      <c r="Y1807" t="inlineStr">
        <is>
          <t>27795259020</t>
        </is>
      </c>
    </row>
    <row r="1808">
      <c r="A1808" t="inlineStr">
        <is>
          <t>14947067</t>
        </is>
      </c>
      <c r="B1808" t="inlineStr">
        <is>
          <t>fb06218b-e3bc-4368-b1ae-f7f90a660f31</t>
        </is>
      </c>
      <c r="D1808" t="inlineStr">
        <is>
          <t>30001087</t>
        </is>
      </c>
      <c r="E1808" t="inlineStr">
        <is>
          <t>ussd_funeral_leads_altitude_20260619</t>
        </is>
      </c>
      <c r="J1808" t="inlineStr">
        <is>
          <t>DROP</t>
        </is>
      </c>
      <c r="K1808" t="inlineStr">
        <is>
          <t>Dropped</t>
        </is>
      </c>
      <c r="L1808" t="n">
        <v>3</v>
      </c>
      <c r="M1808" t="inlineStr">
        <is>
          <t>2026-06-23 13:39:43</t>
        </is>
      </c>
      <c r="N1808" t="inlineStr">
        <is>
          <t>system</t>
        </is>
      </c>
      <c r="O1808" t="inlineStr">
        <is>
          <t>2026-06-19 07:10:32</t>
        </is>
      </c>
      <c r="P1808" t="inlineStr">
        <is>
          <t>2026-06-19 07:10:32</t>
        </is>
      </c>
      <c r="Y1808" t="inlineStr">
        <is>
          <t>27711271982</t>
        </is>
      </c>
    </row>
    <row r="1809">
      <c r="A1809" t="inlineStr">
        <is>
          <t>14947068</t>
        </is>
      </c>
      <c r="B1809" t="inlineStr">
        <is>
          <t>1cd0cb58-114a-4f1f-ba37-90b19986b9f4</t>
        </is>
      </c>
      <c r="D1809" t="inlineStr">
        <is>
          <t>30001087</t>
        </is>
      </c>
      <c r="E1809" t="inlineStr">
        <is>
          <t>ussd_funeral_leads_altitude_20260619</t>
        </is>
      </c>
      <c r="J1809" t="inlineStr">
        <is>
          <t>TDN</t>
        </is>
      </c>
      <c r="K1809" t="inlineStr">
        <is>
          <t>Temporary Disconnected Number</t>
        </is>
      </c>
      <c r="L1809" t="n">
        <v>3</v>
      </c>
      <c r="M1809" t="inlineStr">
        <is>
          <t>2026-06-23 13:39:43</t>
        </is>
      </c>
      <c r="N1809" t="inlineStr">
        <is>
          <t>system</t>
        </is>
      </c>
      <c r="O1809" t="inlineStr">
        <is>
          <t>2026-06-19 07:10:32</t>
        </is>
      </c>
      <c r="P1809" t="inlineStr">
        <is>
          <t>2026-06-19 07:10:32</t>
        </is>
      </c>
      <c r="Y1809" t="inlineStr">
        <is>
          <t>27769336319</t>
        </is>
      </c>
    </row>
    <row r="1810">
      <c r="A1810" t="inlineStr">
        <is>
          <t>14944822</t>
        </is>
      </c>
      <c r="B1810" t="inlineStr">
        <is>
          <t>d03db6d7-3df4-4704-bac2-d828b30ca2e1</t>
        </is>
      </c>
      <c r="D1810" t="inlineStr">
        <is>
          <t>30001087</t>
        </is>
      </c>
      <c r="E1810" t="inlineStr">
        <is>
          <t>ussd_funeral_leads_altitude_20260619</t>
        </is>
      </c>
      <c r="J1810" t="inlineStr">
        <is>
          <t>AA</t>
        </is>
      </c>
      <c r="K1810" t="inlineStr">
        <is>
          <t>Answering Machine Autodial</t>
        </is>
      </c>
      <c r="L1810" t="n">
        <v>3</v>
      </c>
      <c r="M1810" t="inlineStr">
        <is>
          <t>2026-06-23 13:39:42</t>
        </is>
      </c>
      <c r="N1810" t="inlineStr">
        <is>
          <t>system</t>
        </is>
      </c>
      <c r="O1810" t="inlineStr">
        <is>
          <t>2026-06-19 07:10:32</t>
        </is>
      </c>
      <c r="P1810" t="inlineStr">
        <is>
          <t>2026-06-19 07:10:32</t>
        </is>
      </c>
      <c r="Y1810" t="inlineStr">
        <is>
          <t>27728984953</t>
        </is>
      </c>
    </row>
    <row r="1811">
      <c r="A1811" t="inlineStr">
        <is>
          <t>14944793</t>
        </is>
      </c>
      <c r="B1811" t="inlineStr">
        <is>
          <t>38ac55fd-627a-4de3-b960-35959077dfdb</t>
        </is>
      </c>
      <c r="D1811" t="inlineStr">
        <is>
          <t>30001087</t>
        </is>
      </c>
      <c r="E1811" t="inlineStr">
        <is>
          <t>ussd_funeral_leads_altitude_20260619</t>
        </is>
      </c>
      <c r="H1811" t="inlineStr">
        <is>
          <t>27713714162</t>
        </is>
      </c>
      <c r="J1811" t="inlineStr">
        <is>
          <t>CU</t>
        </is>
      </c>
      <c r="K1811" t="inlineStr">
        <is>
          <t>Client Hung Up</t>
        </is>
      </c>
      <c r="L1811" t="n">
        <v>3</v>
      </c>
      <c r="M1811" t="inlineStr">
        <is>
          <t>2026-06-23 13:39:42</t>
        </is>
      </c>
      <c r="N1811" t="inlineStr">
        <is>
          <t>Gontse Monageng</t>
        </is>
      </c>
      <c r="O1811" t="inlineStr">
        <is>
          <t>2026-06-19 07:10:32</t>
        </is>
      </c>
      <c r="P1811" t="inlineStr">
        <is>
          <t>2026-06-19 07:10:32</t>
        </is>
      </c>
      <c r="Y1811" t="inlineStr">
        <is>
          <t>27713714162</t>
        </is>
      </c>
    </row>
    <row r="1812">
      <c r="A1812" t="inlineStr">
        <is>
          <t>14947066</t>
        </is>
      </c>
      <c r="B1812" t="inlineStr">
        <is>
          <t>1088fe86-197c-4978-929b-547c17495b36</t>
        </is>
      </c>
      <c r="D1812" t="inlineStr">
        <is>
          <t>30001087</t>
        </is>
      </c>
      <c r="E1812" t="inlineStr">
        <is>
          <t>ussd_funeral_leads_altitude_20260619</t>
        </is>
      </c>
      <c r="J1812" t="inlineStr">
        <is>
          <t>CU</t>
        </is>
      </c>
      <c r="K1812" t="inlineStr">
        <is>
          <t>Client Hung Up</t>
        </is>
      </c>
      <c r="L1812" t="n">
        <v>3</v>
      </c>
      <c r="M1812" t="inlineStr">
        <is>
          <t>2026-06-23 13:39:42</t>
        </is>
      </c>
      <c r="N1812" t="inlineStr">
        <is>
          <t>Vuyiswa Nxumalo</t>
        </is>
      </c>
      <c r="O1812" t="inlineStr">
        <is>
          <t>2026-06-19 07:10:32</t>
        </is>
      </c>
      <c r="P1812" t="inlineStr">
        <is>
          <t>2026-06-19 07:10:32</t>
        </is>
      </c>
      <c r="Y1812" t="inlineStr">
        <is>
          <t>27798048301</t>
        </is>
      </c>
    </row>
    <row r="1813">
      <c r="A1813" t="inlineStr">
        <is>
          <t>14947069</t>
        </is>
      </c>
      <c r="B1813" t="inlineStr">
        <is>
          <t>c6e06d1f-fb91-4967-9d39-673bc702b0d6</t>
        </is>
      </c>
      <c r="D1813" t="inlineStr">
        <is>
          <t>30001087</t>
        </is>
      </c>
      <c r="E1813" t="inlineStr">
        <is>
          <t>ussd_funeral_leads_altitude_20260619</t>
        </is>
      </c>
      <c r="J1813" t="inlineStr">
        <is>
          <t>TDN</t>
        </is>
      </c>
      <c r="K1813" t="inlineStr">
        <is>
          <t>Temporary Disconnected Number</t>
        </is>
      </c>
      <c r="L1813" t="n">
        <v>3</v>
      </c>
      <c r="M1813" t="inlineStr">
        <is>
          <t>2026-06-23 13:39:42</t>
        </is>
      </c>
      <c r="N1813" t="inlineStr">
        <is>
          <t>system</t>
        </is>
      </c>
      <c r="O1813" t="inlineStr">
        <is>
          <t>2026-06-19 07:10:32</t>
        </is>
      </c>
      <c r="P1813" t="inlineStr">
        <is>
          <t>2026-06-19 07:10:32</t>
        </is>
      </c>
      <c r="Y1813" t="inlineStr">
        <is>
          <t>27636618167</t>
        </is>
      </c>
    </row>
    <row r="1814">
      <c r="A1814" t="inlineStr">
        <is>
          <t>14947070</t>
        </is>
      </c>
      <c r="B1814" t="inlineStr">
        <is>
          <t>36155d26-ad7a-43d8-931c-898c9f023a6c</t>
        </is>
      </c>
      <c r="D1814" t="inlineStr">
        <is>
          <t>30001087</t>
        </is>
      </c>
      <c r="E1814" t="inlineStr">
        <is>
          <t>ussd_funeral_leads_altitude_20260619</t>
        </is>
      </c>
      <c r="J1814" t="inlineStr">
        <is>
          <t>AA</t>
        </is>
      </c>
      <c r="K1814" t="inlineStr">
        <is>
          <t>Answering Machine Autodial</t>
        </is>
      </c>
      <c r="L1814" t="n">
        <v>3</v>
      </c>
      <c r="M1814" t="inlineStr">
        <is>
          <t>2026-06-23 13:39:37</t>
        </is>
      </c>
      <c r="N1814" t="inlineStr">
        <is>
          <t>system</t>
        </is>
      </c>
      <c r="O1814" t="inlineStr">
        <is>
          <t>2026-06-19 07:10:32</t>
        </is>
      </c>
      <c r="P1814" t="inlineStr">
        <is>
          <t>2026-06-19 07:10:32</t>
        </is>
      </c>
      <c r="Y1814" t="inlineStr">
        <is>
          <t>27720405487</t>
        </is>
      </c>
    </row>
    <row r="1815">
      <c r="A1815" t="inlineStr">
        <is>
          <t>14944790</t>
        </is>
      </c>
      <c r="B1815" t="inlineStr">
        <is>
          <t>aad7cd8f-6055-428a-8660-95f9611ee7aa</t>
        </is>
      </c>
      <c r="D1815" t="inlineStr">
        <is>
          <t>30001087</t>
        </is>
      </c>
      <c r="E1815" t="inlineStr">
        <is>
          <t>ussd_funeral_leads_altitude_20260619</t>
        </is>
      </c>
      <c r="J1815" t="inlineStr">
        <is>
          <t>AA</t>
        </is>
      </c>
      <c r="K1815" t="inlineStr">
        <is>
          <t>Answering Machine Autodial</t>
        </is>
      </c>
      <c r="L1815" t="n">
        <v>3</v>
      </c>
      <c r="M1815" t="inlineStr">
        <is>
          <t>2026-06-23 13:39:36</t>
        </is>
      </c>
      <c r="N1815" t="inlineStr">
        <is>
          <t>system</t>
        </is>
      </c>
      <c r="O1815" t="inlineStr">
        <is>
          <t>2026-06-19 07:10:32</t>
        </is>
      </c>
      <c r="P1815" t="inlineStr">
        <is>
          <t>2026-06-19 07:10:32</t>
        </is>
      </c>
      <c r="Y1815" t="inlineStr">
        <is>
          <t>27791936440</t>
        </is>
      </c>
    </row>
    <row r="1816">
      <c r="A1816" t="inlineStr">
        <is>
          <t>14944791</t>
        </is>
      </c>
      <c r="B1816" t="inlineStr">
        <is>
          <t>84b9d8a5-dc55-4bc2-bcd5-73f4a5dc7c63</t>
        </is>
      </c>
      <c r="D1816" t="inlineStr">
        <is>
          <t>30001087</t>
        </is>
      </c>
      <c r="E1816" t="inlineStr">
        <is>
          <t>ussd_funeral_leads_altitude_20260619</t>
        </is>
      </c>
      <c r="J1816" t="inlineStr">
        <is>
          <t>AA</t>
        </is>
      </c>
      <c r="K1816" t="inlineStr">
        <is>
          <t>Answering Machine Autodial</t>
        </is>
      </c>
      <c r="L1816" t="n">
        <v>3</v>
      </c>
      <c r="M1816" t="inlineStr">
        <is>
          <t>2026-06-23 13:39:36</t>
        </is>
      </c>
      <c r="N1816" t="inlineStr">
        <is>
          <t>system</t>
        </is>
      </c>
      <c r="O1816" t="inlineStr">
        <is>
          <t>2026-06-19 07:10:32</t>
        </is>
      </c>
      <c r="P1816" t="inlineStr">
        <is>
          <t>2026-06-19 07:10:32</t>
        </is>
      </c>
      <c r="Y1816" t="inlineStr">
        <is>
          <t>27826105716</t>
        </is>
      </c>
    </row>
    <row r="1817">
      <c r="A1817" t="inlineStr">
        <is>
          <t>14944792</t>
        </is>
      </c>
      <c r="B1817" t="inlineStr">
        <is>
          <t>f3379f6f-ad5f-40d9-a854-c4cb01baa509</t>
        </is>
      </c>
      <c r="D1817" t="inlineStr">
        <is>
          <t>30001087</t>
        </is>
      </c>
      <c r="E1817" t="inlineStr">
        <is>
          <t>ussd_funeral_leads_altitude_20260619</t>
        </is>
      </c>
      <c r="J1817" t="inlineStr">
        <is>
          <t>AE</t>
        </is>
      </c>
      <c r="K1817" t="inlineStr">
        <is>
          <t>Auto Engaged</t>
        </is>
      </c>
      <c r="L1817" t="n">
        <v>3</v>
      </c>
      <c r="M1817" t="inlineStr">
        <is>
          <t>2026-06-23 13:39:36</t>
        </is>
      </c>
      <c r="N1817" t="inlineStr">
        <is>
          <t>system</t>
        </is>
      </c>
      <c r="O1817" t="inlineStr">
        <is>
          <t>2026-06-19 07:10:32</t>
        </is>
      </c>
      <c r="P1817" t="inlineStr">
        <is>
          <t>2026-06-19 07:10:32</t>
        </is>
      </c>
      <c r="Y1817" t="inlineStr">
        <is>
          <t>27665264401</t>
        </is>
      </c>
    </row>
    <row r="1818">
      <c r="A1818" t="inlineStr">
        <is>
          <t>14947071</t>
        </is>
      </c>
      <c r="B1818" t="inlineStr">
        <is>
          <t>8e2fbdd2-6f64-4b20-a4fe-c5bf805b44a7</t>
        </is>
      </c>
      <c r="D1818" t="inlineStr">
        <is>
          <t>30001087</t>
        </is>
      </c>
      <c r="E1818" t="inlineStr">
        <is>
          <t>ussd_funeral_leads_altitude_20260619</t>
        </is>
      </c>
      <c r="J1818" t="inlineStr">
        <is>
          <t>CU</t>
        </is>
      </c>
      <c r="K1818" t="inlineStr">
        <is>
          <t>Client Hung Up</t>
        </is>
      </c>
      <c r="L1818" t="n">
        <v>3</v>
      </c>
      <c r="M1818" t="inlineStr">
        <is>
          <t>2026-06-23 13:39:36</t>
        </is>
      </c>
      <c r="N1818" t="inlineStr">
        <is>
          <t>Lebohang Mabotja</t>
        </is>
      </c>
      <c r="O1818" t="inlineStr">
        <is>
          <t>2026-06-19 07:10:32</t>
        </is>
      </c>
      <c r="P1818" t="inlineStr">
        <is>
          <t>2026-06-19 07:10:32</t>
        </is>
      </c>
      <c r="Y1818" t="inlineStr">
        <is>
          <t>27766518748</t>
        </is>
      </c>
    </row>
    <row r="1819">
      <c r="A1819" t="inlineStr">
        <is>
          <t>14947072</t>
        </is>
      </c>
      <c r="B1819" t="inlineStr">
        <is>
          <t>165ad8cc-a0fc-4c99-a285-6a0aa53dcf52</t>
        </is>
      </c>
      <c r="D1819" t="inlineStr">
        <is>
          <t>30001087</t>
        </is>
      </c>
      <c r="E1819" t="inlineStr">
        <is>
          <t>ussd_funeral_leads_altitude_20260619</t>
        </is>
      </c>
      <c r="J1819" t="inlineStr">
        <is>
          <t>AA</t>
        </is>
      </c>
      <c r="K1819" t="inlineStr">
        <is>
          <t>Answering Machine Autodial</t>
        </is>
      </c>
      <c r="L1819" t="n">
        <v>3</v>
      </c>
      <c r="M1819" t="inlineStr">
        <is>
          <t>2026-06-23 13:39:36</t>
        </is>
      </c>
      <c r="N1819" t="inlineStr">
        <is>
          <t>system</t>
        </is>
      </c>
      <c r="O1819" t="inlineStr">
        <is>
          <t>2026-06-19 07:10:32</t>
        </is>
      </c>
      <c r="P1819" t="inlineStr">
        <is>
          <t>2026-06-19 07:10:32</t>
        </is>
      </c>
      <c r="Y1819" t="inlineStr">
        <is>
          <t>27663581545</t>
        </is>
      </c>
    </row>
    <row r="1820">
      <c r="A1820" t="inlineStr">
        <is>
          <t>14900000</t>
        </is>
      </c>
      <c r="B1820" t="inlineStr">
        <is>
          <t>8642583e-0896-4ba4-8c97-cd21e917990c</t>
        </is>
      </c>
      <c r="D1820" t="inlineStr">
        <is>
          <t>30001087</t>
        </is>
      </c>
      <c r="E1820" t="inlineStr">
        <is>
          <t>ussd_funeral_leads_altitude_20260619</t>
        </is>
      </c>
      <c r="J1820" t="inlineStr">
        <is>
          <t>NA</t>
        </is>
      </c>
      <c r="K1820" t="inlineStr">
        <is>
          <t>No Answer Autodial</t>
        </is>
      </c>
      <c r="L1820" t="n">
        <v>3</v>
      </c>
      <c r="M1820" t="inlineStr">
        <is>
          <t>2026-06-23 13:39:33</t>
        </is>
      </c>
      <c r="N1820" t="inlineStr">
        <is>
          <t>system</t>
        </is>
      </c>
      <c r="O1820" t="inlineStr">
        <is>
          <t>2026-06-19 07:10:32</t>
        </is>
      </c>
      <c r="P1820" t="inlineStr">
        <is>
          <t>2026-06-19 07:10:32</t>
        </is>
      </c>
      <c r="Y1820" t="inlineStr">
        <is>
          <t>27763493708</t>
        </is>
      </c>
    </row>
    <row r="1821">
      <c r="A1821" t="inlineStr">
        <is>
          <t>14947222</t>
        </is>
      </c>
      <c r="B1821" t="inlineStr">
        <is>
          <t>f38a4bef-c50a-4b83-b6de-f426e21012a8</t>
        </is>
      </c>
      <c r="D1821" t="inlineStr">
        <is>
          <t>30001087</t>
        </is>
      </c>
      <c r="E1821" t="inlineStr">
        <is>
          <t>ussd_funeral_leads_altitude_20260619</t>
        </is>
      </c>
      <c r="J1821" t="inlineStr">
        <is>
          <t>ADC</t>
        </is>
      </c>
      <c r="K1821" t="inlineStr">
        <is>
          <t>Auto Dial Disconnected</t>
        </is>
      </c>
      <c r="L1821" t="n">
        <v>3</v>
      </c>
      <c r="M1821" t="inlineStr">
        <is>
          <t>2026-06-23 13:39:31</t>
        </is>
      </c>
      <c r="N1821" t="inlineStr">
        <is>
          <t>system</t>
        </is>
      </c>
      <c r="O1821" t="inlineStr">
        <is>
          <t>2026-06-19 07:10:32</t>
        </is>
      </c>
      <c r="P1821" t="inlineStr">
        <is>
          <t>2026-06-19 07:10:32</t>
        </is>
      </c>
      <c r="Y1821" t="inlineStr">
        <is>
          <t>27713545486</t>
        </is>
      </c>
    </row>
    <row r="1822">
      <c r="A1822" t="inlineStr">
        <is>
          <t>14947224</t>
        </is>
      </c>
      <c r="B1822" t="inlineStr">
        <is>
          <t>cdde5734-1936-4752-b005-849cd4b38941</t>
        </is>
      </c>
      <c r="D1822" t="inlineStr">
        <is>
          <t>30001087</t>
        </is>
      </c>
      <c r="E1822" t="inlineStr">
        <is>
          <t>ussd_funeral_leads_altitude_20260619</t>
        </is>
      </c>
      <c r="J1822" t="inlineStr">
        <is>
          <t>NA</t>
        </is>
      </c>
      <c r="K1822" t="inlineStr">
        <is>
          <t>No Answer Autodial</t>
        </is>
      </c>
      <c r="L1822" t="n">
        <v>3</v>
      </c>
      <c r="M1822" t="inlineStr">
        <is>
          <t>2026-06-23 13:39:30</t>
        </is>
      </c>
      <c r="N1822" t="inlineStr">
        <is>
          <t>system</t>
        </is>
      </c>
      <c r="O1822" t="inlineStr">
        <is>
          <t>2026-06-19 07:10:32</t>
        </is>
      </c>
      <c r="P1822" t="inlineStr">
        <is>
          <t>2026-06-19 07:10:32</t>
        </is>
      </c>
      <c r="Y1822" t="inlineStr">
        <is>
          <t>27726829223</t>
        </is>
      </c>
    </row>
    <row r="1823">
      <c r="A1823" t="inlineStr">
        <is>
          <t>14947225</t>
        </is>
      </c>
      <c r="B1823" t="inlineStr">
        <is>
          <t>156da622-95e2-4369-8c1b-88ad2c05af75</t>
        </is>
      </c>
      <c r="D1823" t="inlineStr">
        <is>
          <t>30001087</t>
        </is>
      </c>
      <c r="E1823" t="inlineStr">
        <is>
          <t>ussd_funeral_leads_altitude_20260619</t>
        </is>
      </c>
      <c r="J1823" t="inlineStr">
        <is>
          <t>AA</t>
        </is>
      </c>
      <c r="K1823" t="inlineStr">
        <is>
          <t>Answering Machine Autodial</t>
        </is>
      </c>
      <c r="L1823" t="n">
        <v>3</v>
      </c>
      <c r="M1823" t="inlineStr">
        <is>
          <t>2026-06-23 13:39:26</t>
        </is>
      </c>
      <c r="N1823" t="inlineStr">
        <is>
          <t>system</t>
        </is>
      </c>
      <c r="O1823" t="inlineStr">
        <is>
          <t>2026-06-19 07:10:32</t>
        </is>
      </c>
      <c r="P1823" t="inlineStr">
        <is>
          <t>2026-06-19 07:10:32</t>
        </is>
      </c>
      <c r="Y1823" t="inlineStr">
        <is>
          <t>27725056424</t>
        </is>
      </c>
    </row>
    <row r="1824">
      <c r="A1824" t="inlineStr">
        <is>
          <t>14945813</t>
        </is>
      </c>
      <c r="B1824" t="inlineStr">
        <is>
          <t>ec21c7cf-118b-4770-a7de-e0c6c4bbaf72</t>
        </is>
      </c>
      <c r="D1824" t="inlineStr">
        <is>
          <t>30001087</t>
        </is>
      </c>
      <c r="E1824" t="inlineStr">
        <is>
          <t>ussd_funeral_leads_altitude_20260619</t>
        </is>
      </c>
      <c r="H1824" t="inlineStr">
        <is>
          <t>27646528780</t>
        </is>
      </c>
      <c r="J1824" t="inlineStr">
        <is>
          <t>CU</t>
        </is>
      </c>
      <c r="K1824" t="inlineStr">
        <is>
          <t>Client Hung Up</t>
        </is>
      </c>
      <c r="L1824" t="n">
        <v>3</v>
      </c>
      <c r="M1824" t="inlineStr">
        <is>
          <t>2026-06-23 13:39:24</t>
        </is>
      </c>
      <c r="N1824" t="inlineStr">
        <is>
          <t>Tebogo Chauke</t>
        </is>
      </c>
      <c r="O1824" t="inlineStr">
        <is>
          <t>2026-06-19 07:10:32</t>
        </is>
      </c>
      <c r="P1824" t="inlineStr">
        <is>
          <t>2026-06-19 07:10:32</t>
        </is>
      </c>
      <c r="Y1824" t="inlineStr">
        <is>
          <t>27646528780</t>
        </is>
      </c>
    </row>
    <row r="1825">
      <c r="A1825" t="inlineStr">
        <is>
          <t>14945193</t>
        </is>
      </c>
      <c r="B1825" t="inlineStr">
        <is>
          <t>b7733c18-81a3-4459-ae07-ce06fc8081b0</t>
        </is>
      </c>
      <c r="D1825" t="inlineStr">
        <is>
          <t>30001087</t>
        </is>
      </c>
      <c r="E1825" t="inlineStr">
        <is>
          <t>ussd_funeral_leads_altitude_20260619</t>
        </is>
      </c>
      <c r="J1825" t="inlineStr">
        <is>
          <t>TDN</t>
        </is>
      </c>
      <c r="K1825" t="inlineStr">
        <is>
          <t>Temporary Disconnected Number</t>
        </is>
      </c>
      <c r="L1825" t="n">
        <v>3</v>
      </c>
      <c r="M1825" t="inlineStr">
        <is>
          <t>2026-06-23 13:39:23</t>
        </is>
      </c>
      <c r="N1825" t="inlineStr">
        <is>
          <t>system</t>
        </is>
      </c>
      <c r="O1825" t="inlineStr">
        <is>
          <t>2026-06-19 07:10:32</t>
        </is>
      </c>
      <c r="P1825" t="inlineStr">
        <is>
          <t>2026-06-19 07:10:32</t>
        </is>
      </c>
      <c r="Y1825" t="inlineStr">
        <is>
          <t>27661921275</t>
        </is>
      </c>
    </row>
    <row r="1826">
      <c r="A1826" t="inlineStr">
        <is>
          <t>14900000</t>
        </is>
      </c>
      <c r="B1826" t="inlineStr">
        <is>
          <t>88e840d7-475a-4637-8990-b8f6ec015a6d</t>
        </is>
      </c>
      <c r="D1826" t="inlineStr">
        <is>
          <t>30001087</t>
        </is>
      </c>
      <c r="E1826" t="inlineStr">
        <is>
          <t>ussd_funeral_leads_altitude_20260619</t>
        </is>
      </c>
      <c r="J1826" t="inlineStr">
        <is>
          <t>AA</t>
        </is>
      </c>
      <c r="K1826" t="inlineStr">
        <is>
          <t>Answering Machine Autodial</t>
        </is>
      </c>
      <c r="L1826" t="n">
        <v>3</v>
      </c>
      <c r="M1826" t="inlineStr">
        <is>
          <t>2026-06-23 13:39:23</t>
        </is>
      </c>
      <c r="N1826" t="inlineStr">
        <is>
          <t>system</t>
        </is>
      </c>
      <c r="O1826" t="inlineStr">
        <is>
          <t>2026-06-19 07:10:32</t>
        </is>
      </c>
      <c r="P1826" t="inlineStr">
        <is>
          <t>2026-06-19 07:10:32</t>
        </is>
      </c>
      <c r="Y1826" t="inlineStr">
        <is>
          <t>27661665294</t>
        </is>
      </c>
    </row>
    <row r="1827">
      <c r="A1827" t="inlineStr">
        <is>
          <t>14947227</t>
        </is>
      </c>
      <c r="B1827" t="inlineStr">
        <is>
          <t>1e8e2fe8-99fd-449d-844a-ac19814a18ee</t>
        </is>
      </c>
      <c r="D1827" t="inlineStr">
        <is>
          <t>30001087</t>
        </is>
      </c>
      <c r="E1827" t="inlineStr">
        <is>
          <t>ussd_funeral_leads_altitude_20260619</t>
        </is>
      </c>
      <c r="J1827" t="inlineStr">
        <is>
          <t>CU</t>
        </is>
      </c>
      <c r="K1827" t="inlineStr">
        <is>
          <t>Client Hung Up</t>
        </is>
      </c>
      <c r="L1827" t="n">
        <v>3</v>
      </c>
      <c r="M1827" t="inlineStr">
        <is>
          <t>2026-06-23 13:39:23</t>
        </is>
      </c>
      <c r="N1827" t="inlineStr">
        <is>
          <t>Dimakatso Nkomo</t>
        </is>
      </c>
      <c r="O1827" t="inlineStr">
        <is>
          <t>2026-06-19 07:10:32</t>
        </is>
      </c>
      <c r="P1827" t="inlineStr">
        <is>
          <t>2026-06-19 07:10:32</t>
        </is>
      </c>
      <c r="Y1827" t="inlineStr">
        <is>
          <t>27760509503</t>
        </is>
      </c>
    </row>
    <row r="1828">
      <c r="A1828" t="inlineStr">
        <is>
          <t>14947228</t>
        </is>
      </c>
      <c r="B1828" t="inlineStr">
        <is>
          <t>b091661a-4fcf-462b-9387-966254459bf9</t>
        </is>
      </c>
      <c r="D1828" t="inlineStr">
        <is>
          <t>30001087</t>
        </is>
      </c>
      <c r="E1828" t="inlineStr">
        <is>
          <t>ussd_funeral_leads_altitude_20260619</t>
        </is>
      </c>
      <c r="J1828" t="inlineStr">
        <is>
          <t>AA</t>
        </is>
      </c>
      <c r="K1828" t="inlineStr">
        <is>
          <t>Answering Machine Autodial</t>
        </is>
      </c>
      <c r="L1828" t="n">
        <v>3</v>
      </c>
      <c r="M1828" t="inlineStr">
        <is>
          <t>2026-06-23 13:39:23</t>
        </is>
      </c>
      <c r="N1828" t="inlineStr">
        <is>
          <t>system</t>
        </is>
      </c>
      <c r="O1828" t="inlineStr">
        <is>
          <t>2026-06-19 07:10:32</t>
        </is>
      </c>
      <c r="P1828" t="inlineStr">
        <is>
          <t>2026-06-19 07:10:32</t>
        </is>
      </c>
      <c r="Y1828" t="inlineStr">
        <is>
          <t>27648301914</t>
        </is>
      </c>
    </row>
    <row r="1829">
      <c r="A1829" t="inlineStr">
        <is>
          <t>14947229</t>
        </is>
      </c>
      <c r="B1829" t="inlineStr">
        <is>
          <t>03b6c6a6-2f2d-4578-8468-73d2e3b28dbf</t>
        </is>
      </c>
      <c r="D1829" t="inlineStr">
        <is>
          <t>30001087</t>
        </is>
      </c>
      <c r="E1829" t="inlineStr">
        <is>
          <t>ussd_funeral_leads_altitude_20260619</t>
        </is>
      </c>
      <c r="J1829" t="inlineStr">
        <is>
          <t>NA</t>
        </is>
      </c>
      <c r="K1829" t="inlineStr">
        <is>
          <t>No Answer Autodial</t>
        </is>
      </c>
      <c r="L1829" t="n">
        <v>3</v>
      </c>
      <c r="M1829" t="inlineStr">
        <is>
          <t>2026-06-23 13:39:23</t>
        </is>
      </c>
      <c r="N1829" t="inlineStr">
        <is>
          <t>system</t>
        </is>
      </c>
      <c r="O1829" t="inlineStr">
        <is>
          <t>2026-06-19 07:10:32</t>
        </is>
      </c>
      <c r="P1829" t="inlineStr">
        <is>
          <t>2026-06-19 07:10:32</t>
        </is>
      </c>
      <c r="Y1829" t="inlineStr">
        <is>
          <t>27675650997</t>
        </is>
      </c>
    </row>
    <row r="1830">
      <c r="A1830" t="inlineStr">
        <is>
          <t>14945192</t>
        </is>
      </c>
      <c r="B1830" t="inlineStr">
        <is>
          <t>67d582ca-4415-49f7-a4c9-4ed32d5cf518</t>
        </is>
      </c>
      <c r="D1830" t="inlineStr">
        <is>
          <t>30001087</t>
        </is>
      </c>
      <c r="E1830" t="inlineStr">
        <is>
          <t>ussd_funeral_leads_altitude_20260619</t>
        </is>
      </c>
      <c r="J1830" t="inlineStr">
        <is>
          <t>ADC</t>
        </is>
      </c>
      <c r="K1830" t="inlineStr">
        <is>
          <t>Auto Dial Disconnected</t>
        </is>
      </c>
      <c r="L1830" t="n">
        <v>3</v>
      </c>
      <c r="M1830" t="inlineStr">
        <is>
          <t>2026-06-23 13:39:08</t>
        </is>
      </c>
      <c r="N1830" t="inlineStr">
        <is>
          <t>system</t>
        </is>
      </c>
      <c r="O1830" t="inlineStr">
        <is>
          <t>2026-06-19 07:10:32</t>
        </is>
      </c>
      <c r="P1830" t="inlineStr">
        <is>
          <t>2026-06-19 07:10:32</t>
        </is>
      </c>
      <c r="Y1830" t="inlineStr">
        <is>
          <t>27791772434</t>
        </is>
      </c>
    </row>
    <row r="1831">
      <c r="A1831" t="inlineStr">
        <is>
          <t>14945189</t>
        </is>
      </c>
      <c r="B1831" t="inlineStr">
        <is>
          <t>87a650ff-49de-4bcf-ab54-f6851888aae7</t>
        </is>
      </c>
      <c r="D1831" t="inlineStr">
        <is>
          <t>30001087</t>
        </is>
      </c>
      <c r="E1831" t="inlineStr">
        <is>
          <t>ussd_funeral_leads_altitude_20260619</t>
        </is>
      </c>
      <c r="J1831" t="inlineStr">
        <is>
          <t>AA</t>
        </is>
      </c>
      <c r="K1831" t="inlineStr">
        <is>
          <t>Answering Machine Autodial</t>
        </is>
      </c>
      <c r="L1831" t="n">
        <v>3</v>
      </c>
      <c r="M1831" t="inlineStr">
        <is>
          <t>2026-06-23 13:39:07</t>
        </is>
      </c>
      <c r="N1831" t="inlineStr">
        <is>
          <t>system</t>
        </is>
      </c>
      <c r="O1831" t="inlineStr">
        <is>
          <t>2026-06-19 07:10:32</t>
        </is>
      </c>
      <c r="P1831" t="inlineStr">
        <is>
          <t>2026-06-19 07:10:32</t>
        </is>
      </c>
      <c r="Y1831" t="inlineStr">
        <is>
          <t>27822198643</t>
        </is>
      </c>
    </row>
    <row r="1832">
      <c r="A1832" t="inlineStr">
        <is>
          <t>14945188</t>
        </is>
      </c>
      <c r="B1832" t="inlineStr">
        <is>
          <t>80e1cbd4-7518-4a09-8938-75b8406ea05d</t>
        </is>
      </c>
      <c r="D1832" t="inlineStr">
        <is>
          <t>30001087</t>
        </is>
      </c>
      <c r="E1832" t="inlineStr">
        <is>
          <t>ussd_funeral_leads_altitude_20260619</t>
        </is>
      </c>
      <c r="J1832" t="inlineStr">
        <is>
          <t>ADC</t>
        </is>
      </c>
      <c r="K1832" t="inlineStr">
        <is>
          <t>Auto Dial Disconnected</t>
        </is>
      </c>
      <c r="L1832" t="n">
        <v>3</v>
      </c>
      <c r="M1832" t="inlineStr">
        <is>
          <t>2026-06-23 13:39:06</t>
        </is>
      </c>
      <c r="N1832" t="inlineStr">
        <is>
          <t>system</t>
        </is>
      </c>
      <c r="O1832" t="inlineStr">
        <is>
          <t>2026-06-19 07:10:32</t>
        </is>
      </c>
      <c r="P1832" t="inlineStr">
        <is>
          <t>2026-06-19 07:10:32</t>
        </is>
      </c>
      <c r="Y1832" t="inlineStr">
        <is>
          <t>27772815064</t>
        </is>
      </c>
    </row>
    <row r="1833">
      <c r="A1833" t="inlineStr">
        <is>
          <t>14945190</t>
        </is>
      </c>
      <c r="B1833" t="inlineStr">
        <is>
          <t>9514a072-78e3-4129-83d7-9ee058b42eea</t>
        </is>
      </c>
      <c r="D1833" t="inlineStr">
        <is>
          <t>30001087</t>
        </is>
      </c>
      <c r="E1833" t="inlineStr">
        <is>
          <t>ussd_funeral_leads_altitude_20260619</t>
        </is>
      </c>
      <c r="J1833" t="inlineStr">
        <is>
          <t>ADC</t>
        </is>
      </c>
      <c r="K1833" t="inlineStr">
        <is>
          <t>Auto Dial Disconnected</t>
        </is>
      </c>
      <c r="L1833" t="n">
        <v>3</v>
      </c>
      <c r="M1833" t="inlineStr">
        <is>
          <t>2026-06-23 13:39:06</t>
        </is>
      </c>
      <c r="N1833" t="inlineStr">
        <is>
          <t>system</t>
        </is>
      </c>
      <c r="O1833" t="inlineStr">
        <is>
          <t>2026-06-19 07:10:32</t>
        </is>
      </c>
      <c r="P1833" t="inlineStr">
        <is>
          <t>2026-06-19 07:10:32</t>
        </is>
      </c>
      <c r="Y1833" t="inlineStr">
        <is>
          <t>27649763480</t>
        </is>
      </c>
    </row>
    <row r="1834">
      <c r="A1834" t="inlineStr">
        <is>
          <t>14945191</t>
        </is>
      </c>
      <c r="B1834" t="inlineStr">
        <is>
          <t>71478e57-87a9-4358-bfd1-e91560d2177f</t>
        </is>
      </c>
      <c r="D1834" t="inlineStr">
        <is>
          <t>30001087</t>
        </is>
      </c>
      <c r="E1834" t="inlineStr">
        <is>
          <t>ussd_funeral_leads_altitude_20260619</t>
        </is>
      </c>
      <c r="J1834" t="inlineStr">
        <is>
          <t>AA</t>
        </is>
      </c>
      <c r="K1834" t="inlineStr">
        <is>
          <t>Answering Machine Autodial</t>
        </is>
      </c>
      <c r="L1834" t="n">
        <v>3</v>
      </c>
      <c r="M1834" t="inlineStr">
        <is>
          <t>2026-06-23 13:39:05</t>
        </is>
      </c>
      <c r="N1834" t="inlineStr">
        <is>
          <t>system</t>
        </is>
      </c>
      <c r="O1834" t="inlineStr">
        <is>
          <t>2026-06-19 07:10:32</t>
        </is>
      </c>
      <c r="P1834" t="inlineStr">
        <is>
          <t>2026-06-19 07:10:32</t>
        </is>
      </c>
      <c r="Y1834" t="inlineStr">
        <is>
          <t>27767185333</t>
        </is>
      </c>
    </row>
    <row r="1835">
      <c r="A1835" t="inlineStr">
        <is>
          <t>14945186</t>
        </is>
      </c>
      <c r="B1835" t="inlineStr">
        <is>
          <t>d9518041-d9ff-45ad-8293-7920d9680b81</t>
        </is>
      </c>
      <c r="D1835" t="inlineStr">
        <is>
          <t>30001087</t>
        </is>
      </c>
      <c r="E1835" t="inlineStr">
        <is>
          <t>ussd_funeral_leads_altitude_20260619</t>
        </is>
      </c>
      <c r="J1835" t="inlineStr">
        <is>
          <t>AA</t>
        </is>
      </c>
      <c r="K1835" t="inlineStr">
        <is>
          <t>Answering Machine Autodial</t>
        </is>
      </c>
      <c r="L1835" t="n">
        <v>3</v>
      </c>
      <c r="M1835" t="inlineStr">
        <is>
          <t>2026-06-23 13:39:01</t>
        </is>
      </c>
      <c r="N1835" t="inlineStr">
        <is>
          <t>system</t>
        </is>
      </c>
      <c r="O1835" t="inlineStr">
        <is>
          <t>2026-06-19 07:10:32</t>
        </is>
      </c>
      <c r="P1835" t="inlineStr">
        <is>
          <t>2026-06-19 07:10:32</t>
        </is>
      </c>
      <c r="Y1835" t="inlineStr">
        <is>
          <t>27713555091</t>
        </is>
      </c>
    </row>
    <row r="1836">
      <c r="A1836" t="inlineStr">
        <is>
          <t>14945187</t>
        </is>
      </c>
      <c r="B1836" t="inlineStr">
        <is>
          <t>c31ec9f4-e029-4bda-8356-7754c89115df</t>
        </is>
      </c>
      <c r="D1836" t="inlineStr">
        <is>
          <t>30001087</t>
        </is>
      </c>
      <c r="E1836" t="inlineStr">
        <is>
          <t>ussd_funeral_leads_altitude_20260619</t>
        </is>
      </c>
      <c r="J1836" t="inlineStr">
        <is>
          <t>ADC</t>
        </is>
      </c>
      <c r="K1836" t="inlineStr">
        <is>
          <t>Auto Dial Disconnected</t>
        </is>
      </c>
      <c r="L1836" t="n">
        <v>3</v>
      </c>
      <c r="M1836" t="inlineStr">
        <is>
          <t>2026-06-23 13:39:01</t>
        </is>
      </c>
      <c r="N1836" t="inlineStr">
        <is>
          <t>system</t>
        </is>
      </c>
      <c r="O1836" t="inlineStr">
        <is>
          <t>2026-06-19 07:10:32</t>
        </is>
      </c>
      <c r="P1836" t="inlineStr">
        <is>
          <t>2026-06-19 07:10:32</t>
        </is>
      </c>
      <c r="Y1836" t="inlineStr">
        <is>
          <t>27796041033</t>
        </is>
      </c>
    </row>
    <row r="1837">
      <c r="A1837" t="inlineStr">
        <is>
          <t>14945185</t>
        </is>
      </c>
      <c r="B1837" t="inlineStr">
        <is>
          <t>db79afe7-cab6-42c5-a3d7-fc83c8f62b0f</t>
        </is>
      </c>
      <c r="D1837" t="inlineStr">
        <is>
          <t>30001087</t>
        </is>
      </c>
      <c r="E1837" t="inlineStr">
        <is>
          <t>ussd_funeral_leads_altitude_20260619</t>
        </is>
      </c>
      <c r="J1837" t="inlineStr">
        <is>
          <t>AA</t>
        </is>
      </c>
      <c r="K1837" t="inlineStr">
        <is>
          <t>Answering Machine Autodial</t>
        </is>
      </c>
      <c r="L1837" t="n">
        <v>3</v>
      </c>
      <c r="M1837" t="inlineStr">
        <is>
          <t>2026-06-23 13:38:57</t>
        </is>
      </c>
      <c r="N1837" t="inlineStr">
        <is>
          <t>system</t>
        </is>
      </c>
      <c r="O1837" t="inlineStr">
        <is>
          <t>2026-06-19 07:10:32</t>
        </is>
      </c>
      <c r="P1837" t="inlineStr">
        <is>
          <t>2026-06-19 07:10:32</t>
        </is>
      </c>
      <c r="Y1837" t="inlineStr">
        <is>
          <t>27797173557</t>
        </is>
      </c>
    </row>
    <row r="1838">
      <c r="A1838" t="inlineStr">
        <is>
          <t>14945182</t>
        </is>
      </c>
      <c r="B1838" t="inlineStr">
        <is>
          <t>9b41607e-86e0-460b-949a-b19c2574112c</t>
        </is>
      </c>
      <c r="D1838" t="inlineStr">
        <is>
          <t>30001087</t>
        </is>
      </c>
      <c r="E1838" t="inlineStr">
        <is>
          <t>ussd_funeral_leads_altitude_20260619</t>
        </is>
      </c>
      <c r="J1838" t="inlineStr">
        <is>
          <t>ADC</t>
        </is>
      </c>
      <c r="K1838" t="inlineStr">
        <is>
          <t>Auto Dial Disconnected</t>
        </is>
      </c>
      <c r="L1838" t="n">
        <v>3</v>
      </c>
      <c r="M1838" t="inlineStr">
        <is>
          <t>2026-06-23 13:38:56</t>
        </is>
      </c>
      <c r="N1838" t="inlineStr">
        <is>
          <t>system</t>
        </is>
      </c>
      <c r="O1838" t="inlineStr">
        <is>
          <t>2026-06-19 07:10:32</t>
        </is>
      </c>
      <c r="P1838" t="inlineStr">
        <is>
          <t>2026-06-19 07:10:32</t>
        </is>
      </c>
      <c r="Y1838" t="inlineStr">
        <is>
          <t>27637908112</t>
        </is>
      </c>
    </row>
    <row r="1839">
      <c r="A1839" t="inlineStr">
        <is>
          <t>14945183</t>
        </is>
      </c>
      <c r="B1839" t="inlineStr">
        <is>
          <t>017911ad-80e8-4e09-995e-7bad14c9fe2e</t>
        </is>
      </c>
      <c r="D1839" t="inlineStr">
        <is>
          <t>30001087</t>
        </is>
      </c>
      <c r="E1839" t="inlineStr">
        <is>
          <t>ussd_funeral_leads_altitude_20260619</t>
        </is>
      </c>
      <c r="J1839" t="inlineStr">
        <is>
          <t>NA</t>
        </is>
      </c>
      <c r="K1839" t="inlineStr">
        <is>
          <t>No Answer Autodial</t>
        </is>
      </c>
      <c r="L1839" t="n">
        <v>3</v>
      </c>
      <c r="M1839" t="inlineStr">
        <is>
          <t>2026-06-23 13:38:56</t>
        </is>
      </c>
      <c r="N1839" t="inlineStr">
        <is>
          <t>system</t>
        </is>
      </c>
      <c r="O1839" t="inlineStr">
        <is>
          <t>2026-06-19 07:10:32</t>
        </is>
      </c>
      <c r="P1839" t="inlineStr">
        <is>
          <t>2026-06-19 07:10:32</t>
        </is>
      </c>
      <c r="Y1839" t="inlineStr">
        <is>
          <t>27791422972</t>
        </is>
      </c>
    </row>
    <row r="1840">
      <c r="A1840" t="inlineStr">
        <is>
          <t>14945184</t>
        </is>
      </c>
      <c r="B1840" t="inlineStr">
        <is>
          <t>7cb4783a-69f4-486a-85ee-ca199d4d65cc</t>
        </is>
      </c>
      <c r="D1840" t="inlineStr">
        <is>
          <t>30001087</t>
        </is>
      </c>
      <c r="E1840" t="inlineStr">
        <is>
          <t>ussd_funeral_leads_altitude_20260619</t>
        </is>
      </c>
      <c r="J1840" t="inlineStr">
        <is>
          <t>ADC</t>
        </is>
      </c>
      <c r="K1840" t="inlineStr">
        <is>
          <t>Auto Dial Disconnected</t>
        </is>
      </c>
      <c r="L1840" t="n">
        <v>3</v>
      </c>
      <c r="M1840" t="inlineStr">
        <is>
          <t>2026-06-23 13:38:56</t>
        </is>
      </c>
      <c r="N1840" t="inlineStr">
        <is>
          <t>system</t>
        </is>
      </c>
      <c r="O1840" t="inlineStr">
        <is>
          <t>2026-06-19 07:10:32</t>
        </is>
      </c>
      <c r="P1840" t="inlineStr">
        <is>
          <t>2026-06-19 07:10:32</t>
        </is>
      </c>
      <c r="Y1840" t="inlineStr">
        <is>
          <t>27790764397</t>
        </is>
      </c>
    </row>
    <row r="1841">
      <c r="A1841" t="inlineStr">
        <is>
          <t>14945181</t>
        </is>
      </c>
      <c r="B1841" t="inlineStr">
        <is>
          <t>28de3794-4d27-40f3-82da-43091af48832</t>
        </is>
      </c>
      <c r="D1841" t="inlineStr">
        <is>
          <t>30001087</t>
        </is>
      </c>
      <c r="E1841" t="inlineStr">
        <is>
          <t>ussd_funeral_leads_altitude_20260619</t>
        </is>
      </c>
      <c r="J1841" t="inlineStr">
        <is>
          <t>AA</t>
        </is>
      </c>
      <c r="K1841" t="inlineStr">
        <is>
          <t>Answering Machine Autodial</t>
        </is>
      </c>
      <c r="L1841" t="n">
        <v>3</v>
      </c>
      <c r="M1841" t="inlineStr">
        <is>
          <t>2026-06-23 13:38:52</t>
        </is>
      </c>
      <c r="N1841" t="inlineStr">
        <is>
          <t>system</t>
        </is>
      </c>
      <c r="O1841" t="inlineStr">
        <is>
          <t>2026-06-19 07:10:32</t>
        </is>
      </c>
      <c r="P1841" t="inlineStr">
        <is>
          <t>2026-06-19 07:10:32</t>
        </is>
      </c>
      <c r="Y1841" t="inlineStr">
        <is>
          <t>27674465170</t>
        </is>
      </c>
    </row>
    <row r="1842">
      <c r="A1842" t="inlineStr">
        <is>
          <t>14945089</t>
        </is>
      </c>
      <c r="B1842" t="inlineStr">
        <is>
          <t>ef96ef41-3082-4a6b-9d30-0af469113c8c</t>
        </is>
      </c>
      <c r="D1842" t="inlineStr">
        <is>
          <t>30001087</t>
        </is>
      </c>
      <c r="E1842" t="inlineStr">
        <is>
          <t>ussd_funeral_leads_altitude_20260619</t>
        </is>
      </c>
      <c r="H1842" t="inlineStr">
        <is>
          <t>27725771398</t>
        </is>
      </c>
      <c r="J1842" t="inlineStr">
        <is>
          <t>NA</t>
        </is>
      </c>
      <c r="K1842" t="inlineStr">
        <is>
          <t>No Answer Autodial</t>
        </is>
      </c>
      <c r="L1842" t="n">
        <v>3</v>
      </c>
      <c r="M1842" t="inlineStr">
        <is>
          <t>2026-06-23 13:38:48</t>
        </is>
      </c>
      <c r="N1842" t="inlineStr">
        <is>
          <t>system</t>
        </is>
      </c>
      <c r="O1842" t="inlineStr">
        <is>
          <t>2026-06-19 07:10:32</t>
        </is>
      </c>
      <c r="P1842" t="inlineStr">
        <is>
          <t>2026-06-19 07:10:32</t>
        </is>
      </c>
      <c r="Y1842" t="inlineStr">
        <is>
          <t>27725771398</t>
        </is>
      </c>
    </row>
    <row r="1843">
      <c r="A1843" t="inlineStr">
        <is>
          <t>14945090</t>
        </is>
      </c>
      <c r="B1843" t="inlineStr">
        <is>
          <t>bcf69474-34fb-4a4e-a6f8-3331c9911e29</t>
        </is>
      </c>
      <c r="D1843" t="inlineStr">
        <is>
          <t>30001087</t>
        </is>
      </c>
      <c r="E1843" t="inlineStr">
        <is>
          <t>ussd_funeral_leads_altitude_20260619</t>
        </is>
      </c>
      <c r="J1843" t="inlineStr">
        <is>
          <t>NA</t>
        </is>
      </c>
      <c r="K1843" t="inlineStr">
        <is>
          <t>No Answer Autodial</t>
        </is>
      </c>
      <c r="L1843" t="n">
        <v>3</v>
      </c>
      <c r="M1843" t="inlineStr">
        <is>
          <t>2026-06-23 13:38:48</t>
        </is>
      </c>
      <c r="N1843" t="inlineStr">
        <is>
          <t>system</t>
        </is>
      </c>
      <c r="O1843" t="inlineStr">
        <is>
          <t>2026-06-19 07:10:32</t>
        </is>
      </c>
      <c r="P1843" t="inlineStr">
        <is>
          <t>2026-06-19 07:10:32</t>
        </is>
      </c>
      <c r="Y1843" t="inlineStr">
        <is>
          <t>27725510111</t>
        </is>
      </c>
    </row>
    <row r="1844">
      <c r="A1844" t="inlineStr">
        <is>
          <t>14945092</t>
        </is>
      </c>
      <c r="B1844" t="inlineStr">
        <is>
          <t>6884a41c-346a-4dba-a6f1-54e238ca002b</t>
        </is>
      </c>
      <c r="D1844" t="inlineStr">
        <is>
          <t>30001087</t>
        </is>
      </c>
      <c r="E1844" t="inlineStr">
        <is>
          <t>ussd_funeral_leads_altitude_20260619</t>
        </is>
      </c>
      <c r="J1844" t="inlineStr">
        <is>
          <t>AA</t>
        </is>
      </c>
      <c r="K1844" t="inlineStr">
        <is>
          <t>Answering Machine Autodial</t>
        </is>
      </c>
      <c r="L1844" t="n">
        <v>3</v>
      </c>
      <c r="M1844" t="inlineStr">
        <is>
          <t>2026-06-23 13:38:48</t>
        </is>
      </c>
      <c r="N1844" t="inlineStr">
        <is>
          <t>system</t>
        </is>
      </c>
      <c r="O1844" t="inlineStr">
        <is>
          <t>2026-06-19 07:10:32</t>
        </is>
      </c>
      <c r="P1844" t="inlineStr">
        <is>
          <t>2026-06-19 07:10:32</t>
        </is>
      </c>
      <c r="Y1844" t="inlineStr">
        <is>
          <t>27793314641</t>
        </is>
      </c>
    </row>
    <row r="1845">
      <c r="A1845" t="inlineStr">
        <is>
          <t>14945180</t>
        </is>
      </c>
      <c r="B1845" t="inlineStr">
        <is>
          <t>b0f39084-3f0f-4c41-83d1-56922206a372</t>
        </is>
      </c>
      <c r="D1845" t="inlineStr">
        <is>
          <t>30001087</t>
        </is>
      </c>
      <c r="E1845" t="inlineStr">
        <is>
          <t>ussd_funeral_leads_altitude_20260619</t>
        </is>
      </c>
      <c r="J1845" t="inlineStr">
        <is>
          <t>AA</t>
        </is>
      </c>
      <c r="K1845" t="inlineStr">
        <is>
          <t>Answering Machine Autodial</t>
        </is>
      </c>
      <c r="L1845" t="n">
        <v>3</v>
      </c>
      <c r="M1845" t="inlineStr">
        <is>
          <t>2026-06-23 13:38:48</t>
        </is>
      </c>
      <c r="N1845" t="inlineStr">
        <is>
          <t>system</t>
        </is>
      </c>
      <c r="O1845" t="inlineStr">
        <is>
          <t>2026-06-19 07:10:32</t>
        </is>
      </c>
      <c r="P1845" t="inlineStr">
        <is>
          <t>2026-06-19 07:10:32</t>
        </is>
      </c>
      <c r="Y1845" t="inlineStr">
        <is>
          <t>27773587403</t>
        </is>
      </c>
    </row>
    <row r="1846">
      <c r="A1846" t="inlineStr">
        <is>
          <t>14947230</t>
        </is>
      </c>
      <c r="B1846" t="inlineStr">
        <is>
          <t>e67faf12-7be5-485c-abc7-ab91f42e935a</t>
        </is>
      </c>
      <c r="D1846" t="inlineStr">
        <is>
          <t>30001087</t>
        </is>
      </c>
      <c r="E1846" t="inlineStr">
        <is>
          <t>ussd_funeral_leads_altitude_20260619</t>
        </is>
      </c>
      <c r="J1846" t="inlineStr">
        <is>
          <t>AA</t>
        </is>
      </c>
      <c r="K1846" t="inlineStr">
        <is>
          <t>Answering Machine Autodial</t>
        </is>
      </c>
      <c r="L1846" t="n">
        <v>3</v>
      </c>
      <c r="M1846" t="inlineStr">
        <is>
          <t>2026-06-23 13:38:48</t>
        </is>
      </c>
      <c r="N1846" t="inlineStr">
        <is>
          <t>system</t>
        </is>
      </c>
      <c r="O1846" t="inlineStr">
        <is>
          <t>2026-06-19 07:10:32</t>
        </is>
      </c>
      <c r="P1846" t="inlineStr">
        <is>
          <t>2026-06-19 07:10:32</t>
        </is>
      </c>
      <c r="Y1846" t="inlineStr">
        <is>
          <t>27636522990</t>
        </is>
      </c>
    </row>
    <row r="1847">
      <c r="A1847" t="inlineStr">
        <is>
          <t>14945085</t>
        </is>
      </c>
      <c r="B1847" t="inlineStr">
        <is>
          <t>b766082e-d855-4330-a86f-3dd64802132b</t>
        </is>
      </c>
      <c r="D1847" t="inlineStr">
        <is>
          <t>30001087</t>
        </is>
      </c>
      <c r="E1847" t="inlineStr">
        <is>
          <t>ussd_funeral_leads_altitude_20260619</t>
        </is>
      </c>
      <c r="J1847" t="inlineStr">
        <is>
          <t>AA</t>
        </is>
      </c>
      <c r="K1847" t="inlineStr">
        <is>
          <t>Answering Machine Autodial</t>
        </is>
      </c>
      <c r="L1847" t="n">
        <v>3</v>
      </c>
      <c r="M1847" t="inlineStr">
        <is>
          <t>2026-06-23 13:38:47</t>
        </is>
      </c>
      <c r="N1847" t="inlineStr">
        <is>
          <t>system</t>
        </is>
      </c>
      <c r="O1847" t="inlineStr">
        <is>
          <t>2026-06-19 07:10:32</t>
        </is>
      </c>
      <c r="P1847" t="inlineStr">
        <is>
          <t>2026-06-19 07:10:32</t>
        </is>
      </c>
      <c r="Y1847" t="inlineStr">
        <is>
          <t>27661290618</t>
        </is>
      </c>
    </row>
    <row r="1848">
      <c r="A1848" t="inlineStr">
        <is>
          <t>14945086</t>
        </is>
      </c>
      <c r="B1848" t="inlineStr">
        <is>
          <t>8cc9e184-e30b-4093-a548-ce97b9e43422</t>
        </is>
      </c>
      <c r="D1848" t="inlineStr">
        <is>
          <t>30001087</t>
        </is>
      </c>
      <c r="E1848" t="inlineStr">
        <is>
          <t>ussd_funeral_leads_altitude_20260619</t>
        </is>
      </c>
      <c r="J1848" t="inlineStr">
        <is>
          <t>ADC</t>
        </is>
      </c>
      <c r="K1848" t="inlineStr">
        <is>
          <t>Auto Dial Disconnected</t>
        </is>
      </c>
      <c r="L1848" t="n">
        <v>3</v>
      </c>
      <c r="M1848" t="inlineStr">
        <is>
          <t>2026-06-23 13:38:47</t>
        </is>
      </c>
      <c r="N1848" t="inlineStr">
        <is>
          <t>system</t>
        </is>
      </c>
      <c r="O1848" t="inlineStr">
        <is>
          <t>2026-06-19 07:10:32</t>
        </is>
      </c>
      <c r="P1848" t="inlineStr">
        <is>
          <t>2026-06-19 07:10:32</t>
        </is>
      </c>
      <c r="Y1848" t="inlineStr">
        <is>
          <t>27725444566</t>
        </is>
      </c>
    </row>
    <row r="1849">
      <c r="A1849" t="inlineStr">
        <is>
          <t>14945088</t>
        </is>
      </c>
      <c r="B1849" t="inlineStr">
        <is>
          <t>c5d88489-a088-4c42-a8e4-7374d44f4d53</t>
        </is>
      </c>
      <c r="D1849" t="inlineStr">
        <is>
          <t>30001087</t>
        </is>
      </c>
      <c r="E1849" t="inlineStr">
        <is>
          <t>ussd_funeral_leads_altitude_20260619</t>
        </is>
      </c>
      <c r="J1849" t="inlineStr">
        <is>
          <t>ADC</t>
        </is>
      </c>
      <c r="K1849" t="inlineStr">
        <is>
          <t>Auto Dial Disconnected</t>
        </is>
      </c>
      <c r="L1849" t="n">
        <v>3</v>
      </c>
      <c r="M1849" t="inlineStr">
        <is>
          <t>2026-06-23 13:38:47</t>
        </is>
      </c>
      <c r="N1849" t="inlineStr">
        <is>
          <t>system</t>
        </is>
      </c>
      <c r="O1849" t="inlineStr">
        <is>
          <t>2026-06-19 07:10:32</t>
        </is>
      </c>
      <c r="P1849" t="inlineStr">
        <is>
          <t>2026-06-19 07:10:32</t>
        </is>
      </c>
      <c r="Y1849" t="inlineStr">
        <is>
          <t>27827546058</t>
        </is>
      </c>
    </row>
    <row r="1850">
      <c r="A1850" t="inlineStr">
        <is>
          <t>14945083</t>
        </is>
      </c>
      <c r="B1850" t="inlineStr">
        <is>
          <t>26f1a7d1-0b9d-438b-9c22-8e8010a034bd</t>
        </is>
      </c>
      <c r="D1850" t="inlineStr">
        <is>
          <t>30001087</t>
        </is>
      </c>
      <c r="E1850" t="inlineStr">
        <is>
          <t>ussd_funeral_leads_altitude_20260619</t>
        </is>
      </c>
      <c r="J1850" t="inlineStr">
        <is>
          <t>TDN</t>
        </is>
      </c>
      <c r="K1850" t="inlineStr">
        <is>
          <t>Temporary Disconnected Number</t>
        </is>
      </c>
      <c r="L1850" t="n">
        <v>3</v>
      </c>
      <c r="M1850" t="inlineStr">
        <is>
          <t>2026-06-23 13:38:46</t>
        </is>
      </c>
      <c r="N1850" t="inlineStr">
        <is>
          <t>system</t>
        </is>
      </c>
      <c r="O1850" t="inlineStr">
        <is>
          <t>2026-06-19 07:10:32</t>
        </is>
      </c>
      <c r="P1850" t="inlineStr">
        <is>
          <t>2026-06-19 07:10:32</t>
        </is>
      </c>
      <c r="Y1850" t="inlineStr">
        <is>
          <t>27766893954</t>
        </is>
      </c>
    </row>
    <row r="1851">
      <c r="A1851" t="inlineStr">
        <is>
          <t>14945084</t>
        </is>
      </c>
      <c r="B1851" t="inlineStr">
        <is>
          <t>f3b61bd9-ba0f-4784-8475-f86a31af73b8</t>
        </is>
      </c>
      <c r="D1851" t="inlineStr">
        <is>
          <t>30001087</t>
        </is>
      </c>
      <c r="E1851" t="inlineStr">
        <is>
          <t>ussd_funeral_leads_altitude_20260619</t>
        </is>
      </c>
      <c r="J1851" t="inlineStr">
        <is>
          <t>ADC</t>
        </is>
      </c>
      <c r="K1851" t="inlineStr">
        <is>
          <t>Auto Dial Disconnected</t>
        </is>
      </c>
      <c r="L1851" t="n">
        <v>3</v>
      </c>
      <c r="M1851" t="inlineStr">
        <is>
          <t>2026-06-23 13:38:46</t>
        </is>
      </c>
      <c r="N1851" t="inlineStr">
        <is>
          <t>system</t>
        </is>
      </c>
      <c r="O1851" t="inlineStr">
        <is>
          <t>2026-06-19 07:10:32</t>
        </is>
      </c>
      <c r="P1851" t="inlineStr">
        <is>
          <t>2026-06-19 07:10:32</t>
        </is>
      </c>
      <c r="Y1851" t="inlineStr">
        <is>
          <t>27662408977</t>
        </is>
      </c>
    </row>
    <row r="1852">
      <c r="A1852" t="inlineStr">
        <is>
          <t>14945082</t>
        </is>
      </c>
      <c r="B1852" t="inlineStr">
        <is>
          <t>79a2a01d-61aa-4d4f-a00c-53eea603aa62</t>
        </is>
      </c>
      <c r="D1852" t="inlineStr">
        <is>
          <t>30001087</t>
        </is>
      </c>
      <c r="E1852" t="inlineStr">
        <is>
          <t>ussd_funeral_leads_altitude_20260619</t>
        </is>
      </c>
      <c r="J1852" t="inlineStr">
        <is>
          <t>AA</t>
        </is>
      </c>
      <c r="K1852" t="inlineStr">
        <is>
          <t>Answering Machine Autodial</t>
        </is>
      </c>
      <c r="L1852" t="n">
        <v>3</v>
      </c>
      <c r="M1852" t="inlineStr">
        <is>
          <t>2026-06-23 13:38:40</t>
        </is>
      </c>
      <c r="N1852" t="inlineStr">
        <is>
          <t>system</t>
        </is>
      </c>
      <c r="O1852" t="inlineStr">
        <is>
          <t>2026-06-19 07:10:32</t>
        </is>
      </c>
      <c r="P1852" t="inlineStr">
        <is>
          <t>2026-06-19 07:10:32</t>
        </is>
      </c>
      <c r="Y1852" t="inlineStr">
        <is>
          <t>27637034526</t>
        </is>
      </c>
    </row>
    <row r="1853">
      <c r="A1853" t="inlineStr">
        <is>
          <t>14945080</t>
        </is>
      </c>
      <c r="B1853" t="inlineStr">
        <is>
          <t>69cff7c5-17a1-49a5-9742-4804e510940c</t>
        </is>
      </c>
      <c r="D1853" t="inlineStr">
        <is>
          <t>30001087</t>
        </is>
      </c>
      <c r="E1853" t="inlineStr">
        <is>
          <t>ussd_funeral_leads_altitude_20260619</t>
        </is>
      </c>
      <c r="J1853" t="inlineStr">
        <is>
          <t>TDN</t>
        </is>
      </c>
      <c r="K1853" t="inlineStr">
        <is>
          <t>Temporary Disconnected Number</t>
        </is>
      </c>
      <c r="L1853" t="n">
        <v>3</v>
      </c>
      <c r="M1853" t="inlineStr">
        <is>
          <t>2026-06-23 13:38:39</t>
        </is>
      </c>
      <c r="N1853" t="inlineStr">
        <is>
          <t>system</t>
        </is>
      </c>
      <c r="O1853" t="inlineStr">
        <is>
          <t>2026-06-19 07:10:32</t>
        </is>
      </c>
      <c r="P1853" t="inlineStr">
        <is>
          <t>2026-06-19 07:10:32</t>
        </is>
      </c>
      <c r="Y1853" t="inlineStr">
        <is>
          <t>27721479382</t>
        </is>
      </c>
    </row>
    <row r="1854">
      <c r="A1854" t="inlineStr">
        <is>
          <t>14945079</t>
        </is>
      </c>
      <c r="B1854" t="inlineStr">
        <is>
          <t>5347d717-6490-4052-a397-0b09ea27da8c</t>
        </is>
      </c>
      <c r="D1854" t="inlineStr">
        <is>
          <t>30001087</t>
        </is>
      </c>
      <c r="E1854" t="inlineStr">
        <is>
          <t>ussd_funeral_leads_altitude_20260619</t>
        </is>
      </c>
      <c r="J1854" t="inlineStr">
        <is>
          <t>AA</t>
        </is>
      </c>
      <c r="K1854" t="inlineStr">
        <is>
          <t>Answering Machine Autodial</t>
        </is>
      </c>
      <c r="L1854" t="n">
        <v>3</v>
      </c>
      <c r="M1854" t="inlineStr">
        <is>
          <t>2026-06-23 13:38:38</t>
        </is>
      </c>
      <c r="N1854" t="inlineStr">
        <is>
          <t>system</t>
        </is>
      </c>
      <c r="O1854" t="inlineStr">
        <is>
          <t>2026-06-19 07:10:32</t>
        </is>
      </c>
      <c r="P1854" t="inlineStr">
        <is>
          <t>2026-06-19 07:10:32</t>
        </is>
      </c>
      <c r="Y1854" t="inlineStr">
        <is>
          <t>27818621236</t>
        </is>
      </c>
    </row>
    <row r="1855">
      <c r="A1855" t="inlineStr">
        <is>
          <t>14945077</t>
        </is>
      </c>
      <c r="B1855" t="inlineStr">
        <is>
          <t>0f43f69a-69d5-4982-8891-1a385b308a81</t>
        </is>
      </c>
      <c r="D1855" t="inlineStr">
        <is>
          <t>30001087</t>
        </is>
      </c>
      <c r="E1855" t="inlineStr">
        <is>
          <t>ussd_funeral_leads_altitude_20260619</t>
        </is>
      </c>
      <c r="J1855" t="inlineStr">
        <is>
          <t>CU</t>
        </is>
      </c>
      <c r="K1855" t="inlineStr">
        <is>
          <t>Client Hung Up</t>
        </is>
      </c>
      <c r="L1855" t="n">
        <v>3</v>
      </c>
      <c r="M1855" t="inlineStr">
        <is>
          <t>2026-06-23 13:38:37</t>
        </is>
      </c>
      <c r="N1855" t="inlineStr">
        <is>
          <t>Dimakatso Nkomo</t>
        </is>
      </c>
      <c r="O1855" t="inlineStr">
        <is>
          <t>2026-06-19 07:10:32</t>
        </is>
      </c>
      <c r="P1855" t="inlineStr">
        <is>
          <t>2026-06-19 07:10:32</t>
        </is>
      </c>
      <c r="Y1855" t="inlineStr">
        <is>
          <t>27763068924</t>
        </is>
      </c>
    </row>
    <row r="1856">
      <c r="A1856" t="inlineStr">
        <is>
          <t>14945078</t>
        </is>
      </c>
      <c r="B1856" t="inlineStr">
        <is>
          <t>1c51fbaf-21b2-42df-9cd3-4bff09bd07ad</t>
        </is>
      </c>
      <c r="D1856" t="inlineStr">
        <is>
          <t>30001087</t>
        </is>
      </c>
      <c r="E1856" t="inlineStr">
        <is>
          <t>ussd_funeral_leads_altitude_20260619</t>
        </is>
      </c>
      <c r="J1856" t="inlineStr">
        <is>
          <t>AA</t>
        </is>
      </c>
      <c r="K1856" t="inlineStr">
        <is>
          <t>Answering Machine Autodial</t>
        </is>
      </c>
      <c r="L1856" t="n">
        <v>3</v>
      </c>
      <c r="M1856" t="inlineStr">
        <is>
          <t>2026-06-23 13:38:37</t>
        </is>
      </c>
      <c r="N1856" t="inlineStr">
        <is>
          <t>system</t>
        </is>
      </c>
      <c r="O1856" t="inlineStr">
        <is>
          <t>2026-06-19 07:10:32</t>
        </is>
      </c>
      <c r="P1856" t="inlineStr">
        <is>
          <t>2026-06-19 07:10:32</t>
        </is>
      </c>
      <c r="Y1856" t="inlineStr">
        <is>
          <t>27765612129</t>
        </is>
      </c>
    </row>
    <row r="1857">
      <c r="A1857" t="inlineStr">
        <is>
          <t>14945075</t>
        </is>
      </c>
      <c r="B1857" t="inlineStr">
        <is>
          <t>a9ef925e-8808-47cb-8e15-37c833c34e72</t>
        </is>
      </c>
      <c r="D1857" t="inlineStr">
        <is>
          <t>30001087</t>
        </is>
      </c>
      <c r="E1857" t="inlineStr">
        <is>
          <t>ussd_funeral_leads_altitude_20260619</t>
        </is>
      </c>
      <c r="J1857" t="inlineStr">
        <is>
          <t>AA</t>
        </is>
      </c>
      <c r="K1857" t="inlineStr">
        <is>
          <t>Answering Machine Autodial</t>
        </is>
      </c>
      <c r="L1857" t="n">
        <v>3</v>
      </c>
      <c r="M1857" t="inlineStr">
        <is>
          <t>2026-06-23 13:38:36</t>
        </is>
      </c>
      <c r="N1857" t="inlineStr">
        <is>
          <t>system</t>
        </is>
      </c>
      <c r="O1857" t="inlineStr">
        <is>
          <t>2026-06-19 07:10:32</t>
        </is>
      </c>
      <c r="P1857" t="inlineStr">
        <is>
          <t>2026-06-19 07:10:32</t>
        </is>
      </c>
      <c r="Y1857" t="inlineStr">
        <is>
          <t>27724994216</t>
        </is>
      </c>
    </row>
    <row r="1858">
      <c r="A1858" t="inlineStr">
        <is>
          <t>14945076</t>
        </is>
      </c>
      <c r="B1858" t="inlineStr">
        <is>
          <t>87f3151e-9b9d-4fa9-811b-930311dc2080</t>
        </is>
      </c>
      <c r="D1858" t="inlineStr">
        <is>
          <t>30001087</t>
        </is>
      </c>
      <c r="E1858" t="inlineStr">
        <is>
          <t>ussd_funeral_leads_altitude_20260619</t>
        </is>
      </c>
      <c r="J1858" t="inlineStr">
        <is>
          <t>AA</t>
        </is>
      </c>
      <c r="K1858" t="inlineStr">
        <is>
          <t>Answering Machine Autodial</t>
        </is>
      </c>
      <c r="L1858" t="n">
        <v>3</v>
      </c>
      <c r="M1858" t="inlineStr">
        <is>
          <t>2026-06-23 13:38:36</t>
        </is>
      </c>
      <c r="N1858" t="inlineStr">
        <is>
          <t>system</t>
        </is>
      </c>
      <c r="O1858" t="inlineStr">
        <is>
          <t>2026-06-19 07:10:32</t>
        </is>
      </c>
      <c r="P1858" t="inlineStr">
        <is>
          <t>2026-06-19 07:10:32</t>
        </is>
      </c>
      <c r="Y1858" t="inlineStr">
        <is>
          <t>27714140817</t>
        </is>
      </c>
    </row>
    <row r="1859">
      <c r="A1859" t="inlineStr">
        <is>
          <t>14945073</t>
        </is>
      </c>
      <c r="B1859" t="inlineStr">
        <is>
          <t>dba332ee-8dec-42f6-9922-0a9e3e1fb6ae</t>
        </is>
      </c>
      <c r="D1859" t="inlineStr">
        <is>
          <t>30001087</t>
        </is>
      </c>
      <c r="E1859" t="inlineStr">
        <is>
          <t>ussd_funeral_leads_altitude_20260619</t>
        </is>
      </c>
      <c r="J1859" t="inlineStr">
        <is>
          <t>ADC</t>
        </is>
      </c>
      <c r="K1859" t="inlineStr">
        <is>
          <t>Auto Dial Disconnected</t>
        </is>
      </c>
      <c r="L1859" t="n">
        <v>3</v>
      </c>
      <c r="M1859" t="inlineStr">
        <is>
          <t>2026-06-23 13:38:34</t>
        </is>
      </c>
      <c r="N1859" t="inlineStr">
        <is>
          <t>system</t>
        </is>
      </c>
      <c r="O1859" t="inlineStr">
        <is>
          <t>2026-06-19 07:10:32</t>
        </is>
      </c>
      <c r="P1859" t="inlineStr">
        <is>
          <t>2026-06-19 07:10:32</t>
        </is>
      </c>
      <c r="Y1859" t="inlineStr">
        <is>
          <t>27793560208</t>
        </is>
      </c>
    </row>
    <row r="1860">
      <c r="A1860" t="inlineStr">
        <is>
          <t>14945074</t>
        </is>
      </c>
      <c r="B1860" t="inlineStr">
        <is>
          <t>12120f7d-f985-459f-9f45-83cacf4dcb46</t>
        </is>
      </c>
      <c r="D1860" t="inlineStr">
        <is>
          <t>30001087</t>
        </is>
      </c>
      <c r="E1860" t="inlineStr">
        <is>
          <t>ussd_funeral_leads_altitude_20260619</t>
        </is>
      </c>
      <c r="J1860" t="inlineStr">
        <is>
          <t>AA</t>
        </is>
      </c>
      <c r="K1860" t="inlineStr">
        <is>
          <t>Answering Machine Autodial</t>
        </is>
      </c>
      <c r="L1860" t="n">
        <v>3</v>
      </c>
      <c r="M1860" t="inlineStr">
        <is>
          <t>2026-06-23 13:38:34</t>
        </is>
      </c>
      <c r="N1860" t="inlineStr">
        <is>
          <t>system</t>
        </is>
      </c>
      <c r="O1860" t="inlineStr">
        <is>
          <t>2026-06-19 07:10:32</t>
        </is>
      </c>
      <c r="P1860" t="inlineStr">
        <is>
          <t>2026-06-19 07:10:32</t>
        </is>
      </c>
      <c r="Y1860" t="inlineStr">
        <is>
          <t>27675416636</t>
        </is>
      </c>
    </row>
    <row r="1861">
      <c r="A1861" t="inlineStr">
        <is>
          <t>14945070</t>
        </is>
      </c>
      <c r="B1861" t="inlineStr">
        <is>
          <t>ff81815e-533e-4a12-b0e2-6e51a8aafda4</t>
        </is>
      </c>
      <c r="D1861" t="inlineStr">
        <is>
          <t>30001087</t>
        </is>
      </c>
      <c r="E1861" t="inlineStr">
        <is>
          <t>ussd_funeral_leads_altitude_20260619</t>
        </is>
      </c>
      <c r="J1861" t="inlineStr">
        <is>
          <t>AA</t>
        </is>
      </c>
      <c r="K1861" t="inlineStr">
        <is>
          <t>Answering Machine Autodial</t>
        </is>
      </c>
      <c r="L1861" t="n">
        <v>3</v>
      </c>
      <c r="M1861" t="inlineStr">
        <is>
          <t>2026-06-23 13:38:33</t>
        </is>
      </c>
      <c r="N1861" t="inlineStr">
        <is>
          <t>system</t>
        </is>
      </c>
      <c r="O1861" t="inlineStr">
        <is>
          <t>2026-06-19 07:10:32</t>
        </is>
      </c>
      <c r="P1861" t="inlineStr">
        <is>
          <t>2026-06-19 07:10:32</t>
        </is>
      </c>
      <c r="Y1861" t="inlineStr">
        <is>
          <t>27791121181</t>
        </is>
      </c>
    </row>
    <row r="1862">
      <c r="A1862" t="inlineStr">
        <is>
          <t>14945071</t>
        </is>
      </c>
      <c r="B1862" t="inlineStr">
        <is>
          <t>ac66eb1d-1bf3-49bf-ae7e-7c1e297c64b1</t>
        </is>
      </c>
      <c r="D1862" t="inlineStr">
        <is>
          <t>30001087</t>
        </is>
      </c>
      <c r="E1862" t="inlineStr">
        <is>
          <t>ussd_funeral_leads_altitude_20260619</t>
        </is>
      </c>
      <c r="J1862" t="inlineStr">
        <is>
          <t>AA</t>
        </is>
      </c>
      <c r="K1862" t="inlineStr">
        <is>
          <t>Answering Machine Autodial</t>
        </is>
      </c>
      <c r="L1862" t="n">
        <v>3</v>
      </c>
      <c r="M1862" t="inlineStr">
        <is>
          <t>2026-06-23 13:38:33</t>
        </is>
      </c>
      <c r="N1862" t="inlineStr">
        <is>
          <t>system</t>
        </is>
      </c>
      <c r="O1862" t="inlineStr">
        <is>
          <t>2026-06-19 07:10:32</t>
        </is>
      </c>
      <c r="P1862" t="inlineStr">
        <is>
          <t>2026-06-19 07:10:32</t>
        </is>
      </c>
      <c r="Y1862" t="inlineStr">
        <is>
          <t>27767361144</t>
        </is>
      </c>
    </row>
    <row r="1863">
      <c r="A1863" t="inlineStr">
        <is>
          <t>14947242</t>
        </is>
      </c>
      <c r="B1863" t="inlineStr">
        <is>
          <t>d46654d4-1d60-4f6d-9ed3-55b64fa04644</t>
        </is>
      </c>
      <c r="D1863" t="inlineStr">
        <is>
          <t>30001087</t>
        </is>
      </c>
      <c r="E1863" t="inlineStr">
        <is>
          <t>ussd_funeral_leads_altitude_20260619</t>
        </is>
      </c>
      <c r="J1863" t="inlineStr">
        <is>
          <t>AA</t>
        </is>
      </c>
      <c r="K1863" t="inlineStr">
        <is>
          <t>Answering Machine Autodial</t>
        </is>
      </c>
      <c r="L1863" t="n">
        <v>3</v>
      </c>
      <c r="M1863" t="inlineStr">
        <is>
          <t>2026-06-23 13:38:33</t>
        </is>
      </c>
      <c r="N1863" t="inlineStr">
        <is>
          <t>system</t>
        </is>
      </c>
      <c r="O1863" t="inlineStr">
        <is>
          <t>2026-06-19 07:10:32</t>
        </is>
      </c>
      <c r="P1863" t="inlineStr">
        <is>
          <t>2026-06-19 07:10:32</t>
        </is>
      </c>
      <c r="Y1863" t="inlineStr">
        <is>
          <t>27762434054</t>
        </is>
      </c>
    </row>
    <row r="1864">
      <c r="A1864" t="inlineStr">
        <is>
          <t>14945066</t>
        </is>
      </c>
      <c r="B1864" t="inlineStr">
        <is>
          <t>eaa16249-61eb-45e6-82ef-b66f78411d3b</t>
        </is>
      </c>
      <c r="D1864" t="inlineStr">
        <is>
          <t>30001087</t>
        </is>
      </c>
      <c r="E1864" t="inlineStr">
        <is>
          <t>ussd_funeral_leads_altitude_20260619</t>
        </is>
      </c>
      <c r="J1864" t="inlineStr">
        <is>
          <t>CU</t>
        </is>
      </c>
      <c r="K1864" t="inlineStr">
        <is>
          <t>Client Hung Up</t>
        </is>
      </c>
      <c r="L1864" t="n">
        <v>3</v>
      </c>
      <c r="M1864" t="inlineStr">
        <is>
          <t>2026-06-23 13:38:32</t>
        </is>
      </c>
      <c r="N1864" t="inlineStr">
        <is>
          <t>Gontse Monageng</t>
        </is>
      </c>
      <c r="O1864" t="inlineStr">
        <is>
          <t>2026-06-19 07:10:32</t>
        </is>
      </c>
      <c r="P1864" t="inlineStr">
        <is>
          <t>2026-06-19 07:10:32</t>
        </is>
      </c>
      <c r="Y1864" t="inlineStr">
        <is>
          <t>27791003105</t>
        </is>
      </c>
    </row>
    <row r="1865">
      <c r="A1865" t="inlineStr">
        <is>
          <t>14945068</t>
        </is>
      </c>
      <c r="B1865" t="inlineStr">
        <is>
          <t>830a01d6-d792-46e5-9307-83b56e0dbd9b</t>
        </is>
      </c>
      <c r="D1865" t="inlineStr">
        <is>
          <t>30001087</t>
        </is>
      </c>
      <c r="E1865" t="inlineStr">
        <is>
          <t>ussd_funeral_leads_altitude_20260619</t>
        </is>
      </c>
      <c r="J1865" t="inlineStr">
        <is>
          <t>AA</t>
        </is>
      </c>
      <c r="K1865" t="inlineStr">
        <is>
          <t>Answering Machine Autodial</t>
        </is>
      </c>
      <c r="L1865" t="n">
        <v>3</v>
      </c>
      <c r="M1865" t="inlineStr">
        <is>
          <t>2026-06-23 13:38:32</t>
        </is>
      </c>
      <c r="N1865" t="inlineStr">
        <is>
          <t>system</t>
        </is>
      </c>
      <c r="O1865" t="inlineStr">
        <is>
          <t>2026-06-19 07:10:32</t>
        </is>
      </c>
      <c r="P1865" t="inlineStr">
        <is>
          <t>2026-06-19 07:10:32</t>
        </is>
      </c>
      <c r="Y1865" t="inlineStr">
        <is>
          <t>27723775228</t>
        </is>
      </c>
    </row>
    <row r="1866">
      <c r="A1866" t="inlineStr">
        <is>
          <t>14945069</t>
        </is>
      </c>
      <c r="B1866" t="inlineStr">
        <is>
          <t>1b349fcf-3756-45da-90ab-d3b10e145137</t>
        </is>
      </c>
      <c r="D1866" t="inlineStr">
        <is>
          <t>30001087</t>
        </is>
      </c>
      <c r="E1866" t="inlineStr">
        <is>
          <t>ussd_funeral_leads_altitude_20260619</t>
        </is>
      </c>
      <c r="J1866" t="inlineStr">
        <is>
          <t>AA</t>
        </is>
      </c>
      <c r="K1866" t="inlineStr">
        <is>
          <t>Answering Machine Autodial</t>
        </is>
      </c>
      <c r="L1866" t="n">
        <v>3</v>
      </c>
      <c r="M1866" t="inlineStr">
        <is>
          <t>2026-06-23 13:38:32</t>
        </is>
      </c>
      <c r="N1866" t="inlineStr">
        <is>
          <t>system</t>
        </is>
      </c>
      <c r="O1866" t="inlineStr">
        <is>
          <t>2026-06-19 07:10:32</t>
        </is>
      </c>
      <c r="P1866" t="inlineStr">
        <is>
          <t>2026-06-19 07:10:32</t>
        </is>
      </c>
      <c r="Y1866" t="inlineStr">
        <is>
          <t>27797185341</t>
        </is>
      </c>
    </row>
    <row r="1867">
      <c r="A1867" t="inlineStr">
        <is>
          <t>14945064</t>
        </is>
      </c>
      <c r="B1867" t="inlineStr">
        <is>
          <t>afa6097d-4fb0-4d52-bb39-015009a9631d</t>
        </is>
      </c>
      <c r="D1867" t="inlineStr">
        <is>
          <t>30001087</t>
        </is>
      </c>
      <c r="E1867" t="inlineStr">
        <is>
          <t>ussd_funeral_leads_altitude_20260619</t>
        </is>
      </c>
      <c r="J1867" t="inlineStr">
        <is>
          <t>NA</t>
        </is>
      </c>
      <c r="K1867" t="inlineStr">
        <is>
          <t>No Answer Autodial</t>
        </is>
      </c>
      <c r="L1867" t="n">
        <v>3</v>
      </c>
      <c r="M1867" t="inlineStr">
        <is>
          <t>2026-06-23 13:38:30</t>
        </is>
      </c>
      <c r="N1867" t="inlineStr">
        <is>
          <t>system</t>
        </is>
      </c>
      <c r="O1867" t="inlineStr">
        <is>
          <t>2026-06-19 07:10:32</t>
        </is>
      </c>
      <c r="P1867" t="inlineStr">
        <is>
          <t>2026-06-19 07:10:32</t>
        </is>
      </c>
      <c r="Y1867" t="inlineStr">
        <is>
          <t>27649168174</t>
        </is>
      </c>
    </row>
    <row r="1868">
      <c r="A1868" t="inlineStr">
        <is>
          <t>14945065</t>
        </is>
      </c>
      <c r="B1868" t="inlineStr">
        <is>
          <t>d94b48a1-5821-4ace-92ec-5a737e18a54c</t>
        </is>
      </c>
      <c r="D1868" t="inlineStr">
        <is>
          <t>30001087</t>
        </is>
      </c>
      <c r="E1868" t="inlineStr">
        <is>
          <t>ussd_funeral_leads_altitude_20260619</t>
        </is>
      </c>
      <c r="J1868" t="inlineStr">
        <is>
          <t>AA</t>
        </is>
      </c>
      <c r="K1868" t="inlineStr">
        <is>
          <t>Answering Machine Autodial</t>
        </is>
      </c>
      <c r="L1868" t="n">
        <v>3</v>
      </c>
      <c r="M1868" t="inlineStr">
        <is>
          <t>2026-06-23 13:38:30</t>
        </is>
      </c>
      <c r="N1868" t="inlineStr">
        <is>
          <t>system</t>
        </is>
      </c>
      <c r="O1868" t="inlineStr">
        <is>
          <t>2026-06-19 07:10:32</t>
        </is>
      </c>
      <c r="P1868" t="inlineStr">
        <is>
          <t>2026-06-19 07:10:32</t>
        </is>
      </c>
      <c r="Y1868" t="inlineStr">
        <is>
          <t>27608361001</t>
        </is>
      </c>
    </row>
    <row r="1869">
      <c r="A1869" t="inlineStr">
        <is>
          <t>14945177</t>
        </is>
      </c>
      <c r="B1869" t="inlineStr">
        <is>
          <t>f77bfc96-e390-40f5-b003-b013e9addf08</t>
        </is>
      </c>
      <c r="D1869" t="inlineStr">
        <is>
          <t>30001087</t>
        </is>
      </c>
      <c r="E1869" t="inlineStr">
        <is>
          <t>ussd_funeral_leads_altitude_20260619</t>
        </is>
      </c>
      <c r="J1869" t="inlineStr">
        <is>
          <t>AE</t>
        </is>
      </c>
      <c r="K1869" t="inlineStr">
        <is>
          <t>Auto Engaged</t>
        </is>
      </c>
      <c r="L1869" t="n">
        <v>3</v>
      </c>
      <c r="M1869" t="inlineStr">
        <is>
          <t>2026-06-23 13:38:18</t>
        </is>
      </c>
      <c r="N1869" t="inlineStr">
        <is>
          <t>system</t>
        </is>
      </c>
      <c r="O1869" t="inlineStr">
        <is>
          <t>2026-06-19 07:10:32</t>
        </is>
      </c>
      <c r="P1869" t="inlineStr">
        <is>
          <t>2026-06-19 07:10:32</t>
        </is>
      </c>
      <c r="Y1869" t="inlineStr">
        <is>
          <t>27725545902</t>
        </is>
      </c>
    </row>
    <row r="1870">
      <c r="A1870" t="inlineStr">
        <is>
          <t>14945178</t>
        </is>
      </c>
      <c r="B1870" t="inlineStr">
        <is>
          <t>de359179-74ff-4308-958d-2ec70caed442</t>
        </is>
      </c>
      <c r="D1870" t="inlineStr">
        <is>
          <t>30001087</t>
        </is>
      </c>
      <c r="E1870" t="inlineStr">
        <is>
          <t>ussd_funeral_leads_altitude_20260619</t>
        </is>
      </c>
      <c r="J1870" t="inlineStr">
        <is>
          <t>AA</t>
        </is>
      </c>
      <c r="K1870" t="inlineStr">
        <is>
          <t>Answering Machine Autodial</t>
        </is>
      </c>
      <c r="L1870" t="n">
        <v>3</v>
      </c>
      <c r="M1870" t="inlineStr">
        <is>
          <t>2026-06-23 13:38:18</t>
        </is>
      </c>
      <c r="N1870" t="inlineStr">
        <is>
          <t>system</t>
        </is>
      </c>
      <c r="O1870" t="inlineStr">
        <is>
          <t>2026-06-19 07:10:32</t>
        </is>
      </c>
      <c r="P1870" t="inlineStr">
        <is>
          <t>2026-06-19 07:10:32</t>
        </is>
      </c>
      <c r="Y1870" t="inlineStr">
        <is>
          <t>27818837714</t>
        </is>
      </c>
    </row>
    <row r="1871">
      <c r="A1871" t="inlineStr">
        <is>
          <t>14945179</t>
        </is>
      </c>
      <c r="B1871" t="inlineStr">
        <is>
          <t>d9b1995a-2385-404e-9e17-852197b2f07f</t>
        </is>
      </c>
      <c r="D1871" t="inlineStr">
        <is>
          <t>30001087</t>
        </is>
      </c>
      <c r="E1871" t="inlineStr">
        <is>
          <t>ussd_funeral_leads_altitude_20260619</t>
        </is>
      </c>
      <c r="J1871" t="inlineStr">
        <is>
          <t>AA</t>
        </is>
      </c>
      <c r="K1871" t="inlineStr">
        <is>
          <t>Answering Machine Autodial</t>
        </is>
      </c>
      <c r="L1871" t="n">
        <v>3</v>
      </c>
      <c r="M1871" t="inlineStr">
        <is>
          <t>2026-06-23 13:38:18</t>
        </is>
      </c>
      <c r="N1871" t="inlineStr">
        <is>
          <t>system</t>
        </is>
      </c>
      <c r="O1871" t="inlineStr">
        <is>
          <t>2026-06-19 07:10:32</t>
        </is>
      </c>
      <c r="P1871" t="inlineStr">
        <is>
          <t>2026-06-19 07:10:32</t>
        </is>
      </c>
      <c r="Y1871" t="inlineStr">
        <is>
          <t>27793421995</t>
        </is>
      </c>
    </row>
    <row r="1872">
      <c r="A1872" t="inlineStr">
        <is>
          <t>14947231</t>
        </is>
      </c>
      <c r="B1872" t="inlineStr">
        <is>
          <t>5b6eed4e-b52f-4b3a-b4a6-8f6a74dd58c2</t>
        </is>
      </c>
      <c r="D1872" t="inlineStr">
        <is>
          <t>30001087</t>
        </is>
      </c>
      <c r="E1872" t="inlineStr">
        <is>
          <t>ussd_funeral_leads_altitude_20260619</t>
        </is>
      </c>
      <c r="J1872" t="inlineStr">
        <is>
          <t>AE</t>
        </is>
      </c>
      <c r="K1872" t="inlineStr">
        <is>
          <t>Auto Engaged</t>
        </is>
      </c>
      <c r="L1872" t="n">
        <v>3</v>
      </c>
      <c r="M1872" t="inlineStr">
        <is>
          <t>2026-06-23 13:38:18</t>
        </is>
      </c>
      <c r="N1872" t="inlineStr">
        <is>
          <t>system</t>
        </is>
      </c>
      <c r="O1872" t="inlineStr">
        <is>
          <t>2026-06-19 07:10:32</t>
        </is>
      </c>
      <c r="P1872" t="inlineStr">
        <is>
          <t>2026-06-19 07:10:32</t>
        </is>
      </c>
      <c r="Y1872" t="inlineStr">
        <is>
          <t>27713575928</t>
        </is>
      </c>
    </row>
    <row r="1873">
      <c r="A1873" t="inlineStr">
        <is>
          <t>14945127</t>
        </is>
      </c>
      <c r="B1873" t="inlineStr">
        <is>
          <t>c6175a78-fd8d-48a7-aa0c-a4b06f7d2a65</t>
        </is>
      </c>
      <c r="D1873" t="inlineStr">
        <is>
          <t>30001087</t>
        </is>
      </c>
      <c r="E1873" t="inlineStr">
        <is>
          <t>ussd_funeral_leads_altitude_20260619</t>
        </is>
      </c>
      <c r="J1873" t="inlineStr">
        <is>
          <t>AA</t>
        </is>
      </c>
      <c r="K1873" t="inlineStr">
        <is>
          <t>Answering Machine Autodial</t>
        </is>
      </c>
      <c r="L1873" t="n">
        <v>3</v>
      </c>
      <c r="M1873" t="inlineStr">
        <is>
          <t>2026-06-23 13:37:57</t>
        </is>
      </c>
      <c r="N1873" t="inlineStr">
        <is>
          <t>system</t>
        </is>
      </c>
      <c r="O1873" t="inlineStr">
        <is>
          <t>2026-06-19 07:10:32</t>
        </is>
      </c>
      <c r="P1873" t="inlineStr">
        <is>
          <t>2026-06-19 07:10:32</t>
        </is>
      </c>
      <c r="Y1873" t="inlineStr">
        <is>
          <t>27793774295</t>
        </is>
      </c>
    </row>
    <row r="1874">
      <c r="A1874" t="inlineStr">
        <is>
          <t>14945125</t>
        </is>
      </c>
      <c r="B1874" t="inlineStr">
        <is>
          <t>751a2618-8213-49d6-8ad4-7f4d213c4d15</t>
        </is>
      </c>
      <c r="D1874" t="inlineStr">
        <is>
          <t>30001087</t>
        </is>
      </c>
      <c r="E1874" t="inlineStr">
        <is>
          <t>ussd_funeral_leads_altitude_20260619</t>
        </is>
      </c>
      <c r="J1874" t="inlineStr">
        <is>
          <t>AA</t>
        </is>
      </c>
      <c r="K1874" t="inlineStr">
        <is>
          <t>Answering Machine Autodial</t>
        </is>
      </c>
      <c r="L1874" t="n">
        <v>3</v>
      </c>
      <c r="M1874" t="inlineStr">
        <is>
          <t>2026-06-23 13:37:55</t>
        </is>
      </c>
      <c r="N1874" t="inlineStr">
        <is>
          <t>system</t>
        </is>
      </c>
      <c r="O1874" t="inlineStr">
        <is>
          <t>2026-06-19 07:10:32</t>
        </is>
      </c>
      <c r="P1874" t="inlineStr">
        <is>
          <t>2026-06-19 07:10:32</t>
        </is>
      </c>
      <c r="Y1874" t="inlineStr">
        <is>
          <t>27764060916</t>
        </is>
      </c>
    </row>
    <row r="1875">
      <c r="A1875" t="inlineStr">
        <is>
          <t>14945123</t>
        </is>
      </c>
      <c r="B1875" t="inlineStr">
        <is>
          <t>c6932127-b2d4-49d0-afe8-f81ce5fd8e5b</t>
        </is>
      </c>
      <c r="D1875" t="inlineStr">
        <is>
          <t>30001087</t>
        </is>
      </c>
      <c r="E1875" t="inlineStr">
        <is>
          <t>ussd_funeral_leads_altitude_20260619</t>
        </is>
      </c>
      <c r="J1875" t="inlineStr">
        <is>
          <t>TDN</t>
        </is>
      </c>
      <c r="K1875" t="inlineStr">
        <is>
          <t>Temporary Disconnected Number</t>
        </is>
      </c>
      <c r="L1875" t="n">
        <v>3</v>
      </c>
      <c r="M1875" t="inlineStr">
        <is>
          <t>2026-06-23 13:37:52</t>
        </is>
      </c>
      <c r="N1875" t="inlineStr">
        <is>
          <t>system</t>
        </is>
      </c>
      <c r="O1875" t="inlineStr">
        <is>
          <t>2026-06-19 07:10:32</t>
        </is>
      </c>
      <c r="P1875" t="inlineStr">
        <is>
          <t>2026-06-19 07:10:32</t>
        </is>
      </c>
      <c r="Y1875" t="inlineStr">
        <is>
          <t>27761646001</t>
        </is>
      </c>
    </row>
    <row r="1876">
      <c r="A1876" t="inlineStr">
        <is>
          <t>14945124</t>
        </is>
      </c>
      <c r="B1876" t="inlineStr">
        <is>
          <t>10afda40-f911-457d-b114-4d0efad6bd61</t>
        </is>
      </c>
      <c r="D1876" t="inlineStr">
        <is>
          <t>30001087</t>
        </is>
      </c>
      <c r="E1876" t="inlineStr">
        <is>
          <t>ussd_funeral_leads_altitude_20260619</t>
        </is>
      </c>
      <c r="J1876" t="inlineStr">
        <is>
          <t>AA</t>
        </is>
      </c>
      <c r="K1876" t="inlineStr">
        <is>
          <t>Answering Machine Autodial</t>
        </is>
      </c>
      <c r="L1876" t="n">
        <v>3</v>
      </c>
      <c r="M1876" t="inlineStr">
        <is>
          <t>2026-06-23 13:37:52</t>
        </is>
      </c>
      <c r="N1876" t="inlineStr">
        <is>
          <t>system</t>
        </is>
      </c>
      <c r="O1876" t="inlineStr">
        <is>
          <t>2026-06-19 07:10:32</t>
        </is>
      </c>
      <c r="P1876" t="inlineStr">
        <is>
          <t>2026-06-19 07:10:32</t>
        </is>
      </c>
      <c r="Y1876" t="inlineStr">
        <is>
          <t>27729363500</t>
        </is>
      </c>
    </row>
    <row r="1877">
      <c r="A1877" t="inlineStr">
        <is>
          <t>14945122</t>
        </is>
      </c>
      <c r="B1877" t="inlineStr">
        <is>
          <t>08d4cba4-cbd3-4453-ab67-83fb3fa387ca</t>
        </is>
      </c>
      <c r="D1877" t="inlineStr">
        <is>
          <t>30001087</t>
        </is>
      </c>
      <c r="E1877" t="inlineStr">
        <is>
          <t>ussd_funeral_leads_altitude_20260619</t>
        </is>
      </c>
      <c r="J1877" t="inlineStr">
        <is>
          <t>AA</t>
        </is>
      </c>
      <c r="K1877" t="inlineStr">
        <is>
          <t>Answering Machine Autodial</t>
        </is>
      </c>
      <c r="L1877" t="n">
        <v>3</v>
      </c>
      <c r="M1877" t="inlineStr">
        <is>
          <t>2026-06-23 13:37:48</t>
        </is>
      </c>
      <c r="N1877" t="inlineStr">
        <is>
          <t>system</t>
        </is>
      </c>
      <c r="O1877" t="inlineStr">
        <is>
          <t>2026-06-19 07:10:32</t>
        </is>
      </c>
      <c r="P1877" t="inlineStr">
        <is>
          <t>2026-06-19 07:10:32</t>
        </is>
      </c>
      <c r="Y1877" t="inlineStr">
        <is>
          <t>27769965219</t>
        </is>
      </c>
    </row>
    <row r="1878">
      <c r="A1878" t="inlineStr">
        <is>
          <t>14945121</t>
        </is>
      </c>
      <c r="B1878" t="inlineStr">
        <is>
          <t>ecb75bab-5b1d-42f6-92cc-f509ed0e8a66</t>
        </is>
      </c>
      <c r="D1878" t="inlineStr">
        <is>
          <t>30001087</t>
        </is>
      </c>
      <c r="E1878" t="inlineStr">
        <is>
          <t>ussd_funeral_leads_altitude_20260619</t>
        </is>
      </c>
      <c r="J1878" t="inlineStr">
        <is>
          <t>AA</t>
        </is>
      </c>
      <c r="K1878" t="inlineStr">
        <is>
          <t>Answering Machine Autodial</t>
        </is>
      </c>
      <c r="L1878" t="n">
        <v>3</v>
      </c>
      <c r="M1878" t="inlineStr">
        <is>
          <t>2026-06-23 13:37:42</t>
        </is>
      </c>
      <c r="N1878" t="inlineStr">
        <is>
          <t>system</t>
        </is>
      </c>
      <c r="O1878" t="inlineStr">
        <is>
          <t>2026-06-19 07:10:32</t>
        </is>
      </c>
      <c r="P1878" t="inlineStr">
        <is>
          <t>2026-06-19 07:10:32</t>
        </is>
      </c>
      <c r="Y1878" t="inlineStr">
        <is>
          <t>27790944946</t>
        </is>
      </c>
    </row>
    <row r="1879">
      <c r="A1879" t="inlineStr">
        <is>
          <t>14945119</t>
        </is>
      </c>
      <c r="B1879" t="inlineStr">
        <is>
          <t>dea1c3fc-55e7-4c45-8e97-389a99cc9fac</t>
        </is>
      </c>
      <c r="D1879" t="inlineStr">
        <is>
          <t>30001087</t>
        </is>
      </c>
      <c r="E1879" t="inlineStr">
        <is>
          <t>ussd_funeral_leads_altitude_20260619</t>
        </is>
      </c>
      <c r="J1879" t="inlineStr">
        <is>
          <t>AA</t>
        </is>
      </c>
      <c r="K1879" t="inlineStr">
        <is>
          <t>Answering Machine Autodial</t>
        </is>
      </c>
      <c r="L1879" t="n">
        <v>3</v>
      </c>
      <c r="M1879" t="inlineStr">
        <is>
          <t>2026-06-23 13:37:28</t>
        </is>
      </c>
      <c r="N1879" t="inlineStr">
        <is>
          <t>system</t>
        </is>
      </c>
      <c r="O1879" t="inlineStr">
        <is>
          <t>2026-06-19 07:10:32</t>
        </is>
      </c>
      <c r="P1879" t="inlineStr">
        <is>
          <t>2026-06-19 07:10:32</t>
        </is>
      </c>
      <c r="Y1879" t="inlineStr">
        <is>
          <t>27649675634</t>
        </is>
      </c>
    </row>
    <row r="1880">
      <c r="A1880" t="inlineStr">
        <is>
          <t>14945120</t>
        </is>
      </c>
      <c r="B1880" t="inlineStr">
        <is>
          <t>5f1003d5-0175-45d6-ba90-f1c0b0367f5b</t>
        </is>
      </c>
      <c r="D1880" t="inlineStr">
        <is>
          <t>30001087</t>
        </is>
      </c>
      <c r="E1880" t="inlineStr">
        <is>
          <t>ussd_funeral_leads_altitude_20260619</t>
        </is>
      </c>
      <c r="J1880" t="inlineStr">
        <is>
          <t>AA</t>
        </is>
      </c>
      <c r="K1880" t="inlineStr">
        <is>
          <t>Answering Machine Autodial</t>
        </is>
      </c>
      <c r="L1880" t="n">
        <v>3</v>
      </c>
      <c r="M1880" t="inlineStr">
        <is>
          <t>2026-06-23 13:37:28</t>
        </is>
      </c>
      <c r="N1880" t="inlineStr">
        <is>
          <t>system</t>
        </is>
      </c>
      <c r="O1880" t="inlineStr">
        <is>
          <t>2026-06-19 07:10:32</t>
        </is>
      </c>
      <c r="P1880" t="inlineStr">
        <is>
          <t>2026-06-19 07:10:32</t>
        </is>
      </c>
      <c r="Y1880" t="inlineStr">
        <is>
          <t>27766785403</t>
        </is>
      </c>
    </row>
    <row r="1881">
      <c r="A1881" t="inlineStr">
        <is>
          <t>14945115</t>
        </is>
      </c>
      <c r="B1881" t="inlineStr">
        <is>
          <t>425c496b-d5f8-490e-9998-af66487dad3d</t>
        </is>
      </c>
      <c r="D1881" t="inlineStr">
        <is>
          <t>30001087</t>
        </is>
      </c>
      <c r="E1881" t="inlineStr">
        <is>
          <t>ussd_funeral_leads_altitude_20260619</t>
        </is>
      </c>
      <c r="J1881" t="inlineStr">
        <is>
          <t>NA</t>
        </is>
      </c>
      <c r="K1881" t="inlineStr">
        <is>
          <t>No Answer Autodial</t>
        </is>
      </c>
      <c r="L1881" t="n">
        <v>3</v>
      </c>
      <c r="M1881" t="inlineStr">
        <is>
          <t>2026-06-23 13:37:26</t>
        </is>
      </c>
      <c r="N1881" t="inlineStr">
        <is>
          <t>system</t>
        </is>
      </c>
      <c r="O1881" t="inlineStr">
        <is>
          <t>2026-06-19 07:10:32</t>
        </is>
      </c>
      <c r="P1881" t="inlineStr">
        <is>
          <t>2026-06-19 07:10:32</t>
        </is>
      </c>
      <c r="Y1881" t="inlineStr">
        <is>
          <t>27769459230</t>
        </is>
      </c>
    </row>
    <row r="1882">
      <c r="A1882" t="inlineStr">
        <is>
          <t>14945116</t>
        </is>
      </c>
      <c r="B1882" t="inlineStr">
        <is>
          <t>3b2440a9-0dd0-48d0-9e78-06e2af06b638</t>
        </is>
      </c>
      <c r="D1882" t="inlineStr">
        <is>
          <t>30001087</t>
        </is>
      </c>
      <c r="E1882" t="inlineStr">
        <is>
          <t>ussd_funeral_leads_altitude_20260619</t>
        </is>
      </c>
      <c r="J1882" t="inlineStr">
        <is>
          <t>AA</t>
        </is>
      </c>
      <c r="K1882" t="inlineStr">
        <is>
          <t>Answering Machine Autodial</t>
        </is>
      </c>
      <c r="L1882" t="n">
        <v>3</v>
      </c>
      <c r="M1882" t="inlineStr">
        <is>
          <t>2026-06-23 13:37:25</t>
        </is>
      </c>
      <c r="N1882" t="inlineStr">
        <is>
          <t>system</t>
        </is>
      </c>
      <c r="O1882" t="inlineStr">
        <is>
          <t>2026-06-19 07:10:32</t>
        </is>
      </c>
      <c r="P1882" t="inlineStr">
        <is>
          <t>2026-06-19 07:10:32</t>
        </is>
      </c>
      <c r="Y1882" t="inlineStr">
        <is>
          <t>27768377300</t>
        </is>
      </c>
    </row>
    <row r="1883">
      <c r="A1883" t="inlineStr">
        <is>
          <t>14900000</t>
        </is>
      </c>
      <c r="B1883" t="inlineStr">
        <is>
          <t>e839749b-8b26-4364-aebf-cbd5216cb8f4</t>
        </is>
      </c>
      <c r="D1883" t="inlineStr">
        <is>
          <t>30001087</t>
        </is>
      </c>
      <c r="E1883" t="inlineStr">
        <is>
          <t>ussd_funeral_leads_altitude_20260619</t>
        </is>
      </c>
      <c r="J1883" t="inlineStr">
        <is>
          <t>AA</t>
        </is>
      </c>
      <c r="K1883" t="inlineStr">
        <is>
          <t>Answering Machine Autodial</t>
        </is>
      </c>
      <c r="L1883" t="n">
        <v>3</v>
      </c>
      <c r="M1883" t="inlineStr">
        <is>
          <t>2026-06-23 13:37:25</t>
        </is>
      </c>
      <c r="N1883" t="inlineStr">
        <is>
          <t>system</t>
        </is>
      </c>
      <c r="O1883" t="inlineStr">
        <is>
          <t>2026-06-19 07:10:32</t>
        </is>
      </c>
      <c r="P1883" t="inlineStr">
        <is>
          <t>2026-06-19 07:10:32</t>
        </is>
      </c>
      <c r="Y1883" t="inlineStr">
        <is>
          <t>27722588474</t>
        </is>
      </c>
    </row>
    <row r="1884">
      <c r="A1884" t="inlineStr">
        <is>
          <t>14945100</t>
        </is>
      </c>
      <c r="B1884" t="inlineStr">
        <is>
          <t>07dddade-607a-4ebb-a789-c8ada8ca30ab</t>
        </is>
      </c>
      <c r="D1884" t="inlineStr">
        <is>
          <t>30001087</t>
        </is>
      </c>
      <c r="E1884" t="inlineStr">
        <is>
          <t>ussd_funeral_leads_altitude_20260619</t>
        </is>
      </c>
      <c r="J1884" t="inlineStr">
        <is>
          <t>AA</t>
        </is>
      </c>
      <c r="K1884" t="inlineStr">
        <is>
          <t>Answering Machine Autodial</t>
        </is>
      </c>
      <c r="L1884" t="n">
        <v>3</v>
      </c>
      <c r="M1884" t="inlineStr">
        <is>
          <t>2026-06-23 13:37:23</t>
        </is>
      </c>
      <c r="N1884" t="inlineStr">
        <is>
          <t>system</t>
        </is>
      </c>
      <c r="O1884" t="inlineStr">
        <is>
          <t>2026-06-19 07:10:32</t>
        </is>
      </c>
      <c r="P1884" t="inlineStr">
        <is>
          <t>2026-06-19 07:10:32</t>
        </is>
      </c>
      <c r="Y1884" t="inlineStr">
        <is>
          <t>27712342552</t>
        </is>
      </c>
    </row>
    <row r="1885">
      <c r="A1885" t="inlineStr">
        <is>
          <t>14945101</t>
        </is>
      </c>
      <c r="B1885" t="inlineStr">
        <is>
          <t>64fc650f-830e-48fe-93a3-9b92ce10dae9</t>
        </is>
      </c>
      <c r="D1885" t="inlineStr">
        <is>
          <t>30001087</t>
        </is>
      </c>
      <c r="E1885" t="inlineStr">
        <is>
          <t>ussd_funeral_leads_altitude_20260619</t>
        </is>
      </c>
      <c r="J1885" t="inlineStr">
        <is>
          <t>AA</t>
        </is>
      </c>
      <c r="K1885" t="inlineStr">
        <is>
          <t>Answering Machine Autodial</t>
        </is>
      </c>
      <c r="L1885" t="n">
        <v>3</v>
      </c>
      <c r="M1885" t="inlineStr">
        <is>
          <t>2026-06-23 13:37:23</t>
        </is>
      </c>
      <c r="N1885" t="inlineStr">
        <is>
          <t>system</t>
        </is>
      </c>
      <c r="O1885" t="inlineStr">
        <is>
          <t>2026-06-19 07:10:32</t>
        </is>
      </c>
      <c r="P1885" t="inlineStr">
        <is>
          <t>2026-06-19 07:10:32</t>
        </is>
      </c>
      <c r="Y1885" t="inlineStr">
        <is>
          <t>27724746268</t>
        </is>
      </c>
    </row>
    <row r="1886">
      <c r="A1886" t="inlineStr">
        <is>
          <t>14945102</t>
        </is>
      </c>
      <c r="B1886" t="inlineStr">
        <is>
          <t>85bb6009-aa31-426f-b3c1-98d5a70e44e6</t>
        </is>
      </c>
      <c r="D1886" t="inlineStr">
        <is>
          <t>30001087</t>
        </is>
      </c>
      <c r="E1886" t="inlineStr">
        <is>
          <t>ussd_funeral_leads_altitude_20260619</t>
        </is>
      </c>
      <c r="J1886" t="inlineStr">
        <is>
          <t>ADC</t>
        </is>
      </c>
      <c r="K1886" t="inlineStr">
        <is>
          <t>Auto Dial Disconnected</t>
        </is>
      </c>
      <c r="L1886" t="n">
        <v>3</v>
      </c>
      <c r="M1886" t="inlineStr">
        <is>
          <t>2026-06-23 13:37:23</t>
        </is>
      </c>
      <c r="N1886" t="inlineStr">
        <is>
          <t>system</t>
        </is>
      </c>
      <c r="O1886" t="inlineStr">
        <is>
          <t>2026-06-19 07:10:32</t>
        </is>
      </c>
      <c r="P1886" t="inlineStr">
        <is>
          <t>2026-06-19 07:10:32</t>
        </is>
      </c>
      <c r="Y1886" t="inlineStr">
        <is>
          <t>27764850940</t>
        </is>
      </c>
    </row>
    <row r="1887">
      <c r="A1887" t="inlineStr">
        <is>
          <t>14945103</t>
        </is>
      </c>
      <c r="B1887" t="inlineStr">
        <is>
          <t>b77c589c-08ae-4e1e-a2cd-68597bb49fe7</t>
        </is>
      </c>
      <c r="D1887" t="inlineStr">
        <is>
          <t>30001087</t>
        </is>
      </c>
      <c r="E1887" t="inlineStr">
        <is>
          <t>ussd_funeral_leads_altitude_20260619</t>
        </is>
      </c>
      <c r="J1887" t="inlineStr">
        <is>
          <t>AE</t>
        </is>
      </c>
      <c r="K1887" t="inlineStr">
        <is>
          <t>Auto Engaged</t>
        </is>
      </c>
      <c r="L1887" t="n">
        <v>3</v>
      </c>
      <c r="M1887" t="inlineStr">
        <is>
          <t>2026-06-23 13:37:23</t>
        </is>
      </c>
      <c r="N1887" t="inlineStr">
        <is>
          <t>system</t>
        </is>
      </c>
      <c r="O1887" t="inlineStr">
        <is>
          <t>2026-06-19 07:10:32</t>
        </is>
      </c>
      <c r="P1887" t="inlineStr">
        <is>
          <t>2026-06-19 07:10:32</t>
        </is>
      </c>
      <c r="Y1887" t="inlineStr">
        <is>
          <t>27829606053</t>
        </is>
      </c>
    </row>
    <row r="1888">
      <c r="A1888" t="inlineStr">
        <is>
          <t>14945104</t>
        </is>
      </c>
      <c r="B1888" t="inlineStr">
        <is>
          <t>871af091-82bf-4abc-aaa3-2fc8ddf660d5</t>
        </is>
      </c>
      <c r="D1888" t="inlineStr">
        <is>
          <t>30001087</t>
        </is>
      </c>
      <c r="E1888" t="inlineStr">
        <is>
          <t>ussd_funeral_leads_altitude_20260619</t>
        </is>
      </c>
      <c r="J1888" t="inlineStr">
        <is>
          <t>ADC</t>
        </is>
      </c>
      <c r="K1888" t="inlineStr">
        <is>
          <t>Auto Dial Disconnected</t>
        </is>
      </c>
      <c r="L1888" t="n">
        <v>3</v>
      </c>
      <c r="M1888" t="inlineStr">
        <is>
          <t>2026-06-23 13:37:23</t>
        </is>
      </c>
      <c r="N1888" t="inlineStr">
        <is>
          <t>system</t>
        </is>
      </c>
      <c r="O1888" t="inlineStr">
        <is>
          <t>2026-06-19 07:10:32</t>
        </is>
      </c>
      <c r="P1888" t="inlineStr">
        <is>
          <t>2026-06-19 07:10:32</t>
        </is>
      </c>
      <c r="Y1888" t="inlineStr">
        <is>
          <t>27606388881</t>
        </is>
      </c>
    </row>
    <row r="1889">
      <c r="A1889" t="inlineStr">
        <is>
          <t>14945096</t>
        </is>
      </c>
      <c r="B1889" t="inlineStr">
        <is>
          <t>c72a2db6-dfe5-49f9-b472-22aac10a1b28</t>
        </is>
      </c>
      <c r="D1889" t="inlineStr">
        <is>
          <t>30001087</t>
        </is>
      </c>
      <c r="E1889" t="inlineStr">
        <is>
          <t>ussd_funeral_leads_altitude_20260619</t>
        </is>
      </c>
      <c r="J1889" t="inlineStr">
        <is>
          <t>TDN</t>
        </is>
      </c>
      <c r="K1889" t="inlineStr">
        <is>
          <t>Temporary Disconnected Number</t>
        </is>
      </c>
      <c r="L1889" t="n">
        <v>3</v>
      </c>
      <c r="M1889" t="inlineStr">
        <is>
          <t>2026-06-23 13:37:19</t>
        </is>
      </c>
      <c r="N1889" t="inlineStr">
        <is>
          <t>system</t>
        </is>
      </c>
      <c r="O1889" t="inlineStr">
        <is>
          <t>2026-06-19 07:10:32</t>
        </is>
      </c>
      <c r="P1889" t="inlineStr">
        <is>
          <t>2026-06-19 07:10:32</t>
        </is>
      </c>
      <c r="Y1889" t="inlineStr">
        <is>
          <t>27769057114</t>
        </is>
      </c>
    </row>
    <row r="1890">
      <c r="A1890" t="inlineStr">
        <is>
          <t>14945097</t>
        </is>
      </c>
      <c r="B1890" t="inlineStr">
        <is>
          <t>ff8ade87-484d-4b10-a374-1820fea00b4c</t>
        </is>
      </c>
      <c r="D1890" t="inlineStr">
        <is>
          <t>30001087</t>
        </is>
      </c>
      <c r="E1890" t="inlineStr">
        <is>
          <t>ussd_funeral_leads_altitude_20260619</t>
        </is>
      </c>
      <c r="J1890" t="inlineStr">
        <is>
          <t>AA</t>
        </is>
      </c>
      <c r="K1890" t="inlineStr">
        <is>
          <t>Answering Machine Autodial</t>
        </is>
      </c>
      <c r="L1890" t="n">
        <v>3</v>
      </c>
      <c r="M1890" t="inlineStr">
        <is>
          <t>2026-06-23 13:37:19</t>
        </is>
      </c>
      <c r="N1890" t="inlineStr">
        <is>
          <t>system</t>
        </is>
      </c>
      <c r="O1890" t="inlineStr">
        <is>
          <t>2026-06-19 07:10:32</t>
        </is>
      </c>
      <c r="P1890" t="inlineStr">
        <is>
          <t>2026-06-19 07:10:32</t>
        </is>
      </c>
      <c r="Y1890" t="inlineStr">
        <is>
          <t>27721519571</t>
        </is>
      </c>
    </row>
    <row r="1891">
      <c r="A1891" t="inlineStr">
        <is>
          <t>14945098</t>
        </is>
      </c>
      <c r="B1891" t="inlineStr">
        <is>
          <t>bf9d61fb-42d8-4d26-86ec-3371601c5e7c</t>
        </is>
      </c>
      <c r="D1891" t="inlineStr">
        <is>
          <t>30001087</t>
        </is>
      </c>
      <c r="E1891" t="inlineStr">
        <is>
          <t>ussd_funeral_leads_altitude_20260619</t>
        </is>
      </c>
      <c r="J1891" t="inlineStr">
        <is>
          <t>NA</t>
        </is>
      </c>
      <c r="K1891" t="inlineStr">
        <is>
          <t>No Answer Autodial</t>
        </is>
      </c>
      <c r="L1891" t="n">
        <v>3</v>
      </c>
      <c r="M1891" t="inlineStr">
        <is>
          <t>2026-06-23 13:37:19</t>
        </is>
      </c>
      <c r="N1891" t="inlineStr">
        <is>
          <t>system</t>
        </is>
      </c>
      <c r="O1891" t="inlineStr">
        <is>
          <t>2026-06-19 07:10:32</t>
        </is>
      </c>
      <c r="P1891" t="inlineStr">
        <is>
          <t>2026-06-19 07:10:32</t>
        </is>
      </c>
      <c r="Y1891" t="inlineStr">
        <is>
          <t>27825303445</t>
        </is>
      </c>
    </row>
    <row r="1892">
      <c r="A1892" t="inlineStr">
        <is>
          <t>14945095</t>
        </is>
      </c>
      <c r="B1892" t="inlineStr">
        <is>
          <t>f2266603-ffc2-4659-b25c-8ed1f07a861e</t>
        </is>
      </c>
      <c r="D1892" t="inlineStr">
        <is>
          <t>30001087</t>
        </is>
      </c>
      <c r="E1892" t="inlineStr">
        <is>
          <t>ussd_funeral_leads_altitude_20260619</t>
        </is>
      </c>
      <c r="J1892" t="inlineStr">
        <is>
          <t>AA</t>
        </is>
      </c>
      <c r="K1892" t="inlineStr">
        <is>
          <t>Answering Machine Autodial</t>
        </is>
      </c>
      <c r="L1892" t="n">
        <v>3</v>
      </c>
      <c r="M1892" t="inlineStr">
        <is>
          <t>2026-06-23 13:36:27</t>
        </is>
      </c>
      <c r="N1892" t="inlineStr">
        <is>
          <t>system</t>
        </is>
      </c>
      <c r="O1892" t="inlineStr">
        <is>
          <t>2026-06-19 07:10:32</t>
        </is>
      </c>
      <c r="P1892" t="inlineStr">
        <is>
          <t>2026-06-19 07:10:32</t>
        </is>
      </c>
      <c r="Y1892" t="inlineStr">
        <is>
          <t>27822958763</t>
        </is>
      </c>
    </row>
    <row r="1893">
      <c r="A1893" t="inlineStr">
        <is>
          <t>14945094</t>
        </is>
      </c>
      <c r="B1893" t="inlineStr">
        <is>
          <t>4f871275-9975-4cdf-a49e-59d263422903</t>
        </is>
      </c>
      <c r="D1893" t="inlineStr">
        <is>
          <t>30001087</t>
        </is>
      </c>
      <c r="E1893" t="inlineStr">
        <is>
          <t>ussd_funeral_leads_altitude_20260619</t>
        </is>
      </c>
      <c r="J1893" t="inlineStr">
        <is>
          <t>AA</t>
        </is>
      </c>
      <c r="K1893" t="inlineStr">
        <is>
          <t>Answering Machine Autodial</t>
        </is>
      </c>
      <c r="L1893" t="n">
        <v>3</v>
      </c>
      <c r="M1893" t="inlineStr">
        <is>
          <t>2026-06-23 13:36:26</t>
        </is>
      </c>
      <c r="N1893" t="inlineStr">
        <is>
          <t>system</t>
        </is>
      </c>
      <c r="O1893" t="inlineStr">
        <is>
          <t>2026-06-19 07:10:32</t>
        </is>
      </c>
      <c r="P1893" t="inlineStr">
        <is>
          <t>2026-06-19 07:10:32</t>
        </is>
      </c>
      <c r="Y1893" t="inlineStr">
        <is>
          <t>27729140407</t>
        </is>
      </c>
    </row>
    <row r="1894">
      <c r="A1894" t="inlineStr">
        <is>
          <t>14945091</t>
        </is>
      </c>
      <c r="B1894" t="inlineStr">
        <is>
          <t>3a1bb4db-a96d-4913-b40e-9e219518dde9</t>
        </is>
      </c>
      <c r="D1894" t="inlineStr">
        <is>
          <t>30001087</t>
        </is>
      </c>
      <c r="E1894" t="inlineStr">
        <is>
          <t>ussd_funeral_leads_altitude_20260619</t>
        </is>
      </c>
      <c r="J1894" t="inlineStr">
        <is>
          <t>ADC</t>
        </is>
      </c>
      <c r="K1894" t="inlineStr">
        <is>
          <t>Auto Dial Disconnected</t>
        </is>
      </c>
      <c r="L1894" t="n">
        <v>3</v>
      </c>
      <c r="M1894" t="inlineStr">
        <is>
          <t>2026-06-23 13:36:25</t>
        </is>
      </c>
      <c r="N1894" t="inlineStr">
        <is>
          <t>system</t>
        </is>
      </c>
      <c r="O1894" t="inlineStr">
        <is>
          <t>2026-06-19 07:10:32</t>
        </is>
      </c>
      <c r="P1894" t="inlineStr">
        <is>
          <t>2026-06-19 07:10:32</t>
        </is>
      </c>
      <c r="Y1894" t="inlineStr">
        <is>
          <t>27607933930</t>
        </is>
      </c>
    </row>
    <row r="1895">
      <c r="A1895" t="inlineStr">
        <is>
          <t>14945112</t>
        </is>
      </c>
      <c r="B1895" t="inlineStr">
        <is>
          <t>65f6946c-5729-4ac1-aa5d-dc5820ce889d</t>
        </is>
      </c>
      <c r="D1895" t="inlineStr">
        <is>
          <t>30001087</t>
        </is>
      </c>
      <c r="E1895" t="inlineStr">
        <is>
          <t>ussd_funeral_leads_altitude_20260619</t>
        </is>
      </c>
      <c r="J1895" t="inlineStr">
        <is>
          <t>AA</t>
        </is>
      </c>
      <c r="K1895" t="inlineStr">
        <is>
          <t>Answering Machine Autodial</t>
        </is>
      </c>
      <c r="L1895" t="n">
        <v>3</v>
      </c>
      <c r="M1895" t="inlineStr">
        <is>
          <t>2026-06-23 13:35:47</t>
        </is>
      </c>
      <c r="N1895" t="inlineStr">
        <is>
          <t>system</t>
        </is>
      </c>
      <c r="O1895" t="inlineStr">
        <is>
          <t>2026-06-19 07:10:32</t>
        </is>
      </c>
      <c r="P1895" t="inlineStr">
        <is>
          <t>2026-06-19 07:10:32</t>
        </is>
      </c>
      <c r="Y1895" t="inlineStr">
        <is>
          <t>27796789174</t>
        </is>
      </c>
    </row>
    <row r="1896">
      <c r="A1896" t="inlineStr">
        <is>
          <t>14945113</t>
        </is>
      </c>
      <c r="B1896" t="inlineStr">
        <is>
          <t>618d6083-af2d-44a1-8f5c-1fde9b05ea38</t>
        </is>
      </c>
      <c r="D1896" t="inlineStr">
        <is>
          <t>30001087</t>
        </is>
      </c>
      <c r="E1896" t="inlineStr">
        <is>
          <t>ussd_funeral_leads_altitude_20260619</t>
        </is>
      </c>
      <c r="J1896" t="inlineStr">
        <is>
          <t>AA</t>
        </is>
      </c>
      <c r="K1896" t="inlineStr">
        <is>
          <t>Answering Machine Autodial</t>
        </is>
      </c>
      <c r="L1896" t="n">
        <v>3</v>
      </c>
      <c r="M1896" t="inlineStr">
        <is>
          <t>2026-06-23 13:35:47</t>
        </is>
      </c>
      <c r="N1896" t="inlineStr">
        <is>
          <t>system</t>
        </is>
      </c>
      <c r="O1896" t="inlineStr">
        <is>
          <t>2026-06-19 07:10:32</t>
        </is>
      </c>
      <c r="P1896" t="inlineStr">
        <is>
          <t>2026-06-19 07:10:32</t>
        </is>
      </c>
      <c r="Y1896" t="inlineStr">
        <is>
          <t>27714057714</t>
        </is>
      </c>
    </row>
    <row r="1897">
      <c r="A1897" t="inlineStr">
        <is>
          <t>14945111</t>
        </is>
      </c>
      <c r="B1897" t="inlineStr">
        <is>
          <t>9c90c881-3573-4a01-b5a6-2f659d7407f8</t>
        </is>
      </c>
      <c r="D1897" t="inlineStr">
        <is>
          <t>30001087</t>
        </is>
      </c>
      <c r="E1897" t="inlineStr">
        <is>
          <t>ussd_funeral_leads_altitude_20260619</t>
        </is>
      </c>
      <c r="J1897" t="inlineStr">
        <is>
          <t>NA</t>
        </is>
      </c>
      <c r="K1897" t="inlineStr">
        <is>
          <t>No Answer Autodial</t>
        </is>
      </c>
      <c r="L1897" t="n">
        <v>3</v>
      </c>
      <c r="M1897" t="inlineStr">
        <is>
          <t>2026-06-23 13:35:45</t>
        </is>
      </c>
      <c r="N1897" t="inlineStr">
        <is>
          <t>system</t>
        </is>
      </c>
      <c r="O1897" t="inlineStr">
        <is>
          <t>2026-06-19 07:10:32</t>
        </is>
      </c>
      <c r="P1897" t="inlineStr">
        <is>
          <t>2026-06-19 07:10:32</t>
        </is>
      </c>
      <c r="Y1897" t="inlineStr">
        <is>
          <t>27761189216</t>
        </is>
      </c>
    </row>
    <row r="1898">
      <c r="A1898" t="inlineStr">
        <is>
          <t>14945110</t>
        </is>
      </c>
      <c r="B1898" t="inlineStr">
        <is>
          <t>7b75184a-2a19-4cd0-9f52-6f17faf20d1d</t>
        </is>
      </c>
      <c r="D1898" t="inlineStr">
        <is>
          <t>30001087</t>
        </is>
      </c>
      <c r="E1898" t="inlineStr">
        <is>
          <t>ussd_funeral_leads_altitude_20260619</t>
        </is>
      </c>
      <c r="J1898" t="inlineStr">
        <is>
          <t>AE</t>
        </is>
      </c>
      <c r="K1898" t="inlineStr">
        <is>
          <t>Auto Engaged</t>
        </is>
      </c>
      <c r="L1898" t="n">
        <v>3</v>
      </c>
      <c r="M1898" t="inlineStr">
        <is>
          <t>2026-06-23 13:35:44</t>
        </is>
      </c>
      <c r="N1898" t="inlineStr">
        <is>
          <t>system</t>
        </is>
      </c>
      <c r="O1898" t="inlineStr">
        <is>
          <t>2026-06-19 07:10:32</t>
        </is>
      </c>
      <c r="P1898" t="inlineStr">
        <is>
          <t>2026-06-19 07:10:32</t>
        </is>
      </c>
      <c r="Y1898" t="inlineStr">
        <is>
          <t>27797446560</t>
        </is>
      </c>
    </row>
    <row r="1899">
      <c r="A1899" t="inlineStr">
        <is>
          <t>14945109</t>
        </is>
      </c>
      <c r="B1899" t="inlineStr">
        <is>
          <t>6db52ac4-a92e-4f5c-a95c-a473ba77b2c2</t>
        </is>
      </c>
      <c r="D1899" t="inlineStr">
        <is>
          <t>30001087</t>
        </is>
      </c>
      <c r="E1899" t="inlineStr">
        <is>
          <t>ussd_funeral_leads_altitude_20260619</t>
        </is>
      </c>
      <c r="J1899" t="inlineStr">
        <is>
          <t>AA</t>
        </is>
      </c>
      <c r="K1899" t="inlineStr">
        <is>
          <t>Answering Machine Autodial</t>
        </is>
      </c>
      <c r="L1899" t="n">
        <v>3</v>
      </c>
      <c r="M1899" t="inlineStr">
        <is>
          <t>2026-06-23 13:35:42</t>
        </is>
      </c>
      <c r="N1899" t="inlineStr">
        <is>
          <t>system</t>
        </is>
      </c>
      <c r="O1899" t="inlineStr">
        <is>
          <t>2026-06-19 07:10:32</t>
        </is>
      </c>
      <c r="P1899" t="inlineStr">
        <is>
          <t>2026-06-19 07:10:32</t>
        </is>
      </c>
      <c r="Y1899" t="inlineStr">
        <is>
          <t>27760574172</t>
        </is>
      </c>
    </row>
    <row r="1900">
      <c r="A1900" t="inlineStr">
        <is>
          <t>14945108</t>
        </is>
      </c>
      <c r="B1900" t="inlineStr">
        <is>
          <t>558046ff-1213-4d95-80de-3c658af74cbd</t>
        </is>
      </c>
      <c r="D1900" t="inlineStr">
        <is>
          <t>30001087</t>
        </is>
      </c>
      <c r="E1900" t="inlineStr">
        <is>
          <t>ussd_funeral_leads_altitude_20260619</t>
        </is>
      </c>
      <c r="J1900" t="inlineStr">
        <is>
          <t>AA</t>
        </is>
      </c>
      <c r="K1900" t="inlineStr">
        <is>
          <t>Answering Machine Autodial</t>
        </is>
      </c>
      <c r="L1900" t="n">
        <v>3</v>
      </c>
      <c r="M1900" t="inlineStr">
        <is>
          <t>2026-06-23 13:35:36</t>
        </is>
      </c>
      <c r="N1900" t="inlineStr">
        <is>
          <t>system</t>
        </is>
      </c>
      <c r="O1900" t="inlineStr">
        <is>
          <t>2026-06-19 07:10:32</t>
        </is>
      </c>
      <c r="P1900" t="inlineStr">
        <is>
          <t>2026-06-19 07:10:32</t>
        </is>
      </c>
      <c r="Y1900" t="inlineStr">
        <is>
          <t>27766043862</t>
        </is>
      </c>
    </row>
    <row r="1901">
      <c r="A1901" t="inlineStr">
        <is>
          <t>14945106</t>
        </is>
      </c>
      <c r="B1901" t="inlineStr">
        <is>
          <t>e46f1fa0-f724-4019-a129-e7b9c0bcbaf3</t>
        </is>
      </c>
      <c r="D1901" t="inlineStr">
        <is>
          <t>30001087</t>
        </is>
      </c>
      <c r="E1901" t="inlineStr">
        <is>
          <t>ussd_funeral_leads_altitude_20260619</t>
        </is>
      </c>
      <c r="J1901" t="inlineStr">
        <is>
          <t>AA</t>
        </is>
      </c>
      <c r="K1901" t="inlineStr">
        <is>
          <t>Answering Machine Autodial</t>
        </is>
      </c>
      <c r="L1901" t="n">
        <v>3</v>
      </c>
      <c r="M1901" t="inlineStr">
        <is>
          <t>2026-06-23 13:35:35</t>
        </is>
      </c>
      <c r="N1901" t="inlineStr">
        <is>
          <t>system</t>
        </is>
      </c>
      <c r="O1901" t="inlineStr">
        <is>
          <t>2026-06-19 07:10:32</t>
        </is>
      </c>
      <c r="P1901" t="inlineStr">
        <is>
          <t>2026-06-19 07:10:32</t>
        </is>
      </c>
      <c r="Y1901" t="inlineStr">
        <is>
          <t>27799059984</t>
        </is>
      </c>
    </row>
    <row r="1902">
      <c r="A1902" t="inlineStr">
        <is>
          <t>14945107</t>
        </is>
      </c>
      <c r="B1902" t="inlineStr">
        <is>
          <t>9ff7099a-c152-443b-889e-2407a4635fc1</t>
        </is>
      </c>
      <c r="D1902" t="inlineStr">
        <is>
          <t>30001087</t>
        </is>
      </c>
      <c r="E1902" t="inlineStr">
        <is>
          <t>ussd_funeral_leads_altitude_20260619</t>
        </is>
      </c>
      <c r="J1902" t="inlineStr">
        <is>
          <t>TDN</t>
        </is>
      </c>
      <c r="K1902" t="inlineStr">
        <is>
          <t>Temporary Disconnected Number</t>
        </is>
      </c>
      <c r="L1902" t="n">
        <v>3</v>
      </c>
      <c r="M1902" t="inlineStr">
        <is>
          <t>2026-06-23 13:35:35</t>
        </is>
      </c>
      <c r="N1902" t="inlineStr">
        <is>
          <t>system</t>
        </is>
      </c>
      <c r="O1902" t="inlineStr">
        <is>
          <t>2026-06-19 07:10:32</t>
        </is>
      </c>
      <c r="P1902" t="inlineStr">
        <is>
          <t>2026-06-19 07:10:32</t>
        </is>
      </c>
      <c r="Y1902" t="inlineStr">
        <is>
          <t>27774771980</t>
        </is>
      </c>
    </row>
    <row r="1903">
      <c r="A1903" t="inlineStr">
        <is>
          <t>14945105</t>
        </is>
      </c>
      <c r="B1903" t="inlineStr">
        <is>
          <t>a975e185-669c-4887-95c2-98d1a05e4a28</t>
        </is>
      </c>
      <c r="D1903" t="inlineStr">
        <is>
          <t>30001087</t>
        </is>
      </c>
      <c r="E1903" t="inlineStr">
        <is>
          <t>ussd_funeral_leads_altitude_20260619</t>
        </is>
      </c>
      <c r="J1903" t="inlineStr">
        <is>
          <t>TDN</t>
        </is>
      </c>
      <c r="K1903" t="inlineStr">
        <is>
          <t>Temporary Disconnected Number</t>
        </is>
      </c>
      <c r="L1903" t="n">
        <v>3</v>
      </c>
      <c r="M1903" t="inlineStr">
        <is>
          <t>2026-06-23 13:35:34</t>
        </is>
      </c>
      <c r="N1903" t="inlineStr">
        <is>
          <t>system</t>
        </is>
      </c>
      <c r="O1903" t="inlineStr">
        <is>
          <t>2026-06-19 07:10:32</t>
        </is>
      </c>
      <c r="P1903" t="inlineStr">
        <is>
          <t>2026-06-19 07:10:32</t>
        </is>
      </c>
      <c r="Y1903" t="inlineStr">
        <is>
          <t>27818664885</t>
        </is>
      </c>
    </row>
    <row r="1904">
      <c r="A1904" t="inlineStr">
        <is>
          <t>14945176</t>
        </is>
      </c>
      <c r="B1904" t="inlineStr">
        <is>
          <t>04ab9254-7929-42bd-b71d-f78a987d9f11</t>
        </is>
      </c>
      <c r="D1904" t="inlineStr">
        <is>
          <t>30001087</t>
        </is>
      </c>
      <c r="E1904" t="inlineStr">
        <is>
          <t>ussd_funeral_leads_altitude_20260619</t>
        </is>
      </c>
      <c r="J1904" t="inlineStr">
        <is>
          <t>ADC</t>
        </is>
      </c>
      <c r="K1904" t="inlineStr">
        <is>
          <t>Auto Dial Disconnected</t>
        </is>
      </c>
      <c r="L1904" t="n">
        <v>3</v>
      </c>
      <c r="M1904" t="inlineStr">
        <is>
          <t>2026-06-23 13:34:06</t>
        </is>
      </c>
      <c r="N1904" t="inlineStr">
        <is>
          <t>system</t>
        </is>
      </c>
      <c r="O1904" t="inlineStr">
        <is>
          <t>2026-06-19 07:10:32</t>
        </is>
      </c>
      <c r="P1904" t="inlineStr">
        <is>
          <t>2026-06-19 07:10:32</t>
        </is>
      </c>
      <c r="Y1904" t="inlineStr">
        <is>
          <t>27769583427</t>
        </is>
      </c>
    </row>
    <row r="1905">
      <c r="A1905" t="inlineStr">
        <is>
          <t>14945151</t>
        </is>
      </c>
      <c r="B1905" t="inlineStr">
        <is>
          <t>8651cd71-3602-4e50-94e6-5f5af62ead8b</t>
        </is>
      </c>
      <c r="D1905" t="inlineStr">
        <is>
          <t>30001087</t>
        </is>
      </c>
      <c r="E1905" t="inlineStr">
        <is>
          <t>ussd_funeral_leads_altitude_20260619</t>
        </is>
      </c>
      <c r="J1905" t="inlineStr">
        <is>
          <t>DROP</t>
        </is>
      </c>
      <c r="K1905" t="inlineStr">
        <is>
          <t>Dropped</t>
        </is>
      </c>
      <c r="L1905" t="n">
        <v>3</v>
      </c>
      <c r="M1905" t="inlineStr">
        <is>
          <t>2026-06-23 13:34:04</t>
        </is>
      </c>
      <c r="N1905" t="inlineStr">
        <is>
          <t>system</t>
        </is>
      </c>
      <c r="O1905" t="inlineStr">
        <is>
          <t>2026-06-19 07:10:32</t>
        </is>
      </c>
      <c r="P1905" t="inlineStr">
        <is>
          <t>2026-06-19 07:10:32</t>
        </is>
      </c>
      <c r="Y1905" t="inlineStr">
        <is>
          <t>27762876258</t>
        </is>
      </c>
    </row>
    <row r="1906">
      <c r="A1906" t="inlineStr">
        <is>
          <t>14945146</t>
        </is>
      </c>
      <c r="B1906" t="inlineStr">
        <is>
          <t>69628ab1-7c08-4d2c-a784-8b2c9fc1bae1</t>
        </is>
      </c>
      <c r="D1906" t="inlineStr">
        <is>
          <t>30001087</t>
        </is>
      </c>
      <c r="E1906" t="inlineStr">
        <is>
          <t>ussd_funeral_leads_altitude_20260619</t>
        </is>
      </c>
      <c r="J1906" t="inlineStr">
        <is>
          <t>AA</t>
        </is>
      </c>
      <c r="K1906" t="inlineStr">
        <is>
          <t>Answering Machine Autodial</t>
        </is>
      </c>
      <c r="L1906" t="n">
        <v>3</v>
      </c>
      <c r="M1906" t="inlineStr">
        <is>
          <t>2026-06-23 13:33:58</t>
        </is>
      </c>
      <c r="N1906" t="inlineStr">
        <is>
          <t>system</t>
        </is>
      </c>
      <c r="O1906" t="inlineStr">
        <is>
          <t>2026-06-19 07:10:32</t>
        </is>
      </c>
      <c r="P1906" t="inlineStr">
        <is>
          <t>2026-06-19 07:10:32</t>
        </is>
      </c>
      <c r="Y1906" t="inlineStr">
        <is>
          <t>27660269924</t>
        </is>
      </c>
    </row>
    <row r="1907">
      <c r="A1907" t="inlineStr">
        <is>
          <t>14945147</t>
        </is>
      </c>
      <c r="B1907" t="inlineStr">
        <is>
          <t>5ac96e9f-ff5a-4a49-bedf-3d10d1b2c6b5</t>
        </is>
      </c>
      <c r="D1907" t="inlineStr">
        <is>
          <t>30001087</t>
        </is>
      </c>
      <c r="E1907" t="inlineStr">
        <is>
          <t>ussd_funeral_leads_altitude_20260619</t>
        </is>
      </c>
      <c r="J1907" t="inlineStr">
        <is>
          <t>AA</t>
        </is>
      </c>
      <c r="K1907" t="inlineStr">
        <is>
          <t>Answering Machine Autodial</t>
        </is>
      </c>
      <c r="L1907" t="n">
        <v>3</v>
      </c>
      <c r="M1907" t="inlineStr">
        <is>
          <t>2026-06-23 13:33:58</t>
        </is>
      </c>
      <c r="N1907" t="inlineStr">
        <is>
          <t>system</t>
        </is>
      </c>
      <c r="O1907" t="inlineStr">
        <is>
          <t>2026-06-19 07:10:32</t>
        </is>
      </c>
      <c r="P1907" t="inlineStr">
        <is>
          <t>2026-06-19 07:10:32</t>
        </is>
      </c>
      <c r="Y1907" t="inlineStr">
        <is>
          <t>27790441655</t>
        </is>
      </c>
    </row>
    <row r="1908">
      <c r="A1908" t="inlineStr">
        <is>
          <t>14945148</t>
        </is>
      </c>
      <c r="B1908" t="inlineStr">
        <is>
          <t>6f91d205-d79c-49bf-a279-cfee88553da5</t>
        </is>
      </c>
      <c r="D1908" t="inlineStr">
        <is>
          <t>30001087</t>
        </is>
      </c>
      <c r="E1908" t="inlineStr">
        <is>
          <t>ussd_funeral_leads_altitude_20260619</t>
        </is>
      </c>
      <c r="J1908" t="inlineStr">
        <is>
          <t>ADC</t>
        </is>
      </c>
      <c r="K1908" t="inlineStr">
        <is>
          <t>Auto Dial Disconnected</t>
        </is>
      </c>
      <c r="L1908" t="n">
        <v>3</v>
      </c>
      <c r="M1908" t="inlineStr">
        <is>
          <t>2026-06-23 13:33:58</t>
        </is>
      </c>
      <c r="N1908" t="inlineStr">
        <is>
          <t>system</t>
        </is>
      </c>
      <c r="O1908" t="inlineStr">
        <is>
          <t>2026-06-19 07:10:32</t>
        </is>
      </c>
      <c r="P1908" t="inlineStr">
        <is>
          <t>2026-06-19 07:10:32</t>
        </is>
      </c>
      <c r="Y1908" t="inlineStr">
        <is>
          <t>27772826362</t>
        </is>
      </c>
    </row>
    <row r="1909">
      <c r="A1909" t="inlineStr">
        <is>
          <t>14945143</t>
        </is>
      </c>
      <c r="B1909" t="inlineStr">
        <is>
          <t>c4a797e8-f075-4ad7-8527-b71c528d118f</t>
        </is>
      </c>
      <c r="D1909" t="inlineStr">
        <is>
          <t>30001087</t>
        </is>
      </c>
      <c r="E1909" t="inlineStr">
        <is>
          <t>ussd_funeral_leads_altitude_20260619</t>
        </is>
      </c>
      <c r="J1909" t="inlineStr">
        <is>
          <t>DROP</t>
        </is>
      </c>
      <c r="K1909" t="inlineStr">
        <is>
          <t>Dropped</t>
        </is>
      </c>
      <c r="L1909" t="n">
        <v>3</v>
      </c>
      <c r="M1909" t="inlineStr">
        <is>
          <t>2026-06-23 13:33:57</t>
        </is>
      </c>
      <c r="N1909" t="inlineStr">
        <is>
          <t>system</t>
        </is>
      </c>
      <c r="O1909" t="inlineStr">
        <is>
          <t>2026-06-19 07:10:32</t>
        </is>
      </c>
      <c r="P1909" t="inlineStr">
        <is>
          <t>2026-06-19 07:10:32</t>
        </is>
      </c>
      <c r="Y1909" t="inlineStr">
        <is>
          <t>27762417108</t>
        </is>
      </c>
    </row>
    <row r="1910">
      <c r="A1910" t="inlineStr">
        <is>
          <t>14945144</t>
        </is>
      </c>
      <c r="B1910" t="inlineStr">
        <is>
          <t>56905e77-c0d9-4089-bfdb-69d92384898d</t>
        </is>
      </c>
      <c r="D1910" t="inlineStr">
        <is>
          <t>30001087</t>
        </is>
      </c>
      <c r="E1910" t="inlineStr">
        <is>
          <t>ussd_funeral_leads_altitude_20260619</t>
        </is>
      </c>
      <c r="J1910" t="inlineStr">
        <is>
          <t>ADC</t>
        </is>
      </c>
      <c r="K1910" t="inlineStr">
        <is>
          <t>Auto Dial Disconnected</t>
        </is>
      </c>
      <c r="L1910" t="n">
        <v>3</v>
      </c>
      <c r="M1910" t="inlineStr">
        <is>
          <t>2026-06-23 13:33:57</t>
        </is>
      </c>
      <c r="N1910" t="inlineStr">
        <is>
          <t>system</t>
        </is>
      </c>
      <c r="O1910" t="inlineStr">
        <is>
          <t>2026-06-19 07:10:32</t>
        </is>
      </c>
      <c r="P1910" t="inlineStr">
        <is>
          <t>2026-06-19 07:10:32</t>
        </is>
      </c>
      <c r="Y1910" t="inlineStr">
        <is>
          <t>27662455641</t>
        </is>
      </c>
    </row>
    <row r="1911">
      <c r="A1911" t="inlineStr">
        <is>
          <t>14900000</t>
        </is>
      </c>
      <c r="B1911" t="inlineStr">
        <is>
          <t>3e757323-a1de-47c5-ac5a-22525102565b</t>
        </is>
      </c>
      <c r="D1911" t="inlineStr">
        <is>
          <t>30001087</t>
        </is>
      </c>
      <c r="E1911" t="inlineStr">
        <is>
          <t>ussd_funeral_leads_altitude_20260619</t>
        </is>
      </c>
      <c r="J1911" t="inlineStr">
        <is>
          <t>AA</t>
        </is>
      </c>
      <c r="K1911" t="inlineStr">
        <is>
          <t>Answering Machine Autodial</t>
        </is>
      </c>
      <c r="L1911" t="n">
        <v>3</v>
      </c>
      <c r="M1911" t="inlineStr">
        <is>
          <t>2026-06-23 13:33:57</t>
        </is>
      </c>
      <c r="N1911" t="inlineStr">
        <is>
          <t>system</t>
        </is>
      </c>
      <c r="O1911" t="inlineStr">
        <is>
          <t>2026-06-19 07:10:32</t>
        </is>
      </c>
      <c r="P1911" t="inlineStr">
        <is>
          <t>2026-06-19 07:10:32</t>
        </is>
      </c>
      <c r="Y1911" t="inlineStr">
        <is>
          <t>27823165060</t>
        </is>
      </c>
    </row>
    <row r="1912">
      <c r="A1912" t="inlineStr">
        <is>
          <t>14945140</t>
        </is>
      </c>
      <c r="B1912" t="inlineStr">
        <is>
          <t>4ed67e92-0bf4-487b-8469-2a03ecb94436</t>
        </is>
      </c>
      <c r="D1912" t="inlineStr">
        <is>
          <t>30001087</t>
        </is>
      </c>
      <c r="E1912" t="inlineStr">
        <is>
          <t>ussd_funeral_leads_altitude_20260619</t>
        </is>
      </c>
      <c r="J1912" t="inlineStr">
        <is>
          <t>A</t>
        </is>
      </c>
      <c r="K1912" t="inlineStr">
        <is>
          <t>Answering Machine</t>
        </is>
      </c>
      <c r="L1912" t="n">
        <v>3</v>
      </c>
      <c r="M1912" t="inlineStr">
        <is>
          <t>2026-06-23 13:33:56</t>
        </is>
      </c>
      <c r="N1912" t="inlineStr">
        <is>
          <t>Lebohang Mabotja</t>
        </is>
      </c>
      <c r="O1912" t="inlineStr">
        <is>
          <t>2026-06-19 07:10:32</t>
        </is>
      </c>
      <c r="P1912" t="inlineStr">
        <is>
          <t>2026-06-19 07:10:32</t>
        </is>
      </c>
      <c r="Y1912" t="inlineStr">
        <is>
          <t>27722518696</t>
        </is>
      </c>
    </row>
    <row r="1913">
      <c r="A1913" t="inlineStr">
        <is>
          <t>14945141</t>
        </is>
      </c>
      <c r="B1913" t="inlineStr">
        <is>
          <t>60aedb27-6346-47b7-aec5-9a5cbf7baf4e</t>
        </is>
      </c>
      <c r="D1913" t="inlineStr">
        <is>
          <t>30001087</t>
        </is>
      </c>
      <c r="E1913" t="inlineStr">
        <is>
          <t>ussd_funeral_leads_altitude_20260619</t>
        </is>
      </c>
      <c r="J1913" t="inlineStr">
        <is>
          <t>NA</t>
        </is>
      </c>
      <c r="K1913" t="inlineStr">
        <is>
          <t>No Answer Autodial</t>
        </is>
      </c>
      <c r="L1913" t="n">
        <v>3</v>
      </c>
      <c r="M1913" t="inlineStr">
        <is>
          <t>2026-06-23 13:33:56</t>
        </is>
      </c>
      <c r="N1913" t="inlineStr">
        <is>
          <t>system</t>
        </is>
      </c>
      <c r="O1913" t="inlineStr">
        <is>
          <t>2026-06-19 07:10:32</t>
        </is>
      </c>
      <c r="P1913" t="inlineStr">
        <is>
          <t>2026-06-19 07:10:32</t>
        </is>
      </c>
      <c r="Y1913" t="inlineStr">
        <is>
          <t>27769222190</t>
        </is>
      </c>
    </row>
    <row r="1914">
      <c r="A1914" t="inlineStr">
        <is>
          <t>14945142</t>
        </is>
      </c>
      <c r="B1914" t="inlineStr">
        <is>
          <t>ea5d4cf7-a565-4433-80a6-73e9c449710d</t>
        </is>
      </c>
      <c r="D1914" t="inlineStr">
        <is>
          <t>30001087</t>
        </is>
      </c>
      <c r="E1914" t="inlineStr">
        <is>
          <t>ussd_funeral_leads_altitude_20260619</t>
        </is>
      </c>
      <c r="J1914" t="inlineStr">
        <is>
          <t>NA</t>
        </is>
      </c>
      <c r="K1914" t="inlineStr">
        <is>
          <t>No Answer Autodial</t>
        </is>
      </c>
      <c r="L1914" t="n">
        <v>3</v>
      </c>
      <c r="M1914" t="inlineStr">
        <is>
          <t>2026-06-23 13:33:56</t>
        </is>
      </c>
      <c r="N1914" t="inlineStr">
        <is>
          <t>system</t>
        </is>
      </c>
      <c r="O1914" t="inlineStr">
        <is>
          <t>2026-06-19 07:10:32</t>
        </is>
      </c>
      <c r="P1914" t="inlineStr">
        <is>
          <t>2026-06-19 07:10:32</t>
        </is>
      </c>
      <c r="Y1914" t="inlineStr">
        <is>
          <t>27818260705</t>
        </is>
      </c>
    </row>
    <row r="1915">
      <c r="A1915" t="inlineStr">
        <is>
          <t>14947241</t>
        </is>
      </c>
      <c r="B1915" t="inlineStr">
        <is>
          <t>fc77e981-3f89-4617-9944-737163e8c7d5</t>
        </is>
      </c>
      <c r="D1915" t="inlineStr">
        <is>
          <t>30001087</t>
        </is>
      </c>
      <c r="E1915" t="inlineStr">
        <is>
          <t>ussd_funeral_leads_altitude_20260619</t>
        </is>
      </c>
      <c r="J1915" t="inlineStr">
        <is>
          <t>NI</t>
        </is>
      </c>
      <c r="K1915" t="inlineStr">
        <is>
          <t>Not Interested</t>
        </is>
      </c>
      <c r="L1915" t="n">
        <v>3</v>
      </c>
      <c r="M1915" t="inlineStr">
        <is>
          <t>2026-06-23 13:33:53</t>
        </is>
      </c>
      <c r="N1915" t="inlineStr">
        <is>
          <t>Vuyiswa Nxumalo</t>
        </is>
      </c>
      <c r="O1915" t="inlineStr">
        <is>
          <t>2026-06-19 07:10:32</t>
        </is>
      </c>
      <c r="P1915" t="inlineStr">
        <is>
          <t>2026-06-19 07:10:32</t>
        </is>
      </c>
      <c r="Y1915" t="inlineStr">
        <is>
          <t>27726999789</t>
        </is>
      </c>
    </row>
    <row r="1916">
      <c r="A1916" t="inlineStr">
        <is>
          <t>14945134</t>
        </is>
      </c>
      <c r="B1916" t="inlineStr">
        <is>
          <t>47ddbb17-2e5d-4042-bc1f-cfa91d22ce4a</t>
        </is>
      </c>
      <c r="D1916" t="inlineStr">
        <is>
          <t>30001087</t>
        </is>
      </c>
      <c r="E1916" t="inlineStr">
        <is>
          <t>ussd_funeral_leads_altitude_20260619</t>
        </is>
      </c>
      <c r="J1916" t="inlineStr">
        <is>
          <t>NA</t>
        </is>
      </c>
      <c r="K1916" t="inlineStr">
        <is>
          <t>No Answer Autodial</t>
        </is>
      </c>
      <c r="L1916" t="n">
        <v>3</v>
      </c>
      <c r="M1916" t="inlineStr">
        <is>
          <t>2026-06-23 13:33:44</t>
        </is>
      </c>
      <c r="N1916" t="inlineStr">
        <is>
          <t>system</t>
        </is>
      </c>
      <c r="O1916" t="inlineStr">
        <is>
          <t>2026-06-19 07:10:32</t>
        </is>
      </c>
      <c r="P1916" t="inlineStr">
        <is>
          <t>2026-06-19 07:10:32</t>
        </is>
      </c>
      <c r="Y1916" t="inlineStr">
        <is>
          <t>27773771769</t>
        </is>
      </c>
    </row>
    <row r="1917">
      <c r="A1917" t="inlineStr">
        <is>
          <t>14945135</t>
        </is>
      </c>
      <c r="B1917" t="inlineStr">
        <is>
          <t>c763e278-f027-4ccb-82b2-9e46a90ce80b</t>
        </is>
      </c>
      <c r="D1917" t="inlineStr">
        <is>
          <t>30001087</t>
        </is>
      </c>
      <c r="E1917" t="inlineStr">
        <is>
          <t>ussd_funeral_leads_altitude_20260619</t>
        </is>
      </c>
      <c r="J1917" t="inlineStr">
        <is>
          <t>ADC</t>
        </is>
      </c>
      <c r="K1917" t="inlineStr">
        <is>
          <t>Auto Dial Disconnected</t>
        </is>
      </c>
      <c r="L1917" t="n">
        <v>3</v>
      </c>
      <c r="M1917" t="inlineStr">
        <is>
          <t>2026-06-23 13:33:44</t>
        </is>
      </c>
      <c r="N1917" t="inlineStr">
        <is>
          <t>system</t>
        </is>
      </c>
      <c r="O1917" t="inlineStr">
        <is>
          <t>2026-06-19 07:10:32</t>
        </is>
      </c>
      <c r="P1917" t="inlineStr">
        <is>
          <t>2026-06-19 07:10:32</t>
        </is>
      </c>
      <c r="Y1917" t="inlineStr">
        <is>
          <t>27796571865</t>
        </is>
      </c>
    </row>
    <row r="1918">
      <c r="A1918" t="inlineStr">
        <is>
          <t>14945133</t>
        </is>
      </c>
      <c r="B1918" t="inlineStr">
        <is>
          <t>381097c7-619f-4aa0-8216-e850d6e31de8</t>
        </is>
      </c>
      <c r="D1918" t="inlineStr">
        <is>
          <t>30001087</t>
        </is>
      </c>
      <c r="E1918" t="inlineStr">
        <is>
          <t>ussd_funeral_leads_altitude_20260619</t>
        </is>
      </c>
      <c r="J1918" t="inlineStr">
        <is>
          <t>AE</t>
        </is>
      </c>
      <c r="K1918" t="inlineStr">
        <is>
          <t>Auto Engaged</t>
        </is>
      </c>
      <c r="L1918" t="n">
        <v>3</v>
      </c>
      <c r="M1918" t="inlineStr">
        <is>
          <t>2026-06-23 13:33:43</t>
        </is>
      </c>
      <c r="N1918" t="inlineStr">
        <is>
          <t>system</t>
        </is>
      </c>
      <c r="O1918" t="inlineStr">
        <is>
          <t>2026-06-19 07:10:32</t>
        </is>
      </c>
      <c r="P1918" t="inlineStr">
        <is>
          <t>2026-06-19 07:10:32</t>
        </is>
      </c>
      <c r="Y1918" t="inlineStr">
        <is>
          <t>27648264451</t>
        </is>
      </c>
    </row>
    <row r="1919">
      <c r="A1919" t="inlineStr">
        <is>
          <t>14945132</t>
        </is>
      </c>
      <c r="B1919" t="inlineStr">
        <is>
          <t>0c254400-a157-437c-bec1-7b8991f6ccaf</t>
        </is>
      </c>
      <c r="D1919" t="inlineStr">
        <is>
          <t>30001087</t>
        </is>
      </c>
      <c r="E1919" t="inlineStr">
        <is>
          <t>ussd_funeral_leads_altitude_20260619</t>
        </is>
      </c>
      <c r="J1919" t="inlineStr">
        <is>
          <t>ADC</t>
        </is>
      </c>
      <c r="K1919" t="inlineStr">
        <is>
          <t>Auto Dial Disconnected</t>
        </is>
      </c>
      <c r="L1919" t="n">
        <v>3</v>
      </c>
      <c r="M1919" t="inlineStr">
        <is>
          <t>2026-06-23 13:33:41</t>
        </is>
      </c>
      <c r="N1919" t="inlineStr">
        <is>
          <t>system</t>
        </is>
      </c>
      <c r="O1919" t="inlineStr">
        <is>
          <t>2026-06-19 07:10:32</t>
        </is>
      </c>
      <c r="P1919" t="inlineStr">
        <is>
          <t>2026-06-19 07:10:32</t>
        </is>
      </c>
      <c r="Y1919" t="inlineStr">
        <is>
          <t>27767211517</t>
        </is>
      </c>
    </row>
    <row r="1920">
      <c r="A1920" t="inlineStr">
        <is>
          <t>14945131</t>
        </is>
      </c>
      <c r="B1920" t="inlineStr">
        <is>
          <t>b0463331-1896-423b-8012-2ada7072a345</t>
        </is>
      </c>
      <c r="D1920" t="inlineStr">
        <is>
          <t>30001087</t>
        </is>
      </c>
      <c r="E1920" t="inlineStr">
        <is>
          <t>ussd_funeral_leads_altitude_20260619</t>
        </is>
      </c>
      <c r="J1920" t="inlineStr">
        <is>
          <t>NA</t>
        </is>
      </c>
      <c r="K1920" t="inlineStr">
        <is>
          <t>No Answer Autodial</t>
        </is>
      </c>
      <c r="L1920" t="n">
        <v>3</v>
      </c>
      <c r="M1920" t="inlineStr">
        <is>
          <t>2026-06-23 13:33:40</t>
        </is>
      </c>
      <c r="N1920" t="inlineStr">
        <is>
          <t>system</t>
        </is>
      </c>
      <c r="O1920" t="inlineStr">
        <is>
          <t>2026-06-19 07:10:32</t>
        </is>
      </c>
      <c r="P1920" t="inlineStr">
        <is>
          <t>2026-06-19 07:10:32</t>
        </is>
      </c>
      <c r="Y1920" t="inlineStr">
        <is>
          <t>27794858771</t>
        </is>
      </c>
    </row>
    <row r="1921">
      <c r="A1921" t="inlineStr">
        <is>
          <t>14945126</t>
        </is>
      </c>
      <c r="B1921" t="inlineStr">
        <is>
          <t>73da0adb-b1a9-4d5b-a322-3b1fa0dd6266</t>
        </is>
      </c>
      <c r="D1921" t="inlineStr">
        <is>
          <t>30001087</t>
        </is>
      </c>
      <c r="E1921" t="inlineStr">
        <is>
          <t>ussd_funeral_leads_altitude_20260619</t>
        </is>
      </c>
      <c r="J1921" t="inlineStr">
        <is>
          <t>TDN</t>
        </is>
      </c>
      <c r="K1921" t="inlineStr">
        <is>
          <t>Temporary Disconnected Number</t>
        </is>
      </c>
      <c r="L1921" t="n">
        <v>3</v>
      </c>
      <c r="M1921" t="inlineStr">
        <is>
          <t>2026-06-23 13:33:39</t>
        </is>
      </c>
      <c r="N1921" t="inlineStr">
        <is>
          <t>system</t>
        </is>
      </c>
      <c r="O1921" t="inlineStr">
        <is>
          <t>2026-06-19 07:10:32</t>
        </is>
      </c>
      <c r="P1921" t="inlineStr">
        <is>
          <t>2026-06-19 07:10:32</t>
        </is>
      </c>
      <c r="Y1921" t="inlineStr">
        <is>
          <t>27773741727</t>
        </is>
      </c>
    </row>
    <row r="1922">
      <c r="A1922" t="inlineStr">
        <is>
          <t>14945128</t>
        </is>
      </c>
      <c r="B1922" t="inlineStr">
        <is>
          <t>1d1f43c7-e2e1-4cac-bb38-c8d31b96cf35</t>
        </is>
      </c>
      <c r="D1922" t="inlineStr">
        <is>
          <t>30001087</t>
        </is>
      </c>
      <c r="E1922" t="inlineStr">
        <is>
          <t>ussd_funeral_leads_altitude_20260619</t>
        </is>
      </c>
      <c r="J1922" t="inlineStr">
        <is>
          <t>ADC</t>
        </is>
      </c>
      <c r="K1922" t="inlineStr">
        <is>
          <t>Auto Dial Disconnected</t>
        </is>
      </c>
      <c r="L1922" t="n">
        <v>3</v>
      </c>
      <c r="M1922" t="inlineStr">
        <is>
          <t>2026-06-23 13:33:39</t>
        </is>
      </c>
      <c r="N1922" t="inlineStr">
        <is>
          <t>system</t>
        </is>
      </c>
      <c r="O1922" t="inlineStr">
        <is>
          <t>2026-06-19 07:10:32</t>
        </is>
      </c>
      <c r="P1922" t="inlineStr">
        <is>
          <t>2026-06-19 07:10:32</t>
        </is>
      </c>
      <c r="Y1922" t="inlineStr">
        <is>
          <t>27818125372</t>
        </is>
      </c>
    </row>
    <row r="1923">
      <c r="A1923" t="inlineStr">
        <is>
          <t>14945129</t>
        </is>
      </c>
      <c r="B1923" t="inlineStr">
        <is>
          <t>131d2586-2e18-4b35-a695-eda96c5cb79f</t>
        </is>
      </c>
      <c r="D1923" t="inlineStr">
        <is>
          <t>30001087</t>
        </is>
      </c>
      <c r="E1923" t="inlineStr">
        <is>
          <t>ussd_funeral_leads_altitude_20260619</t>
        </is>
      </c>
      <c r="J1923" t="inlineStr">
        <is>
          <t>NA</t>
        </is>
      </c>
      <c r="K1923" t="inlineStr">
        <is>
          <t>No Answer Autodial</t>
        </is>
      </c>
      <c r="L1923" t="n">
        <v>3</v>
      </c>
      <c r="M1923" t="inlineStr">
        <is>
          <t>2026-06-23 13:33:39</t>
        </is>
      </c>
      <c r="N1923" t="inlineStr">
        <is>
          <t>system</t>
        </is>
      </c>
      <c r="O1923" t="inlineStr">
        <is>
          <t>2026-06-19 07:10:32</t>
        </is>
      </c>
      <c r="P1923" t="inlineStr">
        <is>
          <t>2026-06-19 07:10:32</t>
        </is>
      </c>
      <c r="Y1923" t="inlineStr">
        <is>
          <t>27723310605</t>
        </is>
      </c>
    </row>
    <row r="1924">
      <c r="A1924" t="inlineStr">
        <is>
          <t>14945130</t>
        </is>
      </c>
      <c r="B1924" t="inlineStr">
        <is>
          <t>89698bc5-3f70-402b-80dd-f1e41d11648d</t>
        </is>
      </c>
      <c r="D1924" t="inlineStr">
        <is>
          <t>30001087</t>
        </is>
      </c>
      <c r="E1924" t="inlineStr">
        <is>
          <t>ussd_funeral_leads_altitude_20260619</t>
        </is>
      </c>
      <c r="J1924" t="inlineStr">
        <is>
          <t>NA</t>
        </is>
      </c>
      <c r="K1924" t="inlineStr">
        <is>
          <t>No Answer Autodial</t>
        </is>
      </c>
      <c r="L1924" t="n">
        <v>3</v>
      </c>
      <c r="M1924" t="inlineStr">
        <is>
          <t>2026-06-23 13:33:39</t>
        </is>
      </c>
      <c r="N1924" t="inlineStr">
        <is>
          <t>system</t>
        </is>
      </c>
      <c r="O1924" t="inlineStr">
        <is>
          <t>2026-06-19 07:10:32</t>
        </is>
      </c>
      <c r="P1924" t="inlineStr">
        <is>
          <t>2026-06-19 07:10:32</t>
        </is>
      </c>
      <c r="Y1924" t="inlineStr">
        <is>
          <t>27606150742</t>
        </is>
      </c>
    </row>
    <row r="1925">
      <c r="A1925" t="inlineStr">
        <is>
          <t>14945175</t>
        </is>
      </c>
      <c r="B1925" t="inlineStr">
        <is>
          <t>3fd821db-db9c-4d2b-8868-257005d4129e</t>
        </is>
      </c>
      <c r="D1925" t="inlineStr">
        <is>
          <t>30001087</t>
        </is>
      </c>
      <c r="E1925" t="inlineStr">
        <is>
          <t>ussd_funeral_leads_altitude_20260619</t>
        </is>
      </c>
      <c r="J1925" t="inlineStr">
        <is>
          <t>AA</t>
        </is>
      </c>
      <c r="K1925" t="inlineStr">
        <is>
          <t>Answering Machine Autodial</t>
        </is>
      </c>
      <c r="L1925" t="n">
        <v>3</v>
      </c>
      <c r="M1925" t="inlineStr">
        <is>
          <t>2026-06-23 13:32:00</t>
        </is>
      </c>
      <c r="N1925" t="inlineStr">
        <is>
          <t>system</t>
        </is>
      </c>
      <c r="O1925" t="inlineStr">
        <is>
          <t>2026-06-19 07:10:32</t>
        </is>
      </c>
      <c r="P1925" t="inlineStr">
        <is>
          <t>2026-06-19 07:10:32</t>
        </is>
      </c>
      <c r="Y1925" t="inlineStr">
        <is>
          <t>27761198755</t>
        </is>
      </c>
    </row>
    <row r="1926">
      <c r="A1926" t="inlineStr">
        <is>
          <t>14945172</t>
        </is>
      </c>
      <c r="B1926" t="inlineStr">
        <is>
          <t>2152525f-9800-4ef8-9948-7213cea594de</t>
        </is>
      </c>
      <c r="D1926" t="inlineStr">
        <is>
          <t>30001087</t>
        </is>
      </c>
      <c r="E1926" t="inlineStr">
        <is>
          <t>ussd_funeral_leads_altitude_20260619</t>
        </is>
      </c>
      <c r="J1926" t="inlineStr">
        <is>
          <t>ADC</t>
        </is>
      </c>
      <c r="K1926" t="inlineStr">
        <is>
          <t>Auto Dial Disconnected</t>
        </is>
      </c>
      <c r="L1926" t="n">
        <v>3</v>
      </c>
      <c r="M1926" t="inlineStr">
        <is>
          <t>2026-06-23 13:31:59</t>
        </is>
      </c>
      <c r="N1926" t="inlineStr">
        <is>
          <t>system</t>
        </is>
      </c>
      <c r="O1926" t="inlineStr">
        <is>
          <t>2026-06-19 07:10:32</t>
        </is>
      </c>
      <c r="P1926" t="inlineStr">
        <is>
          <t>2026-06-19 07:10:32</t>
        </is>
      </c>
      <c r="Y1926" t="inlineStr">
        <is>
          <t>27763868039</t>
        </is>
      </c>
    </row>
    <row r="1927">
      <c r="A1927" t="inlineStr">
        <is>
          <t>14945169</t>
        </is>
      </c>
      <c r="B1927" t="inlineStr">
        <is>
          <t>68a036fb-3996-4558-9633-577be59dd27a</t>
        </is>
      </c>
      <c r="D1927" t="inlineStr">
        <is>
          <t>30001087</t>
        </is>
      </c>
      <c r="E1927" t="inlineStr">
        <is>
          <t>ussd_funeral_leads_altitude_20260619</t>
        </is>
      </c>
      <c r="J1927" t="inlineStr">
        <is>
          <t>DROP</t>
        </is>
      </c>
      <c r="K1927" t="inlineStr">
        <is>
          <t>Dropped</t>
        </is>
      </c>
      <c r="L1927" t="n">
        <v>3</v>
      </c>
      <c r="M1927" t="inlineStr">
        <is>
          <t>2026-06-23 13:31:50</t>
        </is>
      </c>
      <c r="N1927" t="inlineStr">
        <is>
          <t>system</t>
        </is>
      </c>
      <c r="O1927" t="inlineStr">
        <is>
          <t>2026-06-19 07:10:32</t>
        </is>
      </c>
      <c r="P1927" t="inlineStr">
        <is>
          <t>2026-06-19 07:10:32</t>
        </is>
      </c>
      <c r="Y1927" t="inlineStr">
        <is>
          <t>27609669562</t>
        </is>
      </c>
    </row>
    <row r="1928">
      <c r="A1928" t="inlineStr">
        <is>
          <t>14945171</t>
        </is>
      </c>
      <c r="B1928" t="inlineStr">
        <is>
          <t>59b40ae7-dc88-449c-aebe-1d022f48a9f1</t>
        </is>
      </c>
      <c r="D1928" t="inlineStr">
        <is>
          <t>30001087</t>
        </is>
      </c>
      <c r="E1928" t="inlineStr">
        <is>
          <t>ussd_funeral_leads_altitude_20260619</t>
        </is>
      </c>
      <c r="J1928" t="inlineStr">
        <is>
          <t>AA</t>
        </is>
      </c>
      <c r="K1928" t="inlineStr">
        <is>
          <t>Answering Machine Autodial</t>
        </is>
      </c>
      <c r="L1928" t="n">
        <v>3</v>
      </c>
      <c r="M1928" t="inlineStr">
        <is>
          <t>2026-06-23 13:31:50</t>
        </is>
      </c>
      <c r="N1928" t="inlineStr">
        <is>
          <t>system</t>
        </is>
      </c>
      <c r="O1928" t="inlineStr">
        <is>
          <t>2026-06-19 07:10:32</t>
        </is>
      </c>
      <c r="P1928" t="inlineStr">
        <is>
          <t>2026-06-19 07:10:32</t>
        </is>
      </c>
      <c r="Y1928" t="inlineStr">
        <is>
          <t>27712965609</t>
        </is>
      </c>
    </row>
    <row r="1929">
      <c r="A1929" t="inlineStr">
        <is>
          <t>14945164</t>
        </is>
      </c>
      <c r="B1929" t="inlineStr">
        <is>
          <t>8ca636f8-74bb-40e6-94b6-e9141a1fc468</t>
        </is>
      </c>
      <c r="D1929" t="inlineStr">
        <is>
          <t>30001087</t>
        </is>
      </c>
      <c r="E1929" t="inlineStr">
        <is>
          <t>ussd_funeral_leads_altitude_20260619</t>
        </is>
      </c>
      <c r="J1929" t="inlineStr">
        <is>
          <t>ADC</t>
        </is>
      </c>
      <c r="K1929" t="inlineStr">
        <is>
          <t>Auto Dial Disconnected</t>
        </is>
      </c>
      <c r="L1929" t="n">
        <v>3</v>
      </c>
      <c r="M1929" t="inlineStr">
        <is>
          <t>2026-06-23 13:31:44</t>
        </is>
      </c>
      <c r="N1929" t="inlineStr">
        <is>
          <t>system</t>
        </is>
      </c>
      <c r="O1929" t="inlineStr">
        <is>
          <t>2026-06-19 07:10:32</t>
        </is>
      </c>
      <c r="P1929" t="inlineStr">
        <is>
          <t>2026-06-19 07:10:32</t>
        </is>
      </c>
      <c r="Y1929" t="inlineStr">
        <is>
          <t>27768558127</t>
        </is>
      </c>
    </row>
    <row r="1930">
      <c r="A1930" t="inlineStr">
        <is>
          <t>14945165</t>
        </is>
      </c>
      <c r="B1930" t="inlineStr">
        <is>
          <t>12541f01-ce21-4306-9133-9a54e84c5a85</t>
        </is>
      </c>
      <c r="D1930" t="inlineStr">
        <is>
          <t>30001087</t>
        </is>
      </c>
      <c r="E1930" t="inlineStr">
        <is>
          <t>ussd_funeral_leads_altitude_20260619</t>
        </is>
      </c>
      <c r="J1930" t="inlineStr">
        <is>
          <t>AA</t>
        </is>
      </c>
      <c r="K1930" t="inlineStr">
        <is>
          <t>Answering Machine Autodial</t>
        </is>
      </c>
      <c r="L1930" t="n">
        <v>3</v>
      </c>
      <c r="M1930" t="inlineStr">
        <is>
          <t>2026-06-23 13:31:44</t>
        </is>
      </c>
      <c r="N1930" t="inlineStr">
        <is>
          <t>system</t>
        </is>
      </c>
      <c r="O1930" t="inlineStr">
        <is>
          <t>2026-06-19 07:10:32</t>
        </is>
      </c>
      <c r="P1930" t="inlineStr">
        <is>
          <t>2026-06-19 07:10:32</t>
        </is>
      </c>
      <c r="Y1930" t="inlineStr">
        <is>
          <t>27637121109</t>
        </is>
      </c>
    </row>
    <row r="1931">
      <c r="A1931" t="inlineStr">
        <is>
          <t>14945166</t>
        </is>
      </c>
      <c r="B1931" t="inlineStr">
        <is>
          <t>3d880f8b-3fea-4916-bbed-b955dab04872</t>
        </is>
      </c>
      <c r="D1931" t="inlineStr">
        <is>
          <t>30001087</t>
        </is>
      </c>
      <c r="E1931" t="inlineStr">
        <is>
          <t>ussd_funeral_leads_altitude_20260619</t>
        </is>
      </c>
      <c r="J1931" t="inlineStr">
        <is>
          <t>AA</t>
        </is>
      </c>
      <c r="K1931" t="inlineStr">
        <is>
          <t>Answering Machine Autodial</t>
        </is>
      </c>
      <c r="L1931" t="n">
        <v>3</v>
      </c>
      <c r="M1931" t="inlineStr">
        <is>
          <t>2026-06-23 13:31:44</t>
        </is>
      </c>
      <c r="N1931" t="inlineStr">
        <is>
          <t>system</t>
        </is>
      </c>
      <c r="O1931" t="inlineStr">
        <is>
          <t>2026-06-19 07:10:32</t>
        </is>
      </c>
      <c r="P1931" t="inlineStr">
        <is>
          <t>2026-06-19 07:10:32</t>
        </is>
      </c>
      <c r="Y1931" t="inlineStr">
        <is>
          <t>27664600338</t>
        </is>
      </c>
    </row>
    <row r="1932">
      <c r="A1932" t="inlineStr">
        <is>
          <t>14945167</t>
        </is>
      </c>
      <c r="B1932" t="inlineStr">
        <is>
          <t>570aa00f-9789-40f5-8731-b596574fed28</t>
        </is>
      </c>
      <c r="D1932" t="inlineStr">
        <is>
          <t>30001087</t>
        </is>
      </c>
      <c r="E1932" t="inlineStr">
        <is>
          <t>ussd_funeral_leads_altitude_20260619</t>
        </is>
      </c>
      <c r="J1932" t="inlineStr">
        <is>
          <t>CBACK</t>
        </is>
      </c>
      <c r="K1932" t="inlineStr">
        <is>
          <t>Callback</t>
        </is>
      </c>
      <c r="L1932" t="n">
        <v>3</v>
      </c>
      <c r="M1932" t="inlineStr">
        <is>
          <t>2026-06-23 13:31:44</t>
        </is>
      </c>
      <c r="N1932" t="inlineStr">
        <is>
          <t>Tebogo Chauke</t>
        </is>
      </c>
      <c r="O1932" t="inlineStr">
        <is>
          <t>2026-06-19 07:10:32</t>
        </is>
      </c>
      <c r="P1932" t="inlineStr">
        <is>
          <t>2026-06-19 07:10:32</t>
        </is>
      </c>
      <c r="Y1932" t="inlineStr">
        <is>
          <t>27724973754</t>
        </is>
      </c>
    </row>
    <row r="1933">
      <c r="A1933" t="inlineStr">
        <is>
          <t>14945163</t>
        </is>
      </c>
      <c r="B1933" t="inlineStr">
        <is>
          <t>3864ef46-9ce2-4d35-a439-108304f38e1c</t>
        </is>
      </c>
      <c r="D1933" t="inlineStr">
        <is>
          <t>30001087</t>
        </is>
      </c>
      <c r="E1933" t="inlineStr">
        <is>
          <t>ussd_funeral_leads_altitude_20260619</t>
        </is>
      </c>
      <c r="J1933" t="inlineStr">
        <is>
          <t>ADC</t>
        </is>
      </c>
      <c r="K1933" t="inlineStr">
        <is>
          <t>Auto Dial Disconnected</t>
        </is>
      </c>
      <c r="L1933" t="n">
        <v>3</v>
      </c>
      <c r="M1933" t="inlineStr">
        <is>
          <t>2026-06-23 13:30:52</t>
        </is>
      </c>
      <c r="N1933" t="inlineStr">
        <is>
          <t>system</t>
        </is>
      </c>
      <c r="O1933" t="inlineStr">
        <is>
          <t>2026-06-19 07:10:32</t>
        </is>
      </c>
      <c r="P1933" t="inlineStr">
        <is>
          <t>2026-06-19 07:10:32</t>
        </is>
      </c>
      <c r="Y1933" t="inlineStr">
        <is>
          <t>27646289360</t>
        </is>
      </c>
    </row>
    <row r="1934">
      <c r="A1934" t="inlineStr">
        <is>
          <t>14945162</t>
        </is>
      </c>
      <c r="B1934" t="inlineStr">
        <is>
          <t>cc5eaf29-25d0-49d3-9cc9-3277c356f2f0</t>
        </is>
      </c>
      <c r="D1934" t="inlineStr">
        <is>
          <t>30001087</t>
        </is>
      </c>
      <c r="E1934" t="inlineStr">
        <is>
          <t>ussd_funeral_leads_altitude_20260619</t>
        </is>
      </c>
      <c r="J1934" t="inlineStr">
        <is>
          <t>DROP</t>
        </is>
      </c>
      <c r="K1934" t="inlineStr">
        <is>
          <t>Dropped</t>
        </is>
      </c>
      <c r="L1934" t="n">
        <v>3</v>
      </c>
      <c r="M1934" t="inlineStr">
        <is>
          <t>2026-06-23 13:30:49</t>
        </is>
      </c>
      <c r="N1934" t="inlineStr">
        <is>
          <t>system</t>
        </is>
      </c>
      <c r="O1934" t="inlineStr">
        <is>
          <t>2026-06-19 07:10:32</t>
        </is>
      </c>
      <c r="P1934" t="inlineStr">
        <is>
          <t>2026-06-19 07:10:32</t>
        </is>
      </c>
      <c r="Y1934" t="inlineStr">
        <is>
          <t>27713519799</t>
        </is>
      </c>
    </row>
    <row r="1935">
      <c r="A1935" t="inlineStr">
        <is>
          <t>14945160</t>
        </is>
      </c>
      <c r="B1935" t="inlineStr">
        <is>
          <t>109ea2a8-a204-4057-bcf4-222276b553f2</t>
        </is>
      </c>
      <c r="D1935" t="inlineStr">
        <is>
          <t>30001087</t>
        </is>
      </c>
      <c r="E1935" t="inlineStr">
        <is>
          <t>ussd_funeral_leads_altitude_20260619</t>
        </is>
      </c>
      <c r="J1935" t="inlineStr">
        <is>
          <t>ADC</t>
        </is>
      </c>
      <c r="K1935" t="inlineStr">
        <is>
          <t>Auto Dial Disconnected</t>
        </is>
      </c>
      <c r="L1935" t="n">
        <v>3</v>
      </c>
      <c r="M1935" t="inlineStr">
        <is>
          <t>2026-06-23 13:30:47</t>
        </is>
      </c>
      <c r="N1935" t="inlineStr">
        <is>
          <t>system</t>
        </is>
      </c>
      <c r="O1935" t="inlineStr">
        <is>
          <t>2026-06-19 07:10:32</t>
        </is>
      </c>
      <c r="P1935" t="inlineStr">
        <is>
          <t>2026-06-19 07:10:32</t>
        </is>
      </c>
      <c r="Y1935" t="inlineStr">
        <is>
          <t>27791230956</t>
        </is>
      </c>
    </row>
    <row r="1936">
      <c r="A1936" t="inlineStr">
        <is>
          <t>14945159</t>
        </is>
      </c>
      <c r="B1936" t="inlineStr">
        <is>
          <t>85f89763-b1b3-458e-ab02-ecdc6e11f694</t>
        </is>
      </c>
      <c r="D1936" t="inlineStr">
        <is>
          <t>30001087</t>
        </is>
      </c>
      <c r="E1936" t="inlineStr">
        <is>
          <t>ussd_funeral_leads_altitude_20260619</t>
        </is>
      </c>
      <c r="J1936" t="inlineStr">
        <is>
          <t>NA</t>
        </is>
      </c>
      <c r="K1936" t="inlineStr">
        <is>
          <t>No Answer Autodial</t>
        </is>
      </c>
      <c r="L1936" t="n">
        <v>3</v>
      </c>
      <c r="M1936" t="inlineStr">
        <is>
          <t>2026-06-23 13:30:45</t>
        </is>
      </c>
      <c r="N1936" t="inlineStr">
        <is>
          <t>system</t>
        </is>
      </c>
      <c r="O1936" t="inlineStr">
        <is>
          <t>2026-06-19 07:10:32</t>
        </is>
      </c>
      <c r="P1936" t="inlineStr">
        <is>
          <t>2026-06-19 07:10:32</t>
        </is>
      </c>
      <c r="Y1936" t="inlineStr">
        <is>
          <t>27762286730</t>
        </is>
      </c>
    </row>
    <row r="1937">
      <c r="A1937" t="inlineStr">
        <is>
          <t>14945157</t>
        </is>
      </c>
      <c r="B1937" t="inlineStr">
        <is>
          <t>a8438492-48ba-4dde-801f-ea1eaaf41069</t>
        </is>
      </c>
      <c r="D1937" t="inlineStr">
        <is>
          <t>30001087</t>
        </is>
      </c>
      <c r="E1937" t="inlineStr">
        <is>
          <t>ussd_funeral_leads_altitude_20260619</t>
        </is>
      </c>
      <c r="J1937" t="inlineStr">
        <is>
          <t>ADC</t>
        </is>
      </c>
      <c r="K1937" t="inlineStr">
        <is>
          <t>Auto Dial Disconnected</t>
        </is>
      </c>
      <c r="L1937" t="n">
        <v>3</v>
      </c>
      <c r="M1937" t="inlineStr">
        <is>
          <t>2026-06-23 13:30:44</t>
        </is>
      </c>
      <c r="N1937" t="inlineStr">
        <is>
          <t>system</t>
        </is>
      </c>
      <c r="O1937" t="inlineStr">
        <is>
          <t>2026-06-19 07:10:32</t>
        </is>
      </c>
      <c r="P1937" t="inlineStr">
        <is>
          <t>2026-06-19 07:10:32</t>
        </is>
      </c>
      <c r="Y1937" t="inlineStr">
        <is>
          <t>27793748445</t>
        </is>
      </c>
    </row>
    <row r="1938">
      <c r="A1938" t="inlineStr">
        <is>
          <t>14945158</t>
        </is>
      </c>
      <c r="B1938" t="inlineStr">
        <is>
          <t>05e8ea72-9b16-464f-a021-fa4ffc6b9735</t>
        </is>
      </c>
      <c r="D1938" t="inlineStr">
        <is>
          <t>30001087</t>
        </is>
      </c>
      <c r="E1938" t="inlineStr">
        <is>
          <t>ussd_funeral_leads_altitude_20260619</t>
        </is>
      </c>
      <c r="J1938" t="inlineStr">
        <is>
          <t>NA</t>
        </is>
      </c>
      <c r="K1938" t="inlineStr">
        <is>
          <t>No Answer Autodial</t>
        </is>
      </c>
      <c r="L1938" t="n">
        <v>3</v>
      </c>
      <c r="M1938" t="inlineStr">
        <is>
          <t>2026-06-23 13:30:44</t>
        </is>
      </c>
      <c r="N1938" t="inlineStr">
        <is>
          <t>system</t>
        </is>
      </c>
      <c r="O1938" t="inlineStr">
        <is>
          <t>2026-06-19 07:10:32</t>
        </is>
      </c>
      <c r="P1938" t="inlineStr">
        <is>
          <t>2026-06-19 07:10:32</t>
        </is>
      </c>
      <c r="Y1938" t="inlineStr">
        <is>
          <t>27649182392</t>
        </is>
      </c>
    </row>
    <row r="1939">
      <c r="A1939" t="inlineStr">
        <is>
          <t>14945152</t>
        </is>
      </c>
      <c r="B1939" t="inlineStr">
        <is>
          <t>cec19b76-e2a1-4ff4-8f8f-08ac8a47b396</t>
        </is>
      </c>
      <c r="D1939" t="inlineStr">
        <is>
          <t>30001087</t>
        </is>
      </c>
      <c r="E1939" t="inlineStr">
        <is>
          <t>ussd_funeral_leads_altitude_20260619</t>
        </is>
      </c>
      <c r="J1939" t="inlineStr">
        <is>
          <t>AA</t>
        </is>
      </c>
      <c r="K1939" t="inlineStr">
        <is>
          <t>Answering Machine Autodial</t>
        </is>
      </c>
      <c r="L1939" t="n">
        <v>3</v>
      </c>
      <c r="M1939" t="inlineStr">
        <is>
          <t>2026-06-23 13:30:39</t>
        </is>
      </c>
      <c r="N1939" t="inlineStr">
        <is>
          <t>system</t>
        </is>
      </c>
      <c r="O1939" t="inlineStr">
        <is>
          <t>2026-06-19 07:10:32</t>
        </is>
      </c>
      <c r="P1939" t="inlineStr">
        <is>
          <t>2026-06-19 07:10:32</t>
        </is>
      </c>
      <c r="Y1939" t="inlineStr">
        <is>
          <t>27724918161</t>
        </is>
      </c>
    </row>
    <row r="1940">
      <c r="A1940" t="inlineStr">
        <is>
          <t>14945153</t>
        </is>
      </c>
      <c r="B1940" t="inlineStr">
        <is>
          <t>871459f1-bdc2-47d1-afa6-b39ca0b5a2c0</t>
        </is>
      </c>
      <c r="D1940" t="inlineStr">
        <is>
          <t>30001087</t>
        </is>
      </c>
      <c r="E1940" t="inlineStr">
        <is>
          <t>ussd_funeral_leads_altitude_20260619</t>
        </is>
      </c>
      <c r="J1940" t="inlineStr">
        <is>
          <t>DROP</t>
        </is>
      </c>
      <c r="K1940" t="inlineStr">
        <is>
          <t>Dropped</t>
        </is>
      </c>
      <c r="L1940" t="n">
        <v>3</v>
      </c>
      <c r="M1940" t="inlineStr">
        <is>
          <t>2026-06-23 13:30:39</t>
        </is>
      </c>
      <c r="N1940" t="inlineStr">
        <is>
          <t>system</t>
        </is>
      </c>
      <c r="O1940" t="inlineStr">
        <is>
          <t>2026-06-19 07:10:32</t>
        </is>
      </c>
      <c r="P1940" t="inlineStr">
        <is>
          <t>2026-06-19 07:10:32</t>
        </is>
      </c>
      <c r="Y1940" t="inlineStr">
        <is>
          <t>27724226607</t>
        </is>
      </c>
    </row>
    <row r="1941">
      <c r="A1941" t="inlineStr">
        <is>
          <t>14945154</t>
        </is>
      </c>
      <c r="B1941" t="inlineStr">
        <is>
          <t>b8534fd1-7ccd-40ba-9b52-67cfc91920f7</t>
        </is>
      </c>
      <c r="D1941" t="inlineStr">
        <is>
          <t>30001087</t>
        </is>
      </c>
      <c r="E1941" t="inlineStr">
        <is>
          <t>ussd_funeral_leads_altitude_20260619</t>
        </is>
      </c>
      <c r="J1941" t="inlineStr">
        <is>
          <t>CU</t>
        </is>
      </c>
      <c r="K1941" t="inlineStr">
        <is>
          <t>Client Hung Up</t>
        </is>
      </c>
      <c r="L1941" t="n">
        <v>3</v>
      </c>
      <c r="M1941" t="inlineStr">
        <is>
          <t>2026-06-23 13:30:39</t>
        </is>
      </c>
      <c r="N1941" t="inlineStr">
        <is>
          <t>Lebohang Mabotja</t>
        </is>
      </c>
      <c r="O1941" t="inlineStr">
        <is>
          <t>2026-06-19 07:10:32</t>
        </is>
      </c>
      <c r="P1941" t="inlineStr">
        <is>
          <t>2026-06-19 07:10:32</t>
        </is>
      </c>
      <c r="Y1941" t="inlineStr">
        <is>
          <t>27711070440</t>
        </is>
      </c>
    </row>
    <row r="1942">
      <c r="A1942" t="inlineStr">
        <is>
          <t>14945155</t>
        </is>
      </c>
      <c r="B1942" t="inlineStr">
        <is>
          <t>b5570e84-c858-4f49-a7f2-20038065a2d3</t>
        </is>
      </c>
      <c r="D1942" t="inlineStr">
        <is>
          <t>30001087</t>
        </is>
      </c>
      <c r="E1942" t="inlineStr">
        <is>
          <t>ussd_funeral_leads_altitude_20260619</t>
        </is>
      </c>
      <c r="J1942" t="inlineStr">
        <is>
          <t>ADC</t>
        </is>
      </c>
      <c r="K1942" t="inlineStr">
        <is>
          <t>Auto Dial Disconnected</t>
        </is>
      </c>
      <c r="L1942" t="n">
        <v>3</v>
      </c>
      <c r="M1942" t="inlineStr">
        <is>
          <t>2026-06-23 13:30:39</t>
        </is>
      </c>
      <c r="N1942" t="inlineStr">
        <is>
          <t>system</t>
        </is>
      </c>
      <c r="O1942" t="inlineStr">
        <is>
          <t>2026-06-19 07:10:32</t>
        </is>
      </c>
      <c r="P1942" t="inlineStr">
        <is>
          <t>2026-06-19 07:10:32</t>
        </is>
      </c>
      <c r="Y1942" t="inlineStr">
        <is>
          <t>27724283494</t>
        </is>
      </c>
    </row>
    <row r="1943">
      <c r="A1943" t="inlineStr">
        <is>
          <t>14945156</t>
        </is>
      </c>
      <c r="B1943" t="inlineStr">
        <is>
          <t>6ff371d6-8639-4785-8466-aa80e6334998</t>
        </is>
      </c>
      <c r="D1943" t="inlineStr">
        <is>
          <t>30001087</t>
        </is>
      </c>
      <c r="E1943" t="inlineStr">
        <is>
          <t>ussd_funeral_leads_altitude_20260619</t>
        </is>
      </c>
      <c r="J1943" t="inlineStr">
        <is>
          <t>AA</t>
        </is>
      </c>
      <c r="K1943" t="inlineStr">
        <is>
          <t>Answering Machine Autodial</t>
        </is>
      </c>
      <c r="L1943" t="n">
        <v>3</v>
      </c>
      <c r="M1943" t="inlineStr">
        <is>
          <t>2026-06-23 13:30:39</t>
        </is>
      </c>
      <c r="N1943" t="inlineStr">
        <is>
          <t>system</t>
        </is>
      </c>
      <c r="O1943" t="inlineStr">
        <is>
          <t>2026-06-19 07:10:32</t>
        </is>
      </c>
      <c r="P1943" t="inlineStr">
        <is>
          <t>2026-06-19 07:10:32</t>
        </is>
      </c>
      <c r="Y1943" t="inlineStr">
        <is>
          <t>27765723008</t>
        </is>
      </c>
    </row>
    <row r="1944">
      <c r="A1944" t="inlineStr">
        <is>
          <t>14945150</t>
        </is>
      </c>
      <c r="B1944" t="inlineStr">
        <is>
          <t>4cc1028f-f520-4caf-a367-319b02499553</t>
        </is>
      </c>
      <c r="D1944" t="inlineStr">
        <is>
          <t>30001087</t>
        </is>
      </c>
      <c r="E1944" t="inlineStr">
        <is>
          <t>ussd_funeral_leads_altitude_20260619</t>
        </is>
      </c>
      <c r="J1944" t="inlineStr">
        <is>
          <t>ADC</t>
        </is>
      </c>
      <c r="K1944" t="inlineStr">
        <is>
          <t>Auto Dial Disconnected</t>
        </is>
      </c>
      <c r="L1944" t="n">
        <v>3</v>
      </c>
      <c r="M1944" t="inlineStr">
        <is>
          <t>2026-06-23 13:30:38</t>
        </is>
      </c>
      <c r="N1944" t="inlineStr">
        <is>
          <t>system</t>
        </is>
      </c>
      <c r="O1944" t="inlineStr">
        <is>
          <t>2026-06-19 07:10:32</t>
        </is>
      </c>
      <c r="P1944" t="inlineStr">
        <is>
          <t>2026-06-19 07:10:32</t>
        </is>
      </c>
      <c r="Y1944" t="inlineStr">
        <is>
          <t>27606929527</t>
        </is>
      </c>
    </row>
    <row r="1945">
      <c r="A1945" t="inlineStr">
        <is>
          <t>14947232</t>
        </is>
      </c>
      <c r="B1945" t="inlineStr">
        <is>
          <t>979251e5-cdfd-46d5-8ada-f8daa33c1004</t>
        </is>
      </c>
      <c r="D1945" t="inlineStr">
        <is>
          <t>30001087</t>
        </is>
      </c>
      <c r="E1945" t="inlineStr">
        <is>
          <t>ussd_funeral_leads_altitude_20260619</t>
        </is>
      </c>
      <c r="J1945" t="inlineStr">
        <is>
          <t>AA</t>
        </is>
      </c>
      <c r="K1945" t="inlineStr">
        <is>
          <t>Answering Machine Autodial</t>
        </is>
      </c>
      <c r="L1945" t="n">
        <v>3</v>
      </c>
      <c r="M1945" t="inlineStr">
        <is>
          <t>2026-06-23 13:30:12</t>
        </is>
      </c>
      <c r="N1945" t="inlineStr">
        <is>
          <t>system</t>
        </is>
      </c>
      <c r="O1945" t="inlineStr">
        <is>
          <t>2026-06-19 07:10:32</t>
        </is>
      </c>
      <c r="P1945" t="inlineStr">
        <is>
          <t>2026-06-19 07:10:32</t>
        </is>
      </c>
      <c r="Y1945" t="inlineStr">
        <is>
          <t>27764366889</t>
        </is>
      </c>
    </row>
    <row r="1946">
      <c r="A1946" t="inlineStr">
        <is>
          <t>14947233</t>
        </is>
      </c>
      <c r="B1946" t="inlineStr">
        <is>
          <t>8b5fe0c8-cbd6-4cb9-a4ff-8d471a3a4246</t>
        </is>
      </c>
      <c r="D1946" t="inlineStr">
        <is>
          <t>30001087</t>
        </is>
      </c>
      <c r="E1946" t="inlineStr">
        <is>
          <t>ussd_funeral_leads_altitude_20260619</t>
        </is>
      </c>
      <c r="J1946" t="inlineStr">
        <is>
          <t>AA</t>
        </is>
      </c>
      <c r="K1946" t="inlineStr">
        <is>
          <t>Answering Machine Autodial</t>
        </is>
      </c>
      <c r="L1946" t="n">
        <v>3</v>
      </c>
      <c r="M1946" t="inlineStr">
        <is>
          <t>2026-06-23 13:30:12</t>
        </is>
      </c>
      <c r="N1946" t="inlineStr">
        <is>
          <t>system</t>
        </is>
      </c>
      <c r="O1946" t="inlineStr">
        <is>
          <t>2026-06-19 07:10:32</t>
        </is>
      </c>
      <c r="P1946" t="inlineStr">
        <is>
          <t>2026-06-19 07:10:32</t>
        </is>
      </c>
      <c r="Y1946" t="inlineStr">
        <is>
          <t>27791574764</t>
        </is>
      </c>
    </row>
    <row r="1947">
      <c r="A1947" t="inlineStr">
        <is>
          <t>14947235</t>
        </is>
      </c>
      <c r="B1947" t="inlineStr">
        <is>
          <t>0e0a36b9-67a5-49e3-8c40-36964390d688</t>
        </is>
      </c>
      <c r="D1947" t="inlineStr">
        <is>
          <t>30001087</t>
        </is>
      </c>
      <c r="E1947" t="inlineStr">
        <is>
          <t>ussd_funeral_leads_altitude_20260619</t>
        </is>
      </c>
      <c r="J1947" t="inlineStr">
        <is>
          <t>AA</t>
        </is>
      </c>
      <c r="K1947" t="inlineStr">
        <is>
          <t>Answering Machine Autodial</t>
        </is>
      </c>
      <c r="L1947" t="n">
        <v>3</v>
      </c>
      <c r="M1947" t="inlineStr">
        <is>
          <t>2026-06-23 13:30:12</t>
        </is>
      </c>
      <c r="N1947" t="inlineStr">
        <is>
          <t>system</t>
        </is>
      </c>
      <c r="O1947" t="inlineStr">
        <is>
          <t>2026-06-19 07:10:32</t>
        </is>
      </c>
      <c r="P1947" t="inlineStr">
        <is>
          <t>2026-06-19 07:10:32</t>
        </is>
      </c>
      <c r="Y1947" t="inlineStr">
        <is>
          <t>27791373403</t>
        </is>
      </c>
    </row>
    <row r="1948">
      <c r="A1948" t="inlineStr">
        <is>
          <t>14947236</t>
        </is>
      </c>
      <c r="B1948" t="inlineStr">
        <is>
          <t>64816f78-f48b-4709-b759-9c332476c927</t>
        </is>
      </c>
      <c r="D1948" t="inlineStr">
        <is>
          <t>30001087</t>
        </is>
      </c>
      <c r="E1948" t="inlineStr">
        <is>
          <t>ussd_funeral_leads_altitude_20260619</t>
        </is>
      </c>
      <c r="J1948" t="inlineStr">
        <is>
          <t>AA</t>
        </is>
      </c>
      <c r="K1948" t="inlineStr">
        <is>
          <t>Answering Machine Autodial</t>
        </is>
      </c>
      <c r="L1948" t="n">
        <v>3</v>
      </c>
      <c r="M1948" t="inlineStr">
        <is>
          <t>2026-06-23 13:30:11</t>
        </is>
      </c>
      <c r="N1948" t="inlineStr">
        <is>
          <t>system</t>
        </is>
      </c>
      <c r="O1948" t="inlineStr">
        <is>
          <t>2026-06-19 07:10:32</t>
        </is>
      </c>
      <c r="P1948" t="inlineStr">
        <is>
          <t>2026-06-19 07:10:32</t>
        </is>
      </c>
      <c r="Y1948" t="inlineStr">
        <is>
          <t>27792546885</t>
        </is>
      </c>
    </row>
    <row r="1949">
      <c r="A1949" t="inlineStr">
        <is>
          <t>14947237</t>
        </is>
      </c>
      <c r="B1949" t="inlineStr">
        <is>
          <t>6ffe35e6-618e-407c-a37b-e3c851f03122</t>
        </is>
      </c>
      <c r="D1949" t="inlineStr">
        <is>
          <t>30001087</t>
        </is>
      </c>
      <c r="E1949" t="inlineStr">
        <is>
          <t>ussd_funeral_leads_altitude_20260619</t>
        </is>
      </c>
      <c r="J1949" t="inlineStr">
        <is>
          <t>ADC</t>
        </is>
      </c>
      <c r="K1949" t="inlineStr">
        <is>
          <t>Auto Dial Disconnected</t>
        </is>
      </c>
      <c r="L1949" t="n">
        <v>3</v>
      </c>
      <c r="M1949" t="inlineStr">
        <is>
          <t>2026-06-23 13:30:10</t>
        </is>
      </c>
      <c r="N1949" t="inlineStr">
        <is>
          <t>system</t>
        </is>
      </c>
      <c r="O1949" t="inlineStr">
        <is>
          <t>2026-06-19 07:10:32</t>
        </is>
      </c>
      <c r="P1949" t="inlineStr">
        <is>
          <t>2026-06-19 07:10:32</t>
        </is>
      </c>
      <c r="Y1949" t="inlineStr">
        <is>
          <t>27607250715</t>
        </is>
      </c>
    </row>
    <row r="1950">
      <c r="A1950" t="inlineStr">
        <is>
          <t>14947238</t>
        </is>
      </c>
      <c r="B1950" t="inlineStr">
        <is>
          <t>9543ffcd-fbf7-43e9-b519-405db582c328</t>
        </is>
      </c>
      <c r="D1950" t="inlineStr">
        <is>
          <t>30001087</t>
        </is>
      </c>
      <c r="E1950" t="inlineStr">
        <is>
          <t>ussd_funeral_leads_altitude_20260619</t>
        </is>
      </c>
      <c r="J1950" t="inlineStr">
        <is>
          <t>AA</t>
        </is>
      </c>
      <c r="K1950" t="inlineStr">
        <is>
          <t>Answering Machine Autodial</t>
        </is>
      </c>
      <c r="L1950" t="n">
        <v>3</v>
      </c>
      <c r="M1950" t="inlineStr">
        <is>
          <t>2026-06-23 13:30:10</t>
        </is>
      </c>
      <c r="N1950" t="inlineStr">
        <is>
          <t>system</t>
        </is>
      </c>
      <c r="O1950" t="inlineStr">
        <is>
          <t>2026-06-19 07:10:32</t>
        </is>
      </c>
      <c r="P1950" t="inlineStr">
        <is>
          <t>2026-06-19 07:10:32</t>
        </is>
      </c>
      <c r="Y1950" t="inlineStr">
        <is>
          <t>27797354382</t>
        </is>
      </c>
    </row>
    <row r="1951">
      <c r="A1951" t="inlineStr">
        <is>
          <t>14947239</t>
        </is>
      </c>
      <c r="B1951" t="inlineStr">
        <is>
          <t>c753856e-a484-4efd-b3c5-4efa13eb6ebd</t>
        </is>
      </c>
      <c r="D1951" t="inlineStr">
        <is>
          <t>30001087</t>
        </is>
      </c>
      <c r="E1951" t="inlineStr">
        <is>
          <t>ussd_funeral_leads_altitude_20260619</t>
        </is>
      </c>
      <c r="J1951" t="inlineStr">
        <is>
          <t>AA</t>
        </is>
      </c>
      <c r="K1951" t="inlineStr">
        <is>
          <t>Answering Machine Autodial</t>
        </is>
      </c>
      <c r="L1951" t="n">
        <v>3</v>
      </c>
      <c r="M1951" t="inlineStr">
        <is>
          <t>2026-06-23 13:30:06</t>
        </is>
      </c>
      <c r="N1951" t="inlineStr">
        <is>
          <t>system</t>
        </is>
      </c>
      <c r="O1951" t="inlineStr">
        <is>
          <t>2026-06-19 07:10:32</t>
        </is>
      </c>
      <c r="P1951" t="inlineStr">
        <is>
          <t>2026-06-19 07:10:32</t>
        </is>
      </c>
      <c r="Y1951" t="inlineStr">
        <is>
          <t>27724097547</t>
        </is>
      </c>
    </row>
    <row r="1952">
      <c r="A1952" t="inlineStr">
        <is>
          <t>14947240</t>
        </is>
      </c>
      <c r="B1952" t="inlineStr">
        <is>
          <t>7f53a1f7-641b-43cf-8f92-ed22ef492624</t>
        </is>
      </c>
      <c r="D1952" t="inlineStr">
        <is>
          <t>30001087</t>
        </is>
      </c>
      <c r="E1952" t="inlineStr">
        <is>
          <t>ussd_funeral_leads_altitude_20260619</t>
        </is>
      </c>
      <c r="J1952" t="inlineStr">
        <is>
          <t>AA</t>
        </is>
      </c>
      <c r="K1952" t="inlineStr">
        <is>
          <t>Answering Machine Autodial</t>
        </is>
      </c>
      <c r="L1952" t="n">
        <v>3</v>
      </c>
      <c r="M1952" t="inlineStr">
        <is>
          <t>2026-06-23 13:30:06</t>
        </is>
      </c>
      <c r="N1952" t="inlineStr">
        <is>
          <t>system</t>
        </is>
      </c>
      <c r="O1952" t="inlineStr">
        <is>
          <t>2026-06-19 07:10:32</t>
        </is>
      </c>
      <c r="P1952" t="inlineStr">
        <is>
          <t>2026-06-19 07:10:32</t>
        </is>
      </c>
      <c r="Y1952" t="inlineStr">
        <is>
          <t>27608579584</t>
        </is>
      </c>
    </row>
    <row r="1953">
      <c r="A1953" t="inlineStr">
        <is>
          <t>14945226</t>
        </is>
      </c>
      <c r="B1953" t="inlineStr">
        <is>
          <t>8aaad4c2-5975-4e5f-9839-e9cbd19ef921</t>
        </is>
      </c>
      <c r="D1953" t="inlineStr">
        <is>
          <t>30001087</t>
        </is>
      </c>
      <c r="E1953" t="inlineStr">
        <is>
          <t>ussd_funeral_leads_altitude_20260619</t>
        </is>
      </c>
      <c r="J1953" t="inlineStr">
        <is>
          <t>AA</t>
        </is>
      </c>
      <c r="K1953" t="inlineStr">
        <is>
          <t>Answering Machine Autodial</t>
        </is>
      </c>
      <c r="L1953" t="n">
        <v>3</v>
      </c>
      <c r="M1953" t="inlineStr">
        <is>
          <t>2026-06-23 13:30:04</t>
        </is>
      </c>
      <c r="N1953" t="inlineStr">
        <is>
          <t>system</t>
        </is>
      </c>
      <c r="O1953" t="inlineStr">
        <is>
          <t>2026-06-19 07:10:32</t>
        </is>
      </c>
      <c r="P1953" t="inlineStr">
        <is>
          <t>2026-06-19 07:10:32</t>
        </is>
      </c>
      <c r="Y1953" t="inlineStr">
        <is>
          <t>27765380058</t>
        </is>
      </c>
    </row>
    <row r="1954">
      <c r="A1954" t="inlineStr">
        <is>
          <t>14900000</t>
        </is>
      </c>
      <c r="B1954" t="inlineStr">
        <is>
          <t>1e641419-38d2-4a08-a874-18d5251786e9</t>
        </is>
      </c>
      <c r="D1954" t="inlineStr">
        <is>
          <t>30001087</t>
        </is>
      </c>
      <c r="E1954" t="inlineStr">
        <is>
          <t>ussd_funeral_leads_altitude_20260619</t>
        </is>
      </c>
      <c r="J1954" t="inlineStr">
        <is>
          <t>AA</t>
        </is>
      </c>
      <c r="K1954" t="inlineStr">
        <is>
          <t>Answering Machine Autodial</t>
        </is>
      </c>
      <c r="L1954" t="n">
        <v>3</v>
      </c>
      <c r="M1954" t="inlineStr">
        <is>
          <t>2026-06-23 13:30:04</t>
        </is>
      </c>
      <c r="N1954" t="inlineStr">
        <is>
          <t>system</t>
        </is>
      </c>
      <c r="O1954" t="inlineStr">
        <is>
          <t>2026-06-19 07:10:32</t>
        </is>
      </c>
      <c r="P1954" t="inlineStr">
        <is>
          <t>2026-06-19 07:10:32</t>
        </is>
      </c>
      <c r="Y1954" t="inlineStr">
        <is>
          <t>27763298544</t>
        </is>
      </c>
    </row>
    <row r="1955">
      <c r="A1955" t="inlineStr">
        <is>
          <t>14945227</t>
        </is>
      </c>
      <c r="B1955" t="inlineStr">
        <is>
          <t>366d7110-0eea-4767-825e-70e99701438d</t>
        </is>
      </c>
      <c r="D1955" t="inlineStr">
        <is>
          <t>30001087</t>
        </is>
      </c>
      <c r="E1955" t="inlineStr">
        <is>
          <t>ussd_funeral_leads_altitude_20260619</t>
        </is>
      </c>
      <c r="J1955" t="inlineStr">
        <is>
          <t>TDN</t>
        </is>
      </c>
      <c r="K1955" t="inlineStr">
        <is>
          <t>Temporary Disconnected Number</t>
        </is>
      </c>
      <c r="L1955" t="n">
        <v>3</v>
      </c>
      <c r="M1955" t="inlineStr">
        <is>
          <t>2026-06-23 13:30:03</t>
        </is>
      </c>
      <c r="N1955" t="inlineStr">
        <is>
          <t>system</t>
        </is>
      </c>
      <c r="O1955" t="inlineStr">
        <is>
          <t>2026-06-19 07:10:32</t>
        </is>
      </c>
      <c r="P1955" t="inlineStr">
        <is>
          <t>2026-06-19 07:10:32</t>
        </is>
      </c>
      <c r="Y1955" t="inlineStr">
        <is>
          <t>27729833391</t>
        </is>
      </c>
    </row>
    <row r="1956">
      <c r="A1956" t="inlineStr">
        <is>
          <t>14945224</t>
        </is>
      </c>
      <c r="B1956" t="inlineStr">
        <is>
          <t>516f47a8-9b6e-4e1e-bd54-24491427f48a</t>
        </is>
      </c>
      <c r="D1956" t="inlineStr">
        <is>
          <t>30001087</t>
        </is>
      </c>
      <c r="E1956" t="inlineStr">
        <is>
          <t>ussd_funeral_leads_altitude_20260619</t>
        </is>
      </c>
      <c r="J1956" t="inlineStr">
        <is>
          <t>AA</t>
        </is>
      </c>
      <c r="K1956" t="inlineStr">
        <is>
          <t>Answering Machine Autodial</t>
        </is>
      </c>
      <c r="L1956" t="n">
        <v>3</v>
      </c>
      <c r="M1956" t="inlineStr">
        <is>
          <t>2026-06-23 13:30:01</t>
        </is>
      </c>
      <c r="N1956" t="inlineStr">
        <is>
          <t>system</t>
        </is>
      </c>
      <c r="O1956" t="inlineStr">
        <is>
          <t>2026-06-19 07:10:32</t>
        </is>
      </c>
      <c r="P1956" t="inlineStr">
        <is>
          <t>2026-06-19 07:10:32</t>
        </is>
      </c>
      <c r="Y1956" t="inlineStr">
        <is>
          <t>27714267164</t>
        </is>
      </c>
    </row>
    <row r="1957">
      <c r="A1957" t="inlineStr">
        <is>
          <t>14945221</t>
        </is>
      </c>
      <c r="B1957" t="inlineStr">
        <is>
          <t>deb18f2b-eb52-461e-9123-015bb1a0102a</t>
        </is>
      </c>
      <c r="D1957" t="inlineStr">
        <is>
          <t>30001087</t>
        </is>
      </c>
      <c r="E1957" t="inlineStr">
        <is>
          <t>ussd_funeral_leads_altitude_20260619</t>
        </is>
      </c>
      <c r="J1957" t="inlineStr">
        <is>
          <t>AA</t>
        </is>
      </c>
      <c r="K1957" t="inlineStr">
        <is>
          <t>Answering Machine Autodial</t>
        </is>
      </c>
      <c r="L1957" t="n">
        <v>3</v>
      </c>
      <c r="M1957" t="inlineStr">
        <is>
          <t>2026-06-23 13:29:58</t>
        </is>
      </c>
      <c r="N1957" t="inlineStr">
        <is>
          <t>system</t>
        </is>
      </c>
      <c r="O1957" t="inlineStr">
        <is>
          <t>2026-06-19 07:10:32</t>
        </is>
      </c>
      <c r="P1957" t="inlineStr">
        <is>
          <t>2026-06-19 07:10:32</t>
        </is>
      </c>
      <c r="Y1957" t="inlineStr">
        <is>
          <t>27662248113</t>
        </is>
      </c>
    </row>
    <row r="1958">
      <c r="A1958" t="inlineStr">
        <is>
          <t>14945222</t>
        </is>
      </c>
      <c r="B1958" t="inlineStr">
        <is>
          <t>18a9397a-ac71-479b-90a5-09f897757bb5</t>
        </is>
      </c>
      <c r="D1958" t="inlineStr">
        <is>
          <t>30001087</t>
        </is>
      </c>
      <c r="E1958" t="inlineStr">
        <is>
          <t>ussd_funeral_leads_altitude_20260619</t>
        </is>
      </c>
      <c r="J1958" t="inlineStr">
        <is>
          <t>ADC</t>
        </is>
      </c>
      <c r="K1958" t="inlineStr">
        <is>
          <t>Auto Dial Disconnected</t>
        </is>
      </c>
      <c r="L1958" t="n">
        <v>3</v>
      </c>
      <c r="M1958" t="inlineStr">
        <is>
          <t>2026-06-23 13:29:58</t>
        </is>
      </c>
      <c r="N1958" t="inlineStr">
        <is>
          <t>system</t>
        </is>
      </c>
      <c r="O1958" t="inlineStr">
        <is>
          <t>2026-06-19 07:10:32</t>
        </is>
      </c>
      <c r="P1958" t="inlineStr">
        <is>
          <t>2026-06-19 07:10:32</t>
        </is>
      </c>
      <c r="Y1958" t="inlineStr">
        <is>
          <t>27714256760</t>
        </is>
      </c>
    </row>
    <row r="1959">
      <c r="A1959" t="inlineStr">
        <is>
          <t>14945223</t>
        </is>
      </c>
      <c r="B1959" t="inlineStr">
        <is>
          <t>13478ca4-5ea6-492b-9af0-765c6ed0d466</t>
        </is>
      </c>
      <c r="D1959" t="inlineStr">
        <is>
          <t>30001087</t>
        </is>
      </c>
      <c r="E1959" t="inlineStr">
        <is>
          <t>ussd_funeral_leads_altitude_20260619</t>
        </is>
      </c>
      <c r="J1959" t="inlineStr">
        <is>
          <t>CU</t>
        </is>
      </c>
      <c r="K1959" t="inlineStr">
        <is>
          <t>Client Hung Up</t>
        </is>
      </c>
      <c r="L1959" t="n">
        <v>3</v>
      </c>
      <c r="M1959" t="inlineStr">
        <is>
          <t>2026-06-23 13:29:58</t>
        </is>
      </c>
      <c r="N1959" t="inlineStr">
        <is>
          <t>Vuyiswa Nxumalo</t>
        </is>
      </c>
      <c r="O1959" t="inlineStr">
        <is>
          <t>2026-06-19 07:10:32</t>
        </is>
      </c>
      <c r="P1959" t="inlineStr">
        <is>
          <t>2026-06-19 07:10:32</t>
        </is>
      </c>
      <c r="Y1959" t="inlineStr">
        <is>
          <t>27798357771</t>
        </is>
      </c>
    </row>
    <row r="1960">
      <c r="A1960" t="inlineStr">
        <is>
          <t>14945215</t>
        </is>
      </c>
      <c r="B1960" t="inlineStr">
        <is>
          <t>f01ee177-168e-453b-a332-429b508cd47e</t>
        </is>
      </c>
      <c r="D1960" t="inlineStr">
        <is>
          <t>30001087</t>
        </is>
      </c>
      <c r="E1960" t="inlineStr">
        <is>
          <t>ussd_funeral_leads_altitude_20260619</t>
        </is>
      </c>
      <c r="J1960" t="inlineStr">
        <is>
          <t>CBACK</t>
        </is>
      </c>
      <c r="K1960" t="inlineStr">
        <is>
          <t>Callback</t>
        </is>
      </c>
      <c r="L1960" t="n">
        <v>3</v>
      </c>
      <c r="M1960" t="inlineStr">
        <is>
          <t>2026-06-23 13:29:56</t>
        </is>
      </c>
      <c r="N1960" t="inlineStr">
        <is>
          <t>Gontse Monageng</t>
        </is>
      </c>
      <c r="O1960" t="inlineStr">
        <is>
          <t>2026-06-19 07:10:32</t>
        </is>
      </c>
      <c r="P1960" t="inlineStr">
        <is>
          <t>2026-06-19 07:10:32</t>
        </is>
      </c>
      <c r="Y1960" t="inlineStr">
        <is>
          <t>27799440069</t>
        </is>
      </c>
    </row>
    <row r="1961">
      <c r="A1961" t="inlineStr">
        <is>
          <t>14945220</t>
        </is>
      </c>
      <c r="B1961" t="inlineStr">
        <is>
          <t>798f716c-3ca1-4af7-8b78-38d19fc98b09</t>
        </is>
      </c>
      <c r="D1961" t="inlineStr">
        <is>
          <t>30001087</t>
        </is>
      </c>
      <c r="E1961" t="inlineStr">
        <is>
          <t>ussd_funeral_leads_altitude_20260619</t>
        </is>
      </c>
      <c r="J1961" t="inlineStr">
        <is>
          <t>AA</t>
        </is>
      </c>
      <c r="K1961" t="inlineStr">
        <is>
          <t>Answering Machine Autodial</t>
        </is>
      </c>
      <c r="L1961" t="n">
        <v>3</v>
      </c>
      <c r="M1961" t="inlineStr">
        <is>
          <t>2026-06-23 13:29:56</t>
        </is>
      </c>
      <c r="N1961" t="inlineStr">
        <is>
          <t>system</t>
        </is>
      </c>
      <c r="O1961" t="inlineStr">
        <is>
          <t>2026-06-19 07:10:32</t>
        </is>
      </c>
      <c r="P1961" t="inlineStr">
        <is>
          <t>2026-06-19 07:10:32</t>
        </is>
      </c>
      <c r="Y1961" t="inlineStr">
        <is>
          <t>27798408006</t>
        </is>
      </c>
    </row>
    <row r="1962">
      <c r="A1962" t="inlineStr">
        <is>
          <t>14945216</t>
        </is>
      </c>
      <c r="B1962" t="inlineStr">
        <is>
          <t>07f4c578-5f9a-46de-9732-b6303b82c3f6</t>
        </is>
      </c>
      <c r="D1962" t="inlineStr">
        <is>
          <t>30001087</t>
        </is>
      </c>
      <c r="E1962" t="inlineStr">
        <is>
          <t>ussd_funeral_leads_altitude_20260619</t>
        </is>
      </c>
      <c r="J1962" t="inlineStr">
        <is>
          <t>ADC</t>
        </is>
      </c>
      <c r="K1962" t="inlineStr">
        <is>
          <t>Auto Dial Disconnected</t>
        </is>
      </c>
      <c r="L1962" t="n">
        <v>3</v>
      </c>
      <c r="M1962" t="inlineStr">
        <is>
          <t>2026-06-23 13:29:55</t>
        </is>
      </c>
      <c r="N1962" t="inlineStr">
        <is>
          <t>system</t>
        </is>
      </c>
      <c r="O1962" t="inlineStr">
        <is>
          <t>2026-06-19 07:10:32</t>
        </is>
      </c>
      <c r="P1962" t="inlineStr">
        <is>
          <t>2026-06-19 07:10:32</t>
        </is>
      </c>
      <c r="Y1962" t="inlineStr">
        <is>
          <t>27720729873</t>
        </is>
      </c>
    </row>
    <row r="1963">
      <c r="A1963" t="inlineStr">
        <is>
          <t>14945217</t>
        </is>
      </c>
      <c r="B1963" t="inlineStr">
        <is>
          <t>df00311d-8c63-4f45-800d-505a8cadae30</t>
        </is>
      </c>
      <c r="D1963" t="inlineStr">
        <is>
          <t>30001087</t>
        </is>
      </c>
      <c r="E1963" t="inlineStr">
        <is>
          <t>ussd_funeral_leads_altitude_20260619</t>
        </is>
      </c>
      <c r="J1963" t="inlineStr">
        <is>
          <t>ADC</t>
        </is>
      </c>
      <c r="K1963" t="inlineStr">
        <is>
          <t>Auto Dial Disconnected</t>
        </is>
      </c>
      <c r="L1963" t="n">
        <v>3</v>
      </c>
      <c r="M1963" t="inlineStr">
        <is>
          <t>2026-06-23 13:29:55</t>
        </is>
      </c>
      <c r="N1963" t="inlineStr">
        <is>
          <t>system</t>
        </is>
      </c>
      <c r="O1963" t="inlineStr">
        <is>
          <t>2026-06-19 07:10:32</t>
        </is>
      </c>
      <c r="P1963" t="inlineStr">
        <is>
          <t>2026-06-19 07:10:32</t>
        </is>
      </c>
      <c r="Y1963" t="inlineStr">
        <is>
          <t>27823235336</t>
        </is>
      </c>
    </row>
    <row r="1964">
      <c r="A1964" t="inlineStr">
        <is>
          <t>14945218</t>
        </is>
      </c>
      <c r="B1964" t="inlineStr">
        <is>
          <t>5f83c0c8-0db7-4e0d-a2e1-8a24e1b063e6</t>
        </is>
      </c>
      <c r="D1964" t="inlineStr">
        <is>
          <t>30001087</t>
        </is>
      </c>
      <c r="E1964" t="inlineStr">
        <is>
          <t>ussd_funeral_leads_altitude_20260619</t>
        </is>
      </c>
      <c r="J1964" t="inlineStr">
        <is>
          <t>ADC</t>
        </is>
      </c>
      <c r="K1964" t="inlineStr">
        <is>
          <t>Auto Dial Disconnected</t>
        </is>
      </c>
      <c r="L1964" t="n">
        <v>3</v>
      </c>
      <c r="M1964" t="inlineStr">
        <is>
          <t>2026-06-23 13:29:55</t>
        </is>
      </c>
      <c r="N1964" t="inlineStr">
        <is>
          <t>system</t>
        </is>
      </c>
      <c r="O1964" t="inlineStr">
        <is>
          <t>2026-06-19 07:10:32</t>
        </is>
      </c>
      <c r="P1964" t="inlineStr">
        <is>
          <t>2026-06-19 07:10:32</t>
        </is>
      </c>
      <c r="Y1964" t="inlineStr">
        <is>
          <t>27663706390</t>
        </is>
      </c>
    </row>
    <row r="1965">
      <c r="A1965" t="inlineStr">
        <is>
          <t>14945219</t>
        </is>
      </c>
      <c r="B1965" t="inlineStr">
        <is>
          <t>c191e328-4712-4302-a4f2-6a9fc417f05b</t>
        </is>
      </c>
      <c r="D1965" t="inlineStr">
        <is>
          <t>30001087</t>
        </is>
      </c>
      <c r="E1965" t="inlineStr">
        <is>
          <t>ussd_funeral_leads_altitude_20260619</t>
        </is>
      </c>
      <c r="J1965" t="inlineStr">
        <is>
          <t>ADC</t>
        </is>
      </c>
      <c r="K1965" t="inlineStr">
        <is>
          <t>Auto Dial Disconnected</t>
        </is>
      </c>
      <c r="L1965" t="n">
        <v>3</v>
      </c>
      <c r="M1965" t="inlineStr">
        <is>
          <t>2026-06-23 13:29:55</t>
        </is>
      </c>
      <c r="N1965" t="inlineStr">
        <is>
          <t>system</t>
        </is>
      </c>
      <c r="O1965" t="inlineStr">
        <is>
          <t>2026-06-19 07:10:32</t>
        </is>
      </c>
      <c r="P1965" t="inlineStr">
        <is>
          <t>2026-06-19 07:10:32</t>
        </is>
      </c>
      <c r="Y1965" t="inlineStr">
        <is>
          <t>27665292623</t>
        </is>
      </c>
    </row>
    <row r="1966">
      <c r="A1966" t="inlineStr">
        <is>
          <t>14945214</t>
        </is>
      </c>
      <c r="B1966" t="inlineStr">
        <is>
          <t>10319e42-f7fa-417d-bf1c-06a7826291c4</t>
        </is>
      </c>
      <c r="D1966" t="inlineStr">
        <is>
          <t>30001087</t>
        </is>
      </c>
      <c r="E1966" t="inlineStr">
        <is>
          <t>ussd_funeral_leads_altitude_20260619</t>
        </is>
      </c>
      <c r="J1966" t="inlineStr">
        <is>
          <t>NA</t>
        </is>
      </c>
      <c r="K1966" t="inlineStr">
        <is>
          <t>No Answer Autodial</t>
        </is>
      </c>
      <c r="L1966" t="n">
        <v>3</v>
      </c>
      <c r="M1966" t="inlineStr">
        <is>
          <t>2026-06-23 13:29:53</t>
        </is>
      </c>
      <c r="N1966" t="inlineStr">
        <is>
          <t>system</t>
        </is>
      </c>
      <c r="O1966" t="inlineStr">
        <is>
          <t>2026-06-19 07:10:32</t>
        </is>
      </c>
      <c r="P1966" t="inlineStr">
        <is>
          <t>2026-06-19 07:10:32</t>
        </is>
      </c>
      <c r="Y1966" t="inlineStr">
        <is>
          <t>27608413355</t>
        </is>
      </c>
    </row>
    <row r="1967">
      <c r="A1967" t="inlineStr">
        <is>
          <t>14945210</t>
        </is>
      </c>
      <c r="B1967" t="inlineStr">
        <is>
          <t>a33281fd-213c-4ff4-a47a-32d94fcad084</t>
        </is>
      </c>
      <c r="D1967" t="inlineStr">
        <is>
          <t>30001087</t>
        </is>
      </c>
      <c r="E1967" t="inlineStr">
        <is>
          <t>ussd_funeral_leads_altitude_20260619</t>
        </is>
      </c>
      <c r="J1967" t="inlineStr">
        <is>
          <t>AA</t>
        </is>
      </c>
      <c r="K1967" t="inlineStr">
        <is>
          <t>Answering Machine Autodial</t>
        </is>
      </c>
      <c r="L1967" t="n">
        <v>3</v>
      </c>
      <c r="M1967" t="inlineStr">
        <is>
          <t>2026-06-23 13:29:51</t>
        </is>
      </c>
      <c r="N1967" t="inlineStr">
        <is>
          <t>system</t>
        </is>
      </c>
      <c r="O1967" t="inlineStr">
        <is>
          <t>2026-06-19 07:10:32</t>
        </is>
      </c>
      <c r="P1967" t="inlineStr">
        <is>
          <t>2026-06-19 07:10:32</t>
        </is>
      </c>
      <c r="Y1967" t="inlineStr">
        <is>
          <t>27714750742</t>
        </is>
      </c>
    </row>
    <row r="1968">
      <c r="A1968" t="inlineStr">
        <is>
          <t>14945211</t>
        </is>
      </c>
      <c r="B1968" t="inlineStr">
        <is>
          <t>bb120208-12ea-49e7-a452-5cf5712b9cdb</t>
        </is>
      </c>
      <c r="D1968" t="inlineStr">
        <is>
          <t>30001087</t>
        </is>
      </c>
      <c r="E1968" t="inlineStr">
        <is>
          <t>ussd_funeral_leads_altitude_20260619</t>
        </is>
      </c>
      <c r="J1968" t="inlineStr">
        <is>
          <t>AA</t>
        </is>
      </c>
      <c r="K1968" t="inlineStr">
        <is>
          <t>Answering Machine Autodial</t>
        </is>
      </c>
      <c r="L1968" t="n">
        <v>3</v>
      </c>
      <c r="M1968" t="inlineStr">
        <is>
          <t>2026-06-23 13:29:51</t>
        </is>
      </c>
      <c r="N1968" t="inlineStr">
        <is>
          <t>system</t>
        </is>
      </c>
      <c r="O1968" t="inlineStr">
        <is>
          <t>2026-06-19 07:10:32</t>
        </is>
      </c>
      <c r="P1968" t="inlineStr">
        <is>
          <t>2026-06-19 07:10:32</t>
        </is>
      </c>
      <c r="Y1968" t="inlineStr">
        <is>
          <t>27608934578</t>
        </is>
      </c>
    </row>
    <row r="1969">
      <c r="A1969" t="inlineStr">
        <is>
          <t>14945213</t>
        </is>
      </c>
      <c r="B1969" t="inlineStr">
        <is>
          <t>a8cc2ea3-96d1-4574-84b4-d2e273c07d24</t>
        </is>
      </c>
      <c r="D1969" t="inlineStr">
        <is>
          <t>30001087</t>
        </is>
      </c>
      <c r="E1969" t="inlineStr">
        <is>
          <t>ussd_funeral_leads_altitude_20260619</t>
        </is>
      </c>
      <c r="J1969" t="inlineStr">
        <is>
          <t>AA</t>
        </is>
      </c>
      <c r="K1969" t="inlineStr">
        <is>
          <t>Answering Machine Autodial</t>
        </is>
      </c>
      <c r="L1969" t="n">
        <v>3</v>
      </c>
      <c r="M1969" t="inlineStr">
        <is>
          <t>2026-06-23 13:29:51</t>
        </is>
      </c>
      <c r="N1969" t="inlineStr">
        <is>
          <t>system</t>
        </is>
      </c>
      <c r="O1969" t="inlineStr">
        <is>
          <t>2026-06-19 07:10:32</t>
        </is>
      </c>
      <c r="P1969" t="inlineStr">
        <is>
          <t>2026-06-19 07:10:32</t>
        </is>
      </c>
      <c r="Y1969" t="inlineStr">
        <is>
          <t>27608270104</t>
        </is>
      </c>
    </row>
    <row r="1970">
      <c r="A1970" t="inlineStr">
        <is>
          <t>14945209</t>
        </is>
      </c>
      <c r="B1970" t="inlineStr">
        <is>
          <t>10302f59-589f-42a2-977c-5d9c8c38cbee</t>
        </is>
      </c>
      <c r="D1970" t="inlineStr">
        <is>
          <t>30001087</t>
        </is>
      </c>
      <c r="E1970" t="inlineStr">
        <is>
          <t>ussd_funeral_leads_altitude_20260619</t>
        </is>
      </c>
      <c r="J1970" t="inlineStr">
        <is>
          <t>AA</t>
        </is>
      </c>
      <c r="K1970" t="inlineStr">
        <is>
          <t>Answering Machine Autodial</t>
        </is>
      </c>
      <c r="L1970" t="n">
        <v>3</v>
      </c>
      <c r="M1970" t="inlineStr">
        <is>
          <t>2026-06-23 13:29:50</t>
        </is>
      </c>
      <c r="N1970" t="inlineStr">
        <is>
          <t>system</t>
        </is>
      </c>
      <c r="O1970" t="inlineStr">
        <is>
          <t>2026-06-19 07:10:32</t>
        </is>
      </c>
      <c r="P1970" t="inlineStr">
        <is>
          <t>2026-06-19 07:10:32</t>
        </is>
      </c>
      <c r="Y1970" t="inlineStr">
        <is>
          <t>27772584716</t>
        </is>
      </c>
    </row>
    <row r="1971">
      <c r="A1971" t="inlineStr">
        <is>
          <t>14945203</t>
        </is>
      </c>
      <c r="B1971" t="inlineStr">
        <is>
          <t>bd91e626-df73-4490-bcc7-3819af25b70f</t>
        </is>
      </c>
      <c r="D1971" t="inlineStr">
        <is>
          <t>30001087</t>
        </is>
      </c>
      <c r="E1971" t="inlineStr">
        <is>
          <t>ussd_funeral_leads_altitude_20260619</t>
        </is>
      </c>
      <c r="J1971" t="inlineStr">
        <is>
          <t>AA</t>
        </is>
      </c>
      <c r="K1971" t="inlineStr">
        <is>
          <t>Answering Machine Autodial</t>
        </is>
      </c>
      <c r="L1971" t="n">
        <v>3</v>
      </c>
      <c r="M1971" t="inlineStr">
        <is>
          <t>2026-06-23 13:29:49</t>
        </is>
      </c>
      <c r="N1971" t="inlineStr">
        <is>
          <t>system</t>
        </is>
      </c>
      <c r="O1971" t="inlineStr">
        <is>
          <t>2026-06-19 07:10:32</t>
        </is>
      </c>
      <c r="P1971" t="inlineStr">
        <is>
          <t>2026-06-19 07:10:32</t>
        </is>
      </c>
      <c r="Y1971" t="inlineStr">
        <is>
          <t>27765227223</t>
        </is>
      </c>
    </row>
    <row r="1972">
      <c r="A1972" t="inlineStr">
        <is>
          <t>14945205</t>
        </is>
      </c>
      <c r="B1972" t="inlineStr">
        <is>
          <t>4a109bb2-9b6e-455e-8f59-fc0b4b488003</t>
        </is>
      </c>
      <c r="D1972" t="inlineStr">
        <is>
          <t>30001087</t>
        </is>
      </c>
      <c r="E1972" t="inlineStr">
        <is>
          <t>ussd_funeral_leads_altitude_20260619</t>
        </is>
      </c>
      <c r="J1972" t="inlineStr">
        <is>
          <t>ADC</t>
        </is>
      </c>
      <c r="K1972" t="inlineStr">
        <is>
          <t>Auto Dial Disconnected</t>
        </is>
      </c>
      <c r="L1972" t="n">
        <v>3</v>
      </c>
      <c r="M1972" t="inlineStr">
        <is>
          <t>2026-06-23 13:29:49</t>
        </is>
      </c>
      <c r="N1972" t="inlineStr">
        <is>
          <t>system</t>
        </is>
      </c>
      <c r="O1972" t="inlineStr">
        <is>
          <t>2026-06-19 07:10:32</t>
        </is>
      </c>
      <c r="P1972" t="inlineStr">
        <is>
          <t>2026-06-19 07:10:32</t>
        </is>
      </c>
      <c r="Y1972" t="inlineStr">
        <is>
          <t>27720489361</t>
        </is>
      </c>
    </row>
    <row r="1973">
      <c r="A1973" t="inlineStr">
        <is>
          <t>14945206</t>
        </is>
      </c>
      <c r="B1973" t="inlineStr">
        <is>
          <t>dc9dcf09-1445-48e0-9933-ffc43d9c3309</t>
        </is>
      </c>
      <c r="D1973" t="inlineStr">
        <is>
          <t>30001087</t>
        </is>
      </c>
      <c r="E1973" t="inlineStr">
        <is>
          <t>ussd_funeral_leads_altitude_20260619</t>
        </is>
      </c>
      <c r="J1973" t="inlineStr">
        <is>
          <t>NA</t>
        </is>
      </c>
      <c r="K1973" t="inlineStr">
        <is>
          <t>No Answer Autodial</t>
        </is>
      </c>
      <c r="L1973" t="n">
        <v>3</v>
      </c>
      <c r="M1973" t="inlineStr">
        <is>
          <t>2026-06-23 13:29:49</t>
        </is>
      </c>
      <c r="N1973" t="inlineStr">
        <is>
          <t>system</t>
        </is>
      </c>
      <c r="O1973" t="inlineStr">
        <is>
          <t>2026-06-19 07:10:32</t>
        </is>
      </c>
      <c r="P1973" t="inlineStr">
        <is>
          <t>2026-06-19 07:10:32</t>
        </is>
      </c>
      <c r="Y1973" t="inlineStr">
        <is>
          <t>27665334302</t>
        </is>
      </c>
    </row>
    <row r="1974">
      <c r="A1974" t="inlineStr">
        <is>
          <t>14900000</t>
        </is>
      </c>
      <c r="B1974" t="inlineStr">
        <is>
          <t>e5261a04-cd9b-4e02-8786-077ff0b66a99</t>
        </is>
      </c>
      <c r="D1974" t="inlineStr">
        <is>
          <t>30001087</t>
        </is>
      </c>
      <c r="E1974" t="inlineStr">
        <is>
          <t>ussd_funeral_leads_altitude_20260619</t>
        </is>
      </c>
      <c r="J1974" t="inlineStr">
        <is>
          <t>AA</t>
        </is>
      </c>
      <c r="K1974" t="inlineStr">
        <is>
          <t>Answering Machine Autodial</t>
        </is>
      </c>
      <c r="L1974" t="n">
        <v>3</v>
      </c>
      <c r="M1974" t="inlineStr">
        <is>
          <t>2026-06-23 13:29:49</t>
        </is>
      </c>
      <c r="N1974" t="inlineStr">
        <is>
          <t>system</t>
        </is>
      </c>
      <c r="O1974" t="inlineStr">
        <is>
          <t>2026-06-19 07:10:32</t>
        </is>
      </c>
      <c r="P1974" t="inlineStr">
        <is>
          <t>2026-06-19 07:10:32</t>
        </is>
      </c>
      <c r="Y1974" t="inlineStr">
        <is>
          <t>27713359926</t>
        </is>
      </c>
    </row>
    <row r="1975">
      <c r="A1975" t="inlineStr">
        <is>
          <t>14945208</t>
        </is>
      </c>
      <c r="B1975" t="inlineStr">
        <is>
          <t>aafc0799-415f-48b5-bdb3-a657f323b220</t>
        </is>
      </c>
      <c r="D1975" t="inlineStr">
        <is>
          <t>30001087</t>
        </is>
      </c>
      <c r="E1975" t="inlineStr">
        <is>
          <t>ussd_funeral_leads_altitude_20260619</t>
        </is>
      </c>
      <c r="J1975" t="inlineStr">
        <is>
          <t>ADC</t>
        </is>
      </c>
      <c r="K1975" t="inlineStr">
        <is>
          <t>Auto Dial Disconnected</t>
        </is>
      </c>
      <c r="L1975" t="n">
        <v>3</v>
      </c>
      <c r="M1975" t="inlineStr">
        <is>
          <t>2026-06-23 13:29:49</t>
        </is>
      </c>
      <c r="N1975" t="inlineStr">
        <is>
          <t>system</t>
        </is>
      </c>
      <c r="O1975" t="inlineStr">
        <is>
          <t>2026-06-19 07:10:32</t>
        </is>
      </c>
      <c r="P1975" t="inlineStr">
        <is>
          <t>2026-06-19 07:10:32</t>
        </is>
      </c>
      <c r="Y1975" t="inlineStr">
        <is>
          <t>27768716842</t>
        </is>
      </c>
    </row>
    <row r="1976">
      <c r="A1976" t="inlineStr">
        <is>
          <t>14945202</t>
        </is>
      </c>
      <c r="B1976" t="inlineStr">
        <is>
          <t>6cda642d-23f3-48a4-b462-2577454b2879</t>
        </is>
      </c>
      <c r="D1976" t="inlineStr">
        <is>
          <t>30001087</t>
        </is>
      </c>
      <c r="E1976" t="inlineStr">
        <is>
          <t>ussd_funeral_leads_altitude_20260619</t>
        </is>
      </c>
      <c r="J1976" t="inlineStr">
        <is>
          <t>AA</t>
        </is>
      </c>
      <c r="K1976" t="inlineStr">
        <is>
          <t>Answering Machine Autodial</t>
        </is>
      </c>
      <c r="L1976" t="n">
        <v>3</v>
      </c>
      <c r="M1976" t="inlineStr">
        <is>
          <t>2026-06-23 13:29:40</t>
        </is>
      </c>
      <c r="N1976" t="inlineStr">
        <is>
          <t>system</t>
        </is>
      </c>
      <c r="O1976" t="inlineStr">
        <is>
          <t>2026-06-19 07:10:32</t>
        </is>
      </c>
      <c r="P1976" t="inlineStr">
        <is>
          <t>2026-06-19 07:10:32</t>
        </is>
      </c>
      <c r="Y1976" t="inlineStr">
        <is>
          <t>27768263094</t>
        </is>
      </c>
    </row>
    <row r="1977">
      <c r="A1977" t="inlineStr">
        <is>
          <t>14945201</t>
        </is>
      </c>
      <c r="B1977" t="inlineStr">
        <is>
          <t>6c84f927-675b-4113-a45b-d085ecefb84e</t>
        </is>
      </c>
      <c r="D1977" t="inlineStr">
        <is>
          <t>30001087</t>
        </is>
      </c>
      <c r="E1977" t="inlineStr">
        <is>
          <t>ussd_funeral_leads_altitude_20260619</t>
        </is>
      </c>
      <c r="J1977" t="inlineStr">
        <is>
          <t>TDN</t>
        </is>
      </c>
      <c r="K1977" t="inlineStr">
        <is>
          <t>Temporary Disconnected Number</t>
        </is>
      </c>
      <c r="L1977" t="n">
        <v>3</v>
      </c>
      <c r="M1977" t="inlineStr">
        <is>
          <t>2026-06-23 13:29:37</t>
        </is>
      </c>
      <c r="N1977" t="inlineStr">
        <is>
          <t>system</t>
        </is>
      </c>
      <c r="O1977" t="inlineStr">
        <is>
          <t>2026-06-19 07:10:32</t>
        </is>
      </c>
      <c r="P1977" t="inlineStr">
        <is>
          <t>2026-06-19 07:10:32</t>
        </is>
      </c>
      <c r="Y1977" t="inlineStr">
        <is>
          <t>27795056153</t>
        </is>
      </c>
    </row>
    <row r="1978">
      <c r="A1978" t="inlineStr">
        <is>
          <t>14945200</t>
        </is>
      </c>
      <c r="B1978" t="inlineStr">
        <is>
          <t>b62222b7-0f99-4be3-9db5-f129524d0666</t>
        </is>
      </c>
      <c r="D1978" t="inlineStr">
        <is>
          <t>30001087</t>
        </is>
      </c>
      <c r="E1978" t="inlineStr">
        <is>
          <t>ussd_funeral_leads_altitude_20260619</t>
        </is>
      </c>
      <c r="J1978" t="inlineStr">
        <is>
          <t>AA</t>
        </is>
      </c>
      <c r="K1978" t="inlineStr">
        <is>
          <t>Answering Machine Autodial</t>
        </is>
      </c>
      <c r="L1978" t="n">
        <v>3</v>
      </c>
      <c r="M1978" t="inlineStr">
        <is>
          <t>2026-06-23 13:29:35</t>
        </is>
      </c>
      <c r="N1978" t="inlineStr">
        <is>
          <t>system</t>
        </is>
      </c>
      <c r="O1978" t="inlineStr">
        <is>
          <t>2026-06-19 07:10:32</t>
        </is>
      </c>
      <c r="P1978" t="inlineStr">
        <is>
          <t>2026-06-19 07:10:32</t>
        </is>
      </c>
      <c r="Y1978" t="inlineStr">
        <is>
          <t>27793095592</t>
        </is>
      </c>
    </row>
    <row r="1979">
      <c r="A1979" t="inlineStr">
        <is>
          <t>14945198</t>
        </is>
      </c>
      <c r="B1979" t="inlineStr">
        <is>
          <t>44111cb0-6f1e-45d0-8436-ce6599de20bc</t>
        </is>
      </c>
      <c r="D1979" t="inlineStr">
        <is>
          <t>30001087</t>
        </is>
      </c>
      <c r="E1979" t="inlineStr">
        <is>
          <t>ussd_funeral_leads_altitude_20260619</t>
        </is>
      </c>
      <c r="J1979" t="inlineStr">
        <is>
          <t>ADC</t>
        </is>
      </c>
      <c r="K1979" t="inlineStr">
        <is>
          <t>Auto Dial Disconnected</t>
        </is>
      </c>
      <c r="L1979" t="n">
        <v>3</v>
      </c>
      <c r="M1979" t="inlineStr">
        <is>
          <t>2026-06-23 13:29:33</t>
        </is>
      </c>
      <c r="N1979" t="inlineStr">
        <is>
          <t>system</t>
        </is>
      </c>
      <c r="O1979" t="inlineStr">
        <is>
          <t>2026-06-19 07:10:32</t>
        </is>
      </c>
      <c r="P1979" t="inlineStr">
        <is>
          <t>2026-06-19 07:10:32</t>
        </is>
      </c>
      <c r="Y1979" t="inlineStr">
        <is>
          <t>27761613585</t>
        </is>
      </c>
    </row>
    <row r="1980">
      <c r="A1980" t="inlineStr">
        <is>
          <t>14945199</t>
        </is>
      </c>
      <c r="B1980" t="inlineStr">
        <is>
          <t>95ec16b7-5c2c-4ca3-95cb-b19d5e4f9e48</t>
        </is>
      </c>
      <c r="D1980" t="inlineStr">
        <is>
          <t>30001087</t>
        </is>
      </c>
      <c r="E1980" t="inlineStr">
        <is>
          <t>ussd_funeral_leads_altitude_20260619</t>
        </is>
      </c>
      <c r="J1980" t="inlineStr">
        <is>
          <t>TDN</t>
        </is>
      </c>
      <c r="K1980" t="inlineStr">
        <is>
          <t>Temporary Disconnected Number</t>
        </is>
      </c>
      <c r="L1980" t="n">
        <v>3</v>
      </c>
      <c r="M1980" t="inlineStr">
        <is>
          <t>2026-06-23 13:29:33</t>
        </is>
      </c>
      <c r="N1980" t="inlineStr">
        <is>
          <t>system</t>
        </is>
      </c>
      <c r="O1980" t="inlineStr">
        <is>
          <t>2026-06-19 07:10:32</t>
        </is>
      </c>
      <c r="P1980" t="inlineStr">
        <is>
          <t>2026-06-19 07:10:32</t>
        </is>
      </c>
      <c r="Y1980" t="inlineStr">
        <is>
          <t>27723576416</t>
        </is>
      </c>
    </row>
    <row r="1981">
      <c r="A1981" t="inlineStr">
        <is>
          <t>14945194</t>
        </is>
      </c>
      <c r="B1981" t="inlineStr">
        <is>
          <t>8ca49e73-c959-4c2a-b70b-b4cde6079001</t>
        </is>
      </c>
      <c r="D1981" t="inlineStr">
        <is>
          <t>30001087</t>
        </is>
      </c>
      <c r="E1981" t="inlineStr">
        <is>
          <t>ussd_funeral_leads_altitude_20260619</t>
        </is>
      </c>
      <c r="J1981" t="inlineStr">
        <is>
          <t>TDN</t>
        </is>
      </c>
      <c r="K1981" t="inlineStr">
        <is>
          <t>Temporary Disconnected Number</t>
        </is>
      </c>
      <c r="L1981" t="n">
        <v>3</v>
      </c>
      <c r="M1981" t="inlineStr">
        <is>
          <t>2026-06-23 13:29:32</t>
        </is>
      </c>
      <c r="N1981" t="inlineStr">
        <is>
          <t>system</t>
        </is>
      </c>
      <c r="O1981" t="inlineStr">
        <is>
          <t>2026-06-19 07:10:32</t>
        </is>
      </c>
      <c r="P1981" t="inlineStr">
        <is>
          <t>2026-06-19 07:10:32</t>
        </is>
      </c>
      <c r="Y1981" t="inlineStr">
        <is>
          <t>27726714057</t>
        </is>
      </c>
    </row>
    <row r="1982">
      <c r="A1982" t="inlineStr">
        <is>
          <t>14945196</t>
        </is>
      </c>
      <c r="B1982" t="inlineStr">
        <is>
          <t>706791bd-f161-4a00-8a62-b856a79fb3f2</t>
        </is>
      </c>
      <c r="D1982" t="inlineStr">
        <is>
          <t>30001087</t>
        </is>
      </c>
      <c r="E1982" t="inlineStr">
        <is>
          <t>ussd_funeral_leads_altitude_20260619</t>
        </is>
      </c>
      <c r="J1982" t="inlineStr">
        <is>
          <t>ADC</t>
        </is>
      </c>
      <c r="K1982" t="inlineStr">
        <is>
          <t>Auto Dial Disconnected</t>
        </is>
      </c>
      <c r="L1982" t="n">
        <v>3</v>
      </c>
      <c r="M1982" t="inlineStr">
        <is>
          <t>2026-06-23 13:29:32</t>
        </is>
      </c>
      <c r="N1982" t="inlineStr">
        <is>
          <t>system</t>
        </is>
      </c>
      <c r="O1982" t="inlineStr">
        <is>
          <t>2026-06-19 07:10:32</t>
        </is>
      </c>
      <c r="P1982" t="inlineStr">
        <is>
          <t>2026-06-19 07:10:32</t>
        </is>
      </c>
      <c r="Y1982" t="inlineStr">
        <is>
          <t>27723819618</t>
        </is>
      </c>
    </row>
    <row r="1983">
      <c r="A1983" t="inlineStr">
        <is>
          <t>14945197</t>
        </is>
      </c>
      <c r="B1983" t="inlineStr">
        <is>
          <t>406bea3f-0c9e-4190-bb1b-ff20c15a369f</t>
        </is>
      </c>
      <c r="D1983" t="inlineStr">
        <is>
          <t>30001087</t>
        </is>
      </c>
      <c r="E1983" t="inlineStr">
        <is>
          <t>ussd_funeral_leads_altitude_20260619</t>
        </is>
      </c>
      <c r="J1983" t="inlineStr">
        <is>
          <t>CU</t>
        </is>
      </c>
      <c r="K1983" t="inlineStr">
        <is>
          <t>Client Hung Up</t>
        </is>
      </c>
      <c r="L1983" t="n">
        <v>3</v>
      </c>
      <c r="M1983" t="inlineStr">
        <is>
          <t>2026-06-23 13:29:32</t>
        </is>
      </c>
      <c r="N1983" t="inlineStr">
        <is>
          <t>Lebohang Mabotja</t>
        </is>
      </c>
      <c r="O1983" t="inlineStr">
        <is>
          <t>2026-06-19 07:10:32</t>
        </is>
      </c>
      <c r="P1983" t="inlineStr">
        <is>
          <t>2026-06-19 07:10:32</t>
        </is>
      </c>
      <c r="Y1983" t="inlineStr">
        <is>
          <t>27660830946</t>
        </is>
      </c>
    </row>
    <row r="1984">
      <c r="A1984" t="inlineStr">
        <is>
          <t>14944789</t>
        </is>
      </c>
      <c r="B1984" t="inlineStr">
        <is>
          <t>8af795aa-4b24-46bd-b56a-42bb87c13bd5</t>
        </is>
      </c>
      <c r="D1984" t="inlineStr">
        <is>
          <t>30001087</t>
        </is>
      </c>
      <c r="E1984" t="inlineStr">
        <is>
          <t>ussd_funeral_leads_altitude_20260619</t>
        </is>
      </c>
      <c r="J1984" t="inlineStr">
        <is>
          <t>A</t>
        </is>
      </c>
      <c r="K1984" t="inlineStr">
        <is>
          <t>Answering Machine</t>
        </is>
      </c>
      <c r="L1984" t="n">
        <v>3</v>
      </c>
      <c r="M1984" t="inlineStr">
        <is>
          <t>2026-06-23 13:29:05</t>
        </is>
      </c>
      <c r="N1984" t="inlineStr">
        <is>
          <t>Lebohang Mabotja</t>
        </is>
      </c>
      <c r="O1984" t="inlineStr">
        <is>
          <t>2026-06-19 07:10:32</t>
        </is>
      </c>
      <c r="P1984" t="inlineStr">
        <is>
          <t>2026-06-19 07:10:32</t>
        </is>
      </c>
      <c r="Y1984" t="inlineStr">
        <is>
          <t>27648235783</t>
        </is>
      </c>
    </row>
    <row r="1985">
      <c r="A1985" t="inlineStr">
        <is>
          <t>14944787</t>
        </is>
      </c>
      <c r="B1985" t="inlineStr">
        <is>
          <t>1883c865-37af-473d-8b3e-8fbbec67dc29</t>
        </is>
      </c>
      <c r="D1985" t="inlineStr">
        <is>
          <t>30001087</t>
        </is>
      </c>
      <c r="E1985" t="inlineStr">
        <is>
          <t>ussd_funeral_leads_altitude_20260619</t>
        </is>
      </c>
      <c r="J1985" t="inlineStr">
        <is>
          <t>ADC</t>
        </is>
      </c>
      <c r="K1985" t="inlineStr">
        <is>
          <t>Auto Dial Disconnected</t>
        </is>
      </c>
      <c r="L1985" t="n">
        <v>3</v>
      </c>
      <c r="M1985" t="inlineStr">
        <is>
          <t>2026-06-23 13:29:03</t>
        </is>
      </c>
      <c r="N1985" t="inlineStr">
        <is>
          <t>system</t>
        </is>
      </c>
      <c r="O1985" t="inlineStr">
        <is>
          <t>2026-06-19 07:10:32</t>
        </is>
      </c>
      <c r="P1985" t="inlineStr">
        <is>
          <t>2026-06-19 07:10:32</t>
        </is>
      </c>
      <c r="Y1985" t="inlineStr">
        <is>
          <t>27607620991</t>
        </is>
      </c>
    </row>
    <row r="1986">
      <c r="A1986" t="inlineStr">
        <is>
          <t>14944788</t>
        </is>
      </c>
      <c r="B1986" t="inlineStr">
        <is>
          <t>f3abf310-f2ac-4b17-a20d-2c7a9d50dafb</t>
        </is>
      </c>
      <c r="D1986" t="inlineStr">
        <is>
          <t>30001087</t>
        </is>
      </c>
      <c r="E1986" t="inlineStr">
        <is>
          <t>ussd_funeral_leads_altitude_20260619</t>
        </is>
      </c>
      <c r="J1986" t="inlineStr">
        <is>
          <t>DROP</t>
        </is>
      </c>
      <c r="K1986" t="inlineStr">
        <is>
          <t>Dropped</t>
        </is>
      </c>
      <c r="L1986" t="n">
        <v>3</v>
      </c>
      <c r="M1986" t="inlineStr">
        <is>
          <t>2026-06-23 13:29:03</t>
        </is>
      </c>
      <c r="N1986" t="inlineStr">
        <is>
          <t>system</t>
        </is>
      </c>
      <c r="O1986" t="inlineStr">
        <is>
          <t>2026-06-19 07:10:32</t>
        </is>
      </c>
      <c r="P1986" t="inlineStr">
        <is>
          <t>2026-06-19 07:10:32</t>
        </is>
      </c>
      <c r="Y1986" t="inlineStr">
        <is>
          <t>27761608721</t>
        </is>
      </c>
    </row>
    <row r="1987">
      <c r="A1987" t="inlineStr">
        <is>
          <t>14947076</t>
        </is>
      </c>
      <c r="B1987" t="inlineStr">
        <is>
          <t>71a908c4-d1c4-409a-8e21-503c0b1853c1</t>
        </is>
      </c>
      <c r="D1987" t="inlineStr">
        <is>
          <t>30001087</t>
        </is>
      </c>
      <c r="E1987" t="inlineStr">
        <is>
          <t>ussd_funeral_leads_altitude_20260619</t>
        </is>
      </c>
      <c r="J1987" t="inlineStr">
        <is>
          <t>ADC</t>
        </is>
      </c>
      <c r="K1987" t="inlineStr">
        <is>
          <t>Auto Dial Disconnected</t>
        </is>
      </c>
      <c r="L1987" t="n">
        <v>3</v>
      </c>
      <c r="M1987" t="inlineStr">
        <is>
          <t>2026-06-23 13:29:03</t>
        </is>
      </c>
      <c r="N1987" t="inlineStr">
        <is>
          <t>system</t>
        </is>
      </c>
      <c r="O1987" t="inlineStr">
        <is>
          <t>2026-06-19 07:10:32</t>
        </is>
      </c>
      <c r="P1987" t="inlineStr">
        <is>
          <t>2026-06-19 07:10:32</t>
        </is>
      </c>
      <c r="Y1987" t="inlineStr">
        <is>
          <t>27818130312</t>
        </is>
      </c>
    </row>
    <row r="1988">
      <c r="A1988" t="inlineStr">
        <is>
          <t>14944784</t>
        </is>
      </c>
      <c r="B1988" t="inlineStr">
        <is>
          <t>bf9dffdd-3256-4609-9398-c5abf3c83c05</t>
        </is>
      </c>
      <c r="D1988" t="inlineStr">
        <is>
          <t>30001087</t>
        </is>
      </c>
      <c r="E1988" t="inlineStr">
        <is>
          <t>ussd_funeral_leads_altitude_20260619</t>
        </is>
      </c>
      <c r="J1988" t="inlineStr">
        <is>
          <t>AA</t>
        </is>
      </c>
      <c r="K1988" t="inlineStr">
        <is>
          <t>Answering Machine Autodial</t>
        </is>
      </c>
      <c r="L1988" t="n">
        <v>3</v>
      </c>
      <c r="M1988" t="inlineStr">
        <is>
          <t>2026-06-23 13:28:58</t>
        </is>
      </c>
      <c r="N1988" t="inlineStr">
        <is>
          <t>system</t>
        </is>
      </c>
      <c r="O1988" t="inlineStr">
        <is>
          <t>2026-06-19 07:10:32</t>
        </is>
      </c>
      <c r="P1988" t="inlineStr">
        <is>
          <t>2026-06-19 07:10:32</t>
        </is>
      </c>
      <c r="Y1988" t="inlineStr">
        <is>
          <t>27727490564</t>
        </is>
      </c>
    </row>
    <row r="1989">
      <c r="A1989" t="inlineStr">
        <is>
          <t>14944785</t>
        </is>
      </c>
      <c r="B1989" t="inlineStr">
        <is>
          <t>ba69a90d-e03e-40b5-9049-b50223efc38c</t>
        </is>
      </c>
      <c r="D1989" t="inlineStr">
        <is>
          <t>30001087</t>
        </is>
      </c>
      <c r="E1989" t="inlineStr">
        <is>
          <t>ussd_funeral_leads_altitude_20260619</t>
        </is>
      </c>
      <c r="J1989" t="inlineStr">
        <is>
          <t>DROP</t>
        </is>
      </c>
      <c r="K1989" t="inlineStr">
        <is>
          <t>Dropped</t>
        </is>
      </c>
      <c r="L1989" t="n">
        <v>3</v>
      </c>
      <c r="M1989" t="inlineStr">
        <is>
          <t>2026-06-23 13:28:58</t>
        </is>
      </c>
      <c r="N1989" t="inlineStr">
        <is>
          <t>system</t>
        </is>
      </c>
      <c r="O1989" t="inlineStr">
        <is>
          <t>2026-06-19 07:10:32</t>
        </is>
      </c>
      <c r="P1989" t="inlineStr">
        <is>
          <t>2026-06-19 07:10:32</t>
        </is>
      </c>
      <c r="Y1989" t="inlineStr">
        <is>
          <t>27673703119</t>
        </is>
      </c>
    </row>
    <row r="1990">
      <c r="A1990" t="inlineStr">
        <is>
          <t>14944786</t>
        </is>
      </c>
      <c r="B1990" t="inlineStr">
        <is>
          <t>14140ada-d1d2-4911-ad5c-7639f931fc45</t>
        </is>
      </c>
      <c r="D1990" t="inlineStr">
        <is>
          <t>30001087</t>
        </is>
      </c>
      <c r="E1990" t="inlineStr">
        <is>
          <t>ussd_funeral_leads_altitude_20260619</t>
        </is>
      </c>
      <c r="J1990" t="inlineStr">
        <is>
          <t>AA</t>
        </is>
      </c>
      <c r="K1990" t="inlineStr">
        <is>
          <t>Answering Machine Autodial</t>
        </is>
      </c>
      <c r="L1990" t="n">
        <v>3</v>
      </c>
      <c r="M1990" t="inlineStr">
        <is>
          <t>2026-06-23 13:28:58</t>
        </is>
      </c>
      <c r="N1990" t="inlineStr">
        <is>
          <t>system</t>
        </is>
      </c>
      <c r="O1990" t="inlineStr">
        <is>
          <t>2026-06-19 07:10:32</t>
        </is>
      </c>
      <c r="P1990" t="inlineStr">
        <is>
          <t>2026-06-19 07:10:32</t>
        </is>
      </c>
      <c r="Y1990" t="inlineStr">
        <is>
          <t>27796319266</t>
        </is>
      </c>
    </row>
    <row r="1991">
      <c r="A1991" t="inlineStr">
        <is>
          <t>14947077</t>
        </is>
      </c>
      <c r="B1991" t="inlineStr">
        <is>
          <t>d4e315ae-f944-44bc-b09a-becabda26de7</t>
        </is>
      </c>
      <c r="D1991" t="inlineStr">
        <is>
          <t>30001087</t>
        </is>
      </c>
      <c r="E1991" t="inlineStr">
        <is>
          <t>ussd_funeral_leads_altitude_20260619</t>
        </is>
      </c>
      <c r="J1991" t="inlineStr">
        <is>
          <t>CU</t>
        </is>
      </c>
      <c r="K1991" t="inlineStr">
        <is>
          <t>Client Hung Up</t>
        </is>
      </c>
      <c r="L1991" t="n">
        <v>3</v>
      </c>
      <c r="M1991" t="inlineStr">
        <is>
          <t>2026-06-23 13:28:58</t>
        </is>
      </c>
      <c r="N1991" t="inlineStr">
        <is>
          <t>Vuyiswa Nxumalo</t>
        </is>
      </c>
      <c r="O1991" t="inlineStr">
        <is>
          <t>2026-06-19 07:10:32</t>
        </is>
      </c>
      <c r="P1991" t="inlineStr">
        <is>
          <t>2026-06-19 07:10:32</t>
        </is>
      </c>
      <c r="Y1991" t="inlineStr">
        <is>
          <t>27729633739</t>
        </is>
      </c>
    </row>
    <row r="1992">
      <c r="A1992" t="inlineStr">
        <is>
          <t>14947078</t>
        </is>
      </c>
      <c r="B1992" t="inlineStr">
        <is>
          <t>a69fce0e-197e-430f-a4df-489d1c0f1cd0</t>
        </is>
      </c>
      <c r="D1992" t="inlineStr">
        <is>
          <t>30001087</t>
        </is>
      </c>
      <c r="E1992" t="inlineStr">
        <is>
          <t>ussd_funeral_leads_altitude_20260619</t>
        </is>
      </c>
      <c r="J1992" t="inlineStr">
        <is>
          <t>NA</t>
        </is>
      </c>
      <c r="K1992" t="inlineStr">
        <is>
          <t>No Answer Autodial</t>
        </is>
      </c>
      <c r="L1992" t="n">
        <v>3</v>
      </c>
      <c r="M1992" t="inlineStr">
        <is>
          <t>2026-06-23 13:28:58</t>
        </is>
      </c>
      <c r="N1992" t="inlineStr">
        <is>
          <t>system</t>
        </is>
      </c>
      <c r="O1992" t="inlineStr">
        <is>
          <t>2026-06-19 07:10:32</t>
        </is>
      </c>
      <c r="P1992" t="inlineStr">
        <is>
          <t>2026-06-19 07:10:32</t>
        </is>
      </c>
      <c r="Y1992" t="inlineStr">
        <is>
          <t>27797892769</t>
        </is>
      </c>
    </row>
    <row r="1993">
      <c r="A1993" t="inlineStr">
        <is>
          <t>14944783</t>
        </is>
      </c>
      <c r="B1993" t="inlineStr">
        <is>
          <t>bc2d2fd4-25ca-45ed-a7cf-808af7d84432</t>
        </is>
      </c>
      <c r="D1993" t="inlineStr">
        <is>
          <t>30001087</t>
        </is>
      </c>
      <c r="E1993" t="inlineStr">
        <is>
          <t>ussd_funeral_leads_altitude_20260619</t>
        </is>
      </c>
      <c r="J1993" t="inlineStr">
        <is>
          <t>ADC</t>
        </is>
      </c>
      <c r="K1993" t="inlineStr">
        <is>
          <t>Auto Dial Disconnected</t>
        </is>
      </c>
      <c r="L1993" t="n">
        <v>3</v>
      </c>
      <c r="M1993" t="inlineStr">
        <is>
          <t>2026-06-23 13:28:55</t>
        </is>
      </c>
      <c r="N1993" t="inlineStr">
        <is>
          <t>system</t>
        </is>
      </c>
      <c r="O1993" t="inlineStr">
        <is>
          <t>2026-06-19 07:10:32</t>
        </is>
      </c>
      <c r="P1993" t="inlineStr">
        <is>
          <t>2026-06-19 07:10:32</t>
        </is>
      </c>
      <c r="Y1993" t="inlineStr">
        <is>
          <t>27729760431</t>
        </is>
      </c>
    </row>
    <row r="1994">
      <c r="A1994" t="inlineStr">
        <is>
          <t>14947079</t>
        </is>
      </c>
      <c r="B1994" t="inlineStr">
        <is>
          <t>1ccb8d1d-c4b4-4715-b8f3-50edf740d616</t>
        </is>
      </c>
      <c r="D1994" t="inlineStr">
        <is>
          <t>30001087</t>
        </is>
      </c>
      <c r="E1994" t="inlineStr">
        <is>
          <t>ussd_funeral_leads_altitude_20260619</t>
        </is>
      </c>
      <c r="J1994" t="inlineStr">
        <is>
          <t>NA</t>
        </is>
      </c>
      <c r="K1994" t="inlineStr">
        <is>
          <t>No Answer Autodial</t>
        </is>
      </c>
      <c r="L1994" t="n">
        <v>3</v>
      </c>
      <c r="M1994" t="inlineStr">
        <is>
          <t>2026-06-23 13:28:55</t>
        </is>
      </c>
      <c r="N1994" t="inlineStr">
        <is>
          <t>system</t>
        </is>
      </c>
      <c r="O1994" t="inlineStr">
        <is>
          <t>2026-06-19 07:10:32</t>
        </is>
      </c>
      <c r="P1994" t="inlineStr">
        <is>
          <t>2026-06-19 07:10:32</t>
        </is>
      </c>
      <c r="Y1994" t="inlineStr">
        <is>
          <t>27790456540</t>
        </is>
      </c>
    </row>
    <row r="1995">
      <c r="A1995" t="inlineStr">
        <is>
          <t>14944782</t>
        </is>
      </c>
      <c r="B1995" t="inlineStr">
        <is>
          <t>1e2f1ef5-2146-4d93-bdf5-d7836fac511c</t>
        </is>
      </c>
      <c r="D1995" t="inlineStr">
        <is>
          <t>30001087</t>
        </is>
      </c>
      <c r="E1995" t="inlineStr">
        <is>
          <t>ussd_funeral_leads_altitude_20260619</t>
        </is>
      </c>
      <c r="J1995" t="inlineStr">
        <is>
          <t>AA</t>
        </is>
      </c>
      <c r="K1995" t="inlineStr">
        <is>
          <t>Answering Machine Autodial</t>
        </is>
      </c>
      <c r="L1995" t="n">
        <v>3</v>
      </c>
      <c r="M1995" t="inlineStr">
        <is>
          <t>2026-06-23 13:28:54</t>
        </is>
      </c>
      <c r="N1995" t="inlineStr">
        <is>
          <t>system</t>
        </is>
      </c>
      <c r="O1995" t="inlineStr">
        <is>
          <t>2026-06-19 07:10:32</t>
        </is>
      </c>
      <c r="P1995" t="inlineStr">
        <is>
          <t>2026-06-19 07:10:32</t>
        </is>
      </c>
      <c r="Y1995" t="inlineStr">
        <is>
          <t>27712549993</t>
        </is>
      </c>
    </row>
    <row r="1996">
      <c r="A1996" t="inlineStr">
        <is>
          <t>14947080</t>
        </is>
      </c>
      <c r="B1996" t="inlineStr">
        <is>
          <t>5b6ecb1f-d8a4-447c-a1c3-71b89e95bf74</t>
        </is>
      </c>
      <c r="D1996" t="inlineStr">
        <is>
          <t>30001087</t>
        </is>
      </c>
      <c r="E1996" t="inlineStr">
        <is>
          <t>ussd_funeral_leads_altitude_20260619</t>
        </is>
      </c>
      <c r="J1996" t="inlineStr">
        <is>
          <t>CU</t>
        </is>
      </c>
      <c r="K1996" t="inlineStr">
        <is>
          <t>Client Hung Up</t>
        </is>
      </c>
      <c r="L1996" t="n">
        <v>3</v>
      </c>
      <c r="M1996" t="inlineStr">
        <is>
          <t>2026-06-23 13:28:54</t>
        </is>
      </c>
      <c r="N1996" t="inlineStr">
        <is>
          <t>Dimakatso Nkomo</t>
        </is>
      </c>
      <c r="O1996" t="inlineStr">
        <is>
          <t>2026-06-19 07:10:32</t>
        </is>
      </c>
      <c r="P1996" t="inlineStr">
        <is>
          <t>2026-06-19 07:10:32</t>
        </is>
      </c>
      <c r="Y1996" t="inlineStr">
        <is>
          <t>27608074465</t>
        </is>
      </c>
    </row>
    <row r="1997">
      <c r="A1997" t="inlineStr">
        <is>
          <t>14947081</t>
        </is>
      </c>
      <c r="B1997" t="inlineStr">
        <is>
          <t>93e7aee2-d501-489a-b3d6-0bf8651c134c</t>
        </is>
      </c>
      <c r="D1997" t="inlineStr">
        <is>
          <t>30001087</t>
        </is>
      </c>
      <c r="E1997" t="inlineStr">
        <is>
          <t>ussd_funeral_leads_altitude_20260619</t>
        </is>
      </c>
      <c r="J1997" t="inlineStr">
        <is>
          <t>AA</t>
        </is>
      </c>
      <c r="K1997" t="inlineStr">
        <is>
          <t>Answering Machine Autodial</t>
        </is>
      </c>
      <c r="L1997" t="n">
        <v>3</v>
      </c>
      <c r="M1997" t="inlineStr">
        <is>
          <t>2026-06-23 13:28:54</t>
        </is>
      </c>
      <c r="N1997" t="inlineStr">
        <is>
          <t>system</t>
        </is>
      </c>
      <c r="O1997" t="inlineStr">
        <is>
          <t>2026-06-19 07:10:32</t>
        </is>
      </c>
      <c r="P1997" t="inlineStr">
        <is>
          <t>2026-06-19 07:10:32</t>
        </is>
      </c>
      <c r="Y1997" t="inlineStr">
        <is>
          <t>27720261724</t>
        </is>
      </c>
    </row>
    <row r="1998">
      <c r="A1998" t="inlineStr">
        <is>
          <t>14944766</t>
        </is>
      </c>
      <c r="B1998" t="inlineStr">
        <is>
          <t>d01e80b7-2c9c-411a-8adf-3b8c67e4133a</t>
        </is>
      </c>
      <c r="D1998" t="inlineStr">
        <is>
          <t>30001087</t>
        </is>
      </c>
      <c r="E1998" t="inlineStr">
        <is>
          <t>ussd_funeral_leads_altitude_20260619</t>
        </is>
      </c>
      <c r="J1998" t="inlineStr">
        <is>
          <t>AA</t>
        </is>
      </c>
      <c r="K1998" t="inlineStr">
        <is>
          <t>Answering Machine Autodial</t>
        </is>
      </c>
      <c r="L1998" t="n">
        <v>3</v>
      </c>
      <c r="M1998" t="inlineStr">
        <is>
          <t>2026-06-23 13:28:53</t>
        </is>
      </c>
      <c r="N1998" t="inlineStr">
        <is>
          <t>system</t>
        </is>
      </c>
      <c r="O1998" t="inlineStr">
        <is>
          <t>2026-06-19 07:10:32</t>
        </is>
      </c>
      <c r="P1998" t="inlineStr">
        <is>
          <t>2026-06-19 07:10:32</t>
        </is>
      </c>
      <c r="Y1998" t="inlineStr">
        <is>
          <t>27715637676</t>
        </is>
      </c>
    </row>
    <row r="1999">
      <c r="A1999" t="inlineStr">
        <is>
          <t>14944781</t>
        </is>
      </c>
      <c r="B1999" t="inlineStr">
        <is>
          <t>06255b1e-fc3f-4c42-a667-1ab26809c0ad</t>
        </is>
      </c>
      <c r="D1999" t="inlineStr">
        <is>
          <t>30001087</t>
        </is>
      </c>
      <c r="E1999" t="inlineStr">
        <is>
          <t>ussd_funeral_leads_altitude_20260619</t>
        </is>
      </c>
      <c r="J1999" t="inlineStr">
        <is>
          <t>AA</t>
        </is>
      </c>
      <c r="K1999" t="inlineStr">
        <is>
          <t>Answering Machine Autodial</t>
        </is>
      </c>
      <c r="L1999" t="n">
        <v>3</v>
      </c>
      <c r="M1999" t="inlineStr">
        <is>
          <t>2026-06-23 13:28:53</t>
        </is>
      </c>
      <c r="N1999" t="inlineStr">
        <is>
          <t>system</t>
        </is>
      </c>
      <c r="O1999" t="inlineStr">
        <is>
          <t>2026-06-19 07:10:32</t>
        </is>
      </c>
      <c r="P1999" t="inlineStr">
        <is>
          <t>2026-06-19 07:10:32</t>
        </is>
      </c>
      <c r="Y1999" t="inlineStr">
        <is>
          <t>27765046650</t>
        </is>
      </c>
    </row>
    <row r="2000">
      <c r="A2000" t="inlineStr">
        <is>
          <t>14947082</t>
        </is>
      </c>
      <c r="B2000" t="inlineStr">
        <is>
          <t>aeb8560b-6857-496c-9127-792dda83bda2</t>
        </is>
      </c>
      <c r="D2000" t="inlineStr">
        <is>
          <t>30001087</t>
        </is>
      </c>
      <c r="E2000" t="inlineStr">
        <is>
          <t>ussd_funeral_leads_altitude_20260619</t>
        </is>
      </c>
      <c r="J2000" t="inlineStr">
        <is>
          <t>AA</t>
        </is>
      </c>
      <c r="K2000" t="inlineStr">
        <is>
          <t>Answering Machine Autodial</t>
        </is>
      </c>
      <c r="L2000" t="n">
        <v>3</v>
      </c>
      <c r="M2000" t="inlineStr">
        <is>
          <t>2026-06-23 13:28:53</t>
        </is>
      </c>
      <c r="N2000" t="inlineStr">
        <is>
          <t>system</t>
        </is>
      </c>
      <c r="O2000" t="inlineStr">
        <is>
          <t>2026-06-19 07:10:32</t>
        </is>
      </c>
      <c r="P2000" t="inlineStr">
        <is>
          <t>2026-06-19 07:10:32</t>
        </is>
      </c>
      <c r="Y2000" t="inlineStr">
        <is>
          <t>27726319753</t>
        </is>
      </c>
    </row>
    <row r="2001">
      <c r="A2001" t="inlineStr">
        <is>
          <t>14944765</t>
        </is>
      </c>
      <c r="B2001" t="inlineStr">
        <is>
          <t>7f61cae7-8bc7-49d0-8abc-23154df4f0a1</t>
        </is>
      </c>
      <c r="D2001" t="inlineStr">
        <is>
          <t>30001087</t>
        </is>
      </c>
      <c r="E2001" t="inlineStr">
        <is>
          <t>ussd_funeral_leads_altitude_20260619</t>
        </is>
      </c>
      <c r="J2001" t="inlineStr">
        <is>
          <t>AA</t>
        </is>
      </c>
      <c r="K2001" t="inlineStr">
        <is>
          <t>Answering Machine Autodial</t>
        </is>
      </c>
      <c r="L2001" t="n">
        <v>3</v>
      </c>
      <c r="M2001" t="inlineStr">
        <is>
          <t>2026-06-23 13:28:52</t>
        </is>
      </c>
      <c r="N2001" t="inlineStr">
        <is>
          <t>system</t>
        </is>
      </c>
      <c r="O2001" t="inlineStr">
        <is>
          <t>2026-06-19 07:10:32</t>
        </is>
      </c>
      <c r="P2001" t="inlineStr">
        <is>
          <t>2026-06-19 07:10:32</t>
        </is>
      </c>
      <c r="Y2001" t="inlineStr">
        <is>
          <t>27765414351</t>
        </is>
      </c>
    </row>
    <row r="2002">
      <c r="A2002" t="inlineStr">
        <is>
          <t>14947084</t>
        </is>
      </c>
      <c r="B2002" t="inlineStr">
        <is>
          <t>d431dcc9-00dc-45a6-86fe-7cc9103d9804</t>
        </is>
      </c>
      <c r="D2002" t="inlineStr">
        <is>
          <t>30001087</t>
        </is>
      </c>
      <c r="E2002" t="inlineStr">
        <is>
          <t>ussd_funeral_leads_altitude_20260619</t>
        </is>
      </c>
      <c r="J2002" t="inlineStr">
        <is>
          <t>ADC</t>
        </is>
      </c>
      <c r="K2002" t="inlineStr">
        <is>
          <t>Auto Dial Disconnected</t>
        </is>
      </c>
      <c r="L2002" t="n">
        <v>3</v>
      </c>
      <c r="M2002" t="inlineStr">
        <is>
          <t>2026-06-23 13:28:52</t>
        </is>
      </c>
      <c r="N2002" t="inlineStr">
        <is>
          <t>system</t>
        </is>
      </c>
      <c r="O2002" t="inlineStr">
        <is>
          <t>2026-06-19 07:10:32</t>
        </is>
      </c>
      <c r="P2002" t="inlineStr">
        <is>
          <t>2026-06-19 07:10:32</t>
        </is>
      </c>
      <c r="Y2002" t="inlineStr">
        <is>
          <t>27774263299</t>
        </is>
      </c>
    </row>
    <row r="2003">
      <c r="A2003" t="inlineStr">
        <is>
          <t>14947083</t>
        </is>
      </c>
      <c r="B2003" t="inlineStr">
        <is>
          <t>8a81032b-5da8-4432-8272-0686a8bca088</t>
        </is>
      </c>
      <c r="D2003" t="inlineStr">
        <is>
          <t>30001087</t>
        </is>
      </c>
      <c r="E2003" t="inlineStr">
        <is>
          <t>ussd_funeral_leads_altitude_20260619</t>
        </is>
      </c>
      <c r="J2003" t="inlineStr">
        <is>
          <t>AA</t>
        </is>
      </c>
      <c r="K2003" t="inlineStr">
        <is>
          <t>Answering Machine Autodial</t>
        </is>
      </c>
      <c r="L2003" t="n">
        <v>3</v>
      </c>
      <c r="M2003" t="inlineStr">
        <is>
          <t>2026-06-23 13:28:50</t>
        </is>
      </c>
      <c r="N2003" t="inlineStr">
        <is>
          <t>system</t>
        </is>
      </c>
      <c r="O2003" t="inlineStr">
        <is>
          <t>2026-06-19 07:10:32</t>
        </is>
      </c>
      <c r="P2003" t="inlineStr">
        <is>
          <t>2026-06-19 07:10:32</t>
        </is>
      </c>
      <c r="Y2003" t="inlineStr">
        <is>
          <t>27797280764</t>
        </is>
      </c>
    </row>
    <row r="2004">
      <c r="A2004" t="inlineStr">
        <is>
          <t>14944762</t>
        </is>
      </c>
      <c r="B2004" t="inlineStr">
        <is>
          <t>8744eac1-853f-4829-bc37-25a1c43a206b</t>
        </is>
      </c>
      <c r="D2004" t="inlineStr">
        <is>
          <t>30001087</t>
        </is>
      </c>
      <c r="E2004" t="inlineStr">
        <is>
          <t>ussd_funeral_leads_altitude_20260619</t>
        </is>
      </c>
      <c r="J2004" t="inlineStr">
        <is>
          <t>AA</t>
        </is>
      </c>
      <c r="K2004" t="inlineStr">
        <is>
          <t>Answering Machine Autodial</t>
        </is>
      </c>
      <c r="L2004" t="n">
        <v>3</v>
      </c>
      <c r="M2004" t="inlineStr">
        <is>
          <t>2026-06-23 13:28:49</t>
        </is>
      </c>
      <c r="N2004" t="inlineStr">
        <is>
          <t>system</t>
        </is>
      </c>
      <c r="O2004" t="inlineStr">
        <is>
          <t>2026-06-19 07:10:32</t>
        </is>
      </c>
      <c r="P2004" t="inlineStr">
        <is>
          <t>2026-06-19 07:10:32</t>
        </is>
      </c>
      <c r="Y2004" t="inlineStr">
        <is>
          <t>27827280871</t>
        </is>
      </c>
    </row>
    <row r="2005">
      <c r="A2005" t="inlineStr">
        <is>
          <t>14944763</t>
        </is>
      </c>
      <c r="B2005" t="inlineStr">
        <is>
          <t>d21093f2-e1c7-4fd9-a2df-560bf4dc5379</t>
        </is>
      </c>
      <c r="D2005" t="inlineStr">
        <is>
          <t>30001087</t>
        </is>
      </c>
      <c r="E2005" t="inlineStr">
        <is>
          <t>ussd_funeral_leads_altitude_20260619</t>
        </is>
      </c>
      <c r="J2005" t="inlineStr">
        <is>
          <t>CU</t>
        </is>
      </c>
      <c r="K2005" t="inlineStr">
        <is>
          <t>Client Hung Up</t>
        </is>
      </c>
      <c r="L2005" t="n">
        <v>3</v>
      </c>
      <c r="M2005" t="inlineStr">
        <is>
          <t>2026-06-23 13:28:49</t>
        </is>
      </c>
      <c r="N2005" t="inlineStr">
        <is>
          <t>Gontse Monageng</t>
        </is>
      </c>
      <c r="O2005" t="inlineStr">
        <is>
          <t>2026-06-19 07:10:32</t>
        </is>
      </c>
      <c r="P2005" t="inlineStr">
        <is>
          <t>2026-06-19 07:10:32</t>
        </is>
      </c>
      <c r="Y2005" t="inlineStr">
        <is>
          <t>27646505667</t>
        </is>
      </c>
    </row>
    <row r="2006">
      <c r="A2006" t="inlineStr">
        <is>
          <t>14947086</t>
        </is>
      </c>
      <c r="B2006" t="inlineStr">
        <is>
          <t>43b48966-3c0a-4b8c-a65d-18cc8f6200e9</t>
        </is>
      </c>
      <c r="D2006" t="inlineStr">
        <is>
          <t>30001087</t>
        </is>
      </c>
      <c r="E2006" t="inlineStr">
        <is>
          <t>ussd_funeral_leads_altitude_20260619</t>
        </is>
      </c>
      <c r="J2006" t="inlineStr">
        <is>
          <t>AA</t>
        </is>
      </c>
      <c r="K2006" t="inlineStr">
        <is>
          <t>Answering Machine Autodial</t>
        </is>
      </c>
      <c r="L2006" t="n">
        <v>3</v>
      </c>
      <c r="M2006" t="inlineStr">
        <is>
          <t>2026-06-23 13:28:49</t>
        </is>
      </c>
      <c r="N2006" t="inlineStr">
        <is>
          <t>system</t>
        </is>
      </c>
      <c r="O2006" t="inlineStr">
        <is>
          <t>2026-06-19 07:10:32</t>
        </is>
      </c>
      <c r="P2006" t="inlineStr">
        <is>
          <t>2026-06-19 07:10:32</t>
        </is>
      </c>
      <c r="Y2006" t="inlineStr">
        <is>
          <t>27727264309</t>
        </is>
      </c>
    </row>
    <row r="2007">
      <c r="A2007" t="inlineStr">
        <is>
          <t>14947087</t>
        </is>
      </c>
      <c r="B2007" t="inlineStr">
        <is>
          <t>f9973457-9772-4e2e-9559-b7a9ab6ac038</t>
        </is>
      </c>
      <c r="D2007" t="inlineStr">
        <is>
          <t>30001087</t>
        </is>
      </c>
      <c r="E2007" t="inlineStr">
        <is>
          <t>ussd_funeral_leads_altitude_20260619</t>
        </is>
      </c>
      <c r="J2007" t="inlineStr">
        <is>
          <t>AA</t>
        </is>
      </c>
      <c r="K2007" t="inlineStr">
        <is>
          <t>Answering Machine Autodial</t>
        </is>
      </c>
      <c r="L2007" t="n">
        <v>3</v>
      </c>
      <c r="M2007" t="inlineStr">
        <is>
          <t>2026-06-23 13:28:48</t>
        </is>
      </c>
      <c r="N2007" t="inlineStr">
        <is>
          <t>system</t>
        </is>
      </c>
      <c r="O2007" t="inlineStr">
        <is>
          <t>2026-06-19 07:10:32</t>
        </is>
      </c>
      <c r="P2007" t="inlineStr">
        <is>
          <t>2026-06-19 07:10:32</t>
        </is>
      </c>
      <c r="Y2007" t="inlineStr">
        <is>
          <t>27722020730</t>
        </is>
      </c>
    </row>
    <row r="2008">
      <c r="A2008" t="inlineStr">
        <is>
          <t>14947194</t>
        </is>
      </c>
      <c r="B2008" t="inlineStr">
        <is>
          <t>fa3640df-d556-4091-b669-520fcf21fdf6</t>
        </is>
      </c>
      <c r="D2008" t="inlineStr">
        <is>
          <t>30001087</t>
        </is>
      </c>
      <c r="E2008" t="inlineStr">
        <is>
          <t>ussd_funeral_leads_altitude_20260619</t>
        </is>
      </c>
      <c r="J2008" t="inlineStr">
        <is>
          <t>AA</t>
        </is>
      </c>
      <c r="K2008" t="inlineStr">
        <is>
          <t>Answering Machine Autodial</t>
        </is>
      </c>
      <c r="L2008" t="n">
        <v>3</v>
      </c>
      <c r="M2008" t="inlineStr">
        <is>
          <t>2026-06-23 13:28:48</t>
        </is>
      </c>
      <c r="N2008" t="inlineStr">
        <is>
          <t>system</t>
        </is>
      </c>
      <c r="O2008" t="inlineStr">
        <is>
          <t>2026-06-19 07:10:32</t>
        </is>
      </c>
      <c r="P2008" t="inlineStr">
        <is>
          <t>2026-06-19 07:10:32</t>
        </is>
      </c>
      <c r="Y2008" t="inlineStr">
        <is>
          <t>27769139823</t>
        </is>
      </c>
    </row>
    <row r="2009">
      <c r="A2009" t="inlineStr">
        <is>
          <t>14947197</t>
        </is>
      </c>
      <c r="B2009" t="inlineStr">
        <is>
          <t>91294457-9fc8-415f-a32a-4872419af26e</t>
        </is>
      </c>
      <c r="D2009" t="inlineStr">
        <is>
          <t>30001087</t>
        </is>
      </c>
      <c r="E2009" t="inlineStr">
        <is>
          <t>ussd_funeral_leads_altitude_20260619</t>
        </is>
      </c>
      <c r="J2009" t="inlineStr">
        <is>
          <t>AA</t>
        </is>
      </c>
      <c r="K2009" t="inlineStr">
        <is>
          <t>Answering Machine Autodial</t>
        </is>
      </c>
      <c r="L2009" t="n">
        <v>3</v>
      </c>
      <c r="M2009" t="inlineStr">
        <is>
          <t>2026-06-23 13:28:48</t>
        </is>
      </c>
      <c r="N2009" t="inlineStr">
        <is>
          <t>system</t>
        </is>
      </c>
      <c r="O2009" t="inlineStr">
        <is>
          <t>2026-06-19 07:10:32</t>
        </is>
      </c>
      <c r="P2009" t="inlineStr">
        <is>
          <t>2026-06-19 07:10:32</t>
        </is>
      </c>
      <c r="Y2009" t="inlineStr">
        <is>
          <t>27799318379</t>
        </is>
      </c>
    </row>
    <row r="2010">
      <c r="A2010" t="inlineStr">
        <is>
          <t>14944764</t>
        </is>
      </c>
      <c r="B2010" t="inlineStr">
        <is>
          <t>7ecdb919-0c44-404f-98f5-f15e21248ff7</t>
        </is>
      </c>
      <c r="D2010" t="inlineStr">
        <is>
          <t>30001087</t>
        </is>
      </c>
      <c r="E2010" t="inlineStr">
        <is>
          <t>ussd_funeral_leads_altitude_20260619</t>
        </is>
      </c>
      <c r="J2010" t="inlineStr">
        <is>
          <t>AA</t>
        </is>
      </c>
      <c r="K2010" t="inlineStr">
        <is>
          <t>Answering Machine Autodial</t>
        </is>
      </c>
      <c r="L2010" t="n">
        <v>3</v>
      </c>
      <c r="M2010" t="inlineStr">
        <is>
          <t>2026-06-23 13:28:47</t>
        </is>
      </c>
      <c r="N2010" t="inlineStr">
        <is>
          <t>system</t>
        </is>
      </c>
      <c r="O2010" t="inlineStr">
        <is>
          <t>2026-06-19 07:10:32</t>
        </is>
      </c>
      <c r="P2010" t="inlineStr">
        <is>
          <t>2026-06-19 07:10:32</t>
        </is>
      </c>
      <c r="Y2010" t="inlineStr">
        <is>
          <t>27673539113</t>
        </is>
      </c>
    </row>
    <row r="2011">
      <c r="A2011" t="inlineStr">
        <is>
          <t>14947085</t>
        </is>
      </c>
      <c r="B2011" t="inlineStr">
        <is>
          <t>6f1903e5-2d78-4dd6-921a-a096b8410479</t>
        </is>
      </c>
      <c r="D2011" t="inlineStr">
        <is>
          <t>30001087</t>
        </is>
      </c>
      <c r="E2011" t="inlineStr">
        <is>
          <t>ussd_funeral_leads_altitude_20260619</t>
        </is>
      </c>
      <c r="J2011" t="inlineStr">
        <is>
          <t>AA</t>
        </is>
      </c>
      <c r="K2011" t="inlineStr">
        <is>
          <t>Answering Machine Autodial</t>
        </is>
      </c>
      <c r="L2011" t="n">
        <v>3</v>
      </c>
      <c r="M2011" t="inlineStr">
        <is>
          <t>2026-06-23 13:28:46</t>
        </is>
      </c>
      <c r="N2011" t="inlineStr">
        <is>
          <t>system</t>
        </is>
      </c>
      <c r="O2011" t="inlineStr">
        <is>
          <t>2026-06-19 07:10:32</t>
        </is>
      </c>
      <c r="P2011" t="inlineStr">
        <is>
          <t>2026-06-19 07:10:32</t>
        </is>
      </c>
      <c r="Y2011" t="inlineStr">
        <is>
          <t>27765686816</t>
        </is>
      </c>
    </row>
    <row r="2012">
      <c r="A2012" t="inlineStr">
        <is>
          <t>14947198</t>
        </is>
      </c>
      <c r="B2012" t="inlineStr">
        <is>
          <t>7d34cb88-4f65-4eaa-bd11-3fac72347124</t>
        </is>
      </c>
      <c r="D2012" t="inlineStr">
        <is>
          <t>30001087</t>
        </is>
      </c>
      <c r="E2012" t="inlineStr">
        <is>
          <t>ussd_funeral_leads_altitude_20260619</t>
        </is>
      </c>
      <c r="J2012" t="inlineStr">
        <is>
          <t>AA</t>
        </is>
      </c>
      <c r="K2012" t="inlineStr">
        <is>
          <t>Answering Machine Autodial</t>
        </is>
      </c>
      <c r="L2012" t="n">
        <v>3</v>
      </c>
      <c r="M2012" t="inlineStr">
        <is>
          <t>2026-06-23 13:28:43</t>
        </is>
      </c>
      <c r="N2012" t="inlineStr">
        <is>
          <t>system</t>
        </is>
      </c>
      <c r="O2012" t="inlineStr">
        <is>
          <t>2026-06-19 07:10:32</t>
        </is>
      </c>
      <c r="P2012" t="inlineStr">
        <is>
          <t>2026-06-19 07:10:32</t>
        </is>
      </c>
      <c r="Y2012" t="inlineStr">
        <is>
          <t>27794712953</t>
        </is>
      </c>
    </row>
    <row r="2013">
      <c r="A2013" t="inlineStr">
        <is>
          <t>14947199</t>
        </is>
      </c>
      <c r="B2013" t="inlineStr">
        <is>
          <t>b9df1d90-c6ab-47b8-aa94-01b4699cf3c8</t>
        </is>
      </c>
      <c r="D2013" t="inlineStr">
        <is>
          <t>30001087</t>
        </is>
      </c>
      <c r="E2013" t="inlineStr">
        <is>
          <t>ussd_funeral_leads_altitude_20260619</t>
        </is>
      </c>
      <c r="J2013" t="inlineStr">
        <is>
          <t>AA</t>
        </is>
      </c>
      <c r="K2013" t="inlineStr">
        <is>
          <t>Answering Machine Autodial</t>
        </is>
      </c>
      <c r="L2013" t="n">
        <v>3</v>
      </c>
      <c r="M2013" t="inlineStr">
        <is>
          <t>2026-06-23 13:28:34</t>
        </is>
      </c>
      <c r="N2013" t="inlineStr">
        <is>
          <t>system</t>
        </is>
      </c>
      <c r="O2013" t="inlineStr">
        <is>
          <t>2026-06-19 07:10:32</t>
        </is>
      </c>
      <c r="P2013" t="inlineStr">
        <is>
          <t>2026-06-19 07:10:32</t>
        </is>
      </c>
      <c r="Y2013" t="inlineStr">
        <is>
          <t>27664512998</t>
        </is>
      </c>
    </row>
    <row r="2014">
      <c r="A2014" t="inlineStr">
        <is>
          <t>14947200</t>
        </is>
      </c>
      <c r="B2014" t="inlineStr">
        <is>
          <t>bef6cf19-7067-4c6a-b493-f4905ef08cb7</t>
        </is>
      </c>
      <c r="D2014" t="inlineStr">
        <is>
          <t>30001087</t>
        </is>
      </c>
      <c r="E2014" t="inlineStr">
        <is>
          <t>ussd_funeral_leads_altitude_20260619</t>
        </is>
      </c>
      <c r="J2014" t="inlineStr">
        <is>
          <t>AA</t>
        </is>
      </c>
      <c r="K2014" t="inlineStr">
        <is>
          <t>Answering Machine Autodial</t>
        </is>
      </c>
      <c r="L2014" t="n">
        <v>3</v>
      </c>
      <c r="M2014" t="inlineStr">
        <is>
          <t>2026-06-23 13:28:33</t>
        </is>
      </c>
      <c r="N2014" t="inlineStr">
        <is>
          <t>system</t>
        </is>
      </c>
      <c r="O2014" t="inlineStr">
        <is>
          <t>2026-06-19 07:10:32</t>
        </is>
      </c>
      <c r="P2014" t="inlineStr">
        <is>
          <t>2026-06-19 07:10:32</t>
        </is>
      </c>
      <c r="Y2014" t="inlineStr">
        <is>
          <t>27665894619</t>
        </is>
      </c>
    </row>
    <row r="2015">
      <c r="A2015" t="inlineStr">
        <is>
          <t>14947201</t>
        </is>
      </c>
      <c r="B2015" t="inlineStr">
        <is>
          <t>799d7cef-17f1-49e8-b69f-63e539f8d3ee</t>
        </is>
      </c>
      <c r="D2015" t="inlineStr">
        <is>
          <t>30001087</t>
        </is>
      </c>
      <c r="E2015" t="inlineStr">
        <is>
          <t>ussd_funeral_leads_altitude_20260619</t>
        </is>
      </c>
      <c r="J2015" t="inlineStr">
        <is>
          <t>AA</t>
        </is>
      </c>
      <c r="K2015" t="inlineStr">
        <is>
          <t>Answering Machine Autodial</t>
        </is>
      </c>
      <c r="L2015" t="n">
        <v>3</v>
      </c>
      <c r="M2015" t="inlineStr">
        <is>
          <t>2026-06-23 13:28:33</t>
        </is>
      </c>
      <c r="N2015" t="inlineStr">
        <is>
          <t>system</t>
        </is>
      </c>
      <c r="O2015" t="inlineStr">
        <is>
          <t>2026-06-19 07:10:32</t>
        </is>
      </c>
      <c r="P2015" t="inlineStr">
        <is>
          <t>2026-06-19 07:10:32</t>
        </is>
      </c>
      <c r="Y2015" t="inlineStr">
        <is>
          <t>27761735901</t>
        </is>
      </c>
    </row>
    <row r="2016">
      <c r="A2016" t="inlineStr">
        <is>
          <t>14947204</t>
        </is>
      </c>
      <c r="B2016" t="inlineStr">
        <is>
          <t>d5b0af22-9cec-40f5-bee9-9bb5aa38e168</t>
        </is>
      </c>
      <c r="D2016" t="inlineStr">
        <is>
          <t>30001087</t>
        </is>
      </c>
      <c r="E2016" t="inlineStr">
        <is>
          <t>ussd_funeral_leads_altitude_20260619</t>
        </is>
      </c>
      <c r="J2016" t="inlineStr">
        <is>
          <t>AA</t>
        </is>
      </c>
      <c r="K2016" t="inlineStr">
        <is>
          <t>Answering Machine Autodial</t>
        </is>
      </c>
      <c r="L2016" t="n">
        <v>3</v>
      </c>
      <c r="M2016" t="inlineStr">
        <is>
          <t>2026-06-23 13:28:33</t>
        </is>
      </c>
      <c r="N2016" t="inlineStr">
        <is>
          <t>system</t>
        </is>
      </c>
      <c r="O2016" t="inlineStr">
        <is>
          <t>2026-06-19 07:10:32</t>
        </is>
      </c>
      <c r="P2016" t="inlineStr">
        <is>
          <t>2026-06-19 07:10:32</t>
        </is>
      </c>
      <c r="Y2016" t="inlineStr">
        <is>
          <t>27761011815</t>
        </is>
      </c>
    </row>
    <row r="2017">
      <c r="A2017" t="inlineStr">
        <is>
          <t>14947205</t>
        </is>
      </c>
      <c r="B2017" t="inlineStr">
        <is>
          <t>1024a977-0ec5-470b-b394-dd5c2d92370d</t>
        </is>
      </c>
      <c r="D2017" t="inlineStr">
        <is>
          <t>30001087</t>
        </is>
      </c>
      <c r="E2017" t="inlineStr">
        <is>
          <t>ussd_funeral_leads_altitude_20260619</t>
        </is>
      </c>
      <c r="J2017" t="inlineStr">
        <is>
          <t>TDN</t>
        </is>
      </c>
      <c r="K2017" t="inlineStr">
        <is>
          <t>Temporary Disconnected Number</t>
        </is>
      </c>
      <c r="L2017" t="n">
        <v>3</v>
      </c>
      <c r="M2017" t="inlineStr">
        <is>
          <t>2026-06-23 13:28:33</t>
        </is>
      </c>
      <c r="N2017" t="inlineStr">
        <is>
          <t>system</t>
        </is>
      </c>
      <c r="O2017" t="inlineStr">
        <is>
          <t>2026-06-19 07:10:32</t>
        </is>
      </c>
      <c r="P2017" t="inlineStr">
        <is>
          <t>2026-06-19 07:10:32</t>
        </is>
      </c>
      <c r="Y2017" t="inlineStr">
        <is>
          <t>27826686831</t>
        </is>
      </c>
    </row>
    <row r="2018">
      <c r="A2018" t="inlineStr">
        <is>
          <t>14947206</t>
        </is>
      </c>
      <c r="B2018" t="inlineStr">
        <is>
          <t>70ce6da3-7864-45a5-8c39-3c5534174d81</t>
        </is>
      </c>
      <c r="D2018" t="inlineStr">
        <is>
          <t>30001087</t>
        </is>
      </c>
      <c r="E2018" t="inlineStr">
        <is>
          <t>ussd_funeral_leads_altitude_20260619</t>
        </is>
      </c>
      <c r="J2018" t="inlineStr">
        <is>
          <t>ADC</t>
        </is>
      </c>
      <c r="K2018" t="inlineStr">
        <is>
          <t>Auto Dial Disconnected</t>
        </is>
      </c>
      <c r="L2018" t="n">
        <v>3</v>
      </c>
      <c r="M2018" t="inlineStr">
        <is>
          <t>2026-06-23 13:28:33</t>
        </is>
      </c>
      <c r="N2018" t="inlineStr">
        <is>
          <t>system</t>
        </is>
      </c>
      <c r="O2018" t="inlineStr">
        <is>
          <t>2026-06-19 07:10:32</t>
        </is>
      </c>
      <c r="P2018" t="inlineStr">
        <is>
          <t>2026-06-19 07:10:32</t>
        </is>
      </c>
      <c r="Y2018" t="inlineStr">
        <is>
          <t>27823406844</t>
        </is>
      </c>
    </row>
    <row r="2019">
      <c r="A2019" t="inlineStr">
        <is>
          <t>14947207</t>
        </is>
      </c>
      <c r="B2019" t="inlineStr">
        <is>
          <t>92fc0221-fa7a-40c5-b63b-f18f2985416f</t>
        </is>
      </c>
      <c r="D2019" t="inlineStr">
        <is>
          <t>30001087</t>
        </is>
      </c>
      <c r="E2019" t="inlineStr">
        <is>
          <t>ussd_funeral_leads_altitude_20260619</t>
        </is>
      </c>
      <c r="J2019" t="inlineStr">
        <is>
          <t>ADC</t>
        </is>
      </c>
      <c r="K2019" t="inlineStr">
        <is>
          <t>Auto Dial Disconnected</t>
        </is>
      </c>
      <c r="L2019" t="n">
        <v>3</v>
      </c>
      <c r="M2019" t="inlineStr">
        <is>
          <t>2026-06-23 13:28:33</t>
        </is>
      </c>
      <c r="N2019" t="inlineStr">
        <is>
          <t>system</t>
        </is>
      </c>
      <c r="O2019" t="inlineStr">
        <is>
          <t>2026-06-19 07:10:32</t>
        </is>
      </c>
      <c r="P2019" t="inlineStr">
        <is>
          <t>2026-06-19 07:10:32</t>
        </is>
      </c>
      <c r="Y2019" t="inlineStr">
        <is>
          <t>27774673142</t>
        </is>
      </c>
    </row>
    <row r="2020">
      <c r="A2020" t="inlineStr">
        <is>
          <t>14947208</t>
        </is>
      </c>
      <c r="B2020" t="inlineStr">
        <is>
          <t>a0a59427-b996-41c9-a41b-d0dfea762483</t>
        </is>
      </c>
      <c r="D2020" t="inlineStr">
        <is>
          <t>30001087</t>
        </is>
      </c>
      <c r="E2020" t="inlineStr">
        <is>
          <t>ussd_funeral_leads_altitude_20260619</t>
        </is>
      </c>
      <c r="J2020" t="inlineStr">
        <is>
          <t>AA</t>
        </is>
      </c>
      <c r="K2020" t="inlineStr">
        <is>
          <t>Answering Machine Autodial</t>
        </is>
      </c>
      <c r="L2020" t="n">
        <v>3</v>
      </c>
      <c r="M2020" t="inlineStr">
        <is>
          <t>2026-06-23 13:28:33</t>
        </is>
      </c>
      <c r="N2020" t="inlineStr">
        <is>
          <t>system</t>
        </is>
      </c>
      <c r="O2020" t="inlineStr">
        <is>
          <t>2026-06-19 07:10:32</t>
        </is>
      </c>
      <c r="P2020" t="inlineStr">
        <is>
          <t>2026-06-19 07:10:32</t>
        </is>
      </c>
      <c r="Y2020" t="inlineStr">
        <is>
          <t>27649821519</t>
        </is>
      </c>
    </row>
    <row r="2021">
      <c r="A2021" t="inlineStr">
        <is>
          <t>14947203</t>
        </is>
      </c>
      <c r="B2021" t="inlineStr">
        <is>
          <t>73169556-994c-4e01-8949-4022236235c1</t>
        </is>
      </c>
      <c r="D2021" t="inlineStr">
        <is>
          <t>30001087</t>
        </is>
      </c>
      <c r="E2021" t="inlineStr">
        <is>
          <t>ussd_funeral_leads_altitude_20260619</t>
        </is>
      </c>
      <c r="J2021" t="inlineStr">
        <is>
          <t>AA</t>
        </is>
      </c>
      <c r="K2021" t="inlineStr">
        <is>
          <t>Answering Machine Autodial</t>
        </is>
      </c>
      <c r="L2021" t="n">
        <v>3</v>
      </c>
      <c r="M2021" t="inlineStr">
        <is>
          <t>2026-06-23 13:28:32</t>
        </is>
      </c>
      <c r="N2021" t="inlineStr">
        <is>
          <t>system</t>
        </is>
      </c>
      <c r="O2021" t="inlineStr">
        <is>
          <t>2026-06-19 07:10:32</t>
        </is>
      </c>
      <c r="P2021" t="inlineStr">
        <is>
          <t>2026-06-19 07:10:32</t>
        </is>
      </c>
      <c r="Y2021" t="inlineStr">
        <is>
          <t>27662579285</t>
        </is>
      </c>
    </row>
    <row r="2022">
      <c r="A2022" t="inlineStr">
        <is>
          <t>14947209</t>
        </is>
      </c>
      <c r="B2022" t="inlineStr">
        <is>
          <t>72248db6-d9a5-49ca-b6ad-5da09db8d967</t>
        </is>
      </c>
      <c r="D2022" t="inlineStr">
        <is>
          <t>30001087</t>
        </is>
      </c>
      <c r="E2022" t="inlineStr">
        <is>
          <t>ussd_funeral_leads_altitude_20260619</t>
        </is>
      </c>
      <c r="J2022" t="inlineStr">
        <is>
          <t>AE</t>
        </is>
      </c>
      <c r="K2022" t="inlineStr">
        <is>
          <t>Auto Engaged</t>
        </is>
      </c>
      <c r="L2022" t="n">
        <v>3</v>
      </c>
      <c r="M2022" t="inlineStr">
        <is>
          <t>2026-06-23 13:28:32</t>
        </is>
      </c>
      <c r="N2022" t="inlineStr">
        <is>
          <t>system</t>
        </is>
      </c>
      <c r="O2022" t="inlineStr">
        <is>
          <t>2026-06-19 07:10:32</t>
        </is>
      </c>
      <c r="P2022" t="inlineStr">
        <is>
          <t>2026-06-19 07:10:32</t>
        </is>
      </c>
      <c r="Y2022" t="inlineStr">
        <is>
          <t>27761031878</t>
        </is>
      </c>
    </row>
    <row r="2023">
      <c r="A2023" t="inlineStr">
        <is>
          <t>14947210</t>
        </is>
      </c>
      <c r="B2023" t="inlineStr">
        <is>
          <t>5627f964-24c1-4e59-b820-1b2bd7deb600</t>
        </is>
      </c>
      <c r="D2023" t="inlineStr">
        <is>
          <t>30001087</t>
        </is>
      </c>
      <c r="E2023" t="inlineStr">
        <is>
          <t>ussd_funeral_leads_altitude_20260619</t>
        </is>
      </c>
      <c r="J2023" t="inlineStr">
        <is>
          <t>AA</t>
        </is>
      </c>
      <c r="K2023" t="inlineStr">
        <is>
          <t>Answering Machine Autodial</t>
        </is>
      </c>
      <c r="L2023" t="n">
        <v>3</v>
      </c>
      <c r="M2023" t="inlineStr">
        <is>
          <t>2026-06-23 13:28:32</t>
        </is>
      </c>
      <c r="N2023" t="inlineStr">
        <is>
          <t>system</t>
        </is>
      </c>
      <c r="O2023" t="inlineStr">
        <is>
          <t>2026-06-19 07:10:32</t>
        </is>
      </c>
      <c r="P2023" t="inlineStr">
        <is>
          <t>2026-06-19 07:10:32</t>
        </is>
      </c>
      <c r="Y2023" t="inlineStr">
        <is>
          <t>27797364142</t>
        </is>
      </c>
    </row>
    <row r="2024">
      <c r="A2024" t="inlineStr">
        <is>
          <t>14947211</t>
        </is>
      </c>
      <c r="B2024" t="inlineStr">
        <is>
          <t>c20b9ec6-8c04-49cc-8467-027e8bf2ec15</t>
        </is>
      </c>
      <c r="D2024" t="inlineStr">
        <is>
          <t>30001087</t>
        </is>
      </c>
      <c r="E2024" t="inlineStr">
        <is>
          <t>ussd_funeral_leads_altitude_20260619</t>
        </is>
      </c>
      <c r="J2024" t="inlineStr">
        <is>
          <t>AA</t>
        </is>
      </c>
      <c r="K2024" t="inlineStr">
        <is>
          <t>Answering Machine Autodial</t>
        </is>
      </c>
      <c r="L2024" t="n">
        <v>3</v>
      </c>
      <c r="M2024" t="inlineStr">
        <is>
          <t>2026-06-23 13:28:30</t>
        </is>
      </c>
      <c r="N2024" t="inlineStr">
        <is>
          <t>system</t>
        </is>
      </c>
      <c r="O2024" t="inlineStr">
        <is>
          <t>2026-06-19 07:10:32</t>
        </is>
      </c>
      <c r="P2024" t="inlineStr">
        <is>
          <t>2026-06-19 07:10:32</t>
        </is>
      </c>
      <c r="Y2024" t="inlineStr">
        <is>
          <t>27711148512</t>
        </is>
      </c>
    </row>
    <row r="2025">
      <c r="A2025" t="inlineStr">
        <is>
          <t>14947212</t>
        </is>
      </c>
      <c r="B2025" t="inlineStr">
        <is>
          <t>4679379f-1ef2-4abd-b16a-2e874754f696</t>
        </is>
      </c>
      <c r="D2025" t="inlineStr">
        <is>
          <t>30001087</t>
        </is>
      </c>
      <c r="E2025" t="inlineStr">
        <is>
          <t>ussd_funeral_leads_altitude_20260619</t>
        </is>
      </c>
      <c r="J2025" t="inlineStr">
        <is>
          <t>AA</t>
        </is>
      </c>
      <c r="K2025" t="inlineStr">
        <is>
          <t>Answering Machine Autodial</t>
        </is>
      </c>
      <c r="L2025" t="n">
        <v>3</v>
      </c>
      <c r="M2025" t="inlineStr">
        <is>
          <t>2026-06-23 13:28:30</t>
        </is>
      </c>
      <c r="N2025" t="inlineStr">
        <is>
          <t>system</t>
        </is>
      </c>
      <c r="O2025" t="inlineStr">
        <is>
          <t>2026-06-19 07:10:32</t>
        </is>
      </c>
      <c r="P2025" t="inlineStr">
        <is>
          <t>2026-06-19 07:10:32</t>
        </is>
      </c>
      <c r="Y2025" t="inlineStr">
        <is>
          <t>27727392379</t>
        </is>
      </c>
    </row>
    <row r="2026">
      <c r="A2026" t="inlineStr">
        <is>
          <t>14947213</t>
        </is>
      </c>
      <c r="B2026" t="inlineStr">
        <is>
          <t>f30e71db-5631-4fe9-a7e0-c4ed1af7307b</t>
        </is>
      </c>
      <c r="D2026" t="inlineStr">
        <is>
          <t>30001087</t>
        </is>
      </c>
      <c r="E2026" t="inlineStr">
        <is>
          <t>ussd_funeral_leads_altitude_20260619</t>
        </is>
      </c>
      <c r="J2026" t="inlineStr">
        <is>
          <t>ADC</t>
        </is>
      </c>
      <c r="K2026" t="inlineStr">
        <is>
          <t>Auto Dial Disconnected</t>
        </is>
      </c>
      <c r="L2026" t="n">
        <v>3</v>
      </c>
      <c r="M2026" t="inlineStr">
        <is>
          <t>2026-06-23 13:28:29</t>
        </is>
      </c>
      <c r="N2026" t="inlineStr">
        <is>
          <t>system</t>
        </is>
      </c>
      <c r="O2026" t="inlineStr">
        <is>
          <t>2026-06-19 07:10:32</t>
        </is>
      </c>
      <c r="P2026" t="inlineStr">
        <is>
          <t>2026-06-19 07:10:32</t>
        </is>
      </c>
      <c r="Y2026" t="inlineStr">
        <is>
          <t>27792908109</t>
        </is>
      </c>
    </row>
    <row r="2027">
      <c r="A2027" t="inlineStr">
        <is>
          <t>14947214</t>
        </is>
      </c>
      <c r="B2027" t="inlineStr">
        <is>
          <t>af22f4a7-8779-4570-a879-1b830b4e34b4</t>
        </is>
      </c>
      <c r="D2027" t="inlineStr">
        <is>
          <t>30001087</t>
        </is>
      </c>
      <c r="E2027" t="inlineStr">
        <is>
          <t>ussd_funeral_leads_altitude_20260619</t>
        </is>
      </c>
      <c r="H2027" t="inlineStr">
        <is>
          <t>27769907960</t>
        </is>
      </c>
      <c r="J2027" t="inlineStr">
        <is>
          <t>AA</t>
        </is>
      </c>
      <c r="K2027" t="inlineStr">
        <is>
          <t>Answering Machine Autodial</t>
        </is>
      </c>
      <c r="L2027" t="n">
        <v>3</v>
      </c>
      <c r="M2027" t="inlineStr">
        <is>
          <t>2026-06-23 13:28:29</t>
        </is>
      </c>
      <c r="N2027" t="inlineStr">
        <is>
          <t>system</t>
        </is>
      </c>
      <c r="O2027" t="inlineStr">
        <is>
          <t>2026-06-19 07:10:32</t>
        </is>
      </c>
      <c r="P2027" t="inlineStr">
        <is>
          <t>2026-06-19 07:10:32</t>
        </is>
      </c>
      <c r="Y2027" t="inlineStr">
        <is>
          <t>27769907960</t>
        </is>
      </c>
    </row>
    <row r="2028">
      <c r="A2028" t="inlineStr">
        <is>
          <t>14947215</t>
        </is>
      </c>
      <c r="B2028" t="inlineStr">
        <is>
          <t>af738aa8-479d-4be1-a71f-1c41c30788e7</t>
        </is>
      </c>
      <c r="D2028" t="inlineStr">
        <is>
          <t>30001087</t>
        </is>
      </c>
      <c r="E2028" t="inlineStr">
        <is>
          <t>ussd_funeral_leads_altitude_20260619</t>
        </is>
      </c>
      <c r="J2028" t="inlineStr">
        <is>
          <t>ADC</t>
        </is>
      </c>
      <c r="K2028" t="inlineStr">
        <is>
          <t>Auto Dial Disconnected</t>
        </is>
      </c>
      <c r="L2028" t="n">
        <v>3</v>
      </c>
      <c r="M2028" t="inlineStr">
        <is>
          <t>2026-06-23 13:28:28</t>
        </is>
      </c>
      <c r="N2028" t="inlineStr">
        <is>
          <t>system</t>
        </is>
      </c>
      <c r="O2028" t="inlineStr">
        <is>
          <t>2026-06-19 07:10:32</t>
        </is>
      </c>
      <c r="P2028" t="inlineStr">
        <is>
          <t>2026-06-19 07:10:32</t>
        </is>
      </c>
      <c r="Y2028" t="inlineStr">
        <is>
          <t>27772858052</t>
        </is>
      </c>
    </row>
    <row r="2029">
      <c r="A2029" t="inlineStr">
        <is>
          <t>14947216</t>
        </is>
      </c>
      <c r="B2029" t="inlineStr">
        <is>
          <t>62ba2588-a1d5-4bc2-b013-78531bc7c95e</t>
        </is>
      </c>
      <c r="D2029" t="inlineStr">
        <is>
          <t>30001087</t>
        </is>
      </c>
      <c r="E2029" t="inlineStr">
        <is>
          <t>ussd_funeral_leads_altitude_20260619</t>
        </is>
      </c>
      <c r="J2029" t="inlineStr">
        <is>
          <t>AA</t>
        </is>
      </c>
      <c r="K2029" t="inlineStr">
        <is>
          <t>Answering Machine Autodial</t>
        </is>
      </c>
      <c r="L2029" t="n">
        <v>3</v>
      </c>
      <c r="M2029" t="inlineStr">
        <is>
          <t>2026-06-23 13:28:28</t>
        </is>
      </c>
      <c r="N2029" t="inlineStr">
        <is>
          <t>system</t>
        </is>
      </c>
      <c r="O2029" t="inlineStr">
        <is>
          <t>2026-06-19 07:10:32</t>
        </is>
      </c>
      <c r="P2029" t="inlineStr">
        <is>
          <t>2026-06-19 07:10:32</t>
        </is>
      </c>
      <c r="Y2029" t="inlineStr">
        <is>
          <t>27822062482</t>
        </is>
      </c>
    </row>
    <row r="2030">
      <c r="A2030" t="inlineStr">
        <is>
          <t>14947217</t>
        </is>
      </c>
      <c r="B2030" t="inlineStr">
        <is>
          <t>fc3c1041-59df-45bf-a522-4ee8be021f32</t>
        </is>
      </c>
      <c r="D2030" t="inlineStr">
        <is>
          <t>30001087</t>
        </is>
      </c>
      <c r="E2030" t="inlineStr">
        <is>
          <t>ussd_funeral_leads_altitude_20260619</t>
        </is>
      </c>
      <c r="J2030" t="inlineStr">
        <is>
          <t>NA</t>
        </is>
      </c>
      <c r="K2030" t="inlineStr">
        <is>
          <t>No Answer Autodial</t>
        </is>
      </c>
      <c r="L2030" t="n">
        <v>3</v>
      </c>
      <c r="M2030" t="inlineStr">
        <is>
          <t>2026-06-23 13:28:28</t>
        </is>
      </c>
      <c r="N2030" t="inlineStr">
        <is>
          <t>system</t>
        </is>
      </c>
      <c r="O2030" t="inlineStr">
        <is>
          <t>2026-06-19 07:10:32</t>
        </is>
      </c>
      <c r="P2030" t="inlineStr">
        <is>
          <t>2026-06-19 07:10:32</t>
        </is>
      </c>
      <c r="Y2030" t="inlineStr">
        <is>
          <t>27769163940</t>
        </is>
      </c>
    </row>
    <row r="2031">
      <c r="A2031" t="inlineStr">
        <is>
          <t>14947218</t>
        </is>
      </c>
      <c r="B2031" t="inlineStr">
        <is>
          <t>61607303-042a-4b06-94c2-94a9665e90f7</t>
        </is>
      </c>
      <c r="D2031" t="inlineStr">
        <is>
          <t>30001087</t>
        </is>
      </c>
      <c r="E2031" t="inlineStr">
        <is>
          <t>ussd_funeral_leads_altitude_20260619</t>
        </is>
      </c>
      <c r="J2031" t="inlineStr">
        <is>
          <t>TDN</t>
        </is>
      </c>
      <c r="K2031" t="inlineStr">
        <is>
          <t>Temporary Disconnected Number</t>
        </is>
      </c>
      <c r="L2031" t="n">
        <v>3</v>
      </c>
      <c r="M2031" t="inlineStr">
        <is>
          <t>2026-06-23 13:28:27</t>
        </is>
      </c>
      <c r="N2031" t="inlineStr">
        <is>
          <t>system</t>
        </is>
      </c>
      <c r="O2031" t="inlineStr">
        <is>
          <t>2026-06-19 07:10:32</t>
        </is>
      </c>
      <c r="P2031" t="inlineStr">
        <is>
          <t>2026-06-19 07:10:32</t>
        </is>
      </c>
      <c r="Y2031" t="inlineStr">
        <is>
          <t>27675570345</t>
        </is>
      </c>
    </row>
    <row r="2032">
      <c r="A2032" t="inlineStr">
        <is>
          <t>14947219</t>
        </is>
      </c>
      <c r="B2032" t="inlineStr">
        <is>
          <t>4c2c052b-3aff-4cef-8532-aa4bfe49ebea</t>
        </is>
      </c>
      <c r="D2032" t="inlineStr">
        <is>
          <t>30001087</t>
        </is>
      </c>
      <c r="E2032" t="inlineStr">
        <is>
          <t>ussd_funeral_leads_altitude_20260619</t>
        </is>
      </c>
      <c r="J2032" t="inlineStr">
        <is>
          <t>AA</t>
        </is>
      </c>
      <c r="K2032" t="inlineStr">
        <is>
          <t>Answering Machine Autodial</t>
        </is>
      </c>
      <c r="L2032" t="n">
        <v>3</v>
      </c>
      <c r="M2032" t="inlineStr">
        <is>
          <t>2026-06-23 13:28:27</t>
        </is>
      </c>
      <c r="N2032" t="inlineStr">
        <is>
          <t>system</t>
        </is>
      </c>
      <c r="O2032" t="inlineStr">
        <is>
          <t>2026-06-19 07:10:32</t>
        </is>
      </c>
      <c r="P2032" t="inlineStr">
        <is>
          <t>2026-06-19 07:10:32</t>
        </is>
      </c>
      <c r="Y2032" t="inlineStr">
        <is>
          <t>27765116841</t>
        </is>
      </c>
    </row>
    <row r="2033">
      <c r="A2033" t="inlineStr">
        <is>
          <t>14947220</t>
        </is>
      </c>
      <c r="B2033" t="inlineStr">
        <is>
          <t>ac9e814e-a118-49c7-8ddb-9a7266af567d</t>
        </is>
      </c>
      <c r="D2033" t="inlineStr">
        <is>
          <t>30001087</t>
        </is>
      </c>
      <c r="E2033" t="inlineStr">
        <is>
          <t>ussd_funeral_leads_altitude_20260619</t>
        </is>
      </c>
      <c r="J2033" t="inlineStr">
        <is>
          <t>ADC</t>
        </is>
      </c>
      <c r="K2033" t="inlineStr">
        <is>
          <t>Auto Dial Disconnected</t>
        </is>
      </c>
      <c r="L2033" t="n">
        <v>3</v>
      </c>
      <c r="M2033" t="inlineStr">
        <is>
          <t>2026-06-23 13:28:25</t>
        </is>
      </c>
      <c r="N2033" t="inlineStr">
        <is>
          <t>system</t>
        </is>
      </c>
      <c r="O2033" t="inlineStr">
        <is>
          <t>2026-06-19 07:10:32</t>
        </is>
      </c>
      <c r="P2033" t="inlineStr">
        <is>
          <t>2026-06-19 07:10:32</t>
        </is>
      </c>
      <c r="Y2033" t="inlineStr">
        <is>
          <t>27729112074</t>
        </is>
      </c>
    </row>
    <row r="2034">
      <c r="A2034" t="inlineStr">
        <is>
          <t>14947221</t>
        </is>
      </c>
      <c r="B2034" t="inlineStr">
        <is>
          <t>b8d980f8-056d-4d53-ba7e-d4eab08961b6</t>
        </is>
      </c>
      <c r="D2034" t="inlineStr">
        <is>
          <t>30001087</t>
        </is>
      </c>
      <c r="E2034" t="inlineStr">
        <is>
          <t>ussd_funeral_leads_altitude_20260619</t>
        </is>
      </c>
      <c r="J2034" t="inlineStr">
        <is>
          <t>AA</t>
        </is>
      </c>
      <c r="K2034" t="inlineStr">
        <is>
          <t>Answering Machine Autodial</t>
        </is>
      </c>
      <c r="L2034" t="n">
        <v>3</v>
      </c>
      <c r="M2034" t="inlineStr">
        <is>
          <t>2026-06-23 13:28:24</t>
        </is>
      </c>
      <c r="N2034" t="inlineStr">
        <is>
          <t>system</t>
        </is>
      </c>
      <c r="O2034" t="inlineStr">
        <is>
          <t>2026-06-19 07:10:32</t>
        </is>
      </c>
      <c r="P2034" t="inlineStr">
        <is>
          <t>2026-06-19 07:10:32</t>
        </is>
      </c>
      <c r="Y2034" t="inlineStr">
        <is>
          <t>27822230253</t>
        </is>
      </c>
    </row>
    <row r="2035">
      <c r="A2035" t="inlineStr">
        <is>
          <t>14947223</t>
        </is>
      </c>
      <c r="B2035" t="inlineStr">
        <is>
          <t>5b8ddfab-b0c2-4665-bcfe-9c0311c26658</t>
        </is>
      </c>
      <c r="D2035" t="inlineStr">
        <is>
          <t>30001087</t>
        </is>
      </c>
      <c r="E2035" t="inlineStr">
        <is>
          <t>ussd_funeral_leads_altitude_20260619</t>
        </is>
      </c>
      <c r="J2035" t="inlineStr">
        <is>
          <t>ADC</t>
        </is>
      </c>
      <c r="K2035" t="inlineStr">
        <is>
          <t>Auto Dial Disconnected</t>
        </is>
      </c>
      <c r="L2035" t="n">
        <v>3</v>
      </c>
      <c r="M2035" t="inlineStr">
        <is>
          <t>2026-06-23 13:28:24</t>
        </is>
      </c>
      <c r="N2035" t="inlineStr">
        <is>
          <t>system</t>
        </is>
      </c>
      <c r="O2035" t="inlineStr">
        <is>
          <t>2026-06-19 07:10:32</t>
        </is>
      </c>
      <c r="P2035" t="inlineStr">
        <is>
          <t>2026-06-19 07:10:32</t>
        </is>
      </c>
      <c r="Y2035" t="inlineStr">
        <is>
          <t>27648943792</t>
        </is>
      </c>
    </row>
    <row r="2036">
      <c r="A2036" t="inlineStr">
        <is>
          <t>14947088</t>
        </is>
      </c>
      <c r="B2036" t="inlineStr">
        <is>
          <t>72ca8b0e-436e-4c15-80c5-6b2a4e2eb4d6</t>
        </is>
      </c>
      <c r="D2036" t="inlineStr">
        <is>
          <t>30001087</t>
        </is>
      </c>
      <c r="E2036" t="inlineStr">
        <is>
          <t>ussd_funeral_leads_altitude_20260619</t>
        </is>
      </c>
      <c r="J2036" t="inlineStr">
        <is>
          <t>AA</t>
        </is>
      </c>
      <c r="K2036" t="inlineStr">
        <is>
          <t>Answering Machine Autodial</t>
        </is>
      </c>
      <c r="L2036" t="n">
        <v>3</v>
      </c>
      <c r="M2036" t="inlineStr">
        <is>
          <t>2026-06-23 13:28:19</t>
        </is>
      </c>
      <c r="N2036" t="inlineStr">
        <is>
          <t>system</t>
        </is>
      </c>
      <c r="O2036" t="inlineStr">
        <is>
          <t>2026-06-19 07:10:32</t>
        </is>
      </c>
      <c r="P2036" t="inlineStr">
        <is>
          <t>2026-06-19 07:10:32</t>
        </is>
      </c>
      <c r="Y2036" t="inlineStr">
        <is>
          <t>27648761411</t>
        </is>
      </c>
    </row>
    <row r="2037">
      <c r="A2037" t="inlineStr">
        <is>
          <t>14947126</t>
        </is>
      </c>
      <c r="B2037" t="inlineStr">
        <is>
          <t>d0414dab-0797-46e4-9273-b9b9bbcc1105</t>
        </is>
      </c>
      <c r="D2037" t="inlineStr">
        <is>
          <t>30001087</t>
        </is>
      </c>
      <c r="E2037" t="inlineStr">
        <is>
          <t>ussd_funeral_leads_altitude_20260619</t>
        </is>
      </c>
      <c r="J2037" t="inlineStr">
        <is>
          <t>AA</t>
        </is>
      </c>
      <c r="K2037" t="inlineStr">
        <is>
          <t>Answering Machine Autodial</t>
        </is>
      </c>
      <c r="L2037" t="n">
        <v>3</v>
      </c>
      <c r="M2037" t="inlineStr">
        <is>
          <t>2026-06-23 13:28:18</t>
        </is>
      </c>
      <c r="N2037" t="inlineStr">
        <is>
          <t>system</t>
        </is>
      </c>
      <c r="O2037" t="inlineStr">
        <is>
          <t>2026-06-19 07:10:32</t>
        </is>
      </c>
      <c r="P2037" t="inlineStr">
        <is>
          <t>2026-06-19 07:10:32</t>
        </is>
      </c>
      <c r="Y2037" t="inlineStr">
        <is>
          <t>27790886205</t>
        </is>
      </c>
    </row>
    <row r="2038">
      <c r="A2038" t="inlineStr">
        <is>
          <t>14947129</t>
        </is>
      </c>
      <c r="B2038" t="inlineStr">
        <is>
          <t>4f500b32-ac48-4281-aaa5-465be62ffa16</t>
        </is>
      </c>
      <c r="D2038" t="inlineStr">
        <is>
          <t>30001087</t>
        </is>
      </c>
      <c r="E2038" t="inlineStr">
        <is>
          <t>ussd_funeral_leads_altitude_20260619</t>
        </is>
      </c>
      <c r="J2038" t="inlineStr">
        <is>
          <t>TDN</t>
        </is>
      </c>
      <c r="K2038" t="inlineStr">
        <is>
          <t>Temporary Disconnected Number</t>
        </is>
      </c>
      <c r="L2038" t="n">
        <v>3</v>
      </c>
      <c r="M2038" t="inlineStr">
        <is>
          <t>2026-06-23 13:28:18</t>
        </is>
      </c>
      <c r="N2038" t="inlineStr">
        <is>
          <t>system</t>
        </is>
      </c>
      <c r="O2038" t="inlineStr">
        <is>
          <t>2026-06-19 07:10:32</t>
        </is>
      </c>
      <c r="P2038" t="inlineStr">
        <is>
          <t>2026-06-19 07:10:32</t>
        </is>
      </c>
      <c r="Y2038" t="inlineStr">
        <is>
          <t>27772523822</t>
        </is>
      </c>
    </row>
    <row r="2039">
      <c r="A2039" t="inlineStr">
        <is>
          <t>14947130</t>
        </is>
      </c>
      <c r="B2039" t="inlineStr">
        <is>
          <t>96da4326-c9f0-4703-9d87-a1b4441a8580</t>
        </is>
      </c>
      <c r="D2039" t="inlineStr">
        <is>
          <t>30001087</t>
        </is>
      </c>
      <c r="E2039" t="inlineStr">
        <is>
          <t>ussd_funeral_leads_altitude_20260619</t>
        </is>
      </c>
      <c r="J2039" t="inlineStr">
        <is>
          <t>A</t>
        </is>
      </c>
      <c r="K2039" t="inlineStr">
        <is>
          <t>Answering Machine</t>
        </is>
      </c>
      <c r="L2039" t="n">
        <v>3</v>
      </c>
      <c r="M2039" t="inlineStr">
        <is>
          <t>2026-06-23 13:28:18</t>
        </is>
      </c>
      <c r="N2039" t="inlineStr">
        <is>
          <t>Lebohang Mabotja</t>
        </is>
      </c>
      <c r="O2039" t="inlineStr">
        <is>
          <t>2026-06-19 07:10:32</t>
        </is>
      </c>
      <c r="P2039" t="inlineStr">
        <is>
          <t>2026-06-19 07:10:32</t>
        </is>
      </c>
      <c r="Y2039" t="inlineStr">
        <is>
          <t>27772006957</t>
        </is>
      </c>
    </row>
    <row r="2040">
      <c r="A2040" t="inlineStr">
        <is>
          <t>14947131</t>
        </is>
      </c>
      <c r="B2040" t="inlineStr">
        <is>
          <t>539f0fde-c26c-4856-9386-892a26937283</t>
        </is>
      </c>
      <c r="D2040" t="inlineStr">
        <is>
          <t>30001087</t>
        </is>
      </c>
      <c r="E2040" t="inlineStr">
        <is>
          <t>ussd_funeral_leads_altitude_20260619</t>
        </is>
      </c>
      <c r="J2040" t="inlineStr">
        <is>
          <t>AA</t>
        </is>
      </c>
      <c r="K2040" t="inlineStr">
        <is>
          <t>Answering Machine Autodial</t>
        </is>
      </c>
      <c r="L2040" t="n">
        <v>3</v>
      </c>
      <c r="M2040" t="inlineStr">
        <is>
          <t>2026-06-23 13:28:18</t>
        </is>
      </c>
      <c r="N2040" t="inlineStr">
        <is>
          <t>system</t>
        </is>
      </c>
      <c r="O2040" t="inlineStr">
        <is>
          <t>2026-06-19 07:10:32</t>
        </is>
      </c>
      <c r="P2040" t="inlineStr">
        <is>
          <t>2026-06-19 07:10:32</t>
        </is>
      </c>
      <c r="Y2040" t="inlineStr">
        <is>
          <t>27721516290</t>
        </is>
      </c>
    </row>
    <row r="2041">
      <c r="A2041" t="inlineStr">
        <is>
          <t>14947132</t>
        </is>
      </c>
      <c r="B2041" t="inlineStr">
        <is>
          <t>17448497-5325-490b-8960-77197273f4d7</t>
        </is>
      </c>
      <c r="D2041" t="inlineStr">
        <is>
          <t>30001087</t>
        </is>
      </c>
      <c r="E2041" t="inlineStr">
        <is>
          <t>ussd_funeral_leads_altitude_20260619</t>
        </is>
      </c>
      <c r="J2041" t="inlineStr">
        <is>
          <t>CU</t>
        </is>
      </c>
      <c r="K2041" t="inlineStr">
        <is>
          <t>Client Hung Up</t>
        </is>
      </c>
      <c r="L2041" t="n">
        <v>3</v>
      </c>
      <c r="M2041" t="inlineStr">
        <is>
          <t>2026-06-23 13:28:17</t>
        </is>
      </c>
      <c r="N2041" t="inlineStr">
        <is>
          <t>Vuyiswa Nxumalo</t>
        </is>
      </c>
      <c r="O2041" t="inlineStr">
        <is>
          <t>2026-06-19 07:10:32</t>
        </is>
      </c>
      <c r="P2041" t="inlineStr">
        <is>
          <t>2026-06-19 07:10:32</t>
        </is>
      </c>
      <c r="Y2041" t="inlineStr">
        <is>
          <t>27795415482</t>
        </is>
      </c>
    </row>
    <row r="2042">
      <c r="A2042" t="inlineStr">
        <is>
          <t>14947133</t>
        </is>
      </c>
      <c r="B2042" t="inlineStr">
        <is>
          <t>0a441a42-a78a-4efc-a1f3-ead9b7671635</t>
        </is>
      </c>
      <c r="D2042" t="inlineStr">
        <is>
          <t>30001087</t>
        </is>
      </c>
      <c r="E2042" t="inlineStr">
        <is>
          <t>ussd_funeral_leads_altitude_20260619</t>
        </is>
      </c>
      <c r="J2042" t="inlineStr">
        <is>
          <t>AA</t>
        </is>
      </c>
      <c r="K2042" t="inlineStr">
        <is>
          <t>Answering Machine Autodial</t>
        </is>
      </c>
      <c r="L2042" t="n">
        <v>3</v>
      </c>
      <c r="M2042" t="inlineStr">
        <is>
          <t>2026-06-23 13:28:17</t>
        </is>
      </c>
      <c r="N2042" t="inlineStr">
        <is>
          <t>system</t>
        </is>
      </c>
      <c r="O2042" t="inlineStr">
        <is>
          <t>2026-06-19 07:10:32</t>
        </is>
      </c>
      <c r="P2042" t="inlineStr">
        <is>
          <t>2026-06-19 07:10:32</t>
        </is>
      </c>
      <c r="Y2042" t="inlineStr">
        <is>
          <t>27793480160</t>
        </is>
      </c>
    </row>
    <row r="2043">
      <c r="A2043" t="inlineStr">
        <is>
          <t>14947134</t>
        </is>
      </c>
      <c r="B2043" t="inlineStr">
        <is>
          <t>1970010b-ea7f-4508-8333-adcd9668328c</t>
        </is>
      </c>
      <c r="D2043" t="inlineStr">
        <is>
          <t>30001087</t>
        </is>
      </c>
      <c r="E2043" t="inlineStr">
        <is>
          <t>ussd_funeral_leads_altitude_20260619</t>
        </is>
      </c>
      <c r="J2043" t="inlineStr">
        <is>
          <t>AA</t>
        </is>
      </c>
      <c r="K2043" t="inlineStr">
        <is>
          <t>Answering Machine Autodial</t>
        </is>
      </c>
      <c r="L2043" t="n">
        <v>3</v>
      </c>
      <c r="M2043" t="inlineStr">
        <is>
          <t>2026-06-23 13:28:15</t>
        </is>
      </c>
      <c r="N2043" t="inlineStr">
        <is>
          <t>system</t>
        </is>
      </c>
      <c r="O2043" t="inlineStr">
        <is>
          <t>2026-06-19 07:10:32</t>
        </is>
      </c>
      <c r="P2043" t="inlineStr">
        <is>
          <t>2026-06-19 07:10:32</t>
        </is>
      </c>
      <c r="Y2043" t="inlineStr">
        <is>
          <t>27662704469</t>
        </is>
      </c>
    </row>
    <row r="2044">
      <c r="A2044" t="inlineStr">
        <is>
          <t>14947135</t>
        </is>
      </c>
      <c r="B2044" t="inlineStr">
        <is>
          <t>19b049a1-3a40-49b4-a3c1-896cbc0550bf</t>
        </is>
      </c>
      <c r="D2044" t="inlineStr">
        <is>
          <t>30001087</t>
        </is>
      </c>
      <c r="E2044" t="inlineStr">
        <is>
          <t>ussd_funeral_leads_altitude_20260619</t>
        </is>
      </c>
      <c r="J2044" t="inlineStr">
        <is>
          <t>AA</t>
        </is>
      </c>
      <c r="K2044" t="inlineStr">
        <is>
          <t>Answering Machine Autodial</t>
        </is>
      </c>
      <c r="L2044" t="n">
        <v>3</v>
      </c>
      <c r="M2044" t="inlineStr">
        <is>
          <t>2026-06-23 13:28:15</t>
        </is>
      </c>
      <c r="N2044" t="inlineStr">
        <is>
          <t>system</t>
        </is>
      </c>
      <c r="O2044" t="inlineStr">
        <is>
          <t>2026-06-19 07:10:32</t>
        </is>
      </c>
      <c r="P2044" t="inlineStr">
        <is>
          <t>2026-06-19 07:10:32</t>
        </is>
      </c>
      <c r="Y2044" t="inlineStr">
        <is>
          <t>27765637605</t>
        </is>
      </c>
    </row>
    <row r="2045">
      <c r="A2045" t="inlineStr">
        <is>
          <t>14947136</t>
        </is>
      </c>
      <c r="B2045" t="inlineStr">
        <is>
          <t>0a8c7522-857c-4c87-8c25-0e90a0a61909</t>
        </is>
      </c>
      <c r="D2045" t="inlineStr">
        <is>
          <t>30001087</t>
        </is>
      </c>
      <c r="E2045" t="inlineStr">
        <is>
          <t>ussd_funeral_leads_altitude_20260619</t>
        </is>
      </c>
      <c r="J2045" t="inlineStr">
        <is>
          <t>TDN</t>
        </is>
      </c>
      <c r="K2045" t="inlineStr">
        <is>
          <t>Temporary Disconnected Number</t>
        </is>
      </c>
      <c r="L2045" t="n">
        <v>3</v>
      </c>
      <c r="M2045" t="inlineStr">
        <is>
          <t>2026-06-23 13:28:14</t>
        </is>
      </c>
      <c r="N2045" t="inlineStr">
        <is>
          <t>system</t>
        </is>
      </c>
      <c r="O2045" t="inlineStr">
        <is>
          <t>2026-06-19 07:10:32</t>
        </is>
      </c>
      <c r="P2045" t="inlineStr">
        <is>
          <t>2026-06-19 07:10:32</t>
        </is>
      </c>
      <c r="Y2045" t="inlineStr">
        <is>
          <t>27636775907</t>
        </is>
      </c>
    </row>
    <row r="2046">
      <c r="A2046" t="inlineStr">
        <is>
          <t>14947137</t>
        </is>
      </c>
      <c r="B2046" t="inlineStr">
        <is>
          <t>61b4cab2-5149-4ba9-8685-d9603d92cea0</t>
        </is>
      </c>
      <c r="D2046" t="inlineStr">
        <is>
          <t>30001087</t>
        </is>
      </c>
      <c r="E2046" t="inlineStr">
        <is>
          <t>ussd_funeral_leads_altitude_20260619</t>
        </is>
      </c>
      <c r="J2046" t="inlineStr">
        <is>
          <t>AA</t>
        </is>
      </c>
      <c r="K2046" t="inlineStr">
        <is>
          <t>Answering Machine Autodial</t>
        </is>
      </c>
      <c r="L2046" t="n">
        <v>3</v>
      </c>
      <c r="M2046" t="inlineStr">
        <is>
          <t>2026-06-23 13:28:12</t>
        </is>
      </c>
      <c r="N2046" t="inlineStr">
        <is>
          <t>system</t>
        </is>
      </c>
      <c r="O2046" t="inlineStr">
        <is>
          <t>2026-06-19 07:10:32</t>
        </is>
      </c>
      <c r="P2046" t="inlineStr">
        <is>
          <t>2026-06-19 07:10:32</t>
        </is>
      </c>
      <c r="Y2046" t="inlineStr">
        <is>
          <t>27606564370</t>
        </is>
      </c>
    </row>
    <row r="2047">
      <c r="A2047" t="inlineStr">
        <is>
          <t>14947138</t>
        </is>
      </c>
      <c r="B2047" t="inlineStr">
        <is>
          <t>cf4b6b90-f8fd-47de-b879-356887195018</t>
        </is>
      </c>
      <c r="D2047" t="inlineStr">
        <is>
          <t>30001087</t>
        </is>
      </c>
      <c r="E2047" t="inlineStr">
        <is>
          <t>ussd_funeral_leads_altitude_20260619</t>
        </is>
      </c>
      <c r="J2047" t="inlineStr">
        <is>
          <t>AA</t>
        </is>
      </c>
      <c r="K2047" t="inlineStr">
        <is>
          <t>Answering Machine Autodial</t>
        </is>
      </c>
      <c r="L2047" t="n">
        <v>3</v>
      </c>
      <c r="M2047" t="inlineStr">
        <is>
          <t>2026-06-23 13:28:12</t>
        </is>
      </c>
      <c r="N2047" t="inlineStr">
        <is>
          <t>system</t>
        </is>
      </c>
      <c r="O2047" t="inlineStr">
        <is>
          <t>2026-06-19 07:10:32</t>
        </is>
      </c>
      <c r="P2047" t="inlineStr">
        <is>
          <t>2026-06-19 07:10:32</t>
        </is>
      </c>
      <c r="Y2047" t="inlineStr">
        <is>
          <t>27728635047</t>
        </is>
      </c>
    </row>
    <row r="2048">
      <c r="A2048" t="inlineStr">
        <is>
          <t>14947139</t>
        </is>
      </c>
      <c r="B2048" t="inlineStr">
        <is>
          <t>f671faf5-9a31-40e6-8ca1-69f704fe5e8e</t>
        </is>
      </c>
      <c r="D2048" t="inlineStr">
        <is>
          <t>30001087</t>
        </is>
      </c>
      <c r="E2048" t="inlineStr">
        <is>
          <t>ussd_funeral_leads_altitude_20260619</t>
        </is>
      </c>
      <c r="J2048" t="inlineStr">
        <is>
          <t>AA</t>
        </is>
      </c>
      <c r="K2048" t="inlineStr">
        <is>
          <t>Answering Machine Autodial</t>
        </is>
      </c>
      <c r="L2048" t="n">
        <v>3</v>
      </c>
      <c r="M2048" t="inlineStr">
        <is>
          <t>2026-06-23 13:28:10</t>
        </is>
      </c>
      <c r="N2048" t="inlineStr">
        <is>
          <t>system</t>
        </is>
      </c>
      <c r="O2048" t="inlineStr">
        <is>
          <t>2026-06-19 07:10:32</t>
        </is>
      </c>
      <c r="P2048" t="inlineStr">
        <is>
          <t>2026-06-19 07:10:32</t>
        </is>
      </c>
      <c r="Y2048" t="inlineStr">
        <is>
          <t>27797929512</t>
        </is>
      </c>
    </row>
    <row r="2049">
      <c r="A2049" t="inlineStr">
        <is>
          <t>14947174</t>
        </is>
      </c>
      <c r="B2049" t="inlineStr">
        <is>
          <t>91f8b6a8-a532-42b0-a401-f70296bc291c</t>
        </is>
      </c>
      <c r="D2049" t="inlineStr">
        <is>
          <t>30001087</t>
        </is>
      </c>
      <c r="E2049" t="inlineStr">
        <is>
          <t>ussd_funeral_leads_altitude_20260619</t>
        </is>
      </c>
      <c r="J2049" t="inlineStr">
        <is>
          <t>NA</t>
        </is>
      </c>
      <c r="K2049" t="inlineStr">
        <is>
          <t>No Answer Autodial</t>
        </is>
      </c>
      <c r="L2049" t="n">
        <v>3</v>
      </c>
      <c r="M2049" t="inlineStr">
        <is>
          <t>2026-06-23 13:28:10</t>
        </is>
      </c>
      <c r="N2049" t="inlineStr">
        <is>
          <t>system</t>
        </is>
      </c>
      <c r="O2049" t="inlineStr">
        <is>
          <t>2026-06-19 07:10:32</t>
        </is>
      </c>
      <c r="P2049" t="inlineStr">
        <is>
          <t>2026-06-19 07:10:32</t>
        </is>
      </c>
      <c r="Y2049" t="inlineStr">
        <is>
          <t>27608564757</t>
        </is>
      </c>
    </row>
    <row r="2050">
      <c r="A2050" t="inlineStr">
        <is>
          <t>14947176</t>
        </is>
      </c>
      <c r="B2050" t="inlineStr">
        <is>
          <t>a38f9d06-8895-4049-b370-7990600c084a</t>
        </is>
      </c>
      <c r="D2050" t="inlineStr">
        <is>
          <t>30001087</t>
        </is>
      </c>
      <c r="E2050" t="inlineStr">
        <is>
          <t>ussd_funeral_leads_altitude_20260619</t>
        </is>
      </c>
      <c r="J2050" t="inlineStr">
        <is>
          <t>AA</t>
        </is>
      </c>
      <c r="K2050" t="inlineStr">
        <is>
          <t>Answering Machine Autodial</t>
        </is>
      </c>
      <c r="L2050" t="n">
        <v>3</v>
      </c>
      <c r="M2050" t="inlineStr">
        <is>
          <t>2026-06-23 13:28:09</t>
        </is>
      </c>
      <c r="N2050" t="inlineStr">
        <is>
          <t>system</t>
        </is>
      </c>
      <c r="O2050" t="inlineStr">
        <is>
          <t>2026-06-19 07:10:32</t>
        </is>
      </c>
      <c r="P2050" t="inlineStr">
        <is>
          <t>2026-06-19 07:10:32</t>
        </is>
      </c>
      <c r="Y2050" t="inlineStr">
        <is>
          <t>27649209301</t>
        </is>
      </c>
    </row>
    <row r="2051">
      <c r="A2051" t="inlineStr">
        <is>
          <t>14947177</t>
        </is>
      </c>
      <c r="B2051" t="inlineStr">
        <is>
          <t>32d07682-f8fd-44d4-84a9-37ca933217bb</t>
        </is>
      </c>
      <c r="D2051" t="inlineStr">
        <is>
          <t>30001087</t>
        </is>
      </c>
      <c r="E2051" t="inlineStr">
        <is>
          <t>ussd_funeral_leads_altitude_20260619</t>
        </is>
      </c>
      <c r="J2051" t="inlineStr">
        <is>
          <t>AA</t>
        </is>
      </c>
      <c r="K2051" t="inlineStr">
        <is>
          <t>Answering Machine Autodial</t>
        </is>
      </c>
      <c r="L2051" t="n">
        <v>3</v>
      </c>
      <c r="M2051" t="inlineStr">
        <is>
          <t>2026-06-23 13:28:09</t>
        </is>
      </c>
      <c r="N2051" t="inlineStr">
        <is>
          <t>system</t>
        </is>
      </c>
      <c r="O2051" t="inlineStr">
        <is>
          <t>2026-06-19 07:10:32</t>
        </is>
      </c>
      <c r="P2051" t="inlineStr">
        <is>
          <t>2026-06-19 07:10:32</t>
        </is>
      </c>
      <c r="Y2051" t="inlineStr">
        <is>
          <t>27767895031</t>
        </is>
      </c>
    </row>
    <row r="2052">
      <c r="A2052" t="inlineStr">
        <is>
          <t>14947178</t>
        </is>
      </c>
      <c r="B2052" t="inlineStr">
        <is>
          <t>448f5388-aa63-4039-9b55-7d2d1bd35a63</t>
        </is>
      </c>
      <c r="D2052" t="inlineStr">
        <is>
          <t>30001087</t>
        </is>
      </c>
      <c r="E2052" t="inlineStr">
        <is>
          <t>ussd_funeral_leads_altitude_20260619</t>
        </is>
      </c>
      <c r="J2052" t="inlineStr">
        <is>
          <t>AA</t>
        </is>
      </c>
      <c r="K2052" t="inlineStr">
        <is>
          <t>Answering Machine Autodial</t>
        </is>
      </c>
      <c r="L2052" t="n">
        <v>3</v>
      </c>
      <c r="M2052" t="inlineStr">
        <is>
          <t>2026-06-23 13:28:06</t>
        </is>
      </c>
      <c r="N2052" t="inlineStr">
        <is>
          <t>system</t>
        </is>
      </c>
      <c r="O2052" t="inlineStr">
        <is>
          <t>2026-06-19 07:10:32</t>
        </is>
      </c>
      <c r="P2052" t="inlineStr">
        <is>
          <t>2026-06-19 07:10:32</t>
        </is>
      </c>
      <c r="Y2052" t="inlineStr">
        <is>
          <t>27664554067</t>
        </is>
      </c>
    </row>
    <row r="2053">
      <c r="A2053" t="inlineStr">
        <is>
          <t>14947179</t>
        </is>
      </c>
      <c r="B2053" t="inlineStr">
        <is>
          <t>ac431d19-0c28-4aad-8d1c-a7802d168a9f</t>
        </is>
      </c>
      <c r="D2053" t="inlineStr">
        <is>
          <t>30001087</t>
        </is>
      </c>
      <c r="E2053" t="inlineStr">
        <is>
          <t>ussd_funeral_leads_altitude_20260619</t>
        </is>
      </c>
      <c r="J2053" t="inlineStr">
        <is>
          <t>ADC</t>
        </is>
      </c>
      <c r="K2053" t="inlineStr">
        <is>
          <t>Auto Dial Disconnected</t>
        </is>
      </c>
      <c r="L2053" t="n">
        <v>3</v>
      </c>
      <c r="M2053" t="inlineStr">
        <is>
          <t>2026-06-23 13:28:06</t>
        </is>
      </c>
      <c r="N2053" t="inlineStr">
        <is>
          <t>system</t>
        </is>
      </c>
      <c r="O2053" t="inlineStr">
        <is>
          <t>2026-06-19 07:10:32</t>
        </is>
      </c>
      <c r="P2053" t="inlineStr">
        <is>
          <t>2026-06-19 07:10:32</t>
        </is>
      </c>
      <c r="Y2053" t="inlineStr">
        <is>
          <t>27793204043</t>
        </is>
      </c>
    </row>
    <row r="2054">
      <c r="A2054" t="inlineStr">
        <is>
          <t>14947180</t>
        </is>
      </c>
      <c r="B2054" t="inlineStr">
        <is>
          <t>f4745dc9-7506-4831-8923-7cf1fe9d7c03</t>
        </is>
      </c>
      <c r="D2054" t="inlineStr">
        <is>
          <t>30001087</t>
        </is>
      </c>
      <c r="E2054" t="inlineStr">
        <is>
          <t>ussd_funeral_leads_altitude_20260619</t>
        </is>
      </c>
      <c r="J2054" t="inlineStr">
        <is>
          <t>AA</t>
        </is>
      </c>
      <c r="K2054" t="inlineStr">
        <is>
          <t>Answering Machine Autodial</t>
        </is>
      </c>
      <c r="L2054" t="n">
        <v>3</v>
      </c>
      <c r="M2054" t="inlineStr">
        <is>
          <t>2026-06-23 13:28:06</t>
        </is>
      </c>
      <c r="N2054" t="inlineStr">
        <is>
          <t>system</t>
        </is>
      </c>
      <c r="O2054" t="inlineStr">
        <is>
          <t>2026-06-19 07:10:32</t>
        </is>
      </c>
      <c r="P2054" t="inlineStr">
        <is>
          <t>2026-06-19 07:10:32</t>
        </is>
      </c>
      <c r="Y2054" t="inlineStr">
        <is>
          <t>27646045450</t>
        </is>
      </c>
    </row>
    <row r="2055">
      <c r="A2055" t="inlineStr">
        <is>
          <t>14947181</t>
        </is>
      </c>
      <c r="B2055" t="inlineStr">
        <is>
          <t>a57b4d13-eb4e-46f2-86b4-2351160ac327</t>
        </is>
      </c>
      <c r="D2055" t="inlineStr">
        <is>
          <t>30001087</t>
        </is>
      </c>
      <c r="E2055" t="inlineStr">
        <is>
          <t>ussd_funeral_leads_altitude_20260619</t>
        </is>
      </c>
      <c r="J2055" t="inlineStr">
        <is>
          <t>ADC</t>
        </is>
      </c>
      <c r="K2055" t="inlineStr">
        <is>
          <t>Auto Dial Disconnected</t>
        </is>
      </c>
      <c r="L2055" t="n">
        <v>3</v>
      </c>
      <c r="M2055" t="inlineStr">
        <is>
          <t>2026-06-23 13:28:06</t>
        </is>
      </c>
      <c r="N2055" t="inlineStr">
        <is>
          <t>system</t>
        </is>
      </c>
      <c r="O2055" t="inlineStr">
        <is>
          <t>2026-06-19 07:10:32</t>
        </is>
      </c>
      <c r="P2055" t="inlineStr">
        <is>
          <t>2026-06-19 07:10:32</t>
        </is>
      </c>
      <c r="Y2055" t="inlineStr">
        <is>
          <t>27794356382</t>
        </is>
      </c>
    </row>
    <row r="2056">
      <c r="A2056" t="inlineStr">
        <is>
          <t>14947182</t>
        </is>
      </c>
      <c r="B2056" t="inlineStr">
        <is>
          <t>777467d8-3a47-4071-979b-b3ceebfbeb41</t>
        </is>
      </c>
      <c r="D2056" t="inlineStr">
        <is>
          <t>30001087</t>
        </is>
      </c>
      <c r="E2056" t="inlineStr">
        <is>
          <t>ussd_funeral_leads_altitude_20260619</t>
        </is>
      </c>
      <c r="J2056" t="inlineStr">
        <is>
          <t>AA</t>
        </is>
      </c>
      <c r="K2056" t="inlineStr">
        <is>
          <t>Answering Machine Autodial</t>
        </is>
      </c>
      <c r="L2056" t="n">
        <v>3</v>
      </c>
      <c r="M2056" t="inlineStr">
        <is>
          <t>2026-06-23 13:27:58</t>
        </is>
      </c>
      <c r="N2056" t="inlineStr">
        <is>
          <t>system</t>
        </is>
      </c>
      <c r="O2056" t="inlineStr">
        <is>
          <t>2026-06-19 07:10:32</t>
        </is>
      </c>
      <c r="P2056" t="inlineStr">
        <is>
          <t>2026-06-19 07:10:32</t>
        </is>
      </c>
      <c r="Y2056" t="inlineStr">
        <is>
          <t>27762821963</t>
        </is>
      </c>
    </row>
    <row r="2057">
      <c r="A2057" t="inlineStr">
        <is>
          <t>14947183</t>
        </is>
      </c>
      <c r="B2057" t="inlineStr">
        <is>
          <t>64c69298-8e98-4719-bdd1-159f75c8cc27</t>
        </is>
      </c>
      <c r="D2057" t="inlineStr">
        <is>
          <t>30001087</t>
        </is>
      </c>
      <c r="E2057" t="inlineStr">
        <is>
          <t>ussd_funeral_leads_altitude_20260619</t>
        </is>
      </c>
      <c r="J2057" t="inlineStr">
        <is>
          <t>AE</t>
        </is>
      </c>
      <c r="K2057" t="inlineStr">
        <is>
          <t>Auto Engaged</t>
        </is>
      </c>
      <c r="L2057" t="n">
        <v>3</v>
      </c>
      <c r="M2057" t="inlineStr">
        <is>
          <t>2026-06-23 13:27:58</t>
        </is>
      </c>
      <c r="N2057" t="inlineStr">
        <is>
          <t>system</t>
        </is>
      </c>
      <c r="O2057" t="inlineStr">
        <is>
          <t>2026-06-19 07:10:32</t>
        </is>
      </c>
      <c r="P2057" t="inlineStr">
        <is>
          <t>2026-06-19 07:10:32</t>
        </is>
      </c>
      <c r="Y2057" t="inlineStr">
        <is>
          <t>27792004800</t>
        </is>
      </c>
    </row>
    <row r="2058">
      <c r="A2058" t="inlineStr">
        <is>
          <t>14947184</t>
        </is>
      </c>
      <c r="B2058" t="inlineStr">
        <is>
          <t>a6f38701-f647-43a2-856b-ab1e805aab3e</t>
        </is>
      </c>
      <c r="D2058" t="inlineStr">
        <is>
          <t>30001087</t>
        </is>
      </c>
      <c r="E2058" t="inlineStr">
        <is>
          <t>ussd_funeral_leads_altitude_20260619</t>
        </is>
      </c>
      <c r="J2058" t="inlineStr">
        <is>
          <t>AA</t>
        </is>
      </c>
      <c r="K2058" t="inlineStr">
        <is>
          <t>Answering Machine Autodial</t>
        </is>
      </c>
      <c r="L2058" t="n">
        <v>3</v>
      </c>
      <c r="M2058" t="inlineStr">
        <is>
          <t>2026-06-23 13:27:58</t>
        </is>
      </c>
      <c r="N2058" t="inlineStr">
        <is>
          <t>system</t>
        </is>
      </c>
      <c r="O2058" t="inlineStr">
        <is>
          <t>2026-06-19 07:10:32</t>
        </is>
      </c>
      <c r="P2058" t="inlineStr">
        <is>
          <t>2026-06-19 07:10:32</t>
        </is>
      </c>
      <c r="Y2058" t="inlineStr">
        <is>
          <t>27675316577</t>
        </is>
      </c>
    </row>
    <row r="2059">
      <c r="A2059" t="inlineStr">
        <is>
          <t>14900000</t>
        </is>
      </c>
      <c r="B2059" t="inlineStr">
        <is>
          <t>098e1061-7c60-4229-93b2-ecf057decd81</t>
        </is>
      </c>
      <c r="D2059" t="inlineStr">
        <is>
          <t>30001087</t>
        </is>
      </c>
      <c r="E2059" t="inlineStr">
        <is>
          <t>ussd_funeral_leads_altitude_20260619</t>
        </is>
      </c>
      <c r="J2059" t="inlineStr">
        <is>
          <t>AE</t>
        </is>
      </c>
      <c r="K2059" t="inlineStr">
        <is>
          <t>Auto Engaged</t>
        </is>
      </c>
      <c r="L2059" t="n">
        <v>3</v>
      </c>
      <c r="M2059" t="inlineStr">
        <is>
          <t>2026-06-23 13:27:57</t>
        </is>
      </c>
      <c r="N2059" t="inlineStr">
        <is>
          <t>system</t>
        </is>
      </c>
      <c r="O2059" t="inlineStr">
        <is>
          <t>2026-06-19 07:10:32</t>
        </is>
      </c>
      <c r="P2059" t="inlineStr">
        <is>
          <t>2026-06-19 07:10:32</t>
        </is>
      </c>
      <c r="Y2059" t="inlineStr">
        <is>
          <t>27796173578</t>
        </is>
      </c>
    </row>
    <row r="2060">
      <c r="A2060" t="inlineStr">
        <is>
          <t>14947186</t>
        </is>
      </c>
      <c r="B2060" t="inlineStr">
        <is>
          <t>396656e5-c32e-4357-aa39-86cbca39bfe1</t>
        </is>
      </c>
      <c r="D2060" t="inlineStr">
        <is>
          <t>30001087</t>
        </is>
      </c>
      <c r="E2060" t="inlineStr">
        <is>
          <t>ussd_funeral_leads_altitude_20260619</t>
        </is>
      </c>
      <c r="J2060" t="inlineStr">
        <is>
          <t>TDN</t>
        </is>
      </c>
      <c r="K2060" t="inlineStr">
        <is>
          <t>Temporary Disconnected Number</t>
        </is>
      </c>
      <c r="L2060" t="n">
        <v>3</v>
      </c>
      <c r="M2060" t="inlineStr">
        <is>
          <t>2026-06-23 13:27:53</t>
        </is>
      </c>
      <c r="N2060" t="inlineStr">
        <is>
          <t>system</t>
        </is>
      </c>
      <c r="O2060" t="inlineStr">
        <is>
          <t>2026-06-19 07:10:32</t>
        </is>
      </c>
      <c r="P2060" t="inlineStr">
        <is>
          <t>2026-06-19 07:10:32</t>
        </is>
      </c>
      <c r="Y2060" t="inlineStr">
        <is>
          <t>27664197118</t>
        </is>
      </c>
    </row>
    <row r="2061">
      <c r="A2061" t="inlineStr">
        <is>
          <t>14947188</t>
        </is>
      </c>
      <c r="B2061" t="inlineStr">
        <is>
          <t>c36e2d77-30ee-4bf1-8880-6f8ceb8ed99b</t>
        </is>
      </c>
      <c r="D2061" t="inlineStr">
        <is>
          <t>30001087</t>
        </is>
      </c>
      <c r="E2061" t="inlineStr">
        <is>
          <t>ussd_funeral_leads_altitude_20260619</t>
        </is>
      </c>
      <c r="J2061" t="inlineStr">
        <is>
          <t>AA</t>
        </is>
      </c>
      <c r="K2061" t="inlineStr">
        <is>
          <t>Answering Machine Autodial</t>
        </is>
      </c>
      <c r="L2061" t="n">
        <v>3</v>
      </c>
      <c r="M2061" t="inlineStr">
        <is>
          <t>2026-06-23 13:27:52</t>
        </is>
      </c>
      <c r="N2061" t="inlineStr">
        <is>
          <t>system</t>
        </is>
      </c>
      <c r="O2061" t="inlineStr">
        <is>
          <t>2026-06-19 07:10:32</t>
        </is>
      </c>
      <c r="P2061" t="inlineStr">
        <is>
          <t>2026-06-19 07:10:32</t>
        </is>
      </c>
      <c r="Y2061" t="inlineStr">
        <is>
          <t>27761751680</t>
        </is>
      </c>
    </row>
    <row r="2062">
      <c r="A2062" t="inlineStr">
        <is>
          <t>14947189</t>
        </is>
      </c>
      <c r="B2062" t="inlineStr">
        <is>
          <t>7f87f908-1d6c-4185-9f3c-3d6f5ea6e271</t>
        </is>
      </c>
      <c r="D2062" t="inlineStr">
        <is>
          <t>30001087</t>
        </is>
      </c>
      <c r="E2062" t="inlineStr">
        <is>
          <t>ussd_funeral_leads_altitude_20260619</t>
        </is>
      </c>
      <c r="J2062" t="inlineStr">
        <is>
          <t>AA</t>
        </is>
      </c>
      <c r="K2062" t="inlineStr">
        <is>
          <t>Answering Machine Autodial</t>
        </is>
      </c>
      <c r="L2062" t="n">
        <v>3</v>
      </c>
      <c r="M2062" t="inlineStr">
        <is>
          <t>2026-06-23 13:27:52</t>
        </is>
      </c>
      <c r="N2062" t="inlineStr">
        <is>
          <t>system</t>
        </is>
      </c>
      <c r="O2062" t="inlineStr">
        <is>
          <t>2026-06-19 07:10:32</t>
        </is>
      </c>
      <c r="P2062" t="inlineStr">
        <is>
          <t>2026-06-19 07:10:32</t>
        </is>
      </c>
      <c r="Y2062" t="inlineStr">
        <is>
          <t>27664977166</t>
        </is>
      </c>
    </row>
    <row r="2063">
      <c r="A2063" t="inlineStr">
        <is>
          <t>14947190</t>
        </is>
      </c>
      <c r="B2063" t="inlineStr">
        <is>
          <t>30fb3923-dfb6-4723-9263-5f75ed9aaba2</t>
        </is>
      </c>
      <c r="D2063" t="inlineStr">
        <is>
          <t>30001087</t>
        </is>
      </c>
      <c r="E2063" t="inlineStr">
        <is>
          <t>ussd_funeral_leads_altitude_20260619</t>
        </is>
      </c>
      <c r="J2063" t="inlineStr">
        <is>
          <t>NA</t>
        </is>
      </c>
      <c r="K2063" t="inlineStr">
        <is>
          <t>No Answer Autodial</t>
        </is>
      </c>
      <c r="L2063" t="n">
        <v>3</v>
      </c>
      <c r="M2063" t="inlineStr">
        <is>
          <t>2026-06-23 13:27:52</t>
        </is>
      </c>
      <c r="N2063" t="inlineStr">
        <is>
          <t>system</t>
        </is>
      </c>
      <c r="O2063" t="inlineStr">
        <is>
          <t>2026-06-19 07:10:32</t>
        </is>
      </c>
      <c r="P2063" t="inlineStr">
        <is>
          <t>2026-06-19 07:10:32</t>
        </is>
      </c>
      <c r="Y2063" t="inlineStr">
        <is>
          <t>27721896134</t>
        </is>
      </c>
    </row>
    <row r="2064">
      <c r="A2064" t="inlineStr">
        <is>
          <t>14947191</t>
        </is>
      </c>
      <c r="B2064" t="inlineStr">
        <is>
          <t>037a22f4-51a3-46e7-94ca-bb012c3a0785</t>
        </is>
      </c>
      <c r="D2064" t="inlineStr">
        <is>
          <t>30001087</t>
        </is>
      </c>
      <c r="E2064" t="inlineStr">
        <is>
          <t>ussd_funeral_leads_altitude_20260619</t>
        </is>
      </c>
      <c r="J2064" t="inlineStr">
        <is>
          <t>AA</t>
        </is>
      </c>
      <c r="K2064" t="inlineStr">
        <is>
          <t>Answering Machine Autodial</t>
        </is>
      </c>
      <c r="L2064" t="n">
        <v>3</v>
      </c>
      <c r="M2064" t="inlineStr">
        <is>
          <t>2026-06-23 13:27:52</t>
        </is>
      </c>
      <c r="N2064" t="inlineStr">
        <is>
          <t>system</t>
        </is>
      </c>
      <c r="O2064" t="inlineStr">
        <is>
          <t>2026-06-19 07:10:32</t>
        </is>
      </c>
      <c r="P2064" t="inlineStr">
        <is>
          <t>2026-06-19 07:10:32</t>
        </is>
      </c>
      <c r="Y2064" t="inlineStr">
        <is>
          <t>27664136463</t>
        </is>
      </c>
    </row>
    <row r="2065">
      <c r="A2065" t="inlineStr">
        <is>
          <t>14947192</t>
        </is>
      </c>
      <c r="B2065" t="inlineStr">
        <is>
          <t>0a1873ae-8081-4724-8164-79125d2c46a8</t>
        </is>
      </c>
      <c r="D2065" t="inlineStr">
        <is>
          <t>30001087</t>
        </is>
      </c>
      <c r="E2065" t="inlineStr">
        <is>
          <t>ussd_funeral_leads_altitude_20260619</t>
        </is>
      </c>
      <c r="J2065" t="inlineStr">
        <is>
          <t>AA</t>
        </is>
      </c>
      <c r="K2065" t="inlineStr">
        <is>
          <t>Answering Machine Autodial</t>
        </is>
      </c>
      <c r="L2065" t="n">
        <v>3</v>
      </c>
      <c r="M2065" t="inlineStr">
        <is>
          <t>2026-06-23 13:27:52</t>
        </is>
      </c>
      <c r="N2065" t="inlineStr">
        <is>
          <t>system</t>
        </is>
      </c>
      <c r="O2065" t="inlineStr">
        <is>
          <t>2026-06-19 07:10:32</t>
        </is>
      </c>
      <c r="P2065" t="inlineStr">
        <is>
          <t>2026-06-19 07:10:32</t>
        </is>
      </c>
      <c r="Y2065" t="inlineStr">
        <is>
          <t>27674611406</t>
        </is>
      </c>
    </row>
    <row r="2066">
      <c r="A2066" t="inlineStr">
        <is>
          <t>14947187</t>
        </is>
      </c>
      <c r="B2066" t="inlineStr">
        <is>
          <t>9294bcf0-c85a-4c82-82b8-dd99a9d841c2</t>
        </is>
      </c>
      <c r="D2066" t="inlineStr">
        <is>
          <t>30001087</t>
        </is>
      </c>
      <c r="E2066" t="inlineStr">
        <is>
          <t>ussd_funeral_leads_altitude_20260619</t>
        </is>
      </c>
      <c r="J2066" t="inlineStr">
        <is>
          <t>TDN</t>
        </is>
      </c>
      <c r="K2066" t="inlineStr">
        <is>
          <t>Temporary Disconnected Number</t>
        </is>
      </c>
      <c r="L2066" t="n">
        <v>3</v>
      </c>
      <c r="M2066" t="inlineStr">
        <is>
          <t>2026-06-23 13:27:51</t>
        </is>
      </c>
      <c r="N2066" t="inlineStr">
        <is>
          <t>system</t>
        </is>
      </c>
      <c r="O2066" t="inlineStr">
        <is>
          <t>2026-06-19 07:10:32</t>
        </is>
      </c>
      <c r="P2066" t="inlineStr">
        <is>
          <t>2026-06-19 07:10:32</t>
        </is>
      </c>
      <c r="Y2066" t="inlineStr">
        <is>
          <t>27796660810</t>
        </is>
      </c>
    </row>
    <row r="2067">
      <c r="A2067" t="inlineStr">
        <is>
          <t>14947193</t>
        </is>
      </c>
      <c r="B2067" t="inlineStr">
        <is>
          <t>06bd1cae-7a94-4b3b-a7fd-8214b8c0d1bb</t>
        </is>
      </c>
      <c r="D2067" t="inlineStr">
        <is>
          <t>30001087</t>
        </is>
      </c>
      <c r="E2067" t="inlineStr">
        <is>
          <t>ussd_funeral_leads_altitude_20260619</t>
        </is>
      </c>
      <c r="J2067" t="inlineStr">
        <is>
          <t>AA</t>
        </is>
      </c>
      <c r="K2067" t="inlineStr">
        <is>
          <t>Answering Machine Autodial</t>
        </is>
      </c>
      <c r="L2067" t="n">
        <v>3</v>
      </c>
      <c r="M2067" t="inlineStr">
        <is>
          <t>2026-06-23 13:27:51</t>
        </is>
      </c>
      <c r="N2067" t="inlineStr">
        <is>
          <t>system</t>
        </is>
      </c>
      <c r="O2067" t="inlineStr">
        <is>
          <t>2026-06-19 07:10:32</t>
        </is>
      </c>
      <c r="P2067" t="inlineStr">
        <is>
          <t>2026-06-19 07:10:32</t>
        </is>
      </c>
      <c r="Y2067" t="inlineStr">
        <is>
          <t>27763449369</t>
        </is>
      </c>
    </row>
    <row r="2068">
      <c r="A2068" t="inlineStr">
        <is>
          <t>14947196</t>
        </is>
      </c>
      <c r="B2068" t="inlineStr">
        <is>
          <t>531eb603-06e4-47fd-b413-3079e322b2cd</t>
        </is>
      </c>
      <c r="D2068" t="inlineStr">
        <is>
          <t>30001087</t>
        </is>
      </c>
      <c r="E2068" t="inlineStr">
        <is>
          <t>ussd_funeral_leads_altitude_20260619</t>
        </is>
      </c>
      <c r="J2068" t="inlineStr">
        <is>
          <t>AA</t>
        </is>
      </c>
      <c r="K2068" t="inlineStr">
        <is>
          <t>Answering Machine Autodial</t>
        </is>
      </c>
      <c r="L2068" t="n">
        <v>3</v>
      </c>
      <c r="M2068" t="inlineStr">
        <is>
          <t>2026-06-23 13:27:45</t>
        </is>
      </c>
      <c r="N2068" t="inlineStr">
        <is>
          <t>system</t>
        </is>
      </c>
      <c r="O2068" t="inlineStr">
        <is>
          <t>2026-06-19 07:10:32</t>
        </is>
      </c>
      <c r="P2068" t="inlineStr">
        <is>
          <t>2026-06-19 07:10:32</t>
        </is>
      </c>
      <c r="Y2068" t="inlineStr">
        <is>
          <t>27664408740</t>
        </is>
      </c>
    </row>
    <row r="2069">
      <c r="A2069" t="inlineStr">
        <is>
          <t>14947140</t>
        </is>
      </c>
      <c r="B2069" t="inlineStr">
        <is>
          <t>21d88756-d410-46de-b0b4-24c92bc12635</t>
        </is>
      </c>
      <c r="D2069" t="inlineStr">
        <is>
          <t>30001087</t>
        </is>
      </c>
      <c r="E2069" t="inlineStr">
        <is>
          <t>ussd_funeral_leads_altitude_20260619</t>
        </is>
      </c>
      <c r="J2069" t="inlineStr">
        <is>
          <t>ADC</t>
        </is>
      </c>
      <c r="K2069" t="inlineStr">
        <is>
          <t>Auto Dial Disconnected</t>
        </is>
      </c>
      <c r="L2069" t="n">
        <v>3</v>
      </c>
      <c r="M2069" t="inlineStr">
        <is>
          <t>2026-06-23 13:27:16</t>
        </is>
      </c>
      <c r="N2069" t="inlineStr">
        <is>
          <t>system</t>
        </is>
      </c>
      <c r="O2069" t="inlineStr">
        <is>
          <t>2026-06-19 07:10:32</t>
        </is>
      </c>
      <c r="P2069" t="inlineStr">
        <is>
          <t>2026-06-19 07:10:32</t>
        </is>
      </c>
      <c r="Y2069" t="inlineStr">
        <is>
          <t>27792165636</t>
        </is>
      </c>
    </row>
    <row r="2070">
      <c r="A2070" t="inlineStr">
        <is>
          <t>14947141</t>
        </is>
      </c>
      <c r="B2070" t="inlineStr">
        <is>
          <t>3a756ed7-5c29-499b-8135-7ae6b7aa53bf</t>
        </is>
      </c>
      <c r="D2070" t="inlineStr">
        <is>
          <t>30001087</t>
        </is>
      </c>
      <c r="E2070" t="inlineStr">
        <is>
          <t>ussd_funeral_leads_altitude_20260619</t>
        </is>
      </c>
      <c r="J2070" t="inlineStr">
        <is>
          <t>CU</t>
        </is>
      </c>
      <c r="K2070" t="inlineStr">
        <is>
          <t>Client Hung Up</t>
        </is>
      </c>
      <c r="L2070" t="n">
        <v>3</v>
      </c>
      <c r="M2070" t="inlineStr">
        <is>
          <t>2026-06-23 13:27:13</t>
        </is>
      </c>
      <c r="N2070" t="inlineStr">
        <is>
          <t>Lebohang Mabotja</t>
        </is>
      </c>
      <c r="O2070" t="inlineStr">
        <is>
          <t>2026-06-19 07:10:32</t>
        </is>
      </c>
      <c r="P2070" t="inlineStr">
        <is>
          <t>2026-06-19 07:10:32</t>
        </is>
      </c>
      <c r="Y2070" t="inlineStr">
        <is>
          <t>27606388824</t>
        </is>
      </c>
    </row>
    <row r="2071">
      <c r="A2071" t="inlineStr">
        <is>
          <t>14947142</t>
        </is>
      </c>
      <c r="B2071" t="inlineStr">
        <is>
          <t>ab306aba-109a-470f-8eac-2a950e96674d</t>
        </is>
      </c>
      <c r="D2071" t="inlineStr">
        <is>
          <t>30001087</t>
        </is>
      </c>
      <c r="E2071" t="inlineStr">
        <is>
          <t>ussd_funeral_leads_altitude_20260619</t>
        </is>
      </c>
      <c r="J2071" t="inlineStr">
        <is>
          <t>ADC</t>
        </is>
      </c>
      <c r="K2071" t="inlineStr">
        <is>
          <t>Auto Dial Disconnected</t>
        </is>
      </c>
      <c r="L2071" t="n">
        <v>3</v>
      </c>
      <c r="M2071" t="inlineStr">
        <is>
          <t>2026-06-23 13:27:08</t>
        </is>
      </c>
      <c r="N2071" t="inlineStr">
        <is>
          <t>system</t>
        </is>
      </c>
      <c r="O2071" t="inlineStr">
        <is>
          <t>2026-06-19 07:10:32</t>
        </is>
      </c>
      <c r="P2071" t="inlineStr">
        <is>
          <t>2026-06-19 07:10:32</t>
        </is>
      </c>
      <c r="Y2071" t="inlineStr">
        <is>
          <t>27725394178</t>
        </is>
      </c>
    </row>
    <row r="2072">
      <c r="A2072" t="inlineStr">
        <is>
          <t>14947144</t>
        </is>
      </c>
      <c r="B2072" t="inlineStr">
        <is>
          <t>f6e0d003-82ec-4aaa-bb65-21e1e85b543f</t>
        </is>
      </c>
      <c r="D2072" t="inlineStr">
        <is>
          <t>30001087</t>
        </is>
      </c>
      <c r="E2072" t="inlineStr">
        <is>
          <t>ussd_funeral_leads_altitude_20260619</t>
        </is>
      </c>
      <c r="J2072" t="inlineStr">
        <is>
          <t>NI</t>
        </is>
      </c>
      <c r="K2072" t="inlineStr">
        <is>
          <t>Not Interested</t>
        </is>
      </c>
      <c r="L2072" t="n">
        <v>3</v>
      </c>
      <c r="M2072" t="inlineStr">
        <is>
          <t>2026-06-23 13:27:08</t>
        </is>
      </c>
      <c r="N2072" t="inlineStr">
        <is>
          <t>Dimakatso Nkomo</t>
        </is>
      </c>
      <c r="O2072" t="inlineStr">
        <is>
          <t>2026-06-19 07:10:32</t>
        </is>
      </c>
      <c r="P2072" t="inlineStr">
        <is>
          <t>2026-06-19 07:10:32</t>
        </is>
      </c>
      <c r="Y2072" t="inlineStr">
        <is>
          <t>27711561004</t>
        </is>
      </c>
    </row>
    <row r="2073">
      <c r="A2073" t="inlineStr">
        <is>
          <t>14947145</t>
        </is>
      </c>
      <c r="B2073" t="inlineStr">
        <is>
          <t>65784ace-cadc-492f-87eb-35cf8a626a58</t>
        </is>
      </c>
      <c r="D2073" t="inlineStr">
        <is>
          <t>30001087</t>
        </is>
      </c>
      <c r="E2073" t="inlineStr">
        <is>
          <t>ussd_funeral_leads_altitude_20260619</t>
        </is>
      </c>
      <c r="J2073" t="inlineStr">
        <is>
          <t>AA</t>
        </is>
      </c>
      <c r="K2073" t="inlineStr">
        <is>
          <t>Answering Machine Autodial</t>
        </is>
      </c>
      <c r="L2073" t="n">
        <v>3</v>
      </c>
      <c r="M2073" t="inlineStr">
        <is>
          <t>2026-06-23 13:26:43</t>
        </is>
      </c>
      <c r="N2073" t="inlineStr">
        <is>
          <t>system</t>
        </is>
      </c>
      <c r="O2073" t="inlineStr">
        <is>
          <t>2026-06-19 07:10:32</t>
        </is>
      </c>
      <c r="P2073" t="inlineStr">
        <is>
          <t>2026-06-19 07:10:32</t>
        </is>
      </c>
      <c r="Y2073" t="inlineStr">
        <is>
          <t>27793095280</t>
        </is>
      </c>
    </row>
    <row r="2074">
      <c r="A2074" t="inlineStr">
        <is>
          <t>14947146</t>
        </is>
      </c>
      <c r="B2074" t="inlineStr">
        <is>
          <t>91d9374e-61e3-45d3-957b-457c22a37e79</t>
        </is>
      </c>
      <c r="D2074" t="inlineStr">
        <is>
          <t>30001087</t>
        </is>
      </c>
      <c r="E2074" t="inlineStr">
        <is>
          <t>ussd_funeral_leads_altitude_20260619</t>
        </is>
      </c>
      <c r="J2074" t="inlineStr">
        <is>
          <t>CU</t>
        </is>
      </c>
      <c r="K2074" t="inlineStr">
        <is>
          <t>Client Hung Up</t>
        </is>
      </c>
      <c r="L2074" t="n">
        <v>3</v>
      </c>
      <c r="M2074" t="inlineStr">
        <is>
          <t>2026-06-23 13:26:43</t>
        </is>
      </c>
      <c r="N2074" t="inlineStr">
        <is>
          <t>Gontse Monageng</t>
        </is>
      </c>
      <c r="O2074" t="inlineStr">
        <is>
          <t>2026-06-19 07:10:32</t>
        </is>
      </c>
      <c r="P2074" t="inlineStr">
        <is>
          <t>2026-06-19 07:10:32</t>
        </is>
      </c>
      <c r="Y2074" t="inlineStr">
        <is>
          <t>27792897639</t>
        </is>
      </c>
    </row>
    <row r="2075">
      <c r="A2075" t="inlineStr">
        <is>
          <t>14947147</t>
        </is>
      </c>
      <c r="B2075" t="inlineStr">
        <is>
          <t>596fed27-49a2-44a3-80e9-2a10fbc7543a</t>
        </is>
      </c>
      <c r="D2075" t="inlineStr">
        <is>
          <t>30001087</t>
        </is>
      </c>
      <c r="E2075" t="inlineStr">
        <is>
          <t>ussd_funeral_leads_altitude_20260619</t>
        </is>
      </c>
      <c r="J2075" t="inlineStr">
        <is>
          <t>ADC</t>
        </is>
      </c>
      <c r="K2075" t="inlineStr">
        <is>
          <t>Auto Dial Disconnected</t>
        </is>
      </c>
      <c r="L2075" t="n">
        <v>3</v>
      </c>
      <c r="M2075" t="inlineStr">
        <is>
          <t>2026-06-23 13:26:41</t>
        </is>
      </c>
      <c r="N2075" t="inlineStr">
        <is>
          <t>system</t>
        </is>
      </c>
      <c r="O2075" t="inlineStr">
        <is>
          <t>2026-06-19 07:10:32</t>
        </is>
      </c>
      <c r="P2075" t="inlineStr">
        <is>
          <t>2026-06-19 07:10:32</t>
        </is>
      </c>
      <c r="Y2075" t="inlineStr">
        <is>
          <t>27648580831</t>
        </is>
      </c>
    </row>
    <row r="2076">
      <c r="A2076" t="inlineStr">
        <is>
          <t>14947148</t>
        </is>
      </c>
      <c r="B2076" t="inlineStr">
        <is>
          <t>b3977050-51d6-4288-9e0b-396f6c67b5d9</t>
        </is>
      </c>
      <c r="D2076" t="inlineStr">
        <is>
          <t>30001087</t>
        </is>
      </c>
      <c r="E2076" t="inlineStr">
        <is>
          <t>ussd_funeral_leads_altitude_20260619</t>
        </is>
      </c>
      <c r="J2076" t="inlineStr">
        <is>
          <t>AA</t>
        </is>
      </c>
      <c r="K2076" t="inlineStr">
        <is>
          <t>Answering Machine Autodial</t>
        </is>
      </c>
      <c r="L2076" t="n">
        <v>3</v>
      </c>
      <c r="M2076" t="inlineStr">
        <is>
          <t>2026-06-23 13:26:41</t>
        </is>
      </c>
      <c r="N2076" t="inlineStr">
        <is>
          <t>system</t>
        </is>
      </c>
      <c r="O2076" t="inlineStr">
        <is>
          <t>2026-06-19 07:10:32</t>
        </is>
      </c>
      <c r="P2076" t="inlineStr">
        <is>
          <t>2026-06-19 07:10:32</t>
        </is>
      </c>
      <c r="Y2076" t="inlineStr">
        <is>
          <t>27647979493</t>
        </is>
      </c>
    </row>
    <row r="2077">
      <c r="A2077" t="inlineStr">
        <is>
          <t>14947149</t>
        </is>
      </c>
      <c r="B2077" t="inlineStr">
        <is>
          <t>971dad33-529e-4fde-9988-c1d87b369403</t>
        </is>
      </c>
      <c r="D2077" t="inlineStr">
        <is>
          <t>30001087</t>
        </is>
      </c>
      <c r="E2077" t="inlineStr">
        <is>
          <t>ussd_funeral_leads_altitude_20260619</t>
        </is>
      </c>
      <c r="J2077" t="inlineStr">
        <is>
          <t>AA</t>
        </is>
      </c>
      <c r="K2077" t="inlineStr">
        <is>
          <t>Answering Machine Autodial</t>
        </is>
      </c>
      <c r="L2077" t="n">
        <v>3</v>
      </c>
      <c r="M2077" t="inlineStr">
        <is>
          <t>2026-06-23 13:26:32</t>
        </is>
      </c>
      <c r="N2077" t="inlineStr">
        <is>
          <t>system</t>
        </is>
      </c>
      <c r="O2077" t="inlineStr">
        <is>
          <t>2026-06-19 07:10:32</t>
        </is>
      </c>
      <c r="P2077" t="inlineStr">
        <is>
          <t>2026-06-19 07:10:32</t>
        </is>
      </c>
      <c r="Y2077" t="inlineStr">
        <is>
          <t>27772833833</t>
        </is>
      </c>
    </row>
    <row r="2078">
      <c r="A2078" t="inlineStr">
        <is>
          <t>14947162</t>
        </is>
      </c>
      <c r="B2078" t="inlineStr">
        <is>
          <t>6cac6a01-280a-4c7b-93a6-ea8fefe52676</t>
        </is>
      </c>
      <c r="D2078" t="inlineStr">
        <is>
          <t>30001087</t>
        </is>
      </c>
      <c r="E2078" t="inlineStr">
        <is>
          <t>ussd_funeral_leads_altitude_20260619</t>
        </is>
      </c>
      <c r="J2078" t="inlineStr">
        <is>
          <t>AA</t>
        </is>
      </c>
      <c r="K2078" t="inlineStr">
        <is>
          <t>Answering Machine Autodial</t>
        </is>
      </c>
      <c r="L2078" t="n">
        <v>3</v>
      </c>
      <c r="M2078" t="inlineStr">
        <is>
          <t>2026-06-23 13:26:31</t>
        </is>
      </c>
      <c r="N2078" t="inlineStr">
        <is>
          <t>system</t>
        </is>
      </c>
      <c r="O2078" t="inlineStr">
        <is>
          <t>2026-06-19 07:10:32</t>
        </is>
      </c>
      <c r="P2078" t="inlineStr">
        <is>
          <t>2026-06-19 07:10:32</t>
        </is>
      </c>
      <c r="Y2078" t="inlineStr">
        <is>
          <t>27606762428</t>
        </is>
      </c>
    </row>
    <row r="2079">
      <c r="A2079" t="inlineStr">
        <is>
          <t>14947165</t>
        </is>
      </c>
      <c r="B2079" t="inlineStr">
        <is>
          <t>3fcf6dbd-62d8-463d-b0e4-ccf68a555b43</t>
        </is>
      </c>
      <c r="D2079" t="inlineStr">
        <is>
          <t>30001087</t>
        </is>
      </c>
      <c r="E2079" t="inlineStr">
        <is>
          <t>ussd_funeral_leads_altitude_20260619</t>
        </is>
      </c>
      <c r="J2079" t="inlineStr">
        <is>
          <t>A</t>
        </is>
      </c>
      <c r="K2079" t="inlineStr">
        <is>
          <t>Answering Machine</t>
        </is>
      </c>
      <c r="L2079" t="n">
        <v>3</v>
      </c>
      <c r="M2079" t="inlineStr">
        <is>
          <t>2026-06-23 13:26:31</t>
        </is>
      </c>
      <c r="N2079" t="inlineStr">
        <is>
          <t>Lebohang Mabotja</t>
        </is>
      </c>
      <c r="O2079" t="inlineStr">
        <is>
          <t>2026-06-19 07:10:32</t>
        </is>
      </c>
      <c r="P2079" t="inlineStr">
        <is>
          <t>2026-06-19 07:10:32</t>
        </is>
      </c>
      <c r="Y2079" t="inlineStr">
        <is>
          <t>27762081664</t>
        </is>
      </c>
    </row>
    <row r="2080">
      <c r="A2080" t="inlineStr">
        <is>
          <t>14947166</t>
        </is>
      </c>
      <c r="B2080" t="inlineStr">
        <is>
          <t>64edd6a3-d7c9-4801-aabe-ef714a6a540a</t>
        </is>
      </c>
      <c r="D2080" t="inlineStr">
        <is>
          <t>30001087</t>
        </is>
      </c>
      <c r="E2080" t="inlineStr">
        <is>
          <t>ussd_funeral_leads_altitude_20260619</t>
        </is>
      </c>
      <c r="J2080" t="inlineStr">
        <is>
          <t>CU</t>
        </is>
      </c>
      <c r="K2080" t="inlineStr">
        <is>
          <t>Client Hung Up</t>
        </is>
      </c>
      <c r="L2080" t="n">
        <v>3</v>
      </c>
      <c r="M2080" t="inlineStr">
        <is>
          <t>2026-06-23 13:26:30</t>
        </is>
      </c>
      <c r="N2080" t="inlineStr">
        <is>
          <t>Gontse Monageng</t>
        </is>
      </c>
      <c r="O2080" t="inlineStr">
        <is>
          <t>2026-06-19 07:10:32</t>
        </is>
      </c>
      <c r="P2080" t="inlineStr">
        <is>
          <t>2026-06-19 07:10:32</t>
        </is>
      </c>
      <c r="Y2080" t="inlineStr">
        <is>
          <t>27793240679</t>
        </is>
      </c>
    </row>
    <row r="2081">
      <c r="A2081" t="inlineStr">
        <is>
          <t>14947167</t>
        </is>
      </c>
      <c r="B2081" t="inlineStr">
        <is>
          <t>bc42dfb8-44fa-4ae8-a32e-0c6e062108a4</t>
        </is>
      </c>
      <c r="D2081" t="inlineStr">
        <is>
          <t>30001087</t>
        </is>
      </c>
      <c r="E2081" t="inlineStr">
        <is>
          <t>ussd_funeral_leads_altitude_20260619</t>
        </is>
      </c>
      <c r="J2081" t="inlineStr">
        <is>
          <t>TDN</t>
        </is>
      </c>
      <c r="K2081" t="inlineStr">
        <is>
          <t>Temporary Disconnected Number</t>
        </is>
      </c>
      <c r="L2081" t="n">
        <v>3</v>
      </c>
      <c r="M2081" t="inlineStr">
        <is>
          <t>2026-06-23 13:26:27</t>
        </is>
      </c>
      <c r="N2081" t="inlineStr">
        <is>
          <t>system</t>
        </is>
      </c>
      <c r="O2081" t="inlineStr">
        <is>
          <t>2026-06-19 07:10:32</t>
        </is>
      </c>
      <c r="P2081" t="inlineStr">
        <is>
          <t>2026-06-19 07:10:32</t>
        </is>
      </c>
      <c r="Y2081" t="inlineStr">
        <is>
          <t>27661685681</t>
        </is>
      </c>
    </row>
    <row r="2082">
      <c r="A2082" t="inlineStr">
        <is>
          <t>14947168</t>
        </is>
      </c>
      <c r="B2082" t="inlineStr">
        <is>
          <t>30a01e09-e49b-43e6-a37f-27b1a196a210</t>
        </is>
      </c>
      <c r="D2082" t="inlineStr">
        <is>
          <t>30001087</t>
        </is>
      </c>
      <c r="E2082" t="inlineStr">
        <is>
          <t>ussd_funeral_leads_altitude_20260619</t>
        </is>
      </c>
      <c r="J2082" t="inlineStr">
        <is>
          <t>AA</t>
        </is>
      </c>
      <c r="K2082" t="inlineStr">
        <is>
          <t>Answering Machine Autodial</t>
        </is>
      </c>
      <c r="L2082" t="n">
        <v>3</v>
      </c>
      <c r="M2082" t="inlineStr">
        <is>
          <t>2026-06-23 13:26:27</t>
        </is>
      </c>
      <c r="N2082" t="inlineStr">
        <is>
          <t>system</t>
        </is>
      </c>
      <c r="O2082" t="inlineStr">
        <is>
          <t>2026-06-19 07:10:32</t>
        </is>
      </c>
      <c r="P2082" t="inlineStr">
        <is>
          <t>2026-06-19 07:10:32</t>
        </is>
      </c>
      <c r="Y2082" t="inlineStr">
        <is>
          <t>27799574410</t>
        </is>
      </c>
    </row>
    <row r="2083">
      <c r="A2083" t="inlineStr">
        <is>
          <t>14947169</t>
        </is>
      </c>
      <c r="B2083" t="inlineStr">
        <is>
          <t>b78536c8-5ab7-477f-8ab3-803d4c6e8300</t>
        </is>
      </c>
      <c r="D2083" t="inlineStr">
        <is>
          <t>30001087</t>
        </is>
      </c>
      <c r="E2083" t="inlineStr">
        <is>
          <t>ussd_funeral_leads_altitude_20260619</t>
        </is>
      </c>
      <c r="J2083" t="inlineStr">
        <is>
          <t>AA</t>
        </is>
      </c>
      <c r="K2083" t="inlineStr">
        <is>
          <t>Answering Machine Autodial</t>
        </is>
      </c>
      <c r="L2083" t="n">
        <v>3</v>
      </c>
      <c r="M2083" t="inlineStr">
        <is>
          <t>2026-06-23 13:26:26</t>
        </is>
      </c>
      <c r="N2083" t="inlineStr">
        <is>
          <t>system</t>
        </is>
      </c>
      <c r="O2083" t="inlineStr">
        <is>
          <t>2026-06-19 07:10:32</t>
        </is>
      </c>
      <c r="P2083" t="inlineStr">
        <is>
          <t>2026-06-19 07:10:32</t>
        </is>
      </c>
      <c r="Y2083" t="inlineStr">
        <is>
          <t>27796480671</t>
        </is>
      </c>
    </row>
    <row r="2084">
      <c r="A2084" t="inlineStr">
        <is>
          <t>14947170</t>
        </is>
      </c>
      <c r="B2084" t="inlineStr">
        <is>
          <t>b0c7af82-3e5c-4db1-9668-6e2391edb2f2</t>
        </is>
      </c>
      <c r="D2084" t="inlineStr">
        <is>
          <t>30001087</t>
        </is>
      </c>
      <c r="E2084" t="inlineStr">
        <is>
          <t>ussd_funeral_leads_altitude_20260619</t>
        </is>
      </c>
      <c r="J2084" t="inlineStr">
        <is>
          <t>AA</t>
        </is>
      </c>
      <c r="K2084" t="inlineStr">
        <is>
          <t>Answering Machine Autodial</t>
        </is>
      </c>
      <c r="L2084" t="n">
        <v>3</v>
      </c>
      <c r="M2084" t="inlineStr">
        <is>
          <t>2026-06-23 13:26:26</t>
        </is>
      </c>
      <c r="N2084" t="inlineStr">
        <is>
          <t>system</t>
        </is>
      </c>
      <c r="O2084" t="inlineStr">
        <is>
          <t>2026-06-19 07:10:32</t>
        </is>
      </c>
      <c r="P2084" t="inlineStr">
        <is>
          <t>2026-06-19 07:10:32</t>
        </is>
      </c>
      <c r="Y2084" t="inlineStr">
        <is>
          <t>27762893561</t>
        </is>
      </c>
    </row>
    <row r="2085">
      <c r="A2085" t="inlineStr">
        <is>
          <t>14947171</t>
        </is>
      </c>
      <c r="B2085" t="inlineStr">
        <is>
          <t>9bfe2c41-bef9-4f4d-b09b-fef5fb60ed42</t>
        </is>
      </c>
      <c r="D2085" t="inlineStr">
        <is>
          <t>30001087</t>
        </is>
      </c>
      <c r="E2085" t="inlineStr">
        <is>
          <t>ussd_funeral_leads_altitude_20260619</t>
        </is>
      </c>
      <c r="J2085" t="inlineStr">
        <is>
          <t>NA</t>
        </is>
      </c>
      <c r="K2085" t="inlineStr">
        <is>
          <t>No Answer Autodial</t>
        </is>
      </c>
      <c r="L2085" t="n">
        <v>3</v>
      </c>
      <c r="M2085" t="inlineStr">
        <is>
          <t>2026-06-23 13:26:25</t>
        </is>
      </c>
      <c r="N2085" t="inlineStr">
        <is>
          <t>system</t>
        </is>
      </c>
      <c r="O2085" t="inlineStr">
        <is>
          <t>2026-06-19 07:10:32</t>
        </is>
      </c>
      <c r="P2085" t="inlineStr">
        <is>
          <t>2026-06-19 07:10:32</t>
        </is>
      </c>
      <c r="Y2085" t="inlineStr">
        <is>
          <t>27636450678</t>
        </is>
      </c>
    </row>
    <row r="2086">
      <c r="A2086" t="inlineStr">
        <is>
          <t>14947172</t>
        </is>
      </c>
      <c r="B2086" t="inlineStr">
        <is>
          <t>21d23f69-055e-45e5-989e-c0530f082949</t>
        </is>
      </c>
      <c r="D2086" t="inlineStr">
        <is>
          <t>30001087</t>
        </is>
      </c>
      <c r="E2086" t="inlineStr">
        <is>
          <t>ussd_funeral_leads_altitude_20260619</t>
        </is>
      </c>
      <c r="J2086" t="inlineStr">
        <is>
          <t>AA</t>
        </is>
      </c>
      <c r="K2086" t="inlineStr">
        <is>
          <t>Answering Machine Autodial</t>
        </is>
      </c>
      <c r="L2086" t="n">
        <v>3</v>
      </c>
      <c r="M2086" t="inlineStr">
        <is>
          <t>2026-06-23 13:26:25</t>
        </is>
      </c>
      <c r="N2086" t="inlineStr">
        <is>
          <t>system</t>
        </is>
      </c>
      <c r="O2086" t="inlineStr">
        <is>
          <t>2026-06-19 07:10:32</t>
        </is>
      </c>
      <c r="P2086" t="inlineStr">
        <is>
          <t>2026-06-19 07:10:32</t>
        </is>
      </c>
      <c r="Y2086" t="inlineStr">
        <is>
          <t>27768873660</t>
        </is>
      </c>
    </row>
    <row r="2087">
      <c r="A2087" t="inlineStr">
        <is>
          <t>14947173</t>
        </is>
      </c>
      <c r="B2087" t="inlineStr">
        <is>
          <t>03b1c5e0-4aba-45ab-8731-fee48888348b</t>
        </is>
      </c>
      <c r="D2087" t="inlineStr">
        <is>
          <t>30001087</t>
        </is>
      </c>
      <c r="E2087" t="inlineStr">
        <is>
          <t>ussd_funeral_leads_altitude_20260619</t>
        </is>
      </c>
      <c r="J2087" t="inlineStr">
        <is>
          <t>TDN</t>
        </is>
      </c>
      <c r="K2087" t="inlineStr">
        <is>
          <t>Temporary Disconnected Number</t>
        </is>
      </c>
      <c r="L2087" t="n">
        <v>3</v>
      </c>
      <c r="M2087" t="inlineStr">
        <is>
          <t>2026-06-23 13:26:25</t>
        </is>
      </c>
      <c r="N2087" t="inlineStr">
        <is>
          <t>system</t>
        </is>
      </c>
      <c r="O2087" t="inlineStr">
        <is>
          <t>2026-06-19 07:10:32</t>
        </is>
      </c>
      <c r="P2087" t="inlineStr">
        <is>
          <t>2026-06-19 07:10:32</t>
        </is>
      </c>
      <c r="Y2087" t="inlineStr">
        <is>
          <t>27716817703</t>
        </is>
      </c>
    </row>
    <row r="2088">
      <c r="A2088" t="inlineStr">
        <is>
          <t>14947175</t>
        </is>
      </c>
      <c r="B2088" t="inlineStr">
        <is>
          <t>cc6a99aa-7cba-4a5a-9e61-06cedb3c564c</t>
        </is>
      </c>
      <c r="D2088" t="inlineStr">
        <is>
          <t>30001087</t>
        </is>
      </c>
      <c r="E2088" t="inlineStr">
        <is>
          <t>ussd_funeral_leads_altitude_20260619</t>
        </is>
      </c>
      <c r="J2088" t="inlineStr">
        <is>
          <t>ADC</t>
        </is>
      </c>
      <c r="K2088" t="inlineStr">
        <is>
          <t>Auto Dial Disconnected</t>
        </is>
      </c>
      <c r="L2088" t="n">
        <v>3</v>
      </c>
      <c r="M2088" t="inlineStr">
        <is>
          <t>2026-06-23 13:26:25</t>
        </is>
      </c>
      <c r="N2088" t="inlineStr">
        <is>
          <t>system</t>
        </is>
      </c>
      <c r="O2088" t="inlineStr">
        <is>
          <t>2026-06-19 07:10:32</t>
        </is>
      </c>
      <c r="P2088" t="inlineStr">
        <is>
          <t>2026-06-19 07:10:32</t>
        </is>
      </c>
      <c r="Y2088" t="inlineStr">
        <is>
          <t>27674309440</t>
        </is>
      </c>
    </row>
    <row r="2089">
      <c r="A2089" t="inlineStr">
        <is>
          <t>14947151</t>
        </is>
      </c>
      <c r="B2089" t="inlineStr">
        <is>
          <t>c40f5a1e-86a3-4eb7-a5cd-7e5e3a784993</t>
        </is>
      </c>
      <c r="D2089" t="inlineStr">
        <is>
          <t>30001087</t>
        </is>
      </c>
      <c r="E2089" t="inlineStr">
        <is>
          <t>ussd_funeral_leads_altitude_20260619</t>
        </is>
      </c>
      <c r="J2089" t="inlineStr">
        <is>
          <t>ADC</t>
        </is>
      </c>
      <c r="K2089" t="inlineStr">
        <is>
          <t>Auto Dial Disconnected</t>
        </is>
      </c>
      <c r="L2089" t="n">
        <v>3</v>
      </c>
      <c r="M2089" t="inlineStr">
        <is>
          <t>2026-06-23 13:26:11</t>
        </is>
      </c>
      <c r="N2089" t="inlineStr">
        <is>
          <t>system</t>
        </is>
      </c>
      <c r="O2089" t="inlineStr">
        <is>
          <t>2026-06-19 07:10:32</t>
        </is>
      </c>
      <c r="P2089" t="inlineStr">
        <is>
          <t>2026-06-19 07:10:32</t>
        </is>
      </c>
      <c r="Y2089" t="inlineStr">
        <is>
          <t>27608247962</t>
        </is>
      </c>
    </row>
    <row r="2090">
      <c r="A2090" t="inlineStr">
        <is>
          <t>14947152</t>
        </is>
      </c>
      <c r="B2090" t="inlineStr">
        <is>
          <t>18cd529d-245b-428c-a8eb-d9c6ed3d0993</t>
        </is>
      </c>
      <c r="D2090" t="inlineStr">
        <is>
          <t>30001087</t>
        </is>
      </c>
      <c r="E2090" t="inlineStr">
        <is>
          <t>ussd_funeral_leads_altitude_20260619</t>
        </is>
      </c>
      <c r="J2090" t="inlineStr">
        <is>
          <t>CU</t>
        </is>
      </c>
      <c r="K2090" t="inlineStr">
        <is>
          <t>Client Hung Up</t>
        </is>
      </c>
      <c r="L2090" t="n">
        <v>3</v>
      </c>
      <c r="M2090" t="inlineStr">
        <is>
          <t>2026-06-23 13:26:08</t>
        </is>
      </c>
      <c r="N2090" t="inlineStr">
        <is>
          <t>Vuyiswa Nxumalo</t>
        </is>
      </c>
      <c r="O2090" t="inlineStr">
        <is>
          <t>2026-06-19 07:10:32</t>
        </is>
      </c>
      <c r="P2090" t="inlineStr">
        <is>
          <t>2026-06-19 07:10:32</t>
        </is>
      </c>
      <c r="Y2090" t="inlineStr">
        <is>
          <t>27761507759</t>
        </is>
      </c>
    </row>
    <row r="2091">
      <c r="A2091" t="inlineStr">
        <is>
          <t>14947153</t>
        </is>
      </c>
      <c r="B2091" t="inlineStr">
        <is>
          <t>9c98a5e4-0647-4067-a5fb-891b7a75da7e</t>
        </is>
      </c>
      <c r="D2091" t="inlineStr">
        <is>
          <t>30001087</t>
        </is>
      </c>
      <c r="E2091" t="inlineStr">
        <is>
          <t>ussd_funeral_leads_altitude_20260619</t>
        </is>
      </c>
      <c r="J2091" t="inlineStr">
        <is>
          <t>AA</t>
        </is>
      </c>
      <c r="K2091" t="inlineStr">
        <is>
          <t>Answering Machine Autodial</t>
        </is>
      </c>
      <c r="L2091" t="n">
        <v>3</v>
      </c>
      <c r="M2091" t="inlineStr">
        <is>
          <t>2026-06-23 13:26:06</t>
        </is>
      </c>
      <c r="N2091" t="inlineStr">
        <is>
          <t>system</t>
        </is>
      </c>
      <c r="O2091" t="inlineStr">
        <is>
          <t>2026-06-19 07:10:32</t>
        </is>
      </c>
      <c r="P2091" t="inlineStr">
        <is>
          <t>2026-06-19 07:10:32</t>
        </is>
      </c>
      <c r="Y2091" t="inlineStr">
        <is>
          <t>27820685174</t>
        </is>
      </c>
    </row>
    <row r="2092">
      <c r="A2092" t="inlineStr">
        <is>
          <t>14947155</t>
        </is>
      </c>
      <c r="B2092" t="inlineStr">
        <is>
          <t>62edf4be-a07d-4259-85c2-d2571f0d222e</t>
        </is>
      </c>
      <c r="D2092" t="inlineStr">
        <is>
          <t>30001087</t>
        </is>
      </c>
      <c r="E2092" t="inlineStr">
        <is>
          <t>ussd_funeral_leads_altitude_20260619</t>
        </is>
      </c>
      <c r="J2092" t="inlineStr">
        <is>
          <t>AA</t>
        </is>
      </c>
      <c r="K2092" t="inlineStr">
        <is>
          <t>Answering Machine Autodial</t>
        </is>
      </c>
      <c r="L2092" t="n">
        <v>3</v>
      </c>
      <c r="M2092" t="inlineStr">
        <is>
          <t>2026-06-23 13:26:05</t>
        </is>
      </c>
      <c r="N2092" t="inlineStr">
        <is>
          <t>system</t>
        </is>
      </c>
      <c r="O2092" t="inlineStr">
        <is>
          <t>2026-06-19 07:10:32</t>
        </is>
      </c>
      <c r="P2092" t="inlineStr">
        <is>
          <t>2026-06-19 07:10:32</t>
        </is>
      </c>
      <c r="Y2092" t="inlineStr">
        <is>
          <t>27766339448</t>
        </is>
      </c>
    </row>
    <row r="2093">
      <c r="A2093" t="inlineStr">
        <is>
          <t>14947156</t>
        </is>
      </c>
      <c r="B2093" t="inlineStr">
        <is>
          <t>d626c1f8-92cd-410e-8fc9-54b2cb722c60</t>
        </is>
      </c>
      <c r="D2093" t="inlineStr">
        <is>
          <t>30001087</t>
        </is>
      </c>
      <c r="E2093" t="inlineStr">
        <is>
          <t>ussd_funeral_leads_altitude_20260619</t>
        </is>
      </c>
      <c r="J2093" t="inlineStr">
        <is>
          <t>AA</t>
        </is>
      </c>
      <c r="K2093" t="inlineStr">
        <is>
          <t>Answering Machine Autodial</t>
        </is>
      </c>
      <c r="L2093" t="n">
        <v>3</v>
      </c>
      <c r="M2093" t="inlineStr">
        <is>
          <t>2026-06-23 13:26:05</t>
        </is>
      </c>
      <c r="N2093" t="inlineStr">
        <is>
          <t>system</t>
        </is>
      </c>
      <c r="O2093" t="inlineStr">
        <is>
          <t>2026-06-19 07:10:32</t>
        </is>
      </c>
      <c r="P2093" t="inlineStr">
        <is>
          <t>2026-06-19 07:10:32</t>
        </is>
      </c>
      <c r="Y2093" t="inlineStr">
        <is>
          <t>27793481724</t>
        </is>
      </c>
    </row>
    <row r="2094">
      <c r="A2094" t="inlineStr">
        <is>
          <t>14944734</t>
        </is>
      </c>
      <c r="B2094" t="inlineStr">
        <is>
          <t>e9a73c69-8071-4df0-9c00-3cb43f421f80</t>
        </is>
      </c>
      <c r="D2094" t="inlineStr">
        <is>
          <t>30001087</t>
        </is>
      </c>
      <c r="E2094" t="inlineStr">
        <is>
          <t>ussd_funeral_leads_altitude_20260619</t>
        </is>
      </c>
      <c r="H2094" t="inlineStr">
        <is>
          <t>27713534691</t>
        </is>
      </c>
      <c r="J2094" t="inlineStr">
        <is>
          <t>CU</t>
        </is>
      </c>
      <c r="K2094" t="inlineStr">
        <is>
          <t>Client Hung Up</t>
        </is>
      </c>
      <c r="L2094" t="n">
        <v>3</v>
      </c>
      <c r="M2094" t="inlineStr">
        <is>
          <t>2026-06-23 13:25:42</t>
        </is>
      </c>
      <c r="N2094" t="inlineStr">
        <is>
          <t>Vuyiswa Nxumalo</t>
        </is>
      </c>
      <c r="O2094" t="inlineStr">
        <is>
          <t>2026-06-19 07:10:32</t>
        </is>
      </c>
      <c r="P2094" t="inlineStr">
        <is>
          <t>2026-06-19 07:10:32</t>
        </is>
      </c>
      <c r="Y2094" t="inlineStr">
        <is>
          <t>27713534691</t>
        </is>
      </c>
    </row>
    <row r="2095">
      <c r="A2095" t="inlineStr">
        <is>
          <t>14947157</t>
        </is>
      </c>
      <c r="B2095" t="inlineStr">
        <is>
          <t>e8ce292b-b1f0-4e98-8242-caaea93152bf</t>
        </is>
      </c>
      <c r="D2095" t="inlineStr">
        <is>
          <t>30001087</t>
        </is>
      </c>
      <c r="E2095" t="inlineStr">
        <is>
          <t>ussd_funeral_leads_altitude_20260619</t>
        </is>
      </c>
      <c r="J2095" t="inlineStr">
        <is>
          <t>AA</t>
        </is>
      </c>
      <c r="K2095" t="inlineStr">
        <is>
          <t>Answering Machine Autodial</t>
        </is>
      </c>
      <c r="L2095" t="n">
        <v>3</v>
      </c>
      <c r="M2095" t="inlineStr">
        <is>
          <t>2026-06-23 13:25:42</t>
        </is>
      </c>
      <c r="N2095" t="inlineStr">
        <is>
          <t>system</t>
        </is>
      </c>
      <c r="O2095" t="inlineStr">
        <is>
          <t>2026-06-19 07:10:32</t>
        </is>
      </c>
      <c r="P2095" t="inlineStr">
        <is>
          <t>2026-06-19 07:10:32</t>
        </is>
      </c>
      <c r="Y2095" t="inlineStr">
        <is>
          <t>27609133950</t>
        </is>
      </c>
    </row>
    <row r="2096">
      <c r="A2096" t="inlineStr">
        <is>
          <t>14947158</t>
        </is>
      </c>
      <c r="B2096" t="inlineStr">
        <is>
          <t>12a575a1-0903-4751-99dd-c5aa509f776e</t>
        </is>
      </c>
      <c r="D2096" t="inlineStr">
        <is>
          <t>30001087</t>
        </is>
      </c>
      <c r="E2096" t="inlineStr">
        <is>
          <t>ussd_funeral_leads_altitude_20260619</t>
        </is>
      </c>
      <c r="J2096" t="inlineStr">
        <is>
          <t>AE</t>
        </is>
      </c>
      <c r="K2096" t="inlineStr">
        <is>
          <t>Auto Engaged</t>
        </is>
      </c>
      <c r="L2096" t="n">
        <v>3</v>
      </c>
      <c r="M2096" t="inlineStr">
        <is>
          <t>2026-06-23 13:25:42</t>
        </is>
      </c>
      <c r="N2096" t="inlineStr">
        <is>
          <t>system</t>
        </is>
      </c>
      <c r="O2096" t="inlineStr">
        <is>
          <t>2026-06-19 07:10:32</t>
        </is>
      </c>
      <c r="P2096" t="inlineStr">
        <is>
          <t>2026-06-19 07:10:32</t>
        </is>
      </c>
      <c r="Y2096" t="inlineStr">
        <is>
          <t>27823116110</t>
        </is>
      </c>
    </row>
    <row r="2097">
      <c r="A2097" t="inlineStr">
        <is>
          <t>14947159</t>
        </is>
      </c>
      <c r="B2097" t="inlineStr">
        <is>
          <t>3a56fc5b-e23d-40cf-baf4-eb29cdc2b9b8</t>
        </is>
      </c>
      <c r="D2097" t="inlineStr">
        <is>
          <t>30001087</t>
        </is>
      </c>
      <c r="E2097" t="inlineStr">
        <is>
          <t>ussd_funeral_leads_altitude_20260619</t>
        </is>
      </c>
      <c r="J2097" t="inlineStr">
        <is>
          <t>AA</t>
        </is>
      </c>
      <c r="K2097" t="inlineStr">
        <is>
          <t>Answering Machine Autodial</t>
        </is>
      </c>
      <c r="L2097" t="n">
        <v>3</v>
      </c>
      <c r="M2097" t="inlineStr">
        <is>
          <t>2026-06-23 13:25:42</t>
        </is>
      </c>
      <c r="N2097" t="inlineStr">
        <is>
          <t>system</t>
        </is>
      </c>
      <c r="O2097" t="inlineStr">
        <is>
          <t>2026-06-19 07:10:32</t>
        </is>
      </c>
      <c r="P2097" t="inlineStr">
        <is>
          <t>2026-06-19 07:10:32</t>
        </is>
      </c>
      <c r="Y2097" t="inlineStr">
        <is>
          <t>27767768062</t>
        </is>
      </c>
    </row>
    <row r="2098">
      <c r="A2098" t="inlineStr">
        <is>
          <t>14947160</t>
        </is>
      </c>
      <c r="B2098" t="inlineStr">
        <is>
          <t>f1e00278-8d32-45b0-9be8-1cc032eb50f4</t>
        </is>
      </c>
      <c r="D2098" t="inlineStr">
        <is>
          <t>30001087</t>
        </is>
      </c>
      <c r="E2098" t="inlineStr">
        <is>
          <t>ussd_funeral_leads_altitude_20260619</t>
        </is>
      </c>
      <c r="J2098" t="inlineStr">
        <is>
          <t>AA</t>
        </is>
      </c>
      <c r="K2098" t="inlineStr">
        <is>
          <t>Answering Machine Autodial</t>
        </is>
      </c>
      <c r="L2098" t="n">
        <v>3</v>
      </c>
      <c r="M2098" t="inlineStr">
        <is>
          <t>2026-06-23 13:25:41</t>
        </is>
      </c>
      <c r="N2098" t="inlineStr">
        <is>
          <t>system</t>
        </is>
      </c>
      <c r="O2098" t="inlineStr">
        <is>
          <t>2026-06-19 07:10:32</t>
        </is>
      </c>
      <c r="P2098" t="inlineStr">
        <is>
          <t>2026-06-19 07:10:32</t>
        </is>
      </c>
      <c r="Y2098" t="inlineStr">
        <is>
          <t>27721960307</t>
        </is>
      </c>
    </row>
    <row r="2099">
      <c r="A2099" t="inlineStr">
        <is>
          <t>14947161</t>
        </is>
      </c>
      <c r="B2099" t="inlineStr">
        <is>
          <t>d4f42d67-9257-4d7c-b5ed-dd2632bb76e1</t>
        </is>
      </c>
      <c r="D2099" t="inlineStr">
        <is>
          <t>30001087</t>
        </is>
      </c>
      <c r="E2099" t="inlineStr">
        <is>
          <t>ussd_funeral_leads_altitude_20260619</t>
        </is>
      </c>
      <c r="J2099" t="inlineStr">
        <is>
          <t>AA</t>
        </is>
      </c>
      <c r="K2099" t="inlineStr">
        <is>
          <t>Answering Machine Autodial</t>
        </is>
      </c>
      <c r="L2099" t="n">
        <v>3</v>
      </c>
      <c r="M2099" t="inlineStr">
        <is>
          <t>2026-06-23 13:25:41</t>
        </is>
      </c>
      <c r="N2099" t="inlineStr">
        <is>
          <t>system</t>
        </is>
      </c>
      <c r="O2099" t="inlineStr">
        <is>
          <t>2026-06-19 07:10:32</t>
        </is>
      </c>
      <c r="P2099" t="inlineStr">
        <is>
          <t>2026-06-19 07:10:32</t>
        </is>
      </c>
      <c r="Y2099" t="inlineStr">
        <is>
          <t>27761858927</t>
        </is>
      </c>
    </row>
    <row r="2100">
      <c r="A2100" t="inlineStr">
        <is>
          <t>14947164</t>
        </is>
      </c>
      <c r="B2100" t="inlineStr">
        <is>
          <t>9768e68c-b953-4e5f-a2d1-df7b1c519f4c</t>
        </is>
      </c>
      <c r="D2100" t="inlineStr">
        <is>
          <t>30001087</t>
        </is>
      </c>
      <c r="E2100" t="inlineStr">
        <is>
          <t>ussd_funeral_leads_altitude_20260619</t>
        </is>
      </c>
      <c r="J2100" t="inlineStr">
        <is>
          <t>AE</t>
        </is>
      </c>
      <c r="K2100" t="inlineStr">
        <is>
          <t>Auto Engaged</t>
        </is>
      </c>
      <c r="L2100" t="n">
        <v>3</v>
      </c>
      <c r="M2100" t="inlineStr">
        <is>
          <t>2026-06-23 13:25:41</t>
        </is>
      </c>
      <c r="N2100" t="inlineStr">
        <is>
          <t>system</t>
        </is>
      </c>
      <c r="O2100" t="inlineStr">
        <is>
          <t>2026-06-19 07:10:32</t>
        </is>
      </c>
      <c r="P2100" t="inlineStr">
        <is>
          <t>2026-06-19 07:10:32</t>
        </is>
      </c>
      <c r="Y2100" t="inlineStr">
        <is>
          <t>27646668674</t>
        </is>
      </c>
    </row>
    <row r="2101">
      <c r="A2101" t="inlineStr">
        <is>
          <t>14947090</t>
        </is>
      </c>
      <c r="B2101" t="inlineStr">
        <is>
          <t>03be6170-0efe-4dd6-a0ba-b7b012c10313</t>
        </is>
      </c>
      <c r="D2101" t="inlineStr">
        <is>
          <t>30001087</t>
        </is>
      </c>
      <c r="E2101" t="inlineStr">
        <is>
          <t>ussd_funeral_leads_altitude_20260619</t>
        </is>
      </c>
      <c r="J2101" t="inlineStr">
        <is>
          <t>AA</t>
        </is>
      </c>
      <c r="K2101" t="inlineStr">
        <is>
          <t>Answering Machine Autodial</t>
        </is>
      </c>
      <c r="L2101" t="n">
        <v>3</v>
      </c>
      <c r="M2101" t="inlineStr">
        <is>
          <t>2026-06-23 13:24:56</t>
        </is>
      </c>
      <c r="N2101" t="inlineStr">
        <is>
          <t>system</t>
        </is>
      </c>
      <c r="O2101" t="inlineStr">
        <is>
          <t>2026-06-19 07:10:32</t>
        </is>
      </c>
      <c r="P2101" t="inlineStr">
        <is>
          <t>2026-06-19 07:10:32</t>
        </is>
      </c>
      <c r="Y2101" t="inlineStr">
        <is>
          <t>27797876401</t>
        </is>
      </c>
    </row>
    <row r="2102">
      <c r="A2102" t="inlineStr">
        <is>
          <t>14947091</t>
        </is>
      </c>
      <c r="B2102" t="inlineStr">
        <is>
          <t>7460de98-69e8-40b2-b1e1-fb4dc95771e0</t>
        </is>
      </c>
      <c r="D2102" t="inlineStr">
        <is>
          <t>30001087</t>
        </is>
      </c>
      <c r="E2102" t="inlineStr">
        <is>
          <t>ussd_funeral_leads_altitude_20260619</t>
        </is>
      </c>
      <c r="J2102" t="inlineStr">
        <is>
          <t>AA</t>
        </is>
      </c>
      <c r="K2102" t="inlineStr">
        <is>
          <t>Answering Machine Autodial</t>
        </is>
      </c>
      <c r="L2102" t="n">
        <v>3</v>
      </c>
      <c r="M2102" t="inlineStr">
        <is>
          <t>2026-06-23 13:24:51</t>
        </is>
      </c>
      <c r="N2102" t="inlineStr">
        <is>
          <t>system</t>
        </is>
      </c>
      <c r="O2102" t="inlineStr">
        <is>
          <t>2026-06-19 07:10:32</t>
        </is>
      </c>
      <c r="P2102" t="inlineStr">
        <is>
          <t>2026-06-19 07:10:32</t>
        </is>
      </c>
      <c r="Y2102" t="inlineStr">
        <is>
          <t>27796869374</t>
        </is>
      </c>
    </row>
    <row r="2103">
      <c r="A2103" t="inlineStr">
        <is>
          <t>14947092</t>
        </is>
      </c>
      <c r="B2103" t="inlineStr">
        <is>
          <t>830f6e69-c83e-4054-bcbd-b3f687f3b675</t>
        </is>
      </c>
      <c r="D2103" t="inlineStr">
        <is>
          <t>30001087</t>
        </is>
      </c>
      <c r="E2103" t="inlineStr">
        <is>
          <t>ussd_funeral_leads_altitude_20260619</t>
        </is>
      </c>
      <c r="J2103" t="inlineStr">
        <is>
          <t>AA</t>
        </is>
      </c>
      <c r="K2103" t="inlineStr">
        <is>
          <t>Answering Machine Autodial</t>
        </is>
      </c>
      <c r="L2103" t="n">
        <v>3</v>
      </c>
      <c r="M2103" t="inlineStr">
        <is>
          <t>2026-06-23 13:24:51</t>
        </is>
      </c>
      <c r="N2103" t="inlineStr">
        <is>
          <t>system</t>
        </is>
      </c>
      <c r="O2103" t="inlineStr">
        <is>
          <t>2026-06-19 07:10:32</t>
        </is>
      </c>
      <c r="P2103" t="inlineStr">
        <is>
          <t>2026-06-19 07:10:32</t>
        </is>
      </c>
      <c r="Y2103" t="inlineStr">
        <is>
          <t>27674763326</t>
        </is>
      </c>
    </row>
    <row r="2104">
      <c r="A2104" t="inlineStr">
        <is>
          <t>14947093</t>
        </is>
      </c>
      <c r="B2104" t="inlineStr">
        <is>
          <t>1806b613-68fd-4fdf-9f90-3fe5be8645dd</t>
        </is>
      </c>
      <c r="D2104" t="inlineStr">
        <is>
          <t>30001087</t>
        </is>
      </c>
      <c r="E2104" t="inlineStr">
        <is>
          <t>ussd_funeral_leads_altitude_20260619</t>
        </is>
      </c>
      <c r="J2104" t="inlineStr">
        <is>
          <t>AA</t>
        </is>
      </c>
      <c r="K2104" t="inlineStr">
        <is>
          <t>Answering Machine Autodial</t>
        </is>
      </c>
      <c r="L2104" t="n">
        <v>3</v>
      </c>
      <c r="M2104" t="inlineStr">
        <is>
          <t>2026-06-23 13:24:50</t>
        </is>
      </c>
      <c r="N2104" t="inlineStr">
        <is>
          <t>system</t>
        </is>
      </c>
      <c r="O2104" t="inlineStr">
        <is>
          <t>2026-06-19 07:10:32</t>
        </is>
      </c>
      <c r="P2104" t="inlineStr">
        <is>
          <t>2026-06-19 07:10:32</t>
        </is>
      </c>
      <c r="Y2104" t="inlineStr">
        <is>
          <t>27772661966</t>
        </is>
      </c>
    </row>
    <row r="2105">
      <c r="A2105" t="inlineStr">
        <is>
          <t>14947095</t>
        </is>
      </c>
      <c r="B2105" t="inlineStr">
        <is>
          <t>b5469e90-21f8-487a-9f71-86762ebf738f</t>
        </is>
      </c>
      <c r="D2105" t="inlineStr">
        <is>
          <t>30001087</t>
        </is>
      </c>
      <c r="E2105" t="inlineStr">
        <is>
          <t>ussd_funeral_leads_altitude_20260619</t>
        </is>
      </c>
      <c r="J2105" t="inlineStr">
        <is>
          <t>AA</t>
        </is>
      </c>
      <c r="K2105" t="inlineStr">
        <is>
          <t>Answering Machine Autodial</t>
        </is>
      </c>
      <c r="L2105" t="n">
        <v>3</v>
      </c>
      <c r="M2105" t="inlineStr">
        <is>
          <t>2026-06-23 13:24:46</t>
        </is>
      </c>
      <c r="N2105" t="inlineStr">
        <is>
          <t>system</t>
        </is>
      </c>
      <c r="O2105" t="inlineStr">
        <is>
          <t>2026-06-19 07:10:32</t>
        </is>
      </c>
      <c r="P2105" t="inlineStr">
        <is>
          <t>2026-06-19 07:10:32</t>
        </is>
      </c>
      <c r="Y2105" t="inlineStr">
        <is>
          <t>27648283424</t>
        </is>
      </c>
    </row>
    <row r="2106">
      <c r="A2106" t="inlineStr">
        <is>
          <t>14900000</t>
        </is>
      </c>
      <c r="B2106" t="inlineStr">
        <is>
          <t>e7132dff-7b9b-4ec7-81e6-54ecfff0d17d</t>
        </is>
      </c>
      <c r="D2106" t="inlineStr">
        <is>
          <t>30001087</t>
        </is>
      </c>
      <c r="E2106" t="inlineStr">
        <is>
          <t>ussd_funeral_leads_altitude_20260619</t>
        </is>
      </c>
      <c r="J2106" t="inlineStr">
        <is>
          <t>AA</t>
        </is>
      </c>
      <c r="K2106" t="inlineStr">
        <is>
          <t>Answering Machine Autodial</t>
        </is>
      </c>
      <c r="L2106" t="n">
        <v>3</v>
      </c>
      <c r="M2106" t="inlineStr">
        <is>
          <t>2026-06-23 13:24:45</t>
        </is>
      </c>
      <c r="N2106" t="inlineStr">
        <is>
          <t>system</t>
        </is>
      </c>
      <c r="O2106" t="inlineStr">
        <is>
          <t>2026-06-19 07:10:32</t>
        </is>
      </c>
      <c r="P2106" t="inlineStr">
        <is>
          <t>2026-06-19 07:10:32</t>
        </is>
      </c>
      <c r="Y2106" t="inlineStr">
        <is>
          <t>27665509712</t>
        </is>
      </c>
    </row>
    <row r="2107">
      <c r="A2107" t="inlineStr">
        <is>
          <t>14947097</t>
        </is>
      </c>
      <c r="B2107" t="inlineStr">
        <is>
          <t>946480de-1ec3-4afd-b1b2-ea8a020155cb</t>
        </is>
      </c>
      <c r="D2107" t="inlineStr">
        <is>
          <t>30001087</t>
        </is>
      </c>
      <c r="E2107" t="inlineStr">
        <is>
          <t>ussd_funeral_leads_altitude_20260619</t>
        </is>
      </c>
      <c r="J2107" t="inlineStr">
        <is>
          <t>AA</t>
        </is>
      </c>
      <c r="K2107" t="inlineStr">
        <is>
          <t>Answering Machine Autodial</t>
        </is>
      </c>
      <c r="L2107" t="n">
        <v>3</v>
      </c>
      <c r="M2107" t="inlineStr">
        <is>
          <t>2026-06-23 13:24:45</t>
        </is>
      </c>
      <c r="N2107" t="inlineStr">
        <is>
          <t>system</t>
        </is>
      </c>
      <c r="O2107" t="inlineStr">
        <is>
          <t>2026-06-19 07:10:32</t>
        </is>
      </c>
      <c r="P2107" t="inlineStr">
        <is>
          <t>2026-06-19 07:10:32</t>
        </is>
      </c>
      <c r="Y2107" t="inlineStr">
        <is>
          <t>27764507045</t>
        </is>
      </c>
    </row>
    <row r="2108">
      <c r="A2108" t="inlineStr">
        <is>
          <t>14947098</t>
        </is>
      </c>
      <c r="B2108" t="inlineStr">
        <is>
          <t>bcca5edd-44ca-41a9-bf93-93102c774595</t>
        </is>
      </c>
      <c r="D2108" t="inlineStr">
        <is>
          <t>30001087</t>
        </is>
      </c>
      <c r="E2108" t="inlineStr">
        <is>
          <t>ussd_funeral_leads_altitude_20260619</t>
        </is>
      </c>
      <c r="J2108" t="inlineStr">
        <is>
          <t>AA</t>
        </is>
      </c>
      <c r="K2108" t="inlineStr">
        <is>
          <t>Answering Machine Autodial</t>
        </is>
      </c>
      <c r="L2108" t="n">
        <v>3</v>
      </c>
      <c r="M2108" t="inlineStr">
        <is>
          <t>2026-06-23 13:24:42</t>
        </is>
      </c>
      <c r="N2108" t="inlineStr">
        <is>
          <t>system</t>
        </is>
      </c>
      <c r="O2108" t="inlineStr">
        <is>
          <t>2026-06-19 07:10:32</t>
        </is>
      </c>
      <c r="P2108" t="inlineStr">
        <is>
          <t>2026-06-19 07:10:32</t>
        </is>
      </c>
      <c r="Y2108" t="inlineStr">
        <is>
          <t>27763447958</t>
        </is>
      </c>
    </row>
    <row r="2109">
      <c r="A2109" t="inlineStr">
        <is>
          <t>14900000</t>
        </is>
      </c>
      <c r="B2109" t="inlineStr">
        <is>
          <t>7e141927-b33e-40ef-aff0-0be223220579</t>
        </is>
      </c>
      <c r="D2109" t="inlineStr">
        <is>
          <t>30001087</t>
        </is>
      </c>
      <c r="E2109" t="inlineStr">
        <is>
          <t>ussd_funeral_leads_altitude_20260619</t>
        </is>
      </c>
      <c r="J2109" t="inlineStr">
        <is>
          <t>AA</t>
        </is>
      </c>
      <c r="K2109" t="inlineStr">
        <is>
          <t>Answering Machine Autodial</t>
        </is>
      </c>
      <c r="L2109" t="n">
        <v>3</v>
      </c>
      <c r="M2109" t="inlineStr">
        <is>
          <t>2026-06-23 13:24:42</t>
        </is>
      </c>
      <c r="N2109" t="inlineStr">
        <is>
          <t>system</t>
        </is>
      </c>
      <c r="O2109" t="inlineStr">
        <is>
          <t>2026-06-19 07:10:32</t>
        </is>
      </c>
      <c r="P2109" t="inlineStr">
        <is>
          <t>2026-06-19 07:10:32</t>
        </is>
      </c>
      <c r="Y2109" t="inlineStr">
        <is>
          <t>27722481542</t>
        </is>
      </c>
    </row>
    <row r="2110">
      <c r="A2110" t="inlineStr">
        <is>
          <t>14947100</t>
        </is>
      </c>
      <c r="B2110" t="inlineStr">
        <is>
          <t>78b86a0f-a73a-40d2-93f8-8ce0d4b0f3a4</t>
        </is>
      </c>
      <c r="D2110" t="inlineStr">
        <is>
          <t>30001087</t>
        </is>
      </c>
      <c r="E2110" t="inlineStr">
        <is>
          <t>ussd_funeral_leads_altitude_20260619</t>
        </is>
      </c>
      <c r="J2110" t="inlineStr">
        <is>
          <t>AA</t>
        </is>
      </c>
      <c r="K2110" t="inlineStr">
        <is>
          <t>Answering Machine Autodial</t>
        </is>
      </c>
      <c r="L2110" t="n">
        <v>3</v>
      </c>
      <c r="M2110" t="inlineStr">
        <is>
          <t>2026-06-23 13:24:42</t>
        </is>
      </c>
      <c r="N2110" t="inlineStr">
        <is>
          <t>system</t>
        </is>
      </c>
      <c r="O2110" t="inlineStr">
        <is>
          <t>2026-06-19 07:10:32</t>
        </is>
      </c>
      <c r="P2110" t="inlineStr">
        <is>
          <t>2026-06-19 07:10:32</t>
        </is>
      </c>
      <c r="Y2110" t="inlineStr">
        <is>
          <t>27665739419</t>
        </is>
      </c>
    </row>
    <row r="2111">
      <c r="A2111" t="inlineStr">
        <is>
          <t>14947101</t>
        </is>
      </c>
      <c r="B2111" t="inlineStr">
        <is>
          <t>fb771f87-796e-4d56-915d-9064cafc771d</t>
        </is>
      </c>
      <c r="D2111" t="inlineStr">
        <is>
          <t>30001087</t>
        </is>
      </c>
      <c r="E2111" t="inlineStr">
        <is>
          <t>ussd_funeral_leads_altitude_20260619</t>
        </is>
      </c>
      <c r="J2111" t="inlineStr">
        <is>
          <t>ADC</t>
        </is>
      </c>
      <c r="K2111" t="inlineStr">
        <is>
          <t>Auto Dial Disconnected</t>
        </is>
      </c>
      <c r="L2111" t="n">
        <v>3</v>
      </c>
      <c r="M2111" t="inlineStr">
        <is>
          <t>2026-06-23 13:24:41</t>
        </is>
      </c>
      <c r="N2111" t="inlineStr">
        <is>
          <t>system</t>
        </is>
      </c>
      <c r="O2111" t="inlineStr">
        <is>
          <t>2026-06-19 07:10:32</t>
        </is>
      </c>
      <c r="P2111" t="inlineStr">
        <is>
          <t>2026-06-19 07:10:32</t>
        </is>
      </c>
      <c r="Y2111" t="inlineStr">
        <is>
          <t>27665535561</t>
        </is>
      </c>
    </row>
    <row r="2112">
      <c r="A2112" t="inlineStr">
        <is>
          <t>14947102</t>
        </is>
      </c>
      <c r="B2112" t="inlineStr">
        <is>
          <t>687b5890-26ce-4a7b-a251-7776cb82ed64</t>
        </is>
      </c>
      <c r="D2112" t="inlineStr">
        <is>
          <t>30001087</t>
        </is>
      </c>
      <c r="E2112" t="inlineStr">
        <is>
          <t>ussd_funeral_leads_altitude_20260619</t>
        </is>
      </c>
      <c r="J2112" t="inlineStr">
        <is>
          <t>ADC</t>
        </is>
      </c>
      <c r="K2112" t="inlineStr">
        <is>
          <t>Auto Dial Disconnected</t>
        </is>
      </c>
      <c r="L2112" t="n">
        <v>3</v>
      </c>
      <c r="M2112" t="inlineStr">
        <is>
          <t>2026-06-23 13:24:41</t>
        </is>
      </c>
      <c r="N2112" t="inlineStr">
        <is>
          <t>system</t>
        </is>
      </c>
      <c r="O2112" t="inlineStr">
        <is>
          <t>2026-06-19 07:10:32</t>
        </is>
      </c>
      <c r="P2112" t="inlineStr">
        <is>
          <t>2026-06-19 07:10:32</t>
        </is>
      </c>
      <c r="Y2112" t="inlineStr">
        <is>
          <t>27649668703</t>
        </is>
      </c>
    </row>
    <row r="2113">
      <c r="A2113" t="inlineStr">
        <is>
          <t>14947103</t>
        </is>
      </c>
      <c r="B2113" t="inlineStr">
        <is>
          <t>0b66de98-4f43-4a83-9379-eccad3164a57</t>
        </is>
      </c>
      <c r="D2113" t="inlineStr">
        <is>
          <t>30001087</t>
        </is>
      </c>
      <c r="E2113" t="inlineStr">
        <is>
          <t>ussd_funeral_leads_altitude_20260619</t>
        </is>
      </c>
      <c r="J2113" t="inlineStr">
        <is>
          <t>AA</t>
        </is>
      </c>
      <c r="K2113" t="inlineStr">
        <is>
          <t>Answering Machine Autodial</t>
        </is>
      </c>
      <c r="L2113" t="n">
        <v>3</v>
      </c>
      <c r="M2113" t="inlineStr">
        <is>
          <t>2026-06-23 13:24:41</t>
        </is>
      </c>
      <c r="N2113" t="inlineStr">
        <is>
          <t>system</t>
        </is>
      </c>
      <c r="O2113" t="inlineStr">
        <is>
          <t>2026-06-19 07:10:32</t>
        </is>
      </c>
      <c r="P2113" t="inlineStr">
        <is>
          <t>2026-06-19 07:10:32</t>
        </is>
      </c>
      <c r="Y2113" t="inlineStr">
        <is>
          <t>27794431040</t>
        </is>
      </c>
    </row>
    <row r="2114">
      <c r="A2114" t="inlineStr">
        <is>
          <t>14947104</t>
        </is>
      </c>
      <c r="B2114" t="inlineStr">
        <is>
          <t>a52c06fd-f677-44e0-97e4-aef02a5daf2e</t>
        </is>
      </c>
      <c r="D2114" t="inlineStr">
        <is>
          <t>30001087</t>
        </is>
      </c>
      <c r="E2114" t="inlineStr">
        <is>
          <t>ussd_funeral_leads_altitude_20260619</t>
        </is>
      </c>
      <c r="J2114" t="inlineStr">
        <is>
          <t>ADC</t>
        </is>
      </c>
      <c r="K2114" t="inlineStr">
        <is>
          <t>Auto Dial Disconnected</t>
        </is>
      </c>
      <c r="L2114" t="n">
        <v>3</v>
      </c>
      <c r="M2114" t="inlineStr">
        <is>
          <t>2026-06-23 13:24:41</t>
        </is>
      </c>
      <c r="N2114" t="inlineStr">
        <is>
          <t>system</t>
        </is>
      </c>
      <c r="O2114" t="inlineStr">
        <is>
          <t>2026-06-19 07:10:32</t>
        </is>
      </c>
      <c r="P2114" t="inlineStr">
        <is>
          <t>2026-06-19 07:10:32</t>
        </is>
      </c>
      <c r="Y2114" t="inlineStr">
        <is>
          <t>27715114502</t>
        </is>
      </c>
    </row>
    <row r="2115">
      <c r="A2115" t="inlineStr">
        <is>
          <t>14947106</t>
        </is>
      </c>
      <c r="B2115" t="inlineStr">
        <is>
          <t>91014885-a4d0-44b4-b55e-e73c10764bcf</t>
        </is>
      </c>
      <c r="D2115" t="inlineStr">
        <is>
          <t>30001087</t>
        </is>
      </c>
      <c r="E2115" t="inlineStr">
        <is>
          <t>ussd_funeral_leads_altitude_20260619</t>
        </is>
      </c>
      <c r="J2115" t="inlineStr">
        <is>
          <t>TDN</t>
        </is>
      </c>
      <c r="K2115" t="inlineStr">
        <is>
          <t>Temporary Disconnected Number</t>
        </is>
      </c>
      <c r="L2115" t="n">
        <v>3</v>
      </c>
      <c r="M2115" t="inlineStr">
        <is>
          <t>2026-06-23 13:24:41</t>
        </is>
      </c>
      <c r="N2115" t="inlineStr">
        <is>
          <t>system</t>
        </is>
      </c>
      <c r="O2115" t="inlineStr">
        <is>
          <t>2026-06-19 07:10:32</t>
        </is>
      </c>
      <c r="P2115" t="inlineStr">
        <is>
          <t>2026-06-19 07:10:32</t>
        </is>
      </c>
      <c r="Y2115" t="inlineStr">
        <is>
          <t>27796867761</t>
        </is>
      </c>
    </row>
    <row r="2116">
      <c r="A2116" t="inlineStr">
        <is>
          <t>14947107</t>
        </is>
      </c>
      <c r="B2116" t="inlineStr">
        <is>
          <t>70b9a9d8-e6d1-44bc-8399-c7ed6d8144a5</t>
        </is>
      </c>
      <c r="D2116" t="inlineStr">
        <is>
          <t>30001087</t>
        </is>
      </c>
      <c r="E2116" t="inlineStr">
        <is>
          <t>ussd_funeral_leads_altitude_20260619</t>
        </is>
      </c>
      <c r="J2116" t="inlineStr">
        <is>
          <t>AA</t>
        </is>
      </c>
      <c r="K2116" t="inlineStr">
        <is>
          <t>Answering Machine Autodial</t>
        </is>
      </c>
      <c r="L2116" t="n">
        <v>3</v>
      </c>
      <c r="M2116" t="inlineStr">
        <is>
          <t>2026-06-23 13:24:38</t>
        </is>
      </c>
      <c r="N2116" t="inlineStr">
        <is>
          <t>system</t>
        </is>
      </c>
      <c r="O2116" t="inlineStr">
        <is>
          <t>2026-06-19 07:10:32</t>
        </is>
      </c>
      <c r="P2116" t="inlineStr">
        <is>
          <t>2026-06-19 07:10:32</t>
        </is>
      </c>
      <c r="Y2116" t="inlineStr">
        <is>
          <t>27724369381</t>
        </is>
      </c>
    </row>
    <row r="2117">
      <c r="A2117" t="inlineStr">
        <is>
          <t>14947108</t>
        </is>
      </c>
      <c r="B2117" t="inlineStr">
        <is>
          <t>17f75d79-ded3-4b7e-bce0-850c30352574</t>
        </is>
      </c>
      <c r="D2117" t="inlineStr">
        <is>
          <t>30001087</t>
        </is>
      </c>
      <c r="E2117" t="inlineStr">
        <is>
          <t>ussd_funeral_leads_altitude_20260619</t>
        </is>
      </c>
      <c r="J2117" t="inlineStr">
        <is>
          <t>ADC</t>
        </is>
      </c>
      <c r="K2117" t="inlineStr">
        <is>
          <t>Auto Dial Disconnected</t>
        </is>
      </c>
      <c r="L2117" t="n">
        <v>3</v>
      </c>
      <c r="M2117" t="inlineStr">
        <is>
          <t>2026-06-23 13:24:37</t>
        </is>
      </c>
      <c r="N2117" t="inlineStr">
        <is>
          <t>system</t>
        </is>
      </c>
      <c r="O2117" t="inlineStr">
        <is>
          <t>2026-06-19 07:10:32</t>
        </is>
      </c>
      <c r="P2117" t="inlineStr">
        <is>
          <t>2026-06-19 07:10:32</t>
        </is>
      </c>
      <c r="Y2117" t="inlineStr">
        <is>
          <t>27728159457</t>
        </is>
      </c>
    </row>
    <row r="2118">
      <c r="A2118" t="inlineStr">
        <is>
          <t>14947109</t>
        </is>
      </c>
      <c r="B2118" t="inlineStr">
        <is>
          <t>b04f46a5-188e-4168-88c7-daa2a0002417</t>
        </is>
      </c>
      <c r="D2118" t="inlineStr">
        <is>
          <t>30001087</t>
        </is>
      </c>
      <c r="E2118" t="inlineStr">
        <is>
          <t>ussd_funeral_leads_altitude_20260619</t>
        </is>
      </c>
      <c r="J2118" t="inlineStr">
        <is>
          <t>AE</t>
        </is>
      </c>
      <c r="K2118" t="inlineStr">
        <is>
          <t>Auto Engaged</t>
        </is>
      </c>
      <c r="L2118" t="n">
        <v>3</v>
      </c>
      <c r="M2118" t="inlineStr">
        <is>
          <t>2026-06-23 13:24:37</t>
        </is>
      </c>
      <c r="N2118" t="inlineStr">
        <is>
          <t>system</t>
        </is>
      </c>
      <c r="O2118" t="inlineStr">
        <is>
          <t>2026-06-19 07:10:32</t>
        </is>
      </c>
      <c r="P2118" t="inlineStr">
        <is>
          <t>2026-06-19 07:10:32</t>
        </is>
      </c>
      <c r="Y2118" t="inlineStr">
        <is>
          <t>27662269230</t>
        </is>
      </c>
    </row>
    <row r="2119">
      <c r="A2119" t="inlineStr">
        <is>
          <t>14947110</t>
        </is>
      </c>
      <c r="B2119" t="inlineStr">
        <is>
          <t>c3e3c420-1392-4c0f-a2da-8fff84736ab1</t>
        </is>
      </c>
      <c r="D2119" t="inlineStr">
        <is>
          <t>30001087</t>
        </is>
      </c>
      <c r="E2119" t="inlineStr">
        <is>
          <t>ussd_funeral_leads_altitude_20260619</t>
        </is>
      </c>
      <c r="J2119" t="inlineStr">
        <is>
          <t>AA</t>
        </is>
      </c>
      <c r="K2119" t="inlineStr">
        <is>
          <t>Answering Machine Autodial</t>
        </is>
      </c>
      <c r="L2119" t="n">
        <v>3</v>
      </c>
      <c r="M2119" t="inlineStr">
        <is>
          <t>2026-06-23 13:24:36</t>
        </is>
      </c>
      <c r="N2119" t="inlineStr">
        <is>
          <t>system</t>
        </is>
      </c>
      <c r="O2119" t="inlineStr">
        <is>
          <t>2026-06-19 07:10:32</t>
        </is>
      </c>
      <c r="P2119" t="inlineStr">
        <is>
          <t>2026-06-19 07:10:32</t>
        </is>
      </c>
      <c r="Y2119" t="inlineStr">
        <is>
          <t>27762738005</t>
        </is>
      </c>
    </row>
    <row r="2120">
      <c r="A2120" t="inlineStr">
        <is>
          <t>14947111</t>
        </is>
      </c>
      <c r="B2120" t="inlineStr">
        <is>
          <t>691304a7-79d9-4f6d-8084-109579d2903f</t>
        </is>
      </c>
      <c r="D2120" t="inlineStr">
        <is>
          <t>30001087</t>
        </is>
      </c>
      <c r="E2120" t="inlineStr">
        <is>
          <t>ussd_funeral_leads_altitude_20260619</t>
        </is>
      </c>
      <c r="J2120" t="inlineStr">
        <is>
          <t>AA</t>
        </is>
      </c>
      <c r="K2120" t="inlineStr">
        <is>
          <t>Answering Machine Autodial</t>
        </is>
      </c>
      <c r="L2120" t="n">
        <v>3</v>
      </c>
      <c r="M2120" t="inlineStr">
        <is>
          <t>2026-06-23 13:24:36</t>
        </is>
      </c>
      <c r="N2120" t="inlineStr">
        <is>
          <t>system</t>
        </is>
      </c>
      <c r="O2120" t="inlineStr">
        <is>
          <t>2026-06-19 07:10:32</t>
        </is>
      </c>
      <c r="P2120" t="inlineStr">
        <is>
          <t>2026-06-19 07:10:32</t>
        </is>
      </c>
      <c r="Y2120" t="inlineStr">
        <is>
          <t>27763097823</t>
        </is>
      </c>
    </row>
    <row r="2121">
      <c r="A2121" t="inlineStr">
        <is>
          <t>14947112</t>
        </is>
      </c>
      <c r="B2121" t="inlineStr">
        <is>
          <t>7560ae88-9260-4473-a25e-5877faf14b1c</t>
        </is>
      </c>
      <c r="D2121" t="inlineStr">
        <is>
          <t>30001087</t>
        </is>
      </c>
      <c r="E2121" t="inlineStr">
        <is>
          <t>ussd_funeral_leads_altitude_20260619</t>
        </is>
      </c>
      <c r="J2121" t="inlineStr">
        <is>
          <t>CU</t>
        </is>
      </c>
      <c r="K2121" t="inlineStr">
        <is>
          <t>Client Hung Up</t>
        </is>
      </c>
      <c r="L2121" t="n">
        <v>3</v>
      </c>
      <c r="M2121" t="inlineStr">
        <is>
          <t>2026-06-23 13:24:36</t>
        </is>
      </c>
      <c r="N2121" t="inlineStr">
        <is>
          <t>Vuyiswa Nxumalo</t>
        </is>
      </c>
      <c r="O2121" t="inlineStr">
        <is>
          <t>2026-06-19 07:10:32</t>
        </is>
      </c>
      <c r="P2121" t="inlineStr">
        <is>
          <t>2026-06-19 07:10:32</t>
        </is>
      </c>
      <c r="Y2121" t="inlineStr">
        <is>
          <t>27726674301</t>
        </is>
      </c>
    </row>
    <row r="2122">
      <c r="A2122" t="inlineStr">
        <is>
          <t>14947114</t>
        </is>
      </c>
      <c r="B2122" t="inlineStr">
        <is>
          <t>72ad7ca5-8360-4c36-9833-832b2a83be1c</t>
        </is>
      </c>
      <c r="D2122" t="inlineStr">
        <is>
          <t>30001087</t>
        </is>
      </c>
      <c r="E2122" t="inlineStr">
        <is>
          <t>ussd_funeral_leads_altitude_20260619</t>
        </is>
      </c>
      <c r="J2122" t="inlineStr">
        <is>
          <t>NA</t>
        </is>
      </c>
      <c r="K2122" t="inlineStr">
        <is>
          <t>No Answer Autodial</t>
        </is>
      </c>
      <c r="L2122" t="n">
        <v>3</v>
      </c>
      <c r="M2122" t="inlineStr">
        <is>
          <t>2026-06-23 13:24:35</t>
        </is>
      </c>
      <c r="N2122" t="inlineStr">
        <is>
          <t>system</t>
        </is>
      </c>
      <c r="O2122" t="inlineStr">
        <is>
          <t>2026-06-19 07:10:32</t>
        </is>
      </c>
      <c r="P2122" t="inlineStr">
        <is>
          <t>2026-06-19 07:10:32</t>
        </is>
      </c>
      <c r="Y2122" t="inlineStr">
        <is>
          <t>27673672250</t>
        </is>
      </c>
    </row>
    <row r="2123">
      <c r="A2123" t="inlineStr">
        <is>
          <t>14947117</t>
        </is>
      </c>
      <c r="B2123" t="inlineStr">
        <is>
          <t>483b329f-f81f-4552-a174-8edeb79a149b</t>
        </is>
      </c>
      <c r="D2123" t="inlineStr">
        <is>
          <t>30001087</t>
        </is>
      </c>
      <c r="E2123" t="inlineStr">
        <is>
          <t>ussd_funeral_leads_altitude_20260619</t>
        </is>
      </c>
      <c r="J2123" t="inlineStr">
        <is>
          <t>AA</t>
        </is>
      </c>
      <c r="K2123" t="inlineStr">
        <is>
          <t>Answering Machine Autodial</t>
        </is>
      </c>
      <c r="L2123" t="n">
        <v>3</v>
      </c>
      <c r="M2123" t="inlineStr">
        <is>
          <t>2026-06-23 13:24:35</t>
        </is>
      </c>
      <c r="N2123" t="inlineStr">
        <is>
          <t>system</t>
        </is>
      </c>
      <c r="O2123" t="inlineStr">
        <is>
          <t>2026-06-19 07:10:32</t>
        </is>
      </c>
      <c r="P2123" t="inlineStr">
        <is>
          <t>2026-06-19 07:10:32</t>
        </is>
      </c>
      <c r="Y2123" t="inlineStr">
        <is>
          <t>27724107763</t>
        </is>
      </c>
    </row>
    <row r="2124">
      <c r="A2124" t="inlineStr">
        <is>
          <t>14947118</t>
        </is>
      </c>
      <c r="B2124" t="inlineStr">
        <is>
          <t>98087e93-bd89-4650-9dd2-8f053dbf7d76</t>
        </is>
      </c>
      <c r="D2124" t="inlineStr">
        <is>
          <t>30001087</t>
        </is>
      </c>
      <c r="E2124" t="inlineStr">
        <is>
          <t>ussd_funeral_leads_altitude_20260619</t>
        </is>
      </c>
      <c r="J2124" t="inlineStr">
        <is>
          <t>BLQ</t>
        </is>
      </c>
      <c r="K2124" t="inlineStr">
        <is>
          <t>Bad Line Quality</t>
        </is>
      </c>
      <c r="L2124" t="n">
        <v>3</v>
      </c>
      <c r="M2124" t="inlineStr">
        <is>
          <t>2026-06-23 13:24:35</t>
        </is>
      </c>
      <c r="N2124" t="inlineStr">
        <is>
          <t>Lebohang Mabotja</t>
        </is>
      </c>
      <c r="O2124" t="inlineStr">
        <is>
          <t>2026-06-19 07:10:32</t>
        </is>
      </c>
      <c r="P2124" t="inlineStr">
        <is>
          <t>2026-06-19 07:10:32</t>
        </is>
      </c>
      <c r="Y2124" t="inlineStr">
        <is>
          <t>27663729952</t>
        </is>
      </c>
    </row>
    <row r="2125">
      <c r="A2125" t="inlineStr">
        <is>
          <t>14900000</t>
        </is>
      </c>
      <c r="B2125" t="inlineStr">
        <is>
          <t>e0934514-10ed-4341-b453-e928f3708c9e</t>
        </is>
      </c>
      <c r="D2125" t="inlineStr">
        <is>
          <t>30001087</t>
        </is>
      </c>
      <c r="E2125" t="inlineStr">
        <is>
          <t>ussd_funeral_leads_altitude_20260619</t>
        </is>
      </c>
      <c r="J2125" t="inlineStr">
        <is>
          <t>TDN</t>
        </is>
      </c>
      <c r="K2125" t="inlineStr">
        <is>
          <t>Temporary Disconnected Number</t>
        </is>
      </c>
      <c r="L2125" t="n">
        <v>3</v>
      </c>
      <c r="M2125" t="inlineStr">
        <is>
          <t>2026-06-23 13:24:35</t>
        </is>
      </c>
      <c r="N2125" t="inlineStr">
        <is>
          <t>system</t>
        </is>
      </c>
      <c r="O2125" t="inlineStr">
        <is>
          <t>2026-06-19 07:10:32</t>
        </is>
      </c>
      <c r="P2125" t="inlineStr">
        <is>
          <t>2026-06-19 07:10:32</t>
        </is>
      </c>
      <c r="Y2125" t="inlineStr">
        <is>
          <t>27824710783</t>
        </is>
      </c>
    </row>
    <row r="2126">
      <c r="A2126" t="inlineStr">
        <is>
          <t>14947120</t>
        </is>
      </c>
      <c r="B2126" t="inlineStr">
        <is>
          <t>da681f40-e7cc-4f6a-857f-32f14190dfa8</t>
        </is>
      </c>
      <c r="D2126" t="inlineStr">
        <is>
          <t>30001087</t>
        </is>
      </c>
      <c r="E2126" t="inlineStr">
        <is>
          <t>ussd_funeral_leads_altitude_20260619</t>
        </is>
      </c>
      <c r="J2126" t="inlineStr">
        <is>
          <t>ADC</t>
        </is>
      </c>
      <c r="K2126" t="inlineStr">
        <is>
          <t>Auto Dial Disconnected</t>
        </is>
      </c>
      <c r="L2126" t="n">
        <v>3</v>
      </c>
      <c r="M2126" t="inlineStr">
        <is>
          <t>2026-06-23 13:24:33</t>
        </is>
      </c>
      <c r="N2126" t="inlineStr">
        <is>
          <t>system</t>
        </is>
      </c>
      <c r="O2126" t="inlineStr">
        <is>
          <t>2026-06-19 07:10:32</t>
        </is>
      </c>
      <c r="P2126" t="inlineStr">
        <is>
          <t>2026-06-19 07:10:32</t>
        </is>
      </c>
      <c r="Y2126" t="inlineStr">
        <is>
          <t>27665893399</t>
        </is>
      </c>
    </row>
    <row r="2127">
      <c r="A2127" t="inlineStr">
        <is>
          <t>14947121</t>
        </is>
      </c>
      <c r="B2127" t="inlineStr">
        <is>
          <t>f09bba55-a2eb-44e5-adeb-0f19976e6113</t>
        </is>
      </c>
      <c r="D2127" t="inlineStr">
        <is>
          <t>30001087</t>
        </is>
      </c>
      <c r="E2127" t="inlineStr">
        <is>
          <t>ussd_funeral_leads_altitude_20260619</t>
        </is>
      </c>
      <c r="J2127" t="inlineStr">
        <is>
          <t>TDN</t>
        </is>
      </c>
      <c r="K2127" t="inlineStr">
        <is>
          <t>Temporary Disconnected Number</t>
        </is>
      </c>
      <c r="L2127" t="n">
        <v>3</v>
      </c>
      <c r="M2127" t="inlineStr">
        <is>
          <t>2026-06-23 13:24:32</t>
        </is>
      </c>
      <c r="N2127" t="inlineStr">
        <is>
          <t>system</t>
        </is>
      </c>
      <c r="O2127" t="inlineStr">
        <is>
          <t>2026-06-19 07:10:32</t>
        </is>
      </c>
      <c r="P2127" t="inlineStr">
        <is>
          <t>2026-06-19 07:10:32</t>
        </is>
      </c>
      <c r="Y2127" t="inlineStr">
        <is>
          <t>27711447830</t>
        </is>
      </c>
    </row>
    <row r="2128">
      <c r="A2128" t="inlineStr">
        <is>
          <t>14947122</t>
        </is>
      </c>
      <c r="B2128" t="inlineStr">
        <is>
          <t>430a9c2c-217c-49d9-9f54-3ef05ed38409</t>
        </is>
      </c>
      <c r="D2128" t="inlineStr">
        <is>
          <t>30001087</t>
        </is>
      </c>
      <c r="E2128" t="inlineStr">
        <is>
          <t>ussd_funeral_leads_altitude_20260619</t>
        </is>
      </c>
      <c r="J2128" t="inlineStr">
        <is>
          <t>AA</t>
        </is>
      </c>
      <c r="K2128" t="inlineStr">
        <is>
          <t>Answering Machine Autodial</t>
        </is>
      </c>
      <c r="L2128" t="n">
        <v>3</v>
      </c>
      <c r="M2128" t="inlineStr">
        <is>
          <t>2026-06-23 13:24:32</t>
        </is>
      </c>
      <c r="N2128" t="inlineStr">
        <is>
          <t>system</t>
        </is>
      </c>
      <c r="O2128" t="inlineStr">
        <is>
          <t>2026-06-19 07:10:32</t>
        </is>
      </c>
      <c r="P2128" t="inlineStr">
        <is>
          <t>2026-06-19 07:10:32</t>
        </is>
      </c>
      <c r="Y2128" t="inlineStr">
        <is>
          <t>27722772066</t>
        </is>
      </c>
    </row>
    <row r="2129">
      <c r="A2129" t="inlineStr">
        <is>
          <t>14947123</t>
        </is>
      </c>
      <c r="B2129" t="inlineStr">
        <is>
          <t>fbd4b20c-77ab-439a-a967-25eeccd8c1f7</t>
        </is>
      </c>
      <c r="D2129" t="inlineStr">
        <is>
          <t>30001087</t>
        </is>
      </c>
      <c r="E2129" t="inlineStr">
        <is>
          <t>ussd_funeral_leads_altitude_20260619</t>
        </is>
      </c>
      <c r="J2129" t="inlineStr">
        <is>
          <t>TDN</t>
        </is>
      </c>
      <c r="K2129" t="inlineStr">
        <is>
          <t>Temporary Disconnected Number</t>
        </is>
      </c>
      <c r="L2129" t="n">
        <v>3</v>
      </c>
      <c r="M2129" t="inlineStr">
        <is>
          <t>2026-06-23 13:24:32</t>
        </is>
      </c>
      <c r="N2129" t="inlineStr">
        <is>
          <t>system</t>
        </is>
      </c>
      <c r="O2129" t="inlineStr">
        <is>
          <t>2026-06-19 07:10:32</t>
        </is>
      </c>
      <c r="P2129" t="inlineStr">
        <is>
          <t>2026-06-19 07:10:32</t>
        </is>
      </c>
      <c r="Y2129" t="inlineStr">
        <is>
          <t>27793447593</t>
        </is>
      </c>
    </row>
    <row r="2130">
      <c r="A2130" t="inlineStr">
        <is>
          <t>14947124</t>
        </is>
      </c>
      <c r="B2130" t="inlineStr">
        <is>
          <t>5a7fe89c-ce58-4295-b2f9-4a6c6c3e4d37</t>
        </is>
      </c>
      <c r="D2130" t="inlineStr">
        <is>
          <t>30001087</t>
        </is>
      </c>
      <c r="E2130" t="inlineStr">
        <is>
          <t>ussd_funeral_leads_altitude_20260619</t>
        </is>
      </c>
      <c r="J2130" t="inlineStr">
        <is>
          <t>AA</t>
        </is>
      </c>
      <c r="K2130" t="inlineStr">
        <is>
          <t>Answering Machine Autodial</t>
        </is>
      </c>
      <c r="L2130" t="n">
        <v>3</v>
      </c>
      <c r="M2130" t="inlineStr">
        <is>
          <t>2026-06-23 13:24:32</t>
        </is>
      </c>
      <c r="N2130" t="inlineStr">
        <is>
          <t>system</t>
        </is>
      </c>
      <c r="O2130" t="inlineStr">
        <is>
          <t>2026-06-19 07:10:32</t>
        </is>
      </c>
      <c r="P2130" t="inlineStr">
        <is>
          <t>2026-06-19 07:10:32</t>
        </is>
      </c>
      <c r="Y2130" t="inlineStr">
        <is>
          <t>27712293822</t>
        </is>
      </c>
    </row>
    <row r="2131">
      <c r="A2131" t="inlineStr">
        <is>
          <t>14947125</t>
        </is>
      </c>
      <c r="B2131" t="inlineStr">
        <is>
          <t>1c9776a3-5120-4679-a77e-9987f3ce87b4</t>
        </is>
      </c>
      <c r="D2131" t="inlineStr">
        <is>
          <t>30001087</t>
        </is>
      </c>
      <c r="E2131" t="inlineStr">
        <is>
          <t>ussd_funeral_leads_altitude_20260619</t>
        </is>
      </c>
      <c r="J2131" t="inlineStr">
        <is>
          <t>ADC</t>
        </is>
      </c>
      <c r="K2131" t="inlineStr">
        <is>
          <t>Auto Dial Disconnected</t>
        </is>
      </c>
      <c r="L2131" t="n">
        <v>3</v>
      </c>
      <c r="M2131" t="inlineStr">
        <is>
          <t>2026-06-23 13:24:30</t>
        </is>
      </c>
      <c r="N2131" t="inlineStr">
        <is>
          <t>system</t>
        </is>
      </c>
      <c r="O2131" t="inlineStr">
        <is>
          <t>2026-06-19 07:10:32</t>
        </is>
      </c>
      <c r="P2131" t="inlineStr">
        <is>
          <t>2026-06-19 07:10:32</t>
        </is>
      </c>
      <c r="Y2131" t="inlineStr">
        <is>
          <t>27794399067</t>
        </is>
      </c>
    </row>
    <row r="2132">
      <c r="A2132" t="inlineStr">
        <is>
          <t>14947128</t>
        </is>
      </c>
      <c r="B2132" t="inlineStr">
        <is>
          <t>c6699bf4-3246-47d4-858c-a0efc2e923cb</t>
        </is>
      </c>
      <c r="D2132" t="inlineStr">
        <is>
          <t>30001087</t>
        </is>
      </c>
      <c r="E2132" t="inlineStr">
        <is>
          <t>ussd_funeral_leads_altitude_20260619</t>
        </is>
      </c>
      <c r="J2132" t="inlineStr">
        <is>
          <t>AA</t>
        </is>
      </c>
      <c r="K2132" t="inlineStr">
        <is>
          <t>Answering Machine Autodial</t>
        </is>
      </c>
      <c r="L2132" t="n">
        <v>3</v>
      </c>
      <c r="M2132" t="inlineStr">
        <is>
          <t>2026-06-23 13:24:29</t>
        </is>
      </c>
      <c r="N2132" t="inlineStr">
        <is>
          <t>system</t>
        </is>
      </c>
      <c r="O2132" t="inlineStr">
        <is>
          <t>2026-06-19 07:10:32</t>
        </is>
      </c>
      <c r="P2132" t="inlineStr">
        <is>
          <t>2026-06-19 07:10:32</t>
        </is>
      </c>
      <c r="Y2132" t="inlineStr">
        <is>
          <t>27673814336</t>
        </is>
      </c>
    </row>
    <row r="2133">
      <c r="A2133" t="inlineStr">
        <is>
          <t>14947127</t>
        </is>
      </c>
      <c r="B2133" t="inlineStr">
        <is>
          <t>12b7db59-681d-40ad-b05a-2d487b0d266c</t>
        </is>
      </c>
      <c r="D2133" t="inlineStr">
        <is>
          <t>30001087</t>
        </is>
      </c>
      <c r="E2133" t="inlineStr">
        <is>
          <t>ussd_funeral_leads_altitude_20260619</t>
        </is>
      </c>
      <c r="J2133" t="inlineStr">
        <is>
          <t>CU</t>
        </is>
      </c>
      <c r="K2133" t="inlineStr">
        <is>
          <t>Client Hung Up</t>
        </is>
      </c>
      <c r="L2133" t="n">
        <v>3</v>
      </c>
      <c r="M2133" t="inlineStr">
        <is>
          <t>2026-06-23 13:24:04</t>
        </is>
      </c>
      <c r="N2133" t="inlineStr">
        <is>
          <t>Lebohang Mabotja</t>
        </is>
      </c>
      <c r="O2133" t="inlineStr">
        <is>
          <t>2026-06-19 07:10:32</t>
        </is>
      </c>
      <c r="P2133" t="inlineStr">
        <is>
          <t>2026-06-19 07:10:32</t>
        </is>
      </c>
      <c r="Y2133" t="inlineStr">
        <is>
          <t>27720718081</t>
        </is>
      </c>
    </row>
    <row r="2134">
      <c r="A2134" t="inlineStr">
        <is>
          <t>14944760</t>
        </is>
      </c>
      <c r="B2134" t="inlineStr">
        <is>
          <t>012c4127-094e-4b9e-9fc3-06893306f7cd</t>
        </is>
      </c>
      <c r="D2134" t="inlineStr">
        <is>
          <t>30001087</t>
        </is>
      </c>
      <c r="E2134" t="inlineStr">
        <is>
          <t>ussd_funeral_leads_altitude_20260619</t>
        </is>
      </c>
      <c r="J2134" t="inlineStr">
        <is>
          <t>CU</t>
        </is>
      </c>
      <c r="K2134" t="inlineStr">
        <is>
          <t>Client Hung Up</t>
        </is>
      </c>
      <c r="L2134" t="n">
        <v>3</v>
      </c>
      <c r="M2134" t="inlineStr">
        <is>
          <t>2026-06-23 13:23:14</t>
        </is>
      </c>
      <c r="N2134" t="inlineStr">
        <is>
          <t>Vuyiswa Nxumalo</t>
        </is>
      </c>
      <c r="O2134" t="inlineStr">
        <is>
          <t>2026-06-19 07:10:32</t>
        </is>
      </c>
      <c r="P2134" t="inlineStr">
        <is>
          <t>2026-06-19 07:10:32</t>
        </is>
      </c>
      <c r="Y2134" t="inlineStr">
        <is>
          <t>27796217550</t>
        </is>
      </c>
    </row>
    <row r="2135">
      <c r="A2135" t="inlineStr">
        <is>
          <t>14944761</t>
        </is>
      </c>
      <c r="B2135" t="inlineStr">
        <is>
          <t>89727389-0297-4733-b367-23c9e83a7d4b</t>
        </is>
      </c>
      <c r="D2135" t="inlineStr">
        <is>
          <t>30001087</t>
        </is>
      </c>
      <c r="E2135" t="inlineStr">
        <is>
          <t>ussd_funeral_leads_altitude_20260619</t>
        </is>
      </c>
      <c r="J2135" t="inlineStr">
        <is>
          <t>AA</t>
        </is>
      </c>
      <c r="K2135" t="inlineStr">
        <is>
          <t>Answering Machine Autodial</t>
        </is>
      </c>
      <c r="L2135" t="n">
        <v>3</v>
      </c>
      <c r="M2135" t="inlineStr">
        <is>
          <t>2026-06-23 13:23:14</t>
        </is>
      </c>
      <c r="N2135" t="inlineStr">
        <is>
          <t>system</t>
        </is>
      </c>
      <c r="O2135" t="inlineStr">
        <is>
          <t>2026-06-19 07:10:32</t>
        </is>
      </c>
      <c r="P2135" t="inlineStr">
        <is>
          <t>2026-06-19 07:10:32</t>
        </is>
      </c>
      <c r="Y2135" t="inlineStr">
        <is>
          <t>27774315439</t>
        </is>
      </c>
    </row>
    <row r="2136">
      <c r="A2136" t="inlineStr">
        <is>
          <t>14944759</t>
        </is>
      </c>
      <c r="B2136" t="inlineStr">
        <is>
          <t>769130b1-1356-4467-a1d8-cf1213c8e5dd</t>
        </is>
      </c>
      <c r="D2136" t="inlineStr">
        <is>
          <t>30001087</t>
        </is>
      </c>
      <c r="E2136" t="inlineStr">
        <is>
          <t>ussd_funeral_leads_altitude_20260619</t>
        </is>
      </c>
      <c r="J2136" t="inlineStr">
        <is>
          <t>A</t>
        </is>
      </c>
      <c r="K2136" t="inlineStr">
        <is>
          <t>Answering Machine</t>
        </is>
      </c>
      <c r="L2136" t="n">
        <v>3</v>
      </c>
      <c r="M2136" t="inlineStr">
        <is>
          <t>2026-06-23 13:23:10</t>
        </is>
      </c>
      <c r="N2136" t="inlineStr">
        <is>
          <t>Vuyiswa Nxumalo</t>
        </is>
      </c>
      <c r="O2136" t="inlineStr">
        <is>
          <t>2026-06-19 07:10:32</t>
        </is>
      </c>
      <c r="P2136" t="inlineStr">
        <is>
          <t>2026-06-19 07:10:32</t>
        </is>
      </c>
      <c r="Y2136" t="inlineStr">
        <is>
          <t>27609525408</t>
        </is>
      </c>
    </row>
    <row r="2137">
      <c r="A2137" t="inlineStr">
        <is>
          <t>14944757</t>
        </is>
      </c>
      <c r="B2137" t="inlineStr">
        <is>
          <t>a5cd1aa4-df21-4023-8aad-f980ab4bdc7f</t>
        </is>
      </c>
      <c r="D2137" t="inlineStr">
        <is>
          <t>30001087</t>
        </is>
      </c>
      <c r="E2137" t="inlineStr">
        <is>
          <t>ussd_funeral_leads_altitude_20260619</t>
        </is>
      </c>
      <c r="J2137" t="inlineStr">
        <is>
          <t>AA</t>
        </is>
      </c>
      <c r="K2137" t="inlineStr">
        <is>
          <t>Answering Machine Autodial</t>
        </is>
      </c>
      <c r="L2137" t="n">
        <v>3</v>
      </c>
      <c r="M2137" t="inlineStr">
        <is>
          <t>2026-06-23 13:23:09</t>
        </is>
      </c>
      <c r="N2137" t="inlineStr">
        <is>
          <t>system</t>
        </is>
      </c>
      <c r="O2137" t="inlineStr">
        <is>
          <t>2026-06-19 07:10:32</t>
        </is>
      </c>
      <c r="P2137" t="inlineStr">
        <is>
          <t>2026-06-19 07:10:32</t>
        </is>
      </c>
      <c r="Y2137" t="inlineStr">
        <is>
          <t>27726547446</t>
        </is>
      </c>
    </row>
    <row r="2138">
      <c r="A2138" t="inlineStr">
        <is>
          <t>14944758</t>
        </is>
      </c>
      <c r="B2138" t="inlineStr">
        <is>
          <t>e2dfcc58-bfc9-4546-8289-d6148c4b0ee1</t>
        </is>
      </c>
      <c r="D2138" t="inlineStr">
        <is>
          <t>30001087</t>
        </is>
      </c>
      <c r="E2138" t="inlineStr">
        <is>
          <t>ussd_funeral_leads_altitude_20260619</t>
        </is>
      </c>
      <c r="J2138" t="inlineStr">
        <is>
          <t>NA</t>
        </is>
      </c>
      <c r="K2138" t="inlineStr">
        <is>
          <t>No Answer Autodial</t>
        </is>
      </c>
      <c r="L2138" t="n">
        <v>3</v>
      </c>
      <c r="M2138" t="inlineStr">
        <is>
          <t>2026-06-23 13:23:09</t>
        </is>
      </c>
      <c r="N2138" t="inlineStr">
        <is>
          <t>system</t>
        </is>
      </c>
      <c r="O2138" t="inlineStr">
        <is>
          <t>2026-06-19 07:10:32</t>
        </is>
      </c>
      <c r="P2138" t="inlineStr">
        <is>
          <t>2026-06-19 07:10:32</t>
        </is>
      </c>
      <c r="Y2138" t="inlineStr">
        <is>
          <t>27822561418</t>
        </is>
      </c>
    </row>
    <row r="2139">
      <c r="A2139" t="inlineStr">
        <is>
          <t>14944755</t>
        </is>
      </c>
      <c r="B2139" t="inlineStr">
        <is>
          <t>36c5c6e2-57e4-47da-8eed-3f3587a2eb3a</t>
        </is>
      </c>
      <c r="D2139" t="inlineStr">
        <is>
          <t>30001087</t>
        </is>
      </c>
      <c r="E2139" t="inlineStr">
        <is>
          <t>ussd_funeral_leads_altitude_20260619</t>
        </is>
      </c>
      <c r="J2139" t="inlineStr">
        <is>
          <t>AA</t>
        </is>
      </c>
      <c r="K2139" t="inlineStr">
        <is>
          <t>Answering Machine Autodial</t>
        </is>
      </c>
      <c r="L2139" t="n">
        <v>3</v>
      </c>
      <c r="M2139" t="inlineStr">
        <is>
          <t>2026-06-23 13:23:08</t>
        </is>
      </c>
      <c r="N2139" t="inlineStr">
        <is>
          <t>system</t>
        </is>
      </c>
      <c r="O2139" t="inlineStr">
        <is>
          <t>2026-06-19 07:10:32</t>
        </is>
      </c>
      <c r="P2139" t="inlineStr">
        <is>
          <t>2026-06-19 07:10:32</t>
        </is>
      </c>
      <c r="Y2139" t="inlineStr">
        <is>
          <t>27774615091</t>
        </is>
      </c>
    </row>
    <row r="2140">
      <c r="A2140" t="inlineStr">
        <is>
          <t>14944756</t>
        </is>
      </c>
      <c r="B2140" t="inlineStr">
        <is>
          <t>a4e84643-d881-4fbd-ace5-12474ff0f809</t>
        </is>
      </c>
      <c r="D2140" t="inlineStr">
        <is>
          <t>30001087</t>
        </is>
      </c>
      <c r="E2140" t="inlineStr">
        <is>
          <t>ussd_funeral_leads_altitude_20260619</t>
        </is>
      </c>
      <c r="J2140" t="inlineStr">
        <is>
          <t>DROP</t>
        </is>
      </c>
      <c r="K2140" t="inlineStr">
        <is>
          <t>Dropped</t>
        </is>
      </c>
      <c r="L2140" t="n">
        <v>3</v>
      </c>
      <c r="M2140" t="inlineStr">
        <is>
          <t>2026-06-23 13:23:08</t>
        </is>
      </c>
      <c r="N2140" t="inlineStr">
        <is>
          <t>system</t>
        </is>
      </c>
      <c r="O2140" t="inlineStr">
        <is>
          <t>2026-06-19 07:10:32</t>
        </is>
      </c>
      <c r="P2140" t="inlineStr">
        <is>
          <t>2026-06-19 07:10:32</t>
        </is>
      </c>
      <c r="Y2140" t="inlineStr">
        <is>
          <t>27798528489</t>
        </is>
      </c>
    </row>
    <row r="2141">
      <c r="A2141" t="inlineStr">
        <is>
          <t>14900000</t>
        </is>
      </c>
      <c r="B2141" t="inlineStr">
        <is>
          <t>376e408b-3ae8-4d08-bb67-c9996bfbb357</t>
        </is>
      </c>
      <c r="D2141" t="inlineStr">
        <is>
          <t>30001087</t>
        </is>
      </c>
      <c r="E2141" t="inlineStr">
        <is>
          <t>ussd_funeral_leads_altitude_20260619</t>
        </is>
      </c>
      <c r="J2141" t="inlineStr">
        <is>
          <t>AA</t>
        </is>
      </c>
      <c r="K2141" t="inlineStr">
        <is>
          <t>Answering Machine Autodial</t>
        </is>
      </c>
      <c r="L2141" t="n">
        <v>3</v>
      </c>
      <c r="M2141" t="inlineStr">
        <is>
          <t>2026-06-23 13:23:04</t>
        </is>
      </c>
      <c r="N2141" t="inlineStr">
        <is>
          <t>system</t>
        </is>
      </c>
      <c r="O2141" t="inlineStr">
        <is>
          <t>2026-06-19 07:10:32</t>
        </is>
      </c>
      <c r="P2141" t="inlineStr">
        <is>
          <t>2026-06-19 07:10:32</t>
        </is>
      </c>
      <c r="Y2141" t="inlineStr">
        <is>
          <t>27712870040</t>
        </is>
      </c>
    </row>
    <row r="2142">
      <c r="A2142" t="inlineStr">
        <is>
          <t>14944750</t>
        </is>
      </c>
      <c r="B2142" t="inlineStr">
        <is>
          <t>bbe609c2-a379-415e-97fe-faa071e064b6</t>
        </is>
      </c>
      <c r="D2142" t="inlineStr">
        <is>
          <t>30001087</t>
        </is>
      </c>
      <c r="E2142" t="inlineStr">
        <is>
          <t>ussd_funeral_leads_altitude_20260619</t>
        </is>
      </c>
      <c r="J2142" t="inlineStr">
        <is>
          <t>NA</t>
        </is>
      </c>
      <c r="K2142" t="inlineStr">
        <is>
          <t>No Answer Autodial</t>
        </is>
      </c>
      <c r="L2142" t="n">
        <v>3</v>
      </c>
      <c r="M2142" t="inlineStr">
        <is>
          <t>2026-06-23 13:23:03</t>
        </is>
      </c>
      <c r="N2142" t="inlineStr">
        <is>
          <t>system</t>
        </is>
      </c>
      <c r="O2142" t="inlineStr">
        <is>
          <t>2026-06-19 07:10:32</t>
        </is>
      </c>
      <c r="P2142" t="inlineStr">
        <is>
          <t>2026-06-19 07:10:32</t>
        </is>
      </c>
      <c r="Y2142" t="inlineStr">
        <is>
          <t>27714222916</t>
        </is>
      </c>
    </row>
    <row r="2143">
      <c r="A2143" t="inlineStr">
        <is>
          <t>14944751</t>
        </is>
      </c>
      <c r="B2143" t="inlineStr">
        <is>
          <t>24fa749d-3b59-4533-aca4-b89e74a41311</t>
        </is>
      </c>
      <c r="D2143" t="inlineStr">
        <is>
          <t>30001087</t>
        </is>
      </c>
      <c r="E2143" t="inlineStr">
        <is>
          <t>ussd_funeral_leads_altitude_20260619</t>
        </is>
      </c>
      <c r="J2143" t="inlineStr">
        <is>
          <t>DROP</t>
        </is>
      </c>
      <c r="K2143" t="inlineStr">
        <is>
          <t>Dropped</t>
        </is>
      </c>
      <c r="L2143" t="n">
        <v>3</v>
      </c>
      <c r="M2143" t="inlineStr">
        <is>
          <t>2026-06-23 13:23:03</t>
        </is>
      </c>
      <c r="N2143" t="inlineStr">
        <is>
          <t>system</t>
        </is>
      </c>
      <c r="O2143" t="inlineStr">
        <is>
          <t>2026-06-19 07:10:32</t>
        </is>
      </c>
      <c r="P2143" t="inlineStr">
        <is>
          <t>2026-06-19 07:10:32</t>
        </is>
      </c>
      <c r="Y2143" t="inlineStr">
        <is>
          <t>27792653896</t>
        </is>
      </c>
    </row>
    <row r="2144">
      <c r="A2144" t="inlineStr">
        <is>
          <t>14944752</t>
        </is>
      </c>
      <c r="B2144" t="inlineStr">
        <is>
          <t>4f6c1e58-c662-48f6-86ad-e961641c8383</t>
        </is>
      </c>
      <c r="D2144" t="inlineStr">
        <is>
          <t>30001087</t>
        </is>
      </c>
      <c r="E2144" t="inlineStr">
        <is>
          <t>ussd_funeral_leads_altitude_20260619</t>
        </is>
      </c>
      <c r="J2144" t="inlineStr">
        <is>
          <t>AA</t>
        </is>
      </c>
      <c r="K2144" t="inlineStr">
        <is>
          <t>Answering Machine Autodial</t>
        </is>
      </c>
      <c r="L2144" t="n">
        <v>3</v>
      </c>
      <c r="M2144" t="inlineStr">
        <is>
          <t>2026-06-23 13:23:03</t>
        </is>
      </c>
      <c r="N2144" t="inlineStr">
        <is>
          <t>system</t>
        </is>
      </c>
      <c r="O2144" t="inlineStr">
        <is>
          <t>2026-06-19 07:10:32</t>
        </is>
      </c>
      <c r="P2144" t="inlineStr">
        <is>
          <t>2026-06-19 07:10:32</t>
        </is>
      </c>
      <c r="Y2144" t="inlineStr">
        <is>
          <t>27607780408</t>
        </is>
      </c>
    </row>
    <row r="2145">
      <c r="A2145" t="inlineStr">
        <is>
          <t>14944753</t>
        </is>
      </c>
      <c r="B2145" t="inlineStr">
        <is>
          <t>08912d78-3815-428e-b5fb-af9b61ba6357</t>
        </is>
      </c>
      <c r="D2145" t="inlineStr">
        <is>
          <t>30001087</t>
        </is>
      </c>
      <c r="E2145" t="inlineStr">
        <is>
          <t>ussd_funeral_leads_altitude_20260619</t>
        </is>
      </c>
      <c r="J2145" t="inlineStr">
        <is>
          <t>AA</t>
        </is>
      </c>
      <c r="K2145" t="inlineStr">
        <is>
          <t>Answering Machine Autodial</t>
        </is>
      </c>
      <c r="L2145" t="n">
        <v>3</v>
      </c>
      <c r="M2145" t="inlineStr">
        <is>
          <t>2026-06-23 13:23:03</t>
        </is>
      </c>
      <c r="N2145" t="inlineStr">
        <is>
          <t>system</t>
        </is>
      </c>
      <c r="O2145" t="inlineStr">
        <is>
          <t>2026-06-19 07:10:32</t>
        </is>
      </c>
      <c r="P2145" t="inlineStr">
        <is>
          <t>2026-06-19 07:10:32</t>
        </is>
      </c>
      <c r="Y2145" t="inlineStr">
        <is>
          <t>27636188259</t>
        </is>
      </c>
    </row>
    <row r="2146">
      <c r="A2146" t="inlineStr">
        <is>
          <t>14944721</t>
        </is>
      </c>
      <c r="B2146" t="inlineStr">
        <is>
          <t>d737b996-b7b1-4690-b1cd-3a7cecb502b4</t>
        </is>
      </c>
      <c r="D2146" t="inlineStr">
        <is>
          <t>30001087</t>
        </is>
      </c>
      <c r="E2146" t="inlineStr">
        <is>
          <t>ussd_funeral_leads_altitude_20260619</t>
        </is>
      </c>
      <c r="J2146" t="inlineStr">
        <is>
          <t>AA</t>
        </is>
      </c>
      <c r="K2146" t="inlineStr">
        <is>
          <t>Answering Machine Autodial</t>
        </is>
      </c>
      <c r="L2146" t="n">
        <v>3</v>
      </c>
      <c r="M2146" t="inlineStr">
        <is>
          <t>2026-06-23 13:23:02</t>
        </is>
      </c>
      <c r="N2146" t="inlineStr">
        <is>
          <t>system</t>
        </is>
      </c>
      <c r="O2146" t="inlineStr">
        <is>
          <t>2026-06-19 07:10:32</t>
        </is>
      </c>
      <c r="P2146" t="inlineStr">
        <is>
          <t>2026-06-19 07:10:32</t>
        </is>
      </c>
      <c r="Y2146" t="inlineStr">
        <is>
          <t>27774548640</t>
        </is>
      </c>
    </row>
    <row r="2147">
      <c r="A2147" t="inlineStr">
        <is>
          <t>14944722</t>
        </is>
      </c>
      <c r="B2147" t="inlineStr">
        <is>
          <t>62f8b5f1-9c56-4403-9482-9ec1f26996cd</t>
        </is>
      </c>
      <c r="D2147" t="inlineStr">
        <is>
          <t>30001087</t>
        </is>
      </c>
      <c r="E2147" t="inlineStr">
        <is>
          <t>ussd_funeral_leads_altitude_20260619</t>
        </is>
      </c>
      <c r="J2147" t="inlineStr">
        <is>
          <t>DROP</t>
        </is>
      </c>
      <c r="K2147" t="inlineStr">
        <is>
          <t>Dropped</t>
        </is>
      </c>
      <c r="L2147" t="n">
        <v>3</v>
      </c>
      <c r="M2147" t="inlineStr">
        <is>
          <t>2026-06-23 13:23:02</t>
        </is>
      </c>
      <c r="N2147" t="inlineStr">
        <is>
          <t>system</t>
        </is>
      </c>
      <c r="O2147" t="inlineStr">
        <is>
          <t>2026-06-19 07:10:32</t>
        </is>
      </c>
      <c r="P2147" t="inlineStr">
        <is>
          <t>2026-06-19 07:10:32</t>
        </is>
      </c>
      <c r="Y2147" t="inlineStr">
        <is>
          <t>27827323252</t>
        </is>
      </c>
    </row>
    <row r="2148">
      <c r="A2148" t="inlineStr">
        <is>
          <t>14944723</t>
        </is>
      </c>
      <c r="B2148" t="inlineStr">
        <is>
          <t>bc46b11e-18f0-4788-927c-abbe2c7c1a39</t>
        </is>
      </c>
      <c r="D2148" t="inlineStr">
        <is>
          <t>30001087</t>
        </is>
      </c>
      <c r="E2148" t="inlineStr">
        <is>
          <t>ussd_funeral_leads_altitude_20260619</t>
        </is>
      </c>
      <c r="J2148" t="inlineStr">
        <is>
          <t>NA</t>
        </is>
      </c>
      <c r="K2148" t="inlineStr">
        <is>
          <t>No Answer Autodial</t>
        </is>
      </c>
      <c r="L2148" t="n">
        <v>3</v>
      </c>
      <c r="M2148" t="inlineStr">
        <is>
          <t>2026-06-23 13:23:02</t>
        </is>
      </c>
      <c r="N2148" t="inlineStr">
        <is>
          <t>system</t>
        </is>
      </c>
      <c r="O2148" t="inlineStr">
        <is>
          <t>2026-06-19 07:10:32</t>
        </is>
      </c>
      <c r="P2148" t="inlineStr">
        <is>
          <t>2026-06-19 07:10:32</t>
        </is>
      </c>
      <c r="Y2148" t="inlineStr">
        <is>
          <t>27791236557</t>
        </is>
      </c>
    </row>
    <row r="2149">
      <c r="A2149" t="inlineStr">
        <is>
          <t>14944749</t>
        </is>
      </c>
      <c r="B2149" t="inlineStr">
        <is>
          <t>65ba773e-09a8-4443-bc1f-600eff0f6d80</t>
        </is>
      </c>
      <c r="D2149" t="inlineStr">
        <is>
          <t>30001087</t>
        </is>
      </c>
      <c r="E2149" t="inlineStr">
        <is>
          <t>ussd_funeral_leads_altitude_20260619</t>
        </is>
      </c>
      <c r="J2149" t="inlineStr">
        <is>
          <t>AA</t>
        </is>
      </c>
      <c r="K2149" t="inlineStr">
        <is>
          <t>Answering Machine Autodial</t>
        </is>
      </c>
      <c r="L2149" t="n">
        <v>3</v>
      </c>
      <c r="M2149" t="inlineStr">
        <is>
          <t>2026-06-23 13:23:02</t>
        </is>
      </c>
      <c r="N2149" t="inlineStr">
        <is>
          <t>system</t>
        </is>
      </c>
      <c r="O2149" t="inlineStr">
        <is>
          <t>2026-06-19 07:10:32</t>
        </is>
      </c>
      <c r="P2149" t="inlineStr">
        <is>
          <t>2026-06-19 07:10:32</t>
        </is>
      </c>
      <c r="Y2149" t="inlineStr">
        <is>
          <t>27727593764</t>
        </is>
      </c>
    </row>
    <row r="2150">
      <c r="A2150" t="inlineStr">
        <is>
          <t>14944718</t>
        </is>
      </c>
      <c r="B2150" t="inlineStr">
        <is>
          <t>963967e2-b524-4a79-8337-5a1e0d242808</t>
        </is>
      </c>
      <c r="D2150" t="inlineStr">
        <is>
          <t>30001087</t>
        </is>
      </c>
      <c r="E2150" t="inlineStr">
        <is>
          <t>ussd_funeral_leads_altitude_20260619</t>
        </is>
      </c>
      <c r="J2150" t="inlineStr">
        <is>
          <t>CU</t>
        </is>
      </c>
      <c r="K2150" t="inlineStr">
        <is>
          <t>Client Hung Up</t>
        </is>
      </c>
      <c r="L2150" t="n">
        <v>3</v>
      </c>
      <c r="M2150" t="inlineStr">
        <is>
          <t>2026-06-23 13:23:00</t>
        </is>
      </c>
      <c r="N2150" t="inlineStr">
        <is>
          <t>Dimakatso Nkomo</t>
        </is>
      </c>
      <c r="O2150" t="inlineStr">
        <is>
          <t>2026-06-19 07:10:32</t>
        </is>
      </c>
      <c r="P2150" t="inlineStr">
        <is>
          <t>2026-06-19 07:10:32</t>
        </is>
      </c>
      <c r="Y2150" t="inlineStr">
        <is>
          <t>27822264200</t>
        </is>
      </c>
    </row>
    <row r="2151">
      <c r="A2151" t="inlineStr">
        <is>
          <t>14944719</t>
        </is>
      </c>
      <c r="B2151" t="inlineStr">
        <is>
          <t>65046cc2-6c55-4468-8b5f-152a49ec54df</t>
        </is>
      </c>
      <c r="D2151" t="inlineStr">
        <is>
          <t>30001087</t>
        </is>
      </c>
      <c r="E2151" t="inlineStr">
        <is>
          <t>ussd_funeral_leads_altitude_20260619</t>
        </is>
      </c>
      <c r="J2151" t="inlineStr">
        <is>
          <t>TDN</t>
        </is>
      </c>
      <c r="K2151" t="inlineStr">
        <is>
          <t>Temporary Disconnected Number</t>
        </is>
      </c>
      <c r="L2151" t="n">
        <v>3</v>
      </c>
      <c r="M2151" t="inlineStr">
        <is>
          <t>2026-06-23 13:23:00</t>
        </is>
      </c>
      <c r="N2151" t="inlineStr">
        <is>
          <t>system</t>
        </is>
      </c>
      <c r="O2151" t="inlineStr">
        <is>
          <t>2026-06-19 07:10:32</t>
        </is>
      </c>
      <c r="P2151" t="inlineStr">
        <is>
          <t>2026-06-19 07:10:32</t>
        </is>
      </c>
      <c r="Y2151" t="inlineStr">
        <is>
          <t>27674570799</t>
        </is>
      </c>
    </row>
    <row r="2152">
      <c r="A2152" t="inlineStr">
        <is>
          <t>14944717</t>
        </is>
      </c>
      <c r="B2152" t="inlineStr">
        <is>
          <t>a7f56323-b1b3-4e1b-ba2d-bfd91c0cc101</t>
        </is>
      </c>
      <c r="D2152" t="inlineStr">
        <is>
          <t>30001087</t>
        </is>
      </c>
      <c r="E2152" t="inlineStr">
        <is>
          <t>ussd_funeral_leads_altitude_20260619</t>
        </is>
      </c>
      <c r="J2152" t="inlineStr">
        <is>
          <t>ADC</t>
        </is>
      </c>
      <c r="K2152" t="inlineStr">
        <is>
          <t>Auto Dial Disconnected</t>
        </is>
      </c>
      <c r="L2152" t="n">
        <v>3</v>
      </c>
      <c r="M2152" t="inlineStr">
        <is>
          <t>2026-06-23 13:23:00</t>
        </is>
      </c>
      <c r="N2152" t="inlineStr">
        <is>
          <t>system</t>
        </is>
      </c>
      <c r="O2152" t="inlineStr">
        <is>
          <t>2026-06-19 07:10:32</t>
        </is>
      </c>
      <c r="P2152" t="inlineStr">
        <is>
          <t>2026-06-19 07:10:32</t>
        </is>
      </c>
      <c r="Y2152" t="inlineStr">
        <is>
          <t>27646922676</t>
        </is>
      </c>
    </row>
    <row r="2153">
      <c r="A2153" t="inlineStr">
        <is>
          <t>14944713</t>
        </is>
      </c>
      <c r="B2153" t="inlineStr">
        <is>
          <t>e00af098-9c40-4eb4-9692-4e08f62c8de3</t>
        </is>
      </c>
      <c r="D2153" t="inlineStr">
        <is>
          <t>30001087</t>
        </is>
      </c>
      <c r="E2153" t="inlineStr">
        <is>
          <t>ussd_funeral_leads_altitude_20260619</t>
        </is>
      </c>
      <c r="J2153" t="inlineStr">
        <is>
          <t>AA</t>
        </is>
      </c>
      <c r="K2153" t="inlineStr">
        <is>
          <t>Answering Machine Autodial</t>
        </is>
      </c>
      <c r="L2153" t="n">
        <v>3</v>
      </c>
      <c r="M2153" t="inlineStr">
        <is>
          <t>2026-06-23 13:22:58</t>
        </is>
      </c>
      <c r="N2153" t="inlineStr">
        <is>
          <t>system</t>
        </is>
      </c>
      <c r="O2153" t="inlineStr">
        <is>
          <t>2026-06-19 07:10:32</t>
        </is>
      </c>
      <c r="P2153" t="inlineStr">
        <is>
          <t>2026-06-19 07:10:32</t>
        </is>
      </c>
      <c r="Y2153" t="inlineStr">
        <is>
          <t>27663173746</t>
        </is>
      </c>
    </row>
    <row r="2154">
      <c r="A2154" t="inlineStr">
        <is>
          <t>14944714</t>
        </is>
      </c>
      <c r="B2154" t="inlineStr">
        <is>
          <t>0a8de6d4-ecb9-4e55-942d-df84dcd1365e</t>
        </is>
      </c>
      <c r="D2154" t="inlineStr">
        <is>
          <t>30001087</t>
        </is>
      </c>
      <c r="E2154" t="inlineStr">
        <is>
          <t>ussd_funeral_leads_altitude_20260619</t>
        </is>
      </c>
      <c r="J2154" t="inlineStr">
        <is>
          <t>AA</t>
        </is>
      </c>
      <c r="K2154" t="inlineStr">
        <is>
          <t>Answering Machine Autodial</t>
        </is>
      </c>
      <c r="L2154" t="n">
        <v>3</v>
      </c>
      <c r="M2154" t="inlineStr">
        <is>
          <t>2026-06-23 13:22:58</t>
        </is>
      </c>
      <c r="N2154" t="inlineStr">
        <is>
          <t>system</t>
        </is>
      </c>
      <c r="O2154" t="inlineStr">
        <is>
          <t>2026-06-19 07:10:32</t>
        </is>
      </c>
      <c r="P2154" t="inlineStr">
        <is>
          <t>2026-06-19 07:10:32</t>
        </is>
      </c>
      <c r="Y2154" t="inlineStr">
        <is>
          <t>27727317566</t>
        </is>
      </c>
    </row>
    <row r="2155">
      <c r="A2155" t="inlineStr">
        <is>
          <t>14944708</t>
        </is>
      </c>
      <c r="B2155" t="inlineStr">
        <is>
          <t>0348ee87-331b-4827-a82c-f0f07fa6d4ff</t>
        </is>
      </c>
      <c r="D2155" t="inlineStr">
        <is>
          <t>30001087</t>
        </is>
      </c>
      <c r="E2155" t="inlineStr">
        <is>
          <t>ussd_funeral_leads_altitude_20260619</t>
        </is>
      </c>
      <c r="J2155" t="inlineStr">
        <is>
          <t>AA</t>
        </is>
      </c>
      <c r="K2155" t="inlineStr">
        <is>
          <t>Answering Machine Autodial</t>
        </is>
      </c>
      <c r="L2155" t="n">
        <v>3</v>
      </c>
      <c r="M2155" t="inlineStr">
        <is>
          <t>2026-06-23 13:22:57</t>
        </is>
      </c>
      <c r="N2155" t="inlineStr">
        <is>
          <t>system</t>
        </is>
      </c>
      <c r="O2155" t="inlineStr">
        <is>
          <t>2026-06-19 07:10:32</t>
        </is>
      </c>
      <c r="P2155" t="inlineStr">
        <is>
          <t>2026-06-19 07:10:32</t>
        </is>
      </c>
      <c r="Y2155" t="inlineStr">
        <is>
          <t>27793814700</t>
        </is>
      </c>
    </row>
    <row r="2156">
      <c r="A2156" t="inlineStr">
        <is>
          <t>14944709</t>
        </is>
      </c>
      <c r="B2156" t="inlineStr">
        <is>
          <t>d838483c-8fd3-47cf-a0a8-8f610a8e3f47</t>
        </is>
      </c>
      <c r="D2156" t="inlineStr">
        <is>
          <t>30001087</t>
        </is>
      </c>
      <c r="E2156" t="inlineStr">
        <is>
          <t>ussd_funeral_leads_altitude_20260619</t>
        </is>
      </c>
      <c r="J2156" t="inlineStr">
        <is>
          <t>AA</t>
        </is>
      </c>
      <c r="K2156" t="inlineStr">
        <is>
          <t>Answering Machine Autodial</t>
        </is>
      </c>
      <c r="L2156" t="n">
        <v>3</v>
      </c>
      <c r="M2156" t="inlineStr">
        <is>
          <t>2026-06-23 13:22:57</t>
        </is>
      </c>
      <c r="N2156" t="inlineStr">
        <is>
          <t>system</t>
        </is>
      </c>
      <c r="O2156" t="inlineStr">
        <is>
          <t>2026-06-19 07:10:32</t>
        </is>
      </c>
      <c r="P2156" t="inlineStr">
        <is>
          <t>2026-06-19 07:10:32</t>
        </is>
      </c>
      <c r="Y2156" t="inlineStr">
        <is>
          <t>27728523215</t>
        </is>
      </c>
    </row>
    <row r="2157">
      <c r="A2157" t="inlineStr">
        <is>
          <t>14944710</t>
        </is>
      </c>
      <c r="B2157" t="inlineStr">
        <is>
          <t>8f20114c-bfdd-4896-839c-af3d462bca84</t>
        </is>
      </c>
      <c r="D2157" t="inlineStr">
        <is>
          <t>30001087</t>
        </is>
      </c>
      <c r="E2157" t="inlineStr">
        <is>
          <t>ussd_funeral_leads_altitude_20260619</t>
        </is>
      </c>
      <c r="J2157" t="inlineStr">
        <is>
          <t>AA</t>
        </is>
      </c>
      <c r="K2157" t="inlineStr">
        <is>
          <t>Answering Machine Autodial</t>
        </is>
      </c>
      <c r="L2157" t="n">
        <v>3</v>
      </c>
      <c r="M2157" t="inlineStr">
        <is>
          <t>2026-06-23 13:22:57</t>
        </is>
      </c>
      <c r="N2157" t="inlineStr">
        <is>
          <t>system</t>
        </is>
      </c>
      <c r="O2157" t="inlineStr">
        <is>
          <t>2026-06-19 07:10:32</t>
        </is>
      </c>
      <c r="P2157" t="inlineStr">
        <is>
          <t>2026-06-19 07:10:32</t>
        </is>
      </c>
      <c r="Y2157" t="inlineStr">
        <is>
          <t>27711904745</t>
        </is>
      </c>
    </row>
    <row r="2158">
      <c r="A2158" t="inlineStr">
        <is>
          <t>14944712</t>
        </is>
      </c>
      <c r="B2158" t="inlineStr">
        <is>
          <t>35786f93-9835-4152-a0ff-a44bcbe480d7</t>
        </is>
      </c>
      <c r="D2158" t="inlineStr">
        <is>
          <t>30001087</t>
        </is>
      </c>
      <c r="E2158" t="inlineStr">
        <is>
          <t>ussd_funeral_leads_altitude_20260619</t>
        </is>
      </c>
      <c r="J2158" t="inlineStr">
        <is>
          <t>AA</t>
        </is>
      </c>
      <c r="K2158" t="inlineStr">
        <is>
          <t>Answering Machine Autodial</t>
        </is>
      </c>
      <c r="L2158" t="n">
        <v>3</v>
      </c>
      <c r="M2158" t="inlineStr">
        <is>
          <t>2026-06-23 13:22:57</t>
        </is>
      </c>
      <c r="N2158" t="inlineStr">
        <is>
          <t>system</t>
        </is>
      </c>
      <c r="O2158" t="inlineStr">
        <is>
          <t>2026-06-19 07:10:32</t>
        </is>
      </c>
      <c r="P2158" t="inlineStr">
        <is>
          <t>2026-06-19 07:10:32</t>
        </is>
      </c>
      <c r="Y2158" t="inlineStr">
        <is>
          <t>27818999461</t>
        </is>
      </c>
    </row>
    <row r="2159">
      <c r="A2159" t="inlineStr">
        <is>
          <t>14944715</t>
        </is>
      </c>
      <c r="B2159" t="inlineStr">
        <is>
          <t>63d4d445-7d29-44ff-86c9-803844529cfe</t>
        </is>
      </c>
      <c r="D2159" t="inlineStr">
        <is>
          <t>30001087</t>
        </is>
      </c>
      <c r="E2159" t="inlineStr">
        <is>
          <t>ussd_funeral_leads_altitude_20260619</t>
        </is>
      </c>
      <c r="J2159" t="inlineStr">
        <is>
          <t>AA</t>
        </is>
      </c>
      <c r="K2159" t="inlineStr">
        <is>
          <t>Answering Machine Autodial</t>
        </is>
      </c>
      <c r="L2159" t="n">
        <v>3</v>
      </c>
      <c r="M2159" t="inlineStr">
        <is>
          <t>2026-06-23 13:22:57</t>
        </is>
      </c>
      <c r="N2159" t="inlineStr">
        <is>
          <t>system</t>
        </is>
      </c>
      <c r="O2159" t="inlineStr">
        <is>
          <t>2026-06-19 07:10:32</t>
        </is>
      </c>
      <c r="P2159" t="inlineStr">
        <is>
          <t>2026-06-19 07:10:32</t>
        </is>
      </c>
      <c r="Y2159" t="inlineStr">
        <is>
          <t>27660561065</t>
        </is>
      </c>
    </row>
    <row r="2160">
      <c r="A2160" t="inlineStr">
        <is>
          <t>14944716</t>
        </is>
      </c>
      <c r="B2160" t="inlineStr">
        <is>
          <t>51ab4e8b-dcc1-46b8-9aee-7a25981f6800</t>
        </is>
      </c>
      <c r="D2160" t="inlineStr">
        <is>
          <t>30001087</t>
        </is>
      </c>
      <c r="E2160" t="inlineStr">
        <is>
          <t>ussd_funeral_leads_altitude_20260619</t>
        </is>
      </c>
      <c r="J2160" t="inlineStr">
        <is>
          <t>AA</t>
        </is>
      </c>
      <c r="K2160" t="inlineStr">
        <is>
          <t>Answering Machine Autodial</t>
        </is>
      </c>
      <c r="L2160" t="n">
        <v>3</v>
      </c>
      <c r="M2160" t="inlineStr">
        <is>
          <t>2026-06-23 13:22:57</t>
        </is>
      </c>
      <c r="N2160" t="inlineStr">
        <is>
          <t>system</t>
        </is>
      </c>
      <c r="O2160" t="inlineStr">
        <is>
          <t>2026-06-19 07:10:32</t>
        </is>
      </c>
      <c r="P2160" t="inlineStr">
        <is>
          <t>2026-06-19 07:10:32</t>
        </is>
      </c>
      <c r="Y2160" t="inlineStr">
        <is>
          <t>27660416726</t>
        </is>
      </c>
    </row>
    <row r="2161">
      <c r="A2161" t="inlineStr">
        <is>
          <t>14944705</t>
        </is>
      </c>
      <c r="B2161" t="inlineStr">
        <is>
          <t>5cd6d21b-46fa-4b43-be43-217a32ab4dad</t>
        </is>
      </c>
      <c r="D2161" t="inlineStr">
        <is>
          <t>30001087</t>
        </is>
      </c>
      <c r="E2161" t="inlineStr">
        <is>
          <t>ussd_funeral_leads_altitude_20260619</t>
        </is>
      </c>
      <c r="J2161" t="inlineStr">
        <is>
          <t>ADC</t>
        </is>
      </c>
      <c r="K2161" t="inlineStr">
        <is>
          <t>Auto Dial Disconnected</t>
        </is>
      </c>
      <c r="L2161" t="n">
        <v>3</v>
      </c>
      <c r="M2161" t="inlineStr">
        <is>
          <t>2026-06-23 13:22:55</t>
        </is>
      </c>
      <c r="N2161" t="inlineStr">
        <is>
          <t>system</t>
        </is>
      </c>
      <c r="O2161" t="inlineStr">
        <is>
          <t>2026-06-19 07:10:32</t>
        </is>
      </c>
      <c r="P2161" t="inlineStr">
        <is>
          <t>2026-06-19 07:10:32</t>
        </is>
      </c>
      <c r="Y2161" t="inlineStr">
        <is>
          <t>27795743576</t>
        </is>
      </c>
    </row>
    <row r="2162">
      <c r="A2162" t="inlineStr">
        <is>
          <t>14944706</t>
        </is>
      </c>
      <c r="B2162" t="inlineStr">
        <is>
          <t>fcb24ed7-73a9-4ce1-bb65-c83ffbcc3e36</t>
        </is>
      </c>
      <c r="D2162" t="inlineStr">
        <is>
          <t>30001087</t>
        </is>
      </c>
      <c r="E2162" t="inlineStr">
        <is>
          <t>ussd_funeral_leads_altitude_20260619</t>
        </is>
      </c>
      <c r="J2162" t="inlineStr">
        <is>
          <t>AA</t>
        </is>
      </c>
      <c r="K2162" t="inlineStr">
        <is>
          <t>Answering Machine Autodial</t>
        </is>
      </c>
      <c r="L2162" t="n">
        <v>3</v>
      </c>
      <c r="M2162" t="inlineStr">
        <is>
          <t>2026-06-23 13:22:55</t>
        </is>
      </c>
      <c r="N2162" t="inlineStr">
        <is>
          <t>system</t>
        </is>
      </c>
      <c r="O2162" t="inlineStr">
        <is>
          <t>2026-06-19 07:10:32</t>
        </is>
      </c>
      <c r="P2162" t="inlineStr">
        <is>
          <t>2026-06-19 07:10:32</t>
        </is>
      </c>
      <c r="Y2162" t="inlineStr">
        <is>
          <t>27827013669</t>
        </is>
      </c>
    </row>
    <row r="2163">
      <c r="A2163" t="inlineStr">
        <is>
          <t>14944707</t>
        </is>
      </c>
      <c r="B2163" t="inlineStr">
        <is>
          <t>c42cb05c-1b52-4700-ac4e-4cfd7ff9a820</t>
        </is>
      </c>
      <c r="D2163" t="inlineStr">
        <is>
          <t>30001087</t>
        </is>
      </c>
      <c r="E2163" t="inlineStr">
        <is>
          <t>ussd_funeral_leads_altitude_20260619</t>
        </is>
      </c>
      <c r="J2163" t="inlineStr">
        <is>
          <t>NA</t>
        </is>
      </c>
      <c r="K2163" t="inlineStr">
        <is>
          <t>No Answer Autodial</t>
        </is>
      </c>
      <c r="L2163" t="n">
        <v>3</v>
      </c>
      <c r="M2163" t="inlineStr">
        <is>
          <t>2026-06-23 13:22:55</t>
        </is>
      </c>
      <c r="N2163" t="inlineStr">
        <is>
          <t>system</t>
        </is>
      </c>
      <c r="O2163" t="inlineStr">
        <is>
          <t>2026-06-19 07:10:32</t>
        </is>
      </c>
      <c r="P2163" t="inlineStr">
        <is>
          <t>2026-06-19 07:10:32</t>
        </is>
      </c>
      <c r="Y2163" t="inlineStr">
        <is>
          <t>27796413325</t>
        </is>
      </c>
    </row>
    <row r="2164">
      <c r="A2164" t="inlineStr">
        <is>
          <t>14944703</t>
        </is>
      </c>
      <c r="B2164" t="inlineStr">
        <is>
          <t>1702e0f0-0cb4-4f36-b93d-a94a1363b920</t>
        </is>
      </c>
      <c r="D2164" t="inlineStr">
        <is>
          <t>30001087</t>
        </is>
      </c>
      <c r="E2164" t="inlineStr">
        <is>
          <t>ussd_funeral_leads_altitude_20260619</t>
        </is>
      </c>
      <c r="J2164" t="inlineStr">
        <is>
          <t>AA</t>
        </is>
      </c>
      <c r="K2164" t="inlineStr">
        <is>
          <t>Answering Machine Autodial</t>
        </is>
      </c>
      <c r="L2164" t="n">
        <v>3</v>
      </c>
      <c r="M2164" t="inlineStr">
        <is>
          <t>2026-06-23 13:22:54</t>
        </is>
      </c>
      <c r="N2164" t="inlineStr">
        <is>
          <t>system</t>
        </is>
      </c>
      <c r="O2164" t="inlineStr">
        <is>
          <t>2026-06-19 07:10:32</t>
        </is>
      </c>
      <c r="P2164" t="inlineStr">
        <is>
          <t>2026-06-19 07:10:32</t>
        </is>
      </c>
      <c r="Y2164" t="inlineStr">
        <is>
          <t>27636588345</t>
        </is>
      </c>
    </row>
    <row r="2165">
      <c r="A2165" t="inlineStr">
        <is>
          <t>14944704</t>
        </is>
      </c>
      <c r="B2165" t="inlineStr">
        <is>
          <t>87154580-337b-42fb-9835-c08620e23acd</t>
        </is>
      </c>
      <c r="D2165" t="inlineStr">
        <is>
          <t>30001087</t>
        </is>
      </c>
      <c r="E2165" t="inlineStr">
        <is>
          <t>ussd_funeral_leads_altitude_20260619</t>
        </is>
      </c>
      <c r="J2165" t="inlineStr">
        <is>
          <t>AA</t>
        </is>
      </c>
      <c r="K2165" t="inlineStr">
        <is>
          <t>Answering Machine Autodial</t>
        </is>
      </c>
      <c r="L2165" t="n">
        <v>3</v>
      </c>
      <c r="M2165" t="inlineStr">
        <is>
          <t>2026-06-23 13:22:54</t>
        </is>
      </c>
      <c r="N2165" t="inlineStr">
        <is>
          <t>system</t>
        </is>
      </c>
      <c r="O2165" t="inlineStr">
        <is>
          <t>2026-06-19 07:10:32</t>
        </is>
      </c>
      <c r="P2165" t="inlineStr">
        <is>
          <t>2026-06-19 07:10:32</t>
        </is>
      </c>
      <c r="Y2165" t="inlineStr">
        <is>
          <t>27608377093</t>
        </is>
      </c>
    </row>
    <row r="2166">
      <c r="A2166" t="inlineStr">
        <is>
          <t>14944702</t>
        </is>
      </c>
      <c r="B2166" t="inlineStr">
        <is>
          <t>d34cb2f2-3169-4a75-bf14-7d9975075a28</t>
        </is>
      </c>
      <c r="D2166" t="inlineStr">
        <is>
          <t>30001087</t>
        </is>
      </c>
      <c r="E2166" t="inlineStr">
        <is>
          <t>ussd_funeral_leads_altitude_20260619</t>
        </is>
      </c>
      <c r="J2166" t="inlineStr">
        <is>
          <t>ADC</t>
        </is>
      </c>
      <c r="K2166" t="inlineStr">
        <is>
          <t>Auto Dial Disconnected</t>
        </is>
      </c>
      <c r="L2166" t="n">
        <v>3</v>
      </c>
      <c r="M2166" t="inlineStr">
        <is>
          <t>2026-06-23 13:22:53</t>
        </is>
      </c>
      <c r="N2166" t="inlineStr">
        <is>
          <t>system</t>
        </is>
      </c>
      <c r="O2166" t="inlineStr">
        <is>
          <t>2026-06-19 07:10:32</t>
        </is>
      </c>
      <c r="P2166" t="inlineStr">
        <is>
          <t>2026-06-19 07:10:32</t>
        </is>
      </c>
      <c r="Y2166" t="inlineStr">
        <is>
          <t>27822698945</t>
        </is>
      </c>
    </row>
    <row r="2167">
      <c r="A2167" t="inlineStr">
        <is>
          <t>14945174</t>
        </is>
      </c>
      <c r="B2167" t="inlineStr">
        <is>
          <t>53db04b0-e7b8-40ad-80e7-850f36be581f</t>
        </is>
      </c>
      <c r="D2167" t="inlineStr">
        <is>
          <t>30001087</t>
        </is>
      </c>
      <c r="E2167" t="inlineStr">
        <is>
          <t>ussd_funeral_leads_altitude_20260619</t>
        </is>
      </c>
      <c r="J2167" t="inlineStr">
        <is>
          <t>AA</t>
        </is>
      </c>
      <c r="K2167" t="inlineStr">
        <is>
          <t>Answering Machine Autodial</t>
        </is>
      </c>
      <c r="L2167" t="n">
        <v>3</v>
      </c>
      <c r="M2167" t="inlineStr">
        <is>
          <t>2026-06-23 13:22:52</t>
        </is>
      </c>
      <c r="N2167" t="inlineStr">
        <is>
          <t>system</t>
        </is>
      </c>
      <c r="O2167" t="inlineStr">
        <is>
          <t>2026-06-19 07:10:32</t>
        </is>
      </c>
      <c r="P2167" t="inlineStr">
        <is>
          <t>2026-06-19 07:10:32</t>
        </is>
      </c>
      <c r="Y2167" t="inlineStr">
        <is>
          <t>27829679846</t>
        </is>
      </c>
    </row>
    <row r="2168">
      <c r="A2168" t="inlineStr">
        <is>
          <t>14944748</t>
        </is>
      </c>
      <c r="B2168" t="inlineStr">
        <is>
          <t>52ae270c-0e90-433f-907c-b1c5c3d75304</t>
        </is>
      </c>
      <c r="D2168" t="inlineStr">
        <is>
          <t>30001087</t>
        </is>
      </c>
      <c r="E2168" t="inlineStr">
        <is>
          <t>ussd_funeral_leads_altitude_20260619</t>
        </is>
      </c>
      <c r="J2168" t="inlineStr">
        <is>
          <t>DROP</t>
        </is>
      </c>
      <c r="K2168" t="inlineStr">
        <is>
          <t>Dropped</t>
        </is>
      </c>
      <c r="L2168" t="n">
        <v>3</v>
      </c>
      <c r="M2168" t="inlineStr">
        <is>
          <t>2026-06-23 13:22:01</t>
        </is>
      </c>
      <c r="N2168" t="inlineStr">
        <is>
          <t>system</t>
        </is>
      </c>
      <c r="O2168" t="inlineStr">
        <is>
          <t>2026-06-19 07:10:32</t>
        </is>
      </c>
      <c r="P2168" t="inlineStr">
        <is>
          <t>2026-06-19 07:10:32</t>
        </is>
      </c>
      <c r="Y2168" t="inlineStr">
        <is>
          <t>27646839163</t>
        </is>
      </c>
    </row>
    <row r="2169">
      <c r="A2169" t="inlineStr">
        <is>
          <t>14944747</t>
        </is>
      </c>
      <c r="B2169" t="inlineStr">
        <is>
          <t>818034f5-fd0b-44f2-a9fc-3994a5eedda1</t>
        </is>
      </c>
      <c r="D2169" t="inlineStr">
        <is>
          <t>30001087</t>
        </is>
      </c>
      <c r="E2169" t="inlineStr">
        <is>
          <t>ussd_funeral_leads_altitude_20260619</t>
        </is>
      </c>
      <c r="J2169" t="inlineStr">
        <is>
          <t>AA</t>
        </is>
      </c>
      <c r="K2169" t="inlineStr">
        <is>
          <t>Answering Machine Autodial</t>
        </is>
      </c>
      <c r="L2169" t="n">
        <v>3</v>
      </c>
      <c r="M2169" t="inlineStr">
        <is>
          <t>2026-06-23 13:21:58</t>
        </is>
      </c>
      <c r="N2169" t="inlineStr">
        <is>
          <t>system</t>
        </is>
      </c>
      <c r="O2169" t="inlineStr">
        <is>
          <t>2026-06-19 07:10:32</t>
        </is>
      </c>
      <c r="P2169" t="inlineStr">
        <is>
          <t>2026-06-19 07:10:32</t>
        </is>
      </c>
      <c r="Y2169" t="inlineStr">
        <is>
          <t>27760254505</t>
        </is>
      </c>
    </row>
    <row r="2170">
      <c r="A2170" t="inlineStr">
        <is>
          <t>14944738</t>
        </is>
      </c>
      <c r="B2170" t="inlineStr">
        <is>
          <t>d6bbe458-2d3f-4397-9b29-d605cd68c13e</t>
        </is>
      </c>
      <c r="D2170" t="inlineStr">
        <is>
          <t>30001087</t>
        </is>
      </c>
      <c r="E2170" t="inlineStr">
        <is>
          <t>ussd_funeral_leads_altitude_20260619</t>
        </is>
      </c>
      <c r="J2170" t="inlineStr">
        <is>
          <t>AA</t>
        </is>
      </c>
      <c r="K2170" t="inlineStr">
        <is>
          <t>Answering Machine Autodial</t>
        </is>
      </c>
      <c r="L2170" t="n">
        <v>3</v>
      </c>
      <c r="M2170" t="inlineStr">
        <is>
          <t>2026-06-23 13:21:57</t>
        </is>
      </c>
      <c r="N2170" t="inlineStr">
        <is>
          <t>system</t>
        </is>
      </c>
      <c r="O2170" t="inlineStr">
        <is>
          <t>2026-06-19 07:10:32</t>
        </is>
      </c>
      <c r="P2170" t="inlineStr">
        <is>
          <t>2026-06-19 07:10:32</t>
        </is>
      </c>
      <c r="Y2170" t="inlineStr">
        <is>
          <t>27796837511</t>
        </is>
      </c>
    </row>
    <row r="2171">
      <c r="A2171" t="inlineStr">
        <is>
          <t>14944746</t>
        </is>
      </c>
      <c r="B2171" t="inlineStr">
        <is>
          <t>ab67bc2e-b429-4ca4-a46e-dee56f02172c</t>
        </is>
      </c>
      <c r="D2171" t="inlineStr">
        <is>
          <t>30001087</t>
        </is>
      </c>
      <c r="E2171" t="inlineStr">
        <is>
          <t>ussd_funeral_leads_altitude_20260619</t>
        </is>
      </c>
      <c r="J2171" t="inlineStr">
        <is>
          <t>CU</t>
        </is>
      </c>
      <c r="K2171" t="inlineStr">
        <is>
          <t>Client Hung Up</t>
        </is>
      </c>
      <c r="L2171" t="n">
        <v>3</v>
      </c>
      <c r="M2171" t="inlineStr">
        <is>
          <t>2026-06-23 13:21:57</t>
        </is>
      </c>
      <c r="N2171" t="inlineStr">
        <is>
          <t>Gontse Monageng</t>
        </is>
      </c>
      <c r="O2171" t="inlineStr">
        <is>
          <t>2026-06-19 07:10:32</t>
        </is>
      </c>
      <c r="P2171" t="inlineStr">
        <is>
          <t>2026-06-19 07:10:32</t>
        </is>
      </c>
      <c r="Y2171" t="inlineStr">
        <is>
          <t>27663794730</t>
        </is>
      </c>
    </row>
    <row r="2172">
      <c r="A2172" t="inlineStr">
        <is>
          <t>14944737</t>
        </is>
      </c>
      <c r="B2172" t="inlineStr">
        <is>
          <t>b8253746-0261-411f-971a-e3a37b764cd3</t>
        </is>
      </c>
      <c r="D2172" t="inlineStr">
        <is>
          <t>30001087</t>
        </is>
      </c>
      <c r="E2172" t="inlineStr">
        <is>
          <t>ussd_funeral_leads_altitude_20260619</t>
        </is>
      </c>
      <c r="J2172" t="inlineStr">
        <is>
          <t>NA</t>
        </is>
      </c>
      <c r="K2172" t="inlineStr">
        <is>
          <t>No Answer Autodial</t>
        </is>
      </c>
      <c r="L2172" t="n">
        <v>3</v>
      </c>
      <c r="M2172" t="inlineStr">
        <is>
          <t>2026-06-23 13:21:55</t>
        </is>
      </c>
      <c r="N2172" t="inlineStr">
        <is>
          <t>system</t>
        </is>
      </c>
      <c r="O2172" t="inlineStr">
        <is>
          <t>2026-06-19 07:10:32</t>
        </is>
      </c>
      <c r="P2172" t="inlineStr">
        <is>
          <t>2026-06-19 07:10:32</t>
        </is>
      </c>
      <c r="Y2172" t="inlineStr">
        <is>
          <t>27822121146</t>
        </is>
      </c>
    </row>
    <row r="2173">
      <c r="A2173" t="inlineStr">
        <is>
          <t>14944736</t>
        </is>
      </c>
      <c r="B2173" t="inlineStr">
        <is>
          <t>ee3958f3-b07c-46c4-9a37-19c9d98e0a53</t>
        </is>
      </c>
      <c r="D2173" t="inlineStr">
        <is>
          <t>30001087</t>
        </is>
      </c>
      <c r="E2173" t="inlineStr">
        <is>
          <t>ussd_funeral_leads_altitude_20260619</t>
        </is>
      </c>
      <c r="J2173" t="inlineStr">
        <is>
          <t>DROP</t>
        </is>
      </c>
      <c r="K2173" t="inlineStr">
        <is>
          <t>Dropped</t>
        </is>
      </c>
      <c r="L2173" t="n">
        <v>3</v>
      </c>
      <c r="M2173" t="inlineStr">
        <is>
          <t>2026-06-23 13:21:54</t>
        </is>
      </c>
      <c r="N2173" t="inlineStr">
        <is>
          <t>system</t>
        </is>
      </c>
      <c r="O2173" t="inlineStr">
        <is>
          <t>2026-06-19 07:10:32</t>
        </is>
      </c>
      <c r="P2173" t="inlineStr">
        <is>
          <t>2026-06-19 07:10:32</t>
        </is>
      </c>
      <c r="Y2173" t="inlineStr">
        <is>
          <t>27764958781</t>
        </is>
      </c>
    </row>
    <row r="2174">
      <c r="A2174" t="inlineStr">
        <is>
          <t>14944735</t>
        </is>
      </c>
      <c r="B2174" t="inlineStr">
        <is>
          <t>5089bafb-d46b-4722-a36e-914822c170a7</t>
        </is>
      </c>
      <c r="D2174" t="inlineStr">
        <is>
          <t>30001087</t>
        </is>
      </c>
      <c r="E2174" t="inlineStr">
        <is>
          <t>ussd_funeral_leads_altitude_20260619</t>
        </is>
      </c>
      <c r="J2174" t="inlineStr">
        <is>
          <t>AA</t>
        </is>
      </c>
      <c r="K2174" t="inlineStr">
        <is>
          <t>Answering Machine Autodial</t>
        </is>
      </c>
      <c r="L2174" t="n">
        <v>3</v>
      </c>
      <c r="M2174" t="inlineStr">
        <is>
          <t>2026-06-23 13:21:53</t>
        </is>
      </c>
      <c r="N2174" t="inlineStr">
        <is>
          <t>system</t>
        </is>
      </c>
      <c r="O2174" t="inlineStr">
        <is>
          <t>2026-06-19 07:10:32</t>
        </is>
      </c>
      <c r="P2174" t="inlineStr">
        <is>
          <t>2026-06-19 07:10:32</t>
        </is>
      </c>
      <c r="Y2174" t="inlineStr">
        <is>
          <t>27661304613</t>
        </is>
      </c>
    </row>
    <row r="2175">
      <c r="A2175" t="inlineStr">
        <is>
          <t>14944732</t>
        </is>
      </c>
      <c r="B2175" t="inlineStr">
        <is>
          <t>1c94395a-93ca-4f1e-9b3c-96dafb27bbab</t>
        </is>
      </c>
      <c r="D2175" t="inlineStr">
        <is>
          <t>30001087</t>
        </is>
      </c>
      <c r="E2175" t="inlineStr">
        <is>
          <t>ussd_funeral_leads_altitude_20260619</t>
        </is>
      </c>
      <c r="J2175" t="inlineStr">
        <is>
          <t>AA</t>
        </is>
      </c>
      <c r="K2175" t="inlineStr">
        <is>
          <t>Answering Machine Autodial</t>
        </is>
      </c>
      <c r="L2175" t="n">
        <v>3</v>
      </c>
      <c r="M2175" t="inlineStr">
        <is>
          <t>2026-06-23 13:21:51</t>
        </is>
      </c>
      <c r="N2175" t="inlineStr">
        <is>
          <t>system</t>
        </is>
      </c>
      <c r="O2175" t="inlineStr">
        <is>
          <t>2026-06-19 07:10:32</t>
        </is>
      </c>
      <c r="P2175" t="inlineStr">
        <is>
          <t>2026-06-19 07:10:32</t>
        </is>
      </c>
      <c r="Y2175" t="inlineStr">
        <is>
          <t>27725208585</t>
        </is>
      </c>
    </row>
    <row r="2176">
      <c r="A2176" t="inlineStr">
        <is>
          <t>14944733</t>
        </is>
      </c>
      <c r="B2176" t="inlineStr">
        <is>
          <t>db4ed556-33fe-4a84-8622-f0e5c8eadfd5</t>
        </is>
      </c>
      <c r="D2176" t="inlineStr">
        <is>
          <t>30001087</t>
        </is>
      </c>
      <c r="E2176" t="inlineStr">
        <is>
          <t>ussd_funeral_leads_altitude_20260619</t>
        </is>
      </c>
      <c r="J2176" t="inlineStr">
        <is>
          <t>AA</t>
        </is>
      </c>
      <c r="K2176" t="inlineStr">
        <is>
          <t>Answering Machine Autodial</t>
        </is>
      </c>
      <c r="L2176" t="n">
        <v>3</v>
      </c>
      <c r="M2176" t="inlineStr">
        <is>
          <t>2026-06-23 13:21:51</t>
        </is>
      </c>
      <c r="N2176" t="inlineStr">
        <is>
          <t>system</t>
        </is>
      </c>
      <c r="O2176" t="inlineStr">
        <is>
          <t>2026-06-19 07:10:32</t>
        </is>
      </c>
      <c r="P2176" t="inlineStr">
        <is>
          <t>2026-06-19 07:10:32</t>
        </is>
      </c>
      <c r="Y2176" t="inlineStr">
        <is>
          <t>27796772269</t>
        </is>
      </c>
    </row>
    <row r="2177">
      <c r="A2177" t="inlineStr">
        <is>
          <t>14944731</t>
        </is>
      </c>
      <c r="B2177" t="inlineStr">
        <is>
          <t>681b5dc4-dfa5-4195-9cf4-ace595da333c</t>
        </is>
      </c>
      <c r="D2177" t="inlineStr">
        <is>
          <t>30001087</t>
        </is>
      </c>
      <c r="E2177" t="inlineStr">
        <is>
          <t>ussd_funeral_leads_altitude_20260619</t>
        </is>
      </c>
      <c r="J2177" t="inlineStr">
        <is>
          <t>AE</t>
        </is>
      </c>
      <c r="K2177" t="inlineStr">
        <is>
          <t>Auto Engaged</t>
        </is>
      </c>
      <c r="L2177" t="n">
        <v>3</v>
      </c>
      <c r="M2177" t="inlineStr">
        <is>
          <t>2026-06-23 13:21:50</t>
        </is>
      </c>
      <c r="N2177" t="inlineStr">
        <is>
          <t>system</t>
        </is>
      </c>
      <c r="O2177" t="inlineStr">
        <is>
          <t>2026-06-19 07:10:32</t>
        </is>
      </c>
      <c r="P2177" t="inlineStr">
        <is>
          <t>2026-06-19 07:10:32</t>
        </is>
      </c>
      <c r="Y2177" t="inlineStr">
        <is>
          <t>27760881314</t>
        </is>
      </c>
    </row>
    <row r="2178">
      <c r="A2178" t="inlineStr">
        <is>
          <t>14900000</t>
        </is>
      </c>
      <c r="B2178" t="inlineStr">
        <is>
          <t>e1121df0-813f-41b4-9266-843de6164e59</t>
        </is>
      </c>
      <c r="D2178" t="inlineStr">
        <is>
          <t>30001087</t>
        </is>
      </c>
      <c r="E2178" t="inlineStr">
        <is>
          <t>ussd_funeral_leads_altitude_20260619</t>
        </is>
      </c>
      <c r="J2178" t="inlineStr">
        <is>
          <t>AA</t>
        </is>
      </c>
      <c r="K2178" t="inlineStr">
        <is>
          <t>Answering Machine Autodial</t>
        </is>
      </c>
      <c r="L2178" t="n">
        <v>3</v>
      </c>
      <c r="M2178" t="inlineStr">
        <is>
          <t>2026-06-23 13:21:48</t>
        </is>
      </c>
      <c r="N2178" t="inlineStr">
        <is>
          <t>system</t>
        </is>
      </c>
      <c r="O2178" t="inlineStr">
        <is>
          <t>2026-06-19 07:10:32</t>
        </is>
      </c>
      <c r="P2178" t="inlineStr">
        <is>
          <t>2026-06-19 07:10:32</t>
        </is>
      </c>
      <c r="Y2178" t="inlineStr">
        <is>
          <t>27818304143</t>
        </is>
      </c>
    </row>
    <row r="2179">
      <c r="A2179" t="inlineStr">
        <is>
          <t>14944726</t>
        </is>
      </c>
      <c r="B2179" t="inlineStr">
        <is>
          <t>6f513d91-c3c5-4d9a-98c0-d9abafcd0d49</t>
        </is>
      </c>
      <c r="D2179" t="inlineStr">
        <is>
          <t>30001087</t>
        </is>
      </c>
      <c r="E2179" t="inlineStr">
        <is>
          <t>ussd_funeral_leads_altitude_20260619</t>
        </is>
      </c>
      <c r="J2179" t="inlineStr">
        <is>
          <t>ADC</t>
        </is>
      </c>
      <c r="K2179" t="inlineStr">
        <is>
          <t>Auto Dial Disconnected</t>
        </is>
      </c>
      <c r="L2179" t="n">
        <v>3</v>
      </c>
      <c r="M2179" t="inlineStr">
        <is>
          <t>2026-06-23 13:21:47</t>
        </is>
      </c>
      <c r="N2179" t="inlineStr">
        <is>
          <t>system</t>
        </is>
      </c>
      <c r="O2179" t="inlineStr">
        <is>
          <t>2026-06-19 07:10:32</t>
        </is>
      </c>
      <c r="P2179" t="inlineStr">
        <is>
          <t>2026-06-19 07:10:32</t>
        </is>
      </c>
      <c r="Y2179" t="inlineStr">
        <is>
          <t>27773653109</t>
        </is>
      </c>
    </row>
    <row r="2180">
      <c r="A2180" t="inlineStr">
        <is>
          <t>14944724</t>
        </is>
      </c>
      <c r="B2180" t="inlineStr">
        <is>
          <t>bf7e48f9-7e88-4cce-bbc3-c9573ce8e5ed</t>
        </is>
      </c>
      <c r="D2180" t="inlineStr">
        <is>
          <t>30001087</t>
        </is>
      </c>
      <c r="E2180" t="inlineStr">
        <is>
          <t>ussd_funeral_leads_altitude_20260619</t>
        </is>
      </c>
      <c r="J2180" t="inlineStr">
        <is>
          <t>LANG</t>
        </is>
      </c>
      <c r="K2180" t="inlineStr">
        <is>
          <t>Language Barrier</t>
        </is>
      </c>
      <c r="L2180" t="n">
        <v>3</v>
      </c>
      <c r="M2180" t="inlineStr">
        <is>
          <t>2026-06-23 13:21:45</t>
        </is>
      </c>
      <c r="N2180" t="inlineStr">
        <is>
          <t>Vuyiswa Nxumalo</t>
        </is>
      </c>
      <c r="O2180" t="inlineStr">
        <is>
          <t>2026-06-19 07:10:32</t>
        </is>
      </c>
      <c r="P2180" t="inlineStr">
        <is>
          <t>2026-06-19 07:10:32</t>
        </is>
      </c>
      <c r="Y2180" t="inlineStr">
        <is>
          <t>27673340396</t>
        </is>
      </c>
    </row>
    <row r="2181">
      <c r="A2181" t="inlineStr">
        <is>
          <t>14944725</t>
        </is>
      </c>
      <c r="B2181" t="inlineStr">
        <is>
          <t>566bc2b5-6788-4d6d-ba03-0835b2fe8322</t>
        </is>
      </c>
      <c r="D2181" t="inlineStr">
        <is>
          <t>30001087</t>
        </is>
      </c>
      <c r="E2181" t="inlineStr">
        <is>
          <t>ussd_funeral_leads_altitude_20260619</t>
        </is>
      </c>
      <c r="J2181" t="inlineStr">
        <is>
          <t>AA</t>
        </is>
      </c>
      <c r="K2181" t="inlineStr">
        <is>
          <t>Answering Machine Autodial</t>
        </is>
      </c>
      <c r="L2181" t="n">
        <v>3</v>
      </c>
      <c r="M2181" t="inlineStr">
        <is>
          <t>2026-06-23 13:21:45</t>
        </is>
      </c>
      <c r="N2181" t="inlineStr">
        <is>
          <t>system</t>
        </is>
      </c>
      <c r="O2181" t="inlineStr">
        <is>
          <t>2026-06-19 07:10:32</t>
        </is>
      </c>
      <c r="P2181" t="inlineStr">
        <is>
          <t>2026-06-19 07:10:32</t>
        </is>
      </c>
      <c r="Y2181" t="inlineStr">
        <is>
          <t>27674691379</t>
        </is>
      </c>
    </row>
    <row r="2182">
      <c r="A2182" t="inlineStr">
        <is>
          <t>14945168</t>
        </is>
      </c>
      <c r="B2182" t="inlineStr">
        <is>
          <t>76f60441-16e2-461e-a9e5-155b53d74bb8</t>
        </is>
      </c>
      <c r="D2182" t="inlineStr">
        <is>
          <t>30001087</t>
        </is>
      </c>
      <c r="E2182" t="inlineStr">
        <is>
          <t>ussd_funeral_leads_altitude_20260619</t>
        </is>
      </c>
      <c r="J2182" t="inlineStr">
        <is>
          <t>AA</t>
        </is>
      </c>
      <c r="K2182" t="inlineStr">
        <is>
          <t>Answering Machine Autodial</t>
        </is>
      </c>
      <c r="L2182" t="n">
        <v>3</v>
      </c>
      <c r="M2182" t="inlineStr">
        <is>
          <t>2026-06-23 13:21:45</t>
        </is>
      </c>
      <c r="N2182" t="inlineStr">
        <is>
          <t>system</t>
        </is>
      </c>
      <c r="O2182" t="inlineStr">
        <is>
          <t>2026-06-19 07:10:32</t>
        </is>
      </c>
      <c r="P2182" t="inlineStr">
        <is>
          <t>2026-06-19 07:10:32</t>
        </is>
      </c>
      <c r="Y2182" t="inlineStr">
        <is>
          <t>27796394395</t>
        </is>
      </c>
    </row>
    <row r="2183">
      <c r="A2183" t="inlineStr">
        <is>
          <t>14944744</t>
        </is>
      </c>
      <c r="B2183" t="inlineStr">
        <is>
          <t>247909b0-c317-4d22-89d6-b8a0f1eb667b</t>
        </is>
      </c>
      <c r="D2183" t="inlineStr">
        <is>
          <t>30001087</t>
        </is>
      </c>
      <c r="E2183" t="inlineStr">
        <is>
          <t>ussd_funeral_leads_altitude_20260619</t>
        </is>
      </c>
      <c r="J2183" t="inlineStr">
        <is>
          <t>TDN</t>
        </is>
      </c>
      <c r="K2183" t="inlineStr">
        <is>
          <t>Temporary Disconnected Number</t>
        </is>
      </c>
      <c r="L2183" t="n">
        <v>3</v>
      </c>
      <c r="M2183" t="inlineStr">
        <is>
          <t>2026-06-23 13:21:07</t>
        </is>
      </c>
      <c r="N2183" t="inlineStr">
        <is>
          <t>system</t>
        </is>
      </c>
      <c r="O2183" t="inlineStr">
        <is>
          <t>2026-06-19 07:10:32</t>
        </is>
      </c>
      <c r="P2183" t="inlineStr">
        <is>
          <t>2026-06-19 07:10:32</t>
        </is>
      </c>
      <c r="Y2183" t="inlineStr">
        <is>
          <t>27608944992</t>
        </is>
      </c>
    </row>
    <row r="2184">
      <c r="A2184" t="inlineStr">
        <is>
          <t>14944745</t>
        </is>
      </c>
      <c r="B2184" t="inlineStr">
        <is>
          <t>498638d5-e4e8-41fa-adf5-e8d37757db4c</t>
        </is>
      </c>
      <c r="D2184" t="inlineStr">
        <is>
          <t>30001087</t>
        </is>
      </c>
      <c r="E2184" t="inlineStr">
        <is>
          <t>ussd_funeral_leads_altitude_20260619</t>
        </is>
      </c>
      <c r="J2184" t="inlineStr">
        <is>
          <t>ADC</t>
        </is>
      </c>
      <c r="K2184" t="inlineStr">
        <is>
          <t>Auto Dial Disconnected</t>
        </is>
      </c>
      <c r="L2184" t="n">
        <v>3</v>
      </c>
      <c r="M2184" t="inlineStr">
        <is>
          <t>2026-06-23 13:21:07</t>
        </is>
      </c>
      <c r="N2184" t="inlineStr">
        <is>
          <t>system</t>
        </is>
      </c>
      <c r="O2184" t="inlineStr">
        <is>
          <t>2026-06-19 07:10:32</t>
        </is>
      </c>
      <c r="P2184" t="inlineStr">
        <is>
          <t>2026-06-19 07:10:32</t>
        </is>
      </c>
      <c r="Y2184" t="inlineStr">
        <is>
          <t>27665088237</t>
        </is>
      </c>
    </row>
    <row r="2185">
      <c r="A2185" t="inlineStr">
        <is>
          <t>14944742</t>
        </is>
      </c>
      <c r="B2185" t="inlineStr">
        <is>
          <t>8d46a1e7-b53c-43cd-aa87-428e0d12ab00</t>
        </is>
      </c>
      <c r="D2185" t="inlineStr">
        <is>
          <t>30001087</t>
        </is>
      </c>
      <c r="E2185" t="inlineStr">
        <is>
          <t>ussd_funeral_leads_altitude_20260619</t>
        </is>
      </c>
      <c r="J2185" t="inlineStr">
        <is>
          <t>ADC</t>
        </is>
      </c>
      <c r="K2185" t="inlineStr">
        <is>
          <t>Auto Dial Disconnected</t>
        </is>
      </c>
      <c r="L2185" t="n">
        <v>3</v>
      </c>
      <c r="M2185" t="inlineStr">
        <is>
          <t>2026-06-23 13:20:59</t>
        </is>
      </c>
      <c r="N2185" t="inlineStr">
        <is>
          <t>system</t>
        </is>
      </c>
      <c r="O2185" t="inlineStr">
        <is>
          <t>2026-06-19 07:10:32</t>
        </is>
      </c>
      <c r="P2185" t="inlineStr">
        <is>
          <t>2026-06-19 07:10:32</t>
        </is>
      </c>
      <c r="Y2185" t="inlineStr">
        <is>
          <t>27773847051</t>
        </is>
      </c>
    </row>
    <row r="2186">
      <c r="A2186" t="inlineStr">
        <is>
          <t>14944743</t>
        </is>
      </c>
      <c r="B2186" t="inlineStr">
        <is>
          <t>680fdd17-0bb9-4aee-8722-2352f0dca5be</t>
        </is>
      </c>
      <c r="D2186" t="inlineStr">
        <is>
          <t>30001087</t>
        </is>
      </c>
      <c r="E2186" t="inlineStr">
        <is>
          <t>ussd_funeral_leads_altitude_20260619</t>
        </is>
      </c>
      <c r="J2186" t="inlineStr">
        <is>
          <t>ADC</t>
        </is>
      </c>
      <c r="K2186" t="inlineStr">
        <is>
          <t>Auto Dial Disconnected</t>
        </is>
      </c>
      <c r="L2186" t="n">
        <v>3</v>
      </c>
      <c r="M2186" t="inlineStr">
        <is>
          <t>2026-06-23 13:20:59</t>
        </is>
      </c>
      <c r="N2186" t="inlineStr">
        <is>
          <t>system</t>
        </is>
      </c>
      <c r="O2186" t="inlineStr">
        <is>
          <t>2026-06-19 07:10:32</t>
        </is>
      </c>
      <c r="P2186" t="inlineStr">
        <is>
          <t>2026-06-19 07:10:32</t>
        </is>
      </c>
      <c r="Y2186" t="inlineStr">
        <is>
          <t>27765298664</t>
        </is>
      </c>
    </row>
    <row r="2187">
      <c r="A2187" t="inlineStr">
        <is>
          <t>14944741</t>
        </is>
      </c>
      <c r="B2187" t="inlineStr">
        <is>
          <t>9d6d40af-f18d-40b1-b098-1a8b20895071</t>
        </is>
      </c>
      <c r="D2187" t="inlineStr">
        <is>
          <t>30001087</t>
        </is>
      </c>
      <c r="E2187" t="inlineStr">
        <is>
          <t>ussd_funeral_leads_altitude_20260619</t>
        </is>
      </c>
      <c r="J2187" t="inlineStr">
        <is>
          <t>ADC</t>
        </is>
      </c>
      <c r="K2187" t="inlineStr">
        <is>
          <t>Auto Dial Disconnected</t>
        </is>
      </c>
      <c r="L2187" t="n">
        <v>3</v>
      </c>
      <c r="M2187" t="inlineStr">
        <is>
          <t>2026-06-23 13:20:38</t>
        </is>
      </c>
      <c r="N2187" t="inlineStr">
        <is>
          <t>system</t>
        </is>
      </c>
      <c r="O2187" t="inlineStr">
        <is>
          <t>2026-06-19 07:10:32</t>
        </is>
      </c>
      <c r="P2187" t="inlineStr">
        <is>
          <t>2026-06-19 07:10:32</t>
        </is>
      </c>
      <c r="Y2187" t="inlineStr">
        <is>
          <t>27712219861</t>
        </is>
      </c>
    </row>
    <row r="2188">
      <c r="A2188" t="inlineStr">
        <is>
          <t>14944740</t>
        </is>
      </c>
      <c r="B2188" t="inlineStr">
        <is>
          <t>7614e9a9-2611-4b38-b54e-8bdc889c098e</t>
        </is>
      </c>
      <c r="D2188" t="inlineStr">
        <is>
          <t>30001087</t>
        </is>
      </c>
      <c r="E2188" t="inlineStr">
        <is>
          <t>ussd_funeral_leads_altitude_20260619</t>
        </is>
      </c>
      <c r="J2188" t="inlineStr">
        <is>
          <t>AA</t>
        </is>
      </c>
      <c r="K2188" t="inlineStr">
        <is>
          <t>Answering Machine Autodial</t>
        </is>
      </c>
      <c r="L2188" t="n">
        <v>3</v>
      </c>
      <c r="M2188" t="inlineStr">
        <is>
          <t>2026-06-23 13:20:32</t>
        </is>
      </c>
      <c r="N2188" t="inlineStr">
        <is>
          <t>system</t>
        </is>
      </c>
      <c r="O2188" t="inlineStr">
        <is>
          <t>2026-06-19 07:10:32</t>
        </is>
      </c>
      <c r="P2188" t="inlineStr">
        <is>
          <t>2026-06-19 07:10:32</t>
        </is>
      </c>
      <c r="Y2188" t="inlineStr">
        <is>
          <t>27828641990</t>
        </is>
      </c>
    </row>
    <row r="2189">
      <c r="A2189" t="inlineStr">
        <is>
          <t>14944739</t>
        </is>
      </c>
      <c r="B2189" t="inlineStr">
        <is>
          <t>5da1d8cc-b2de-4018-97b6-5e2571ccc070</t>
        </is>
      </c>
      <c r="D2189" t="inlineStr">
        <is>
          <t>30001087</t>
        </is>
      </c>
      <c r="E2189" t="inlineStr">
        <is>
          <t>ussd_funeral_leads_altitude_20260619</t>
        </is>
      </c>
      <c r="J2189" t="inlineStr">
        <is>
          <t>AA</t>
        </is>
      </c>
      <c r="K2189" t="inlineStr">
        <is>
          <t>Answering Machine Autodial</t>
        </is>
      </c>
      <c r="L2189" t="n">
        <v>3</v>
      </c>
      <c r="M2189" t="inlineStr">
        <is>
          <t>2026-06-23 13:20:25</t>
        </is>
      </c>
      <c r="N2189" t="inlineStr">
        <is>
          <t>system</t>
        </is>
      </c>
      <c r="O2189" t="inlineStr">
        <is>
          <t>2026-06-19 07:10:32</t>
        </is>
      </c>
      <c r="P2189" t="inlineStr">
        <is>
          <t>2026-06-19 07:10:32</t>
        </is>
      </c>
      <c r="Y2189" t="inlineStr">
        <is>
          <t>27764149364</t>
        </is>
      </c>
    </row>
    <row r="2190">
      <c r="A2190" t="inlineStr">
        <is>
          <t>14945161</t>
        </is>
      </c>
      <c r="B2190" t="inlineStr">
        <is>
          <t>118f0475-6dd7-4758-8a2d-0bf62a1c4e9e</t>
        </is>
      </c>
      <c r="D2190" t="inlineStr">
        <is>
          <t>30001087</t>
        </is>
      </c>
      <c r="E2190" t="inlineStr">
        <is>
          <t>ussd_funeral_leads_altitude_20260619</t>
        </is>
      </c>
      <c r="J2190" t="inlineStr">
        <is>
          <t>AA</t>
        </is>
      </c>
      <c r="K2190" t="inlineStr">
        <is>
          <t>Answering Machine Autodial</t>
        </is>
      </c>
      <c r="L2190" t="n">
        <v>3</v>
      </c>
      <c r="M2190" t="inlineStr">
        <is>
          <t>2026-06-23 13:20:24</t>
        </is>
      </c>
      <c r="N2190" t="inlineStr">
        <is>
          <t>system</t>
        </is>
      </c>
      <c r="O2190" t="inlineStr">
        <is>
          <t>2026-06-19 07:10:32</t>
        </is>
      </c>
      <c r="P2190" t="inlineStr">
        <is>
          <t>2026-06-19 07:10:32</t>
        </is>
      </c>
      <c r="Y2190" t="inlineStr">
        <is>
          <t>27722798279</t>
        </is>
      </c>
    </row>
    <row r="2191">
      <c r="A2191" t="inlineStr">
        <is>
          <t>14944780</t>
        </is>
      </c>
      <c r="B2191" t="inlineStr">
        <is>
          <t>17916ab8-63dd-4313-b97e-7dff72d5f798</t>
        </is>
      </c>
      <c r="D2191" t="inlineStr">
        <is>
          <t>30001087</t>
        </is>
      </c>
      <c r="E2191" t="inlineStr">
        <is>
          <t>ussd_funeral_leads_altitude_20260619</t>
        </is>
      </c>
      <c r="J2191" t="inlineStr">
        <is>
          <t>NA</t>
        </is>
      </c>
      <c r="K2191" t="inlineStr">
        <is>
          <t>No Answer Autodial</t>
        </is>
      </c>
      <c r="L2191" t="n">
        <v>3</v>
      </c>
      <c r="M2191" t="inlineStr">
        <is>
          <t>2026-06-23 13:20:15</t>
        </is>
      </c>
      <c r="N2191" t="inlineStr">
        <is>
          <t>system</t>
        </is>
      </c>
      <c r="O2191" t="inlineStr">
        <is>
          <t>2026-06-19 07:10:32</t>
        </is>
      </c>
      <c r="P2191" t="inlineStr">
        <is>
          <t>2026-06-19 07:10:32</t>
        </is>
      </c>
      <c r="Y2191" t="inlineStr">
        <is>
          <t>27665517494</t>
        </is>
      </c>
    </row>
    <row r="2192">
      <c r="A2192" t="inlineStr">
        <is>
          <t>14944777</t>
        </is>
      </c>
      <c r="B2192" t="inlineStr">
        <is>
          <t>e30b0f94-23cf-4edf-8ac0-28bcf32ed377</t>
        </is>
      </c>
      <c r="D2192" t="inlineStr">
        <is>
          <t>30001087</t>
        </is>
      </c>
      <c r="E2192" t="inlineStr">
        <is>
          <t>ussd_funeral_leads_altitude_20260619</t>
        </is>
      </c>
      <c r="J2192" t="inlineStr">
        <is>
          <t>AA</t>
        </is>
      </c>
      <c r="K2192" t="inlineStr">
        <is>
          <t>Answering Machine Autodial</t>
        </is>
      </c>
      <c r="L2192" t="n">
        <v>3</v>
      </c>
      <c r="M2192" t="inlineStr">
        <is>
          <t>2026-06-23 13:20:13</t>
        </is>
      </c>
      <c r="N2192" t="inlineStr">
        <is>
          <t>system</t>
        </is>
      </c>
      <c r="O2192" t="inlineStr">
        <is>
          <t>2026-06-19 07:10:32</t>
        </is>
      </c>
      <c r="P2192" t="inlineStr">
        <is>
          <t>2026-06-19 07:10:32</t>
        </is>
      </c>
      <c r="Y2192" t="inlineStr">
        <is>
          <t>27648663631</t>
        </is>
      </c>
    </row>
    <row r="2193">
      <c r="A2193" t="inlineStr">
        <is>
          <t>14944778</t>
        </is>
      </c>
      <c r="B2193" t="inlineStr">
        <is>
          <t>8a89e333-06d8-49c1-94f9-3c736ed64088</t>
        </is>
      </c>
      <c r="D2193" t="inlineStr">
        <is>
          <t>30001087</t>
        </is>
      </c>
      <c r="E2193" t="inlineStr">
        <is>
          <t>ussd_funeral_leads_altitude_20260619</t>
        </is>
      </c>
      <c r="J2193" t="inlineStr">
        <is>
          <t>AA</t>
        </is>
      </c>
      <c r="K2193" t="inlineStr">
        <is>
          <t>Answering Machine Autodial</t>
        </is>
      </c>
      <c r="L2193" t="n">
        <v>3</v>
      </c>
      <c r="M2193" t="inlineStr">
        <is>
          <t>2026-06-23 13:20:13</t>
        </is>
      </c>
      <c r="N2193" t="inlineStr">
        <is>
          <t>system</t>
        </is>
      </c>
      <c r="O2193" t="inlineStr">
        <is>
          <t>2026-06-19 07:10:32</t>
        </is>
      </c>
      <c r="P2193" t="inlineStr">
        <is>
          <t>2026-06-19 07:10:32</t>
        </is>
      </c>
      <c r="Y2193" t="inlineStr">
        <is>
          <t>27609217901</t>
        </is>
      </c>
    </row>
    <row r="2194">
      <c r="A2194" t="inlineStr">
        <is>
          <t>14944775</t>
        </is>
      </c>
      <c r="B2194" t="inlineStr">
        <is>
          <t>5fa818c5-affb-4599-8d48-11662c5ab5fd</t>
        </is>
      </c>
      <c r="D2194" t="inlineStr">
        <is>
          <t>30001087</t>
        </is>
      </c>
      <c r="E2194" t="inlineStr">
        <is>
          <t>ussd_funeral_leads_altitude_20260619</t>
        </is>
      </c>
      <c r="J2194" t="inlineStr">
        <is>
          <t>TDN</t>
        </is>
      </c>
      <c r="K2194" t="inlineStr">
        <is>
          <t>Temporary Disconnected Number</t>
        </is>
      </c>
      <c r="L2194" t="n">
        <v>3</v>
      </c>
      <c r="M2194" t="inlineStr">
        <is>
          <t>2026-06-23 13:20:12</t>
        </is>
      </c>
      <c r="N2194" t="inlineStr">
        <is>
          <t>system</t>
        </is>
      </c>
      <c r="O2194" t="inlineStr">
        <is>
          <t>2026-06-19 07:10:32</t>
        </is>
      </c>
      <c r="P2194" t="inlineStr">
        <is>
          <t>2026-06-19 07:10:32</t>
        </is>
      </c>
      <c r="Y2194" t="inlineStr">
        <is>
          <t>27711747107</t>
        </is>
      </c>
    </row>
    <row r="2195">
      <c r="A2195" t="inlineStr">
        <is>
          <t>14944776</t>
        </is>
      </c>
      <c r="B2195" t="inlineStr">
        <is>
          <t>092df909-7a7f-4926-8b43-14e414fb9374</t>
        </is>
      </c>
      <c r="D2195" t="inlineStr">
        <is>
          <t>30001087</t>
        </is>
      </c>
      <c r="E2195" t="inlineStr">
        <is>
          <t>ussd_funeral_leads_altitude_20260619</t>
        </is>
      </c>
      <c r="J2195" t="inlineStr">
        <is>
          <t>CU</t>
        </is>
      </c>
      <c r="K2195" t="inlineStr">
        <is>
          <t>Client Hung Up</t>
        </is>
      </c>
      <c r="L2195" t="n">
        <v>3</v>
      </c>
      <c r="M2195" t="inlineStr">
        <is>
          <t>2026-06-23 13:20:12</t>
        </is>
      </c>
      <c r="N2195" t="inlineStr">
        <is>
          <t>Lebohang Mabotja</t>
        </is>
      </c>
      <c r="O2195" t="inlineStr">
        <is>
          <t>2026-06-19 07:10:32</t>
        </is>
      </c>
      <c r="P2195" t="inlineStr">
        <is>
          <t>2026-06-19 07:10:32</t>
        </is>
      </c>
      <c r="Y2195" t="inlineStr">
        <is>
          <t>27661561109</t>
        </is>
      </c>
    </row>
    <row r="2196">
      <c r="A2196" t="inlineStr">
        <is>
          <t>14944773</t>
        </is>
      </c>
      <c r="B2196" t="inlineStr">
        <is>
          <t>46982efa-ed8f-4e9d-b5e5-90d09eb71e7a</t>
        </is>
      </c>
      <c r="D2196" t="inlineStr">
        <is>
          <t>30001087</t>
        </is>
      </c>
      <c r="E2196" t="inlineStr">
        <is>
          <t>ussd_funeral_leads_altitude_20260619</t>
        </is>
      </c>
      <c r="J2196" t="inlineStr">
        <is>
          <t>NA</t>
        </is>
      </c>
      <c r="K2196" t="inlineStr">
        <is>
          <t>No Answer Autodial</t>
        </is>
      </c>
      <c r="L2196" t="n">
        <v>3</v>
      </c>
      <c r="M2196" t="inlineStr">
        <is>
          <t>2026-06-23 13:20:09</t>
        </is>
      </c>
      <c r="N2196" t="inlineStr">
        <is>
          <t>system</t>
        </is>
      </c>
      <c r="O2196" t="inlineStr">
        <is>
          <t>2026-06-19 07:10:32</t>
        </is>
      </c>
      <c r="P2196" t="inlineStr">
        <is>
          <t>2026-06-19 07:10:32</t>
        </is>
      </c>
      <c r="Y2196" t="inlineStr">
        <is>
          <t>27713336669</t>
        </is>
      </c>
    </row>
    <row r="2197">
      <c r="A2197" t="inlineStr">
        <is>
          <t>14944767</t>
        </is>
      </c>
      <c r="B2197" t="inlineStr">
        <is>
          <t>71b320be-fc2a-4ae8-ad41-cdd0928c4b36</t>
        </is>
      </c>
      <c r="D2197" t="inlineStr">
        <is>
          <t>30001087</t>
        </is>
      </c>
      <c r="E2197" t="inlineStr">
        <is>
          <t>ussd_funeral_leads_altitude_20260619</t>
        </is>
      </c>
      <c r="J2197" t="inlineStr">
        <is>
          <t>ADC</t>
        </is>
      </c>
      <c r="K2197" t="inlineStr">
        <is>
          <t>Auto Dial Disconnected</t>
        </is>
      </c>
      <c r="L2197" t="n">
        <v>3</v>
      </c>
      <c r="M2197" t="inlineStr">
        <is>
          <t>2026-06-23 13:20:08</t>
        </is>
      </c>
      <c r="N2197" t="inlineStr">
        <is>
          <t>system</t>
        </is>
      </c>
      <c r="O2197" t="inlineStr">
        <is>
          <t>2026-06-19 07:10:32</t>
        </is>
      </c>
      <c r="P2197" t="inlineStr">
        <is>
          <t>2026-06-19 07:10:32</t>
        </is>
      </c>
      <c r="Y2197" t="inlineStr">
        <is>
          <t>27665415834</t>
        </is>
      </c>
    </row>
    <row r="2198">
      <c r="A2198" t="inlineStr">
        <is>
          <t>14944768</t>
        </is>
      </c>
      <c r="B2198" t="inlineStr">
        <is>
          <t>1da7b4a1-aabf-465e-8cf7-bb198bf77153</t>
        </is>
      </c>
      <c r="D2198" t="inlineStr">
        <is>
          <t>30001087</t>
        </is>
      </c>
      <c r="E2198" t="inlineStr">
        <is>
          <t>ussd_funeral_leads_altitude_20260619</t>
        </is>
      </c>
      <c r="J2198" t="inlineStr">
        <is>
          <t>AF</t>
        </is>
      </c>
      <c r="K2198" t="inlineStr">
        <is>
          <t>Cannot Afford</t>
        </is>
      </c>
      <c r="L2198" t="n">
        <v>3</v>
      </c>
      <c r="M2198" t="inlineStr">
        <is>
          <t>2026-06-23 13:20:08</t>
        </is>
      </c>
      <c r="N2198" t="inlineStr">
        <is>
          <t>Dimakatso Nkomo</t>
        </is>
      </c>
      <c r="O2198" t="inlineStr">
        <is>
          <t>2026-06-19 07:10:32</t>
        </is>
      </c>
      <c r="P2198" t="inlineStr">
        <is>
          <t>2026-06-19 07:10:32</t>
        </is>
      </c>
      <c r="Y2198" t="inlineStr">
        <is>
          <t>27793573766</t>
        </is>
      </c>
    </row>
    <row r="2199">
      <c r="A2199" t="inlineStr">
        <is>
          <t>14944769</t>
        </is>
      </c>
      <c r="B2199" t="inlineStr">
        <is>
          <t>799b86d9-e0ff-4f53-9742-b7dc3176185d</t>
        </is>
      </c>
      <c r="D2199" t="inlineStr">
        <is>
          <t>30001087</t>
        </is>
      </c>
      <c r="E2199" t="inlineStr">
        <is>
          <t>ussd_funeral_leads_altitude_20260619</t>
        </is>
      </c>
      <c r="J2199" t="inlineStr">
        <is>
          <t>AA</t>
        </is>
      </c>
      <c r="K2199" t="inlineStr">
        <is>
          <t>Answering Machine Autodial</t>
        </is>
      </c>
      <c r="L2199" t="n">
        <v>3</v>
      </c>
      <c r="M2199" t="inlineStr">
        <is>
          <t>2026-06-23 13:20:08</t>
        </is>
      </c>
      <c r="N2199" t="inlineStr">
        <is>
          <t>system</t>
        </is>
      </c>
      <c r="O2199" t="inlineStr">
        <is>
          <t>2026-06-19 07:10:32</t>
        </is>
      </c>
      <c r="P2199" t="inlineStr">
        <is>
          <t>2026-06-19 07:10:32</t>
        </is>
      </c>
      <c r="Y2199" t="inlineStr">
        <is>
          <t>27725824276</t>
        </is>
      </c>
    </row>
    <row r="2200">
      <c r="A2200" t="inlineStr">
        <is>
          <t>14944770</t>
        </is>
      </c>
      <c r="B2200" t="inlineStr">
        <is>
          <t>390a30a9-14a6-4ecb-9098-f7969d91715f</t>
        </is>
      </c>
      <c r="D2200" t="inlineStr">
        <is>
          <t>30001087</t>
        </is>
      </c>
      <c r="E2200" t="inlineStr">
        <is>
          <t>ussd_funeral_leads_altitude_20260619</t>
        </is>
      </c>
      <c r="J2200" t="inlineStr">
        <is>
          <t>AA</t>
        </is>
      </c>
      <c r="K2200" t="inlineStr">
        <is>
          <t>Answering Machine Autodial</t>
        </is>
      </c>
      <c r="L2200" t="n">
        <v>3</v>
      </c>
      <c r="M2200" t="inlineStr">
        <is>
          <t>2026-06-23 13:20:08</t>
        </is>
      </c>
      <c r="N2200" t="inlineStr">
        <is>
          <t>system</t>
        </is>
      </c>
      <c r="O2200" t="inlineStr">
        <is>
          <t>2026-06-19 07:10:32</t>
        </is>
      </c>
      <c r="P2200" t="inlineStr">
        <is>
          <t>2026-06-19 07:10:32</t>
        </is>
      </c>
      <c r="Y2200" t="inlineStr">
        <is>
          <t>27823627768</t>
        </is>
      </c>
    </row>
    <row r="2201">
      <c r="A2201" t="inlineStr">
        <is>
          <t>14944771</t>
        </is>
      </c>
      <c r="B2201" t="inlineStr">
        <is>
          <t>2568f480-630f-4762-99c3-2c8486845b2d</t>
        </is>
      </c>
      <c r="D2201" t="inlineStr">
        <is>
          <t>30001087</t>
        </is>
      </c>
      <c r="E2201" t="inlineStr">
        <is>
          <t>ussd_funeral_leads_altitude_20260619</t>
        </is>
      </c>
      <c r="J2201" t="inlineStr">
        <is>
          <t>AA</t>
        </is>
      </c>
      <c r="K2201" t="inlineStr">
        <is>
          <t>Answering Machine Autodial</t>
        </is>
      </c>
      <c r="L2201" t="n">
        <v>3</v>
      </c>
      <c r="M2201" t="inlineStr">
        <is>
          <t>2026-06-23 13:20:08</t>
        </is>
      </c>
      <c r="N2201" t="inlineStr">
        <is>
          <t>system</t>
        </is>
      </c>
      <c r="O2201" t="inlineStr">
        <is>
          <t>2026-06-19 07:10:32</t>
        </is>
      </c>
      <c r="P2201" t="inlineStr">
        <is>
          <t>2026-06-19 07:10:32</t>
        </is>
      </c>
      <c r="Y2201" t="inlineStr">
        <is>
          <t>27646397538</t>
        </is>
      </c>
    </row>
    <row r="2202">
      <c r="A2202" t="inlineStr">
        <is>
          <t>14947725</t>
        </is>
      </c>
      <c r="B2202" t="inlineStr">
        <is>
          <t>b6f1737a-95b3-486c-b2c7-59e2e528af57</t>
        </is>
      </c>
      <c r="D2202" t="inlineStr">
        <is>
          <t>30001087</t>
        </is>
      </c>
      <c r="E2202" t="inlineStr">
        <is>
          <t>ussd_funeral_leads_altitude_20260619</t>
        </is>
      </c>
      <c r="J2202" t="inlineStr">
        <is>
          <t>AA</t>
        </is>
      </c>
      <c r="K2202" t="inlineStr">
        <is>
          <t>Answering Machine Autodial</t>
        </is>
      </c>
      <c r="L2202" t="n">
        <v>3</v>
      </c>
      <c r="M2202" t="inlineStr">
        <is>
          <t>2026-06-23 13:20:07</t>
        </is>
      </c>
      <c r="N2202" t="inlineStr">
        <is>
          <t>system</t>
        </is>
      </c>
      <c r="O2202" t="inlineStr">
        <is>
          <t>2026-06-19 07:10:32</t>
        </is>
      </c>
      <c r="P2202" t="inlineStr">
        <is>
          <t>2026-06-19 07:10:32</t>
        </is>
      </c>
      <c r="Y2202" t="inlineStr">
        <is>
          <t>27793647705</t>
        </is>
      </c>
    </row>
    <row r="2203">
      <c r="A2203" t="inlineStr">
        <is>
          <t>14944774</t>
        </is>
      </c>
      <c r="B2203" t="inlineStr">
        <is>
          <t>d9ba77f9-dcf0-4b7a-8d00-215aba7e8b06</t>
        </is>
      </c>
      <c r="D2203" t="inlineStr">
        <is>
          <t>30001087</t>
        </is>
      </c>
      <c r="E2203" t="inlineStr">
        <is>
          <t>ussd_funeral_leads_altitude_20260619</t>
        </is>
      </c>
      <c r="J2203" t="inlineStr">
        <is>
          <t>AA</t>
        </is>
      </c>
      <c r="K2203" t="inlineStr">
        <is>
          <t>Answering Machine Autodial</t>
        </is>
      </c>
      <c r="L2203" t="n">
        <v>3</v>
      </c>
      <c r="M2203" t="inlineStr">
        <is>
          <t>2026-06-23 13:20:06</t>
        </is>
      </c>
      <c r="N2203" t="inlineStr">
        <is>
          <t>system</t>
        </is>
      </c>
      <c r="O2203" t="inlineStr">
        <is>
          <t>2026-06-19 07:10:32</t>
        </is>
      </c>
      <c r="P2203" t="inlineStr">
        <is>
          <t>2026-06-19 07:10:32</t>
        </is>
      </c>
      <c r="Y2203" t="inlineStr">
        <is>
          <t>27796345591</t>
        </is>
      </c>
    </row>
    <row r="2204">
      <c r="A2204" t="inlineStr">
        <is>
          <t>14945929</t>
        </is>
      </c>
      <c r="B2204" t="inlineStr">
        <is>
          <t>25d501bf-a448-4ba3-a307-1e0b2a3e0a78</t>
        </is>
      </c>
      <c r="D2204" t="inlineStr">
        <is>
          <t>30001087</t>
        </is>
      </c>
      <c r="E2204" t="inlineStr">
        <is>
          <t>ussd_funeral_leads_altitude_20260619</t>
        </is>
      </c>
      <c r="H2204" t="inlineStr">
        <is>
          <t>27768487154</t>
        </is>
      </c>
      <c r="J2204" t="inlineStr">
        <is>
          <t>CU</t>
        </is>
      </c>
      <c r="K2204" t="inlineStr">
        <is>
          <t>Client Hung Up</t>
        </is>
      </c>
      <c r="L2204" t="n">
        <v>4</v>
      </c>
      <c r="M2204" t="inlineStr">
        <is>
          <t>2026-06-23 13:19:15</t>
        </is>
      </c>
      <c r="N2204" t="inlineStr">
        <is>
          <t>Virginia Letsatsi</t>
        </is>
      </c>
      <c r="O2204" t="inlineStr">
        <is>
          <t>2026-06-19 07:10:32</t>
        </is>
      </c>
      <c r="P2204" t="inlineStr">
        <is>
          <t>2026-06-19 07:10:32</t>
        </is>
      </c>
      <c r="Y2204" t="inlineStr">
        <is>
          <t>27768487154</t>
        </is>
      </c>
    </row>
    <row r="2205">
      <c r="A2205" t="inlineStr">
        <is>
          <t>14944818</t>
        </is>
      </c>
      <c r="B2205" t="inlineStr">
        <is>
          <t>79fa6c96-9b23-4f52-8216-08561b92d1ed</t>
        </is>
      </c>
      <c r="D2205" t="inlineStr">
        <is>
          <t>30001087</t>
        </is>
      </c>
      <c r="E2205" t="inlineStr">
        <is>
          <t>ussd_funeral_leads_altitude_20260619</t>
        </is>
      </c>
      <c r="J2205" t="inlineStr">
        <is>
          <t>AA</t>
        </is>
      </c>
      <c r="K2205" t="inlineStr">
        <is>
          <t>Answering Machine Autodial</t>
        </is>
      </c>
      <c r="L2205" t="n">
        <v>3</v>
      </c>
      <c r="M2205" t="inlineStr">
        <is>
          <t>2026-06-23 13:19:10</t>
        </is>
      </c>
      <c r="N2205" t="inlineStr">
        <is>
          <t>system</t>
        </is>
      </c>
      <c r="O2205" t="inlineStr">
        <is>
          <t>2026-06-19 07:10:32</t>
        </is>
      </c>
      <c r="P2205" t="inlineStr">
        <is>
          <t>2026-06-19 07:10:32</t>
        </is>
      </c>
      <c r="Y2205" t="inlineStr">
        <is>
          <t>27662306492</t>
        </is>
      </c>
    </row>
    <row r="2206">
      <c r="A2206" t="inlineStr">
        <is>
          <t>14944817</t>
        </is>
      </c>
      <c r="B2206" t="inlineStr">
        <is>
          <t>7855bff5-26c5-4d14-ac06-08f9a1afa1dd</t>
        </is>
      </c>
      <c r="D2206" t="inlineStr">
        <is>
          <t>30001087</t>
        </is>
      </c>
      <c r="E2206" t="inlineStr">
        <is>
          <t>ussd_funeral_leads_altitude_20260619</t>
        </is>
      </c>
      <c r="J2206" t="inlineStr">
        <is>
          <t>AA</t>
        </is>
      </c>
      <c r="K2206" t="inlineStr">
        <is>
          <t>Answering Machine Autodial</t>
        </is>
      </c>
      <c r="L2206" t="n">
        <v>3</v>
      </c>
      <c r="M2206" t="inlineStr">
        <is>
          <t>2026-06-23 13:18:49</t>
        </is>
      </c>
      <c r="N2206" t="inlineStr">
        <is>
          <t>system</t>
        </is>
      </c>
      <c r="O2206" t="inlineStr">
        <is>
          <t>2026-06-19 07:10:32</t>
        </is>
      </c>
      <c r="P2206" t="inlineStr">
        <is>
          <t>2026-06-19 07:10:32</t>
        </is>
      </c>
      <c r="Y2206" t="inlineStr">
        <is>
          <t>27774220714</t>
        </is>
      </c>
    </row>
    <row r="2207">
      <c r="A2207" t="inlineStr">
        <is>
          <t>14944816</t>
        </is>
      </c>
      <c r="B2207" t="inlineStr">
        <is>
          <t>f5f8328c-5519-473b-90a0-918aaba096b7</t>
        </is>
      </c>
      <c r="D2207" t="inlineStr">
        <is>
          <t>30001087</t>
        </is>
      </c>
      <c r="E2207" t="inlineStr">
        <is>
          <t>ussd_funeral_leads_altitude_20260619</t>
        </is>
      </c>
      <c r="J2207" t="inlineStr">
        <is>
          <t>ADC</t>
        </is>
      </c>
      <c r="K2207" t="inlineStr">
        <is>
          <t>Auto Dial Disconnected</t>
        </is>
      </c>
      <c r="L2207" t="n">
        <v>3</v>
      </c>
      <c r="M2207" t="inlineStr">
        <is>
          <t>2026-06-23 13:18:47</t>
        </is>
      </c>
      <c r="N2207" t="inlineStr">
        <is>
          <t>system</t>
        </is>
      </c>
      <c r="O2207" t="inlineStr">
        <is>
          <t>2026-06-19 07:10:32</t>
        </is>
      </c>
      <c r="P2207" t="inlineStr">
        <is>
          <t>2026-06-19 07:10:32</t>
        </is>
      </c>
      <c r="Y2207" t="inlineStr">
        <is>
          <t>27727531611</t>
        </is>
      </c>
    </row>
    <row r="2208">
      <c r="A2208" t="inlineStr">
        <is>
          <t>14944815</t>
        </is>
      </c>
      <c r="B2208" t="inlineStr">
        <is>
          <t>fb0e7167-e5e8-4318-9fdb-c083803af05a</t>
        </is>
      </c>
      <c r="D2208" t="inlineStr">
        <is>
          <t>30001087</t>
        </is>
      </c>
      <c r="E2208" t="inlineStr">
        <is>
          <t>ussd_funeral_leads_altitude_20260619</t>
        </is>
      </c>
      <c r="J2208" t="inlineStr">
        <is>
          <t>AA</t>
        </is>
      </c>
      <c r="K2208" t="inlineStr">
        <is>
          <t>Answering Machine Autodial</t>
        </is>
      </c>
      <c r="L2208" t="n">
        <v>3</v>
      </c>
      <c r="M2208" t="inlineStr">
        <is>
          <t>2026-06-23 13:18:40</t>
        </is>
      </c>
      <c r="N2208" t="inlineStr">
        <is>
          <t>system</t>
        </is>
      </c>
      <c r="O2208" t="inlineStr">
        <is>
          <t>2026-06-19 07:10:32</t>
        </is>
      </c>
      <c r="P2208" t="inlineStr">
        <is>
          <t>2026-06-19 07:10:32</t>
        </is>
      </c>
      <c r="Y2208" t="inlineStr">
        <is>
          <t>27606311716</t>
        </is>
      </c>
    </row>
    <row r="2209">
      <c r="A2209" t="inlineStr">
        <is>
          <t>14944814</t>
        </is>
      </c>
      <c r="B2209" t="inlineStr">
        <is>
          <t>3ba70369-e06f-4627-b8cb-0602e4b2cb64</t>
        </is>
      </c>
      <c r="D2209" t="inlineStr">
        <is>
          <t>30001087</t>
        </is>
      </c>
      <c r="E2209" t="inlineStr">
        <is>
          <t>ussd_funeral_leads_altitude_20260619</t>
        </is>
      </c>
      <c r="J2209" t="inlineStr">
        <is>
          <t>DROP</t>
        </is>
      </c>
      <c r="K2209" t="inlineStr">
        <is>
          <t>Dropped</t>
        </is>
      </c>
      <c r="L2209" t="n">
        <v>3</v>
      </c>
      <c r="M2209" t="inlineStr">
        <is>
          <t>2026-06-23 13:18:38</t>
        </is>
      </c>
      <c r="N2209" t="inlineStr">
        <is>
          <t>system</t>
        </is>
      </c>
      <c r="O2209" t="inlineStr">
        <is>
          <t>2026-06-19 07:10:32</t>
        </is>
      </c>
      <c r="P2209" t="inlineStr">
        <is>
          <t>2026-06-19 07:10:32</t>
        </is>
      </c>
      <c r="Y2209" t="inlineStr">
        <is>
          <t>27726207318</t>
        </is>
      </c>
    </row>
    <row r="2210">
      <c r="A2210" t="inlineStr">
        <is>
          <t>14944813</t>
        </is>
      </c>
      <c r="B2210" t="inlineStr">
        <is>
          <t>6e7ebda7-a841-4022-8395-1226df512b26</t>
        </is>
      </c>
      <c r="D2210" t="inlineStr">
        <is>
          <t>30001087</t>
        </is>
      </c>
      <c r="E2210" t="inlineStr">
        <is>
          <t>ussd_funeral_leads_altitude_20260619</t>
        </is>
      </c>
      <c r="J2210" t="inlineStr">
        <is>
          <t>AA</t>
        </is>
      </c>
      <c r="K2210" t="inlineStr">
        <is>
          <t>Answering Machine Autodial</t>
        </is>
      </c>
      <c r="L2210" t="n">
        <v>3</v>
      </c>
      <c r="M2210" t="inlineStr">
        <is>
          <t>2026-06-23 13:18:38</t>
        </is>
      </c>
      <c r="N2210" t="inlineStr">
        <is>
          <t>system</t>
        </is>
      </c>
      <c r="O2210" t="inlineStr">
        <is>
          <t>2026-06-19 07:10:32</t>
        </is>
      </c>
      <c r="P2210" t="inlineStr">
        <is>
          <t>2026-06-19 07:10:32</t>
        </is>
      </c>
      <c r="Y2210" t="inlineStr">
        <is>
          <t>27606045905</t>
        </is>
      </c>
    </row>
    <row r="2211">
      <c r="A2211" t="inlineStr">
        <is>
          <t>14944812</t>
        </is>
      </c>
      <c r="B2211" t="inlineStr">
        <is>
          <t>dc8b70e4-5f6b-4050-8294-4546dfa88154</t>
        </is>
      </c>
      <c r="D2211" t="inlineStr">
        <is>
          <t>30001087</t>
        </is>
      </c>
      <c r="E2211" t="inlineStr">
        <is>
          <t>ussd_funeral_leads_altitude_20260619</t>
        </is>
      </c>
      <c r="J2211" t="inlineStr">
        <is>
          <t>AA</t>
        </is>
      </c>
      <c r="K2211" t="inlineStr">
        <is>
          <t>Answering Machine Autodial</t>
        </is>
      </c>
      <c r="L2211" t="n">
        <v>3</v>
      </c>
      <c r="M2211" t="inlineStr">
        <is>
          <t>2026-06-23 13:18:36</t>
        </is>
      </c>
      <c r="N2211" t="inlineStr">
        <is>
          <t>system</t>
        </is>
      </c>
      <c r="O2211" t="inlineStr">
        <is>
          <t>2026-06-19 07:10:32</t>
        </is>
      </c>
      <c r="P2211" t="inlineStr">
        <is>
          <t>2026-06-19 07:10:32</t>
        </is>
      </c>
      <c r="Y2211" t="inlineStr">
        <is>
          <t>27674824587</t>
        </is>
      </c>
    </row>
    <row r="2212">
      <c r="A2212" t="inlineStr">
        <is>
          <t>14944806</t>
        </is>
      </c>
      <c r="B2212" t="inlineStr">
        <is>
          <t>e3c63999-5570-4ec3-9c17-9076638eca93</t>
        </is>
      </c>
      <c r="D2212" t="inlineStr">
        <is>
          <t>30001087</t>
        </is>
      </c>
      <c r="E2212" t="inlineStr">
        <is>
          <t>ussd_funeral_leads_altitude_20260619</t>
        </is>
      </c>
      <c r="J2212" t="inlineStr">
        <is>
          <t>NA</t>
        </is>
      </c>
      <c r="K2212" t="inlineStr">
        <is>
          <t>No Answer Autodial</t>
        </is>
      </c>
      <c r="L2212" t="n">
        <v>3</v>
      </c>
      <c r="M2212" t="inlineStr">
        <is>
          <t>2026-06-23 13:18:35</t>
        </is>
      </c>
      <c r="N2212" t="inlineStr">
        <is>
          <t>system</t>
        </is>
      </c>
      <c r="O2212" t="inlineStr">
        <is>
          <t>2026-06-19 07:10:32</t>
        </is>
      </c>
      <c r="P2212" t="inlineStr">
        <is>
          <t>2026-06-19 07:10:32</t>
        </is>
      </c>
      <c r="Y2212" t="inlineStr">
        <is>
          <t>27716106935</t>
        </is>
      </c>
    </row>
    <row r="2213">
      <c r="A2213" t="inlineStr">
        <is>
          <t>14944805</t>
        </is>
      </c>
      <c r="B2213" t="inlineStr">
        <is>
          <t>b00693ce-8831-4655-9d73-86adc94ebf12</t>
        </is>
      </c>
      <c r="D2213" t="inlineStr">
        <is>
          <t>30001087</t>
        </is>
      </c>
      <c r="E2213" t="inlineStr">
        <is>
          <t>ussd_funeral_leads_altitude_20260619</t>
        </is>
      </c>
      <c r="J2213" t="inlineStr">
        <is>
          <t>AA</t>
        </is>
      </c>
      <c r="K2213" t="inlineStr">
        <is>
          <t>Answering Machine Autodial</t>
        </is>
      </c>
      <c r="L2213" t="n">
        <v>3</v>
      </c>
      <c r="M2213" t="inlineStr">
        <is>
          <t>2026-06-23 13:18:33</t>
        </is>
      </c>
      <c r="N2213" t="inlineStr">
        <is>
          <t>system</t>
        </is>
      </c>
      <c r="O2213" t="inlineStr">
        <is>
          <t>2026-06-19 07:10:32</t>
        </is>
      </c>
      <c r="P2213" t="inlineStr">
        <is>
          <t>2026-06-19 07:10:32</t>
        </is>
      </c>
      <c r="Y2213" t="inlineStr">
        <is>
          <t>27769862268</t>
        </is>
      </c>
    </row>
    <row r="2214">
      <c r="A2214" t="inlineStr">
        <is>
          <t>14944803</t>
        </is>
      </c>
      <c r="B2214" t="inlineStr">
        <is>
          <t>adc9bbbb-bbfb-4103-b0e8-601d4c3beff1</t>
        </is>
      </c>
      <c r="D2214" t="inlineStr">
        <is>
          <t>30001087</t>
        </is>
      </c>
      <c r="E2214" t="inlineStr">
        <is>
          <t>ussd_funeral_leads_altitude_20260619</t>
        </is>
      </c>
      <c r="J2214" t="inlineStr">
        <is>
          <t>AA</t>
        </is>
      </c>
      <c r="K2214" t="inlineStr">
        <is>
          <t>Answering Machine Autodial</t>
        </is>
      </c>
      <c r="L2214" t="n">
        <v>3</v>
      </c>
      <c r="M2214" t="inlineStr">
        <is>
          <t>2026-06-23 13:18:32</t>
        </is>
      </c>
      <c r="N2214" t="inlineStr">
        <is>
          <t>system</t>
        </is>
      </c>
      <c r="O2214" t="inlineStr">
        <is>
          <t>2026-06-19 07:10:32</t>
        </is>
      </c>
      <c r="P2214" t="inlineStr">
        <is>
          <t>2026-06-19 07:10:32</t>
        </is>
      </c>
      <c r="Y2214" t="inlineStr">
        <is>
          <t>27765277775</t>
        </is>
      </c>
    </row>
    <row r="2215">
      <c r="A2215" t="inlineStr">
        <is>
          <t>14944804</t>
        </is>
      </c>
      <c r="B2215" t="inlineStr">
        <is>
          <t>62db52d7-c81c-4b79-97eb-e13dc348372c</t>
        </is>
      </c>
      <c r="D2215" t="inlineStr">
        <is>
          <t>30001087</t>
        </is>
      </c>
      <c r="E2215" t="inlineStr">
        <is>
          <t>ussd_funeral_leads_altitude_20260619</t>
        </is>
      </c>
      <c r="J2215" t="inlineStr">
        <is>
          <t>ADC</t>
        </is>
      </c>
      <c r="K2215" t="inlineStr">
        <is>
          <t>Auto Dial Disconnected</t>
        </is>
      </c>
      <c r="L2215" t="n">
        <v>3</v>
      </c>
      <c r="M2215" t="inlineStr">
        <is>
          <t>2026-06-23 13:18:32</t>
        </is>
      </c>
      <c r="N2215" t="inlineStr">
        <is>
          <t>system</t>
        </is>
      </c>
      <c r="O2215" t="inlineStr">
        <is>
          <t>2026-06-19 07:10:32</t>
        </is>
      </c>
      <c r="P2215" t="inlineStr">
        <is>
          <t>2026-06-19 07:10:32</t>
        </is>
      </c>
      <c r="Y2215" t="inlineStr">
        <is>
          <t>27649867275</t>
        </is>
      </c>
    </row>
    <row r="2216">
      <c r="A2216" t="inlineStr">
        <is>
          <t>14944801</t>
        </is>
      </c>
      <c r="B2216" t="inlineStr">
        <is>
          <t>95b48c95-f50e-4449-8de9-a75c3acd8322</t>
        </is>
      </c>
      <c r="D2216" t="inlineStr">
        <is>
          <t>30001087</t>
        </is>
      </c>
      <c r="E2216" t="inlineStr">
        <is>
          <t>ussd_funeral_leads_altitude_20260619</t>
        </is>
      </c>
      <c r="J2216" t="inlineStr">
        <is>
          <t>AA</t>
        </is>
      </c>
      <c r="K2216" t="inlineStr">
        <is>
          <t>Answering Machine Autodial</t>
        </is>
      </c>
      <c r="L2216" t="n">
        <v>3</v>
      </c>
      <c r="M2216" t="inlineStr">
        <is>
          <t>2026-06-23 13:18:31</t>
        </is>
      </c>
      <c r="N2216" t="inlineStr">
        <is>
          <t>system</t>
        </is>
      </c>
      <c r="O2216" t="inlineStr">
        <is>
          <t>2026-06-19 07:10:32</t>
        </is>
      </c>
      <c r="P2216" t="inlineStr">
        <is>
          <t>2026-06-19 07:10:32</t>
        </is>
      </c>
      <c r="Y2216" t="inlineStr">
        <is>
          <t>27721885497</t>
        </is>
      </c>
    </row>
    <row r="2217">
      <c r="A2217" t="inlineStr">
        <is>
          <t>14944802</t>
        </is>
      </c>
      <c r="B2217" t="inlineStr">
        <is>
          <t>f1fbc4cb-61cd-4f3a-a4be-9fe4994fcfbe</t>
        </is>
      </c>
      <c r="D2217" t="inlineStr">
        <is>
          <t>30001087</t>
        </is>
      </c>
      <c r="E2217" t="inlineStr">
        <is>
          <t>ussd_funeral_leads_altitude_20260619</t>
        </is>
      </c>
      <c r="J2217" t="inlineStr">
        <is>
          <t>AA</t>
        </is>
      </c>
      <c r="K2217" t="inlineStr">
        <is>
          <t>Answering Machine Autodial</t>
        </is>
      </c>
      <c r="L2217" t="n">
        <v>3</v>
      </c>
      <c r="M2217" t="inlineStr">
        <is>
          <t>2026-06-23 13:18:31</t>
        </is>
      </c>
      <c r="N2217" t="inlineStr">
        <is>
          <t>system</t>
        </is>
      </c>
      <c r="O2217" t="inlineStr">
        <is>
          <t>2026-06-19 07:10:32</t>
        </is>
      </c>
      <c r="P2217" t="inlineStr">
        <is>
          <t>2026-06-19 07:10:32</t>
        </is>
      </c>
      <c r="Y2217" t="inlineStr">
        <is>
          <t>27823558866</t>
        </is>
      </c>
    </row>
    <row r="2218">
      <c r="A2218" t="inlineStr">
        <is>
          <t>14944799</t>
        </is>
      </c>
      <c r="B2218" t="inlineStr">
        <is>
          <t>16f2d46f-d82d-4eac-94e9-4463a877a997</t>
        </is>
      </c>
      <c r="D2218" t="inlineStr">
        <is>
          <t>30001087</t>
        </is>
      </c>
      <c r="E2218" t="inlineStr">
        <is>
          <t>ussd_funeral_leads_altitude_20260619</t>
        </is>
      </c>
      <c r="J2218" t="inlineStr">
        <is>
          <t>AA</t>
        </is>
      </c>
      <c r="K2218" t="inlineStr">
        <is>
          <t>Answering Machine Autodial</t>
        </is>
      </c>
      <c r="L2218" t="n">
        <v>3</v>
      </c>
      <c r="M2218" t="inlineStr">
        <is>
          <t>2026-06-23 13:18:30</t>
        </is>
      </c>
      <c r="N2218" t="inlineStr">
        <is>
          <t>system</t>
        </is>
      </c>
      <c r="O2218" t="inlineStr">
        <is>
          <t>2026-06-19 07:10:32</t>
        </is>
      </c>
      <c r="P2218" t="inlineStr">
        <is>
          <t>2026-06-19 07:10:32</t>
        </is>
      </c>
      <c r="Y2218" t="inlineStr">
        <is>
          <t>27763070810</t>
        </is>
      </c>
    </row>
    <row r="2219">
      <c r="A2219" t="inlineStr">
        <is>
          <t>14944800</t>
        </is>
      </c>
      <c r="B2219" t="inlineStr">
        <is>
          <t>e2c69532-bf32-436c-b68d-7f88faed8282</t>
        </is>
      </c>
      <c r="D2219" t="inlineStr">
        <is>
          <t>30001087</t>
        </is>
      </c>
      <c r="E2219" t="inlineStr">
        <is>
          <t>ussd_funeral_leads_altitude_20260619</t>
        </is>
      </c>
      <c r="J2219" t="inlineStr">
        <is>
          <t>ADC</t>
        </is>
      </c>
      <c r="K2219" t="inlineStr">
        <is>
          <t>Auto Dial Disconnected</t>
        </is>
      </c>
      <c r="L2219" t="n">
        <v>3</v>
      </c>
      <c r="M2219" t="inlineStr">
        <is>
          <t>2026-06-23 13:18:30</t>
        </is>
      </c>
      <c r="N2219" t="inlineStr">
        <is>
          <t>system</t>
        </is>
      </c>
      <c r="O2219" t="inlineStr">
        <is>
          <t>2026-06-19 07:10:32</t>
        </is>
      </c>
      <c r="P2219" t="inlineStr">
        <is>
          <t>2026-06-19 07:10:32</t>
        </is>
      </c>
      <c r="Y2219" t="inlineStr">
        <is>
          <t>27797890584</t>
        </is>
      </c>
    </row>
    <row r="2220">
      <c r="A2220" t="inlineStr">
        <is>
          <t>14944796</t>
        </is>
      </c>
      <c r="B2220" t="inlineStr">
        <is>
          <t>0a6c08d8-dc0f-432f-b957-8ef800718d60</t>
        </is>
      </c>
      <c r="D2220" t="inlineStr">
        <is>
          <t>30001087</t>
        </is>
      </c>
      <c r="E2220" t="inlineStr">
        <is>
          <t>ussd_funeral_leads_altitude_20260619</t>
        </is>
      </c>
      <c r="J2220" t="inlineStr">
        <is>
          <t>AA</t>
        </is>
      </c>
      <c r="K2220" t="inlineStr">
        <is>
          <t>Answering Machine Autodial</t>
        </is>
      </c>
      <c r="L2220" t="n">
        <v>3</v>
      </c>
      <c r="M2220" t="inlineStr">
        <is>
          <t>2026-06-23 13:18:26</t>
        </is>
      </c>
      <c r="N2220" t="inlineStr">
        <is>
          <t>system</t>
        </is>
      </c>
      <c r="O2220" t="inlineStr">
        <is>
          <t>2026-06-19 07:10:32</t>
        </is>
      </c>
      <c r="P2220" t="inlineStr">
        <is>
          <t>2026-06-19 07:10:32</t>
        </is>
      </c>
      <c r="Y2220" t="inlineStr">
        <is>
          <t>27761633058</t>
        </is>
      </c>
    </row>
    <row r="2221">
      <c r="A2221" t="inlineStr">
        <is>
          <t>14944797</t>
        </is>
      </c>
      <c r="B2221" t="inlineStr">
        <is>
          <t>298c8829-459e-4504-967d-8841b2e16484</t>
        </is>
      </c>
      <c r="D2221" t="inlineStr">
        <is>
          <t>30001087</t>
        </is>
      </c>
      <c r="E2221" t="inlineStr">
        <is>
          <t>ussd_funeral_leads_altitude_20260619</t>
        </is>
      </c>
      <c r="J2221" t="inlineStr">
        <is>
          <t>AA</t>
        </is>
      </c>
      <c r="K2221" t="inlineStr">
        <is>
          <t>Answering Machine Autodial</t>
        </is>
      </c>
      <c r="L2221" t="n">
        <v>3</v>
      </c>
      <c r="M2221" t="inlineStr">
        <is>
          <t>2026-06-23 13:18:26</t>
        </is>
      </c>
      <c r="N2221" t="inlineStr">
        <is>
          <t>system</t>
        </is>
      </c>
      <c r="O2221" t="inlineStr">
        <is>
          <t>2026-06-19 07:10:32</t>
        </is>
      </c>
      <c r="P2221" t="inlineStr">
        <is>
          <t>2026-06-19 07:10:32</t>
        </is>
      </c>
      <c r="Y2221" t="inlineStr">
        <is>
          <t>27793725065</t>
        </is>
      </c>
    </row>
    <row r="2222">
      <c r="A2222" t="inlineStr">
        <is>
          <t>14944798</t>
        </is>
      </c>
      <c r="B2222" t="inlineStr">
        <is>
          <t>6220a22e-6e43-4d25-831c-4e8dbb18d432</t>
        </is>
      </c>
      <c r="D2222" t="inlineStr">
        <is>
          <t>30001087</t>
        </is>
      </c>
      <c r="E2222" t="inlineStr">
        <is>
          <t>ussd_funeral_leads_altitude_20260619</t>
        </is>
      </c>
      <c r="J2222" t="inlineStr">
        <is>
          <t>AA</t>
        </is>
      </c>
      <c r="K2222" t="inlineStr">
        <is>
          <t>Answering Machine Autodial</t>
        </is>
      </c>
      <c r="L2222" t="n">
        <v>3</v>
      </c>
      <c r="M2222" t="inlineStr">
        <is>
          <t>2026-06-23 13:18:26</t>
        </is>
      </c>
      <c r="N2222" t="inlineStr">
        <is>
          <t>system</t>
        </is>
      </c>
      <c r="O2222" t="inlineStr">
        <is>
          <t>2026-06-19 07:10:32</t>
        </is>
      </c>
      <c r="P2222" t="inlineStr">
        <is>
          <t>2026-06-19 07:10:32</t>
        </is>
      </c>
      <c r="Y2222" t="inlineStr">
        <is>
          <t>27792772064</t>
        </is>
      </c>
    </row>
    <row r="2223">
      <c r="A2223" t="inlineStr">
        <is>
          <t>14944794</t>
        </is>
      </c>
      <c r="B2223" t="inlineStr">
        <is>
          <t>b2a90b0b-2e1d-400f-9347-e1d8993ed1df</t>
        </is>
      </c>
      <c r="D2223" t="inlineStr">
        <is>
          <t>30001087</t>
        </is>
      </c>
      <c r="E2223" t="inlineStr">
        <is>
          <t>ussd_funeral_leads_altitude_20260619</t>
        </is>
      </c>
      <c r="J2223" t="inlineStr">
        <is>
          <t>AA</t>
        </is>
      </c>
      <c r="K2223" t="inlineStr">
        <is>
          <t>Answering Machine Autodial</t>
        </is>
      </c>
      <c r="L2223" t="n">
        <v>3</v>
      </c>
      <c r="M2223" t="inlineStr">
        <is>
          <t>2026-06-23 13:18:25</t>
        </is>
      </c>
      <c r="N2223" t="inlineStr">
        <is>
          <t>system</t>
        </is>
      </c>
      <c r="O2223" t="inlineStr">
        <is>
          <t>2026-06-19 07:10:32</t>
        </is>
      </c>
      <c r="P2223" t="inlineStr">
        <is>
          <t>2026-06-19 07:10:32</t>
        </is>
      </c>
      <c r="Y2223" t="inlineStr">
        <is>
          <t>27725288292</t>
        </is>
      </c>
    </row>
    <row r="2224">
      <c r="A2224" t="inlineStr">
        <is>
          <t>14944795</t>
        </is>
      </c>
      <c r="B2224" t="inlineStr">
        <is>
          <t>864d5162-1ad0-4753-bf65-a3a45dda1d6a</t>
        </is>
      </c>
      <c r="D2224" t="inlineStr">
        <is>
          <t>30001087</t>
        </is>
      </c>
      <c r="E2224" t="inlineStr">
        <is>
          <t>ussd_funeral_leads_altitude_20260619</t>
        </is>
      </c>
      <c r="J2224" t="inlineStr">
        <is>
          <t>AA</t>
        </is>
      </c>
      <c r="K2224" t="inlineStr">
        <is>
          <t>Answering Machine Autodial</t>
        </is>
      </c>
      <c r="L2224" t="n">
        <v>3</v>
      </c>
      <c r="M2224" t="inlineStr">
        <is>
          <t>2026-06-23 13:18:25</t>
        </is>
      </c>
      <c r="N2224" t="inlineStr">
        <is>
          <t>system</t>
        </is>
      </c>
      <c r="O2224" t="inlineStr">
        <is>
          <t>2026-06-19 07:10:32</t>
        </is>
      </c>
      <c r="P2224" t="inlineStr">
        <is>
          <t>2026-06-19 07:10:32</t>
        </is>
      </c>
      <c r="Y2224" t="inlineStr">
        <is>
          <t>27724986716</t>
        </is>
      </c>
    </row>
    <row r="2225">
      <c r="A2225" t="inlineStr">
        <is>
          <t>14947751</t>
        </is>
      </c>
      <c r="B2225" t="inlineStr">
        <is>
          <t>c6d81cda-e4ac-4ced-95fe-c388b73dfffa</t>
        </is>
      </c>
      <c r="D2225" t="inlineStr">
        <is>
          <t>30001087</t>
        </is>
      </c>
      <c r="E2225" t="inlineStr">
        <is>
          <t>ussd_funeral_leads_altitude_20260619</t>
        </is>
      </c>
      <c r="J2225" t="inlineStr">
        <is>
          <t>QAVER</t>
        </is>
      </c>
      <c r="K2225" t="inlineStr">
        <is>
          <t>Sale Made</t>
        </is>
      </c>
      <c r="L2225" t="n">
        <v>3</v>
      </c>
      <c r="M2225" t="inlineStr">
        <is>
          <t>2026-06-23 13:18:25</t>
        </is>
      </c>
      <c r="N2225" t="inlineStr">
        <is>
          <t>Goitsimang Mogwasa</t>
        </is>
      </c>
      <c r="O2225" t="inlineStr">
        <is>
          <t>2026-06-19 07:10:32</t>
        </is>
      </c>
      <c r="P2225" t="inlineStr">
        <is>
          <t>2026-06-19 07:10:32</t>
        </is>
      </c>
      <c r="Y2225" t="inlineStr">
        <is>
          <t>27792723661</t>
        </is>
      </c>
    </row>
    <row r="2226">
      <c r="A2226" t="inlineStr">
        <is>
          <t>14944807</t>
        </is>
      </c>
      <c r="B2226" t="inlineStr">
        <is>
          <t>aaded5f4-8a95-431a-8e33-effe1a64642a</t>
        </is>
      </c>
      <c r="D2226" t="inlineStr">
        <is>
          <t>30001087</t>
        </is>
      </c>
      <c r="E2226" t="inlineStr">
        <is>
          <t>ussd_funeral_leads_altitude_20260619</t>
        </is>
      </c>
      <c r="J2226" t="inlineStr">
        <is>
          <t>AA</t>
        </is>
      </c>
      <c r="K2226" t="inlineStr">
        <is>
          <t>Answering Machine Autodial</t>
        </is>
      </c>
      <c r="L2226" t="n">
        <v>3</v>
      </c>
      <c r="M2226" t="inlineStr">
        <is>
          <t>2026-06-23 13:17:27</t>
        </is>
      </c>
      <c r="N2226" t="inlineStr">
        <is>
          <t>system</t>
        </is>
      </c>
      <c r="O2226" t="inlineStr">
        <is>
          <t>2026-06-19 07:10:32</t>
        </is>
      </c>
      <c r="P2226" t="inlineStr">
        <is>
          <t>2026-06-19 07:10:32</t>
        </is>
      </c>
      <c r="Y2226" t="inlineStr">
        <is>
          <t>27772499467</t>
        </is>
      </c>
    </row>
    <row r="2227">
      <c r="A2227" t="inlineStr">
        <is>
          <t>14944808</t>
        </is>
      </c>
      <c r="B2227" t="inlineStr">
        <is>
          <t>a9dcc784-0a0e-48fa-806a-4676ed8bc376</t>
        </is>
      </c>
      <c r="D2227" t="inlineStr">
        <is>
          <t>30001087</t>
        </is>
      </c>
      <c r="E2227" t="inlineStr">
        <is>
          <t>ussd_funeral_leads_altitude_20260619</t>
        </is>
      </c>
      <c r="J2227" t="inlineStr">
        <is>
          <t>AA</t>
        </is>
      </c>
      <c r="K2227" t="inlineStr">
        <is>
          <t>Answering Machine Autodial</t>
        </is>
      </c>
      <c r="L2227" t="n">
        <v>3</v>
      </c>
      <c r="M2227" t="inlineStr">
        <is>
          <t>2026-06-23 13:17:27</t>
        </is>
      </c>
      <c r="N2227" t="inlineStr">
        <is>
          <t>system</t>
        </is>
      </c>
      <c r="O2227" t="inlineStr">
        <is>
          <t>2026-06-19 07:10:32</t>
        </is>
      </c>
      <c r="P2227" t="inlineStr">
        <is>
          <t>2026-06-19 07:10:32</t>
        </is>
      </c>
      <c r="Y2227" t="inlineStr">
        <is>
          <t>27728511764</t>
        </is>
      </c>
    </row>
    <row r="2228">
      <c r="A2228" t="inlineStr">
        <is>
          <t>14944809</t>
        </is>
      </c>
      <c r="B2228" t="inlineStr">
        <is>
          <t>1147ebbe-10fd-40e8-88c9-516adbbc2ac2</t>
        </is>
      </c>
      <c r="D2228" t="inlineStr">
        <is>
          <t>30001087</t>
        </is>
      </c>
      <c r="E2228" t="inlineStr">
        <is>
          <t>ussd_funeral_leads_altitude_20260619</t>
        </is>
      </c>
      <c r="J2228" t="inlineStr">
        <is>
          <t>ADC</t>
        </is>
      </c>
      <c r="K2228" t="inlineStr">
        <is>
          <t>Auto Dial Disconnected</t>
        </is>
      </c>
      <c r="L2228" t="n">
        <v>3</v>
      </c>
      <c r="M2228" t="inlineStr">
        <is>
          <t>2026-06-23 13:17:27</t>
        </is>
      </c>
      <c r="N2228" t="inlineStr">
        <is>
          <t>system</t>
        </is>
      </c>
      <c r="O2228" t="inlineStr">
        <is>
          <t>2026-06-19 07:10:32</t>
        </is>
      </c>
      <c r="P2228" t="inlineStr">
        <is>
          <t>2026-06-19 07:10:32</t>
        </is>
      </c>
      <c r="Y2228" t="inlineStr">
        <is>
          <t>27608591198</t>
        </is>
      </c>
    </row>
    <row r="2229">
      <c r="A2229" t="inlineStr">
        <is>
          <t>14944811</t>
        </is>
      </c>
      <c r="B2229" t="inlineStr">
        <is>
          <t>a6357151-8cc8-4299-be2d-7120c3ee9784</t>
        </is>
      </c>
      <c r="D2229" t="inlineStr">
        <is>
          <t>30001087</t>
        </is>
      </c>
      <c r="E2229" t="inlineStr">
        <is>
          <t>ussd_funeral_leads_altitude_20260619</t>
        </is>
      </c>
      <c r="J2229" t="inlineStr">
        <is>
          <t>AA</t>
        </is>
      </c>
      <c r="K2229" t="inlineStr">
        <is>
          <t>Answering Machine Autodial</t>
        </is>
      </c>
      <c r="L2229" t="n">
        <v>3</v>
      </c>
      <c r="M2229" t="inlineStr">
        <is>
          <t>2026-06-23 13:17:27</t>
        </is>
      </c>
      <c r="N2229" t="inlineStr">
        <is>
          <t>system</t>
        </is>
      </c>
      <c r="O2229" t="inlineStr">
        <is>
          <t>2026-06-19 07:10:32</t>
        </is>
      </c>
      <c r="P2229" t="inlineStr">
        <is>
          <t>2026-06-19 07:10:32</t>
        </is>
      </c>
      <c r="Y2229" t="inlineStr">
        <is>
          <t>27664350266</t>
        </is>
      </c>
    </row>
    <row r="2230">
      <c r="A2230" t="inlineStr">
        <is>
          <t>14947752</t>
        </is>
      </c>
      <c r="B2230" t="inlineStr">
        <is>
          <t>be20ccf9-ee2c-4d34-995e-ee5717a747fd</t>
        </is>
      </c>
      <c r="D2230" t="inlineStr">
        <is>
          <t>30001087</t>
        </is>
      </c>
      <c r="E2230" t="inlineStr">
        <is>
          <t>ussd_funeral_leads_altitude_20260619</t>
        </is>
      </c>
      <c r="J2230" t="inlineStr">
        <is>
          <t>TDN</t>
        </is>
      </c>
      <c r="K2230" t="inlineStr">
        <is>
          <t>Temporary Disconnected Number</t>
        </is>
      </c>
      <c r="L2230" t="n">
        <v>3</v>
      </c>
      <c r="M2230" t="inlineStr">
        <is>
          <t>2026-06-23 13:17:27</t>
        </is>
      </c>
      <c r="N2230" t="inlineStr">
        <is>
          <t>system</t>
        </is>
      </c>
      <c r="O2230" t="inlineStr">
        <is>
          <t>2026-06-19 07:10:32</t>
        </is>
      </c>
      <c r="P2230" t="inlineStr">
        <is>
          <t>2026-06-19 07:10:32</t>
        </is>
      </c>
      <c r="Y2230" t="inlineStr">
        <is>
          <t>27794254592</t>
        </is>
      </c>
    </row>
    <row r="2231">
      <c r="A2231" t="inlineStr">
        <is>
          <t>14945009</t>
        </is>
      </c>
      <c r="B2231" t="inlineStr">
        <is>
          <t>947d9dd7-5964-4cab-b46f-25d13a81a961</t>
        </is>
      </c>
      <c r="D2231" t="inlineStr">
        <is>
          <t>30001087</t>
        </is>
      </c>
      <c r="E2231" t="inlineStr">
        <is>
          <t>ussd_funeral_leads_altitude_20260619</t>
        </is>
      </c>
      <c r="J2231" t="inlineStr">
        <is>
          <t>AA</t>
        </is>
      </c>
      <c r="K2231" t="inlineStr">
        <is>
          <t>Answering Machine Autodial</t>
        </is>
      </c>
      <c r="L2231" t="n">
        <v>3</v>
      </c>
      <c r="M2231" t="inlineStr">
        <is>
          <t>2026-06-23 13:17:18</t>
        </is>
      </c>
      <c r="N2231" t="inlineStr">
        <is>
          <t>system</t>
        </is>
      </c>
      <c r="O2231" t="inlineStr">
        <is>
          <t>2026-06-19 07:10:32</t>
        </is>
      </c>
      <c r="P2231" t="inlineStr">
        <is>
          <t>2026-06-19 07:10:32</t>
        </is>
      </c>
      <c r="Y2231" t="inlineStr">
        <is>
          <t>27824927941</t>
        </is>
      </c>
    </row>
    <row r="2232">
      <c r="A2232" t="inlineStr">
        <is>
          <t>14945010</t>
        </is>
      </c>
      <c r="B2232" t="inlineStr">
        <is>
          <t>15f25bca-dc4e-4743-b9fd-b2c800f0f4bb</t>
        </is>
      </c>
      <c r="D2232" t="inlineStr">
        <is>
          <t>30001087</t>
        </is>
      </c>
      <c r="E2232" t="inlineStr">
        <is>
          <t>ussd_funeral_leads_altitude_20260619</t>
        </is>
      </c>
      <c r="J2232" t="inlineStr">
        <is>
          <t>AA</t>
        </is>
      </c>
      <c r="K2232" t="inlineStr">
        <is>
          <t>Answering Machine Autodial</t>
        </is>
      </c>
      <c r="L2232" t="n">
        <v>3</v>
      </c>
      <c r="M2232" t="inlineStr">
        <is>
          <t>2026-06-23 13:17:18</t>
        </is>
      </c>
      <c r="N2232" t="inlineStr">
        <is>
          <t>system</t>
        </is>
      </c>
      <c r="O2232" t="inlineStr">
        <is>
          <t>2026-06-19 07:10:32</t>
        </is>
      </c>
      <c r="P2232" t="inlineStr">
        <is>
          <t>2026-06-19 07:10:32</t>
        </is>
      </c>
      <c r="Y2232" t="inlineStr">
        <is>
          <t>27792859034</t>
        </is>
      </c>
    </row>
    <row r="2233">
      <c r="A2233" t="inlineStr">
        <is>
          <t>14945005</t>
        </is>
      </c>
      <c r="B2233" t="inlineStr">
        <is>
          <t>f82937aa-1d88-4c71-b670-42765c4fe7c9</t>
        </is>
      </c>
      <c r="D2233" t="inlineStr">
        <is>
          <t>30001087</t>
        </is>
      </c>
      <c r="E2233" t="inlineStr">
        <is>
          <t>ussd_funeral_leads_altitude_20260619</t>
        </is>
      </c>
      <c r="J2233" t="inlineStr">
        <is>
          <t>ADC</t>
        </is>
      </c>
      <c r="K2233" t="inlineStr">
        <is>
          <t>Auto Dial Disconnected</t>
        </is>
      </c>
      <c r="L2233" t="n">
        <v>3</v>
      </c>
      <c r="M2233" t="inlineStr">
        <is>
          <t>2026-06-23 13:17:17</t>
        </is>
      </c>
      <c r="N2233" t="inlineStr">
        <is>
          <t>system</t>
        </is>
      </c>
      <c r="O2233" t="inlineStr">
        <is>
          <t>2026-06-19 07:10:32</t>
        </is>
      </c>
      <c r="P2233" t="inlineStr">
        <is>
          <t>2026-06-19 07:10:32</t>
        </is>
      </c>
      <c r="Y2233" t="inlineStr">
        <is>
          <t>27797817941</t>
        </is>
      </c>
    </row>
    <row r="2234">
      <c r="A2234" t="inlineStr">
        <is>
          <t>14945006</t>
        </is>
      </c>
      <c r="B2234" t="inlineStr">
        <is>
          <t>09227ac8-accb-4f4d-a746-46767c038b31</t>
        </is>
      </c>
      <c r="D2234" t="inlineStr">
        <is>
          <t>30001087</t>
        </is>
      </c>
      <c r="E2234" t="inlineStr">
        <is>
          <t>ussd_funeral_leads_altitude_20260619</t>
        </is>
      </c>
      <c r="J2234" t="inlineStr">
        <is>
          <t>NA</t>
        </is>
      </c>
      <c r="K2234" t="inlineStr">
        <is>
          <t>No Answer Autodial</t>
        </is>
      </c>
      <c r="L2234" t="n">
        <v>3</v>
      </c>
      <c r="M2234" t="inlineStr">
        <is>
          <t>2026-06-23 13:17:17</t>
        </is>
      </c>
      <c r="N2234" t="inlineStr">
        <is>
          <t>system</t>
        </is>
      </c>
      <c r="O2234" t="inlineStr">
        <is>
          <t>2026-06-19 07:10:32</t>
        </is>
      </c>
      <c r="P2234" t="inlineStr">
        <is>
          <t>2026-06-19 07:10:32</t>
        </is>
      </c>
      <c r="Y2234" t="inlineStr">
        <is>
          <t>27646946215</t>
        </is>
      </c>
    </row>
    <row r="2235">
      <c r="A2235" t="inlineStr">
        <is>
          <t>14945007</t>
        </is>
      </c>
      <c r="B2235" t="inlineStr">
        <is>
          <t>cf1a5995-4da1-4a17-b0d6-e70f110cbdf2</t>
        </is>
      </c>
      <c r="D2235" t="inlineStr">
        <is>
          <t>30001087</t>
        </is>
      </c>
      <c r="E2235" t="inlineStr">
        <is>
          <t>ussd_funeral_leads_altitude_20260619</t>
        </is>
      </c>
      <c r="J2235" t="inlineStr">
        <is>
          <t>CU</t>
        </is>
      </c>
      <c r="K2235" t="inlineStr">
        <is>
          <t>Client Hung Up</t>
        </is>
      </c>
      <c r="L2235" t="n">
        <v>3</v>
      </c>
      <c r="M2235" t="inlineStr">
        <is>
          <t>2026-06-23 13:17:17</t>
        </is>
      </c>
      <c r="N2235" t="inlineStr">
        <is>
          <t>Gontse Monageng</t>
        </is>
      </c>
      <c r="O2235" t="inlineStr">
        <is>
          <t>2026-06-19 07:10:32</t>
        </is>
      </c>
      <c r="P2235" t="inlineStr">
        <is>
          <t>2026-06-19 07:10:32</t>
        </is>
      </c>
      <c r="Y2235" t="inlineStr">
        <is>
          <t>27660245209</t>
        </is>
      </c>
    </row>
    <row r="2236">
      <c r="A2236" t="inlineStr">
        <is>
          <t>14945008</t>
        </is>
      </c>
      <c r="B2236" t="inlineStr">
        <is>
          <t>b533a50f-473a-4eb9-a00c-6f705b552d85</t>
        </is>
      </c>
      <c r="D2236" t="inlineStr">
        <is>
          <t>30001087</t>
        </is>
      </c>
      <c r="E2236" t="inlineStr">
        <is>
          <t>ussd_funeral_leads_altitude_20260619</t>
        </is>
      </c>
      <c r="J2236" t="inlineStr">
        <is>
          <t>AA</t>
        </is>
      </c>
      <c r="K2236" t="inlineStr">
        <is>
          <t>Answering Machine Autodial</t>
        </is>
      </c>
      <c r="L2236" t="n">
        <v>3</v>
      </c>
      <c r="M2236" t="inlineStr">
        <is>
          <t>2026-06-23 13:17:17</t>
        </is>
      </c>
      <c r="N2236" t="inlineStr">
        <is>
          <t>system</t>
        </is>
      </c>
      <c r="O2236" t="inlineStr">
        <is>
          <t>2026-06-19 07:10:32</t>
        </is>
      </c>
      <c r="P2236" t="inlineStr">
        <is>
          <t>2026-06-19 07:10:32</t>
        </is>
      </c>
      <c r="Y2236" t="inlineStr">
        <is>
          <t>27822029090</t>
        </is>
      </c>
    </row>
    <row r="2237">
      <c r="A2237" t="inlineStr">
        <is>
          <t>14945035</t>
        </is>
      </c>
      <c r="B2237" t="inlineStr">
        <is>
          <t>922a873c-cceb-48da-a7ef-dd421ea3125e</t>
        </is>
      </c>
      <c r="D2237" t="inlineStr">
        <is>
          <t>30001087</t>
        </is>
      </c>
      <c r="E2237" t="inlineStr">
        <is>
          <t>ussd_funeral_leads_altitude_20260619</t>
        </is>
      </c>
      <c r="J2237" t="inlineStr">
        <is>
          <t>NA</t>
        </is>
      </c>
      <c r="K2237" t="inlineStr">
        <is>
          <t>No Answer Autodial</t>
        </is>
      </c>
      <c r="L2237" t="n">
        <v>3</v>
      </c>
      <c r="M2237" t="inlineStr">
        <is>
          <t>2026-06-23 13:17:17</t>
        </is>
      </c>
      <c r="N2237" t="inlineStr">
        <is>
          <t>system</t>
        </is>
      </c>
      <c r="O2237" t="inlineStr">
        <is>
          <t>2026-06-19 07:10:32</t>
        </is>
      </c>
      <c r="P2237" t="inlineStr">
        <is>
          <t>2026-06-19 07:10:32</t>
        </is>
      </c>
      <c r="Y2237" t="inlineStr">
        <is>
          <t>27729318562</t>
        </is>
      </c>
    </row>
    <row r="2238">
      <c r="A2238" t="inlineStr">
        <is>
          <t>14945036</t>
        </is>
      </c>
      <c r="B2238" t="inlineStr">
        <is>
          <t>09998018-638d-4544-a836-9e1a429b9a8c</t>
        </is>
      </c>
      <c r="D2238" t="inlineStr">
        <is>
          <t>30001087</t>
        </is>
      </c>
      <c r="E2238" t="inlineStr">
        <is>
          <t>ussd_funeral_leads_altitude_20260619</t>
        </is>
      </c>
      <c r="J2238" t="inlineStr">
        <is>
          <t>AA</t>
        </is>
      </c>
      <c r="K2238" t="inlineStr">
        <is>
          <t>Answering Machine Autodial</t>
        </is>
      </c>
      <c r="L2238" t="n">
        <v>3</v>
      </c>
      <c r="M2238" t="inlineStr">
        <is>
          <t>2026-06-23 13:17:17</t>
        </is>
      </c>
      <c r="N2238" t="inlineStr">
        <is>
          <t>system</t>
        </is>
      </c>
      <c r="O2238" t="inlineStr">
        <is>
          <t>2026-06-19 07:10:32</t>
        </is>
      </c>
      <c r="P2238" t="inlineStr">
        <is>
          <t>2026-06-19 07:10:32</t>
        </is>
      </c>
      <c r="Y2238" t="inlineStr">
        <is>
          <t>27823736919</t>
        </is>
      </c>
    </row>
    <row r="2239">
      <c r="A2239" t="inlineStr">
        <is>
          <t>14945037</t>
        </is>
      </c>
      <c r="B2239" t="inlineStr">
        <is>
          <t>f1f94224-d779-489f-80c3-014e479c7f8f</t>
        </is>
      </c>
      <c r="D2239" t="inlineStr">
        <is>
          <t>30001087</t>
        </is>
      </c>
      <c r="E2239" t="inlineStr">
        <is>
          <t>ussd_funeral_leads_altitude_20260619</t>
        </is>
      </c>
      <c r="J2239" t="inlineStr">
        <is>
          <t>AA</t>
        </is>
      </c>
      <c r="K2239" t="inlineStr">
        <is>
          <t>Answering Machine Autodial</t>
        </is>
      </c>
      <c r="L2239" t="n">
        <v>3</v>
      </c>
      <c r="M2239" t="inlineStr">
        <is>
          <t>2026-06-23 13:17:17</t>
        </is>
      </c>
      <c r="N2239" t="inlineStr">
        <is>
          <t>system</t>
        </is>
      </c>
      <c r="O2239" t="inlineStr">
        <is>
          <t>2026-06-19 07:10:32</t>
        </is>
      </c>
      <c r="P2239" t="inlineStr">
        <is>
          <t>2026-06-19 07:10:32</t>
        </is>
      </c>
      <c r="Y2239" t="inlineStr">
        <is>
          <t>27763910801</t>
        </is>
      </c>
    </row>
    <row r="2240">
      <c r="A2240" t="inlineStr">
        <is>
          <t>14945002</t>
        </is>
      </c>
      <c r="B2240" t="inlineStr">
        <is>
          <t>58166434-02c5-439b-a50a-41b6198ec497</t>
        </is>
      </c>
      <c r="D2240" t="inlineStr">
        <is>
          <t>30001087</t>
        </is>
      </c>
      <c r="E2240" t="inlineStr">
        <is>
          <t>ussd_funeral_leads_altitude_20260619</t>
        </is>
      </c>
      <c r="J2240" t="inlineStr">
        <is>
          <t>ADC</t>
        </is>
      </c>
      <c r="K2240" t="inlineStr">
        <is>
          <t>Auto Dial Disconnected</t>
        </is>
      </c>
      <c r="L2240" t="n">
        <v>3</v>
      </c>
      <c r="M2240" t="inlineStr">
        <is>
          <t>2026-06-23 13:17:15</t>
        </is>
      </c>
      <c r="N2240" t="inlineStr">
        <is>
          <t>system</t>
        </is>
      </c>
      <c r="O2240" t="inlineStr">
        <is>
          <t>2026-06-19 07:10:32</t>
        </is>
      </c>
      <c r="P2240" t="inlineStr">
        <is>
          <t>2026-06-19 07:10:32</t>
        </is>
      </c>
      <c r="Y2240" t="inlineStr">
        <is>
          <t>27820481956</t>
        </is>
      </c>
    </row>
    <row r="2241">
      <c r="A2241" t="inlineStr">
        <is>
          <t>14945003</t>
        </is>
      </c>
      <c r="B2241" t="inlineStr">
        <is>
          <t>9396319e-e575-448b-b0dc-32075f371cd6</t>
        </is>
      </c>
      <c r="D2241" t="inlineStr">
        <is>
          <t>30001087</t>
        </is>
      </c>
      <c r="E2241" t="inlineStr">
        <is>
          <t>ussd_funeral_leads_altitude_20260619</t>
        </is>
      </c>
      <c r="J2241" t="inlineStr">
        <is>
          <t>AA</t>
        </is>
      </c>
      <c r="K2241" t="inlineStr">
        <is>
          <t>Answering Machine Autodial</t>
        </is>
      </c>
      <c r="L2241" t="n">
        <v>3</v>
      </c>
      <c r="M2241" t="inlineStr">
        <is>
          <t>2026-06-23 13:17:15</t>
        </is>
      </c>
      <c r="N2241" t="inlineStr">
        <is>
          <t>system</t>
        </is>
      </c>
      <c r="O2241" t="inlineStr">
        <is>
          <t>2026-06-19 07:10:32</t>
        </is>
      </c>
      <c r="P2241" t="inlineStr">
        <is>
          <t>2026-06-19 07:10:32</t>
        </is>
      </c>
      <c r="Y2241" t="inlineStr">
        <is>
          <t>27772814448</t>
        </is>
      </c>
    </row>
    <row r="2242">
      <c r="A2242" t="inlineStr">
        <is>
          <t>14945004</t>
        </is>
      </c>
      <c r="B2242" t="inlineStr">
        <is>
          <t>14985190-31da-4b4d-8783-9b65cf6922e1</t>
        </is>
      </c>
      <c r="D2242" t="inlineStr">
        <is>
          <t>30001087</t>
        </is>
      </c>
      <c r="E2242" t="inlineStr">
        <is>
          <t>ussd_funeral_leads_altitude_20260619</t>
        </is>
      </c>
      <c r="J2242" t="inlineStr">
        <is>
          <t>AA</t>
        </is>
      </c>
      <c r="K2242" t="inlineStr">
        <is>
          <t>Answering Machine Autodial</t>
        </is>
      </c>
      <c r="L2242" t="n">
        <v>3</v>
      </c>
      <c r="M2242" t="inlineStr">
        <is>
          <t>2026-06-23 13:17:15</t>
        </is>
      </c>
      <c r="N2242" t="inlineStr">
        <is>
          <t>system</t>
        </is>
      </c>
      <c r="O2242" t="inlineStr">
        <is>
          <t>2026-06-19 07:10:32</t>
        </is>
      </c>
      <c r="P2242" t="inlineStr">
        <is>
          <t>2026-06-19 07:10:32</t>
        </is>
      </c>
      <c r="Y2242" t="inlineStr">
        <is>
          <t>27824233821</t>
        </is>
      </c>
    </row>
    <row r="2243">
      <c r="A2243" t="inlineStr">
        <is>
          <t>14944998</t>
        </is>
      </c>
      <c r="B2243" t="inlineStr">
        <is>
          <t>c46abb82-349d-43c7-846a-06aa1aeeb082</t>
        </is>
      </c>
      <c r="D2243" t="inlineStr">
        <is>
          <t>30001087</t>
        </is>
      </c>
      <c r="E2243" t="inlineStr">
        <is>
          <t>ussd_funeral_leads_altitude_20260619</t>
        </is>
      </c>
      <c r="J2243" t="inlineStr">
        <is>
          <t>CU</t>
        </is>
      </c>
      <c r="K2243" t="inlineStr">
        <is>
          <t>Client Hung Up</t>
        </is>
      </c>
      <c r="L2243" t="n">
        <v>3</v>
      </c>
      <c r="M2243" t="inlineStr">
        <is>
          <t>2026-06-23 13:17:14</t>
        </is>
      </c>
      <c r="N2243" t="inlineStr">
        <is>
          <t>Vuyiswa Nxumalo</t>
        </is>
      </c>
      <c r="O2243" t="inlineStr">
        <is>
          <t>2026-06-19 07:10:32</t>
        </is>
      </c>
      <c r="P2243" t="inlineStr">
        <is>
          <t>2026-06-19 07:10:32</t>
        </is>
      </c>
      <c r="Y2243" t="inlineStr">
        <is>
          <t>27722738343</t>
        </is>
      </c>
    </row>
    <row r="2244">
      <c r="A2244" t="inlineStr">
        <is>
          <t>14944999</t>
        </is>
      </c>
      <c r="B2244" t="inlineStr">
        <is>
          <t>320f00eb-c827-4d35-bb3d-557c2102d782</t>
        </is>
      </c>
      <c r="D2244" t="inlineStr">
        <is>
          <t>30001087</t>
        </is>
      </c>
      <c r="E2244" t="inlineStr">
        <is>
          <t>ussd_funeral_leads_altitude_20260619</t>
        </is>
      </c>
      <c r="J2244" t="inlineStr">
        <is>
          <t>AA</t>
        </is>
      </c>
      <c r="K2244" t="inlineStr">
        <is>
          <t>Answering Machine Autodial</t>
        </is>
      </c>
      <c r="L2244" t="n">
        <v>3</v>
      </c>
      <c r="M2244" t="inlineStr">
        <is>
          <t>2026-06-23 13:17:14</t>
        </is>
      </c>
      <c r="N2244" t="inlineStr">
        <is>
          <t>system</t>
        </is>
      </c>
      <c r="O2244" t="inlineStr">
        <is>
          <t>2026-06-19 07:10:32</t>
        </is>
      </c>
      <c r="P2244" t="inlineStr">
        <is>
          <t>2026-06-19 07:10:32</t>
        </is>
      </c>
      <c r="Y2244" t="inlineStr">
        <is>
          <t>27712438746</t>
        </is>
      </c>
    </row>
    <row r="2245">
      <c r="A2245" t="inlineStr">
        <is>
          <t>14945000</t>
        </is>
      </c>
      <c r="B2245" t="inlineStr">
        <is>
          <t>b5a872f7-1c21-4645-8b4e-c952ea50078a</t>
        </is>
      </c>
      <c r="D2245" t="inlineStr">
        <is>
          <t>30001087</t>
        </is>
      </c>
      <c r="E2245" t="inlineStr">
        <is>
          <t>ussd_funeral_leads_altitude_20260619</t>
        </is>
      </c>
      <c r="J2245" t="inlineStr">
        <is>
          <t>AA</t>
        </is>
      </c>
      <c r="K2245" t="inlineStr">
        <is>
          <t>Answering Machine Autodial</t>
        </is>
      </c>
      <c r="L2245" t="n">
        <v>3</v>
      </c>
      <c r="M2245" t="inlineStr">
        <is>
          <t>2026-06-23 13:17:14</t>
        </is>
      </c>
      <c r="N2245" t="inlineStr">
        <is>
          <t>system</t>
        </is>
      </c>
      <c r="O2245" t="inlineStr">
        <is>
          <t>2026-06-19 07:10:32</t>
        </is>
      </c>
      <c r="P2245" t="inlineStr">
        <is>
          <t>2026-06-19 07:10:32</t>
        </is>
      </c>
      <c r="Y2245" t="inlineStr">
        <is>
          <t>27768433266</t>
        </is>
      </c>
    </row>
    <row r="2246">
      <c r="A2246" t="inlineStr">
        <is>
          <t>14945001</t>
        </is>
      </c>
      <c r="B2246" t="inlineStr">
        <is>
          <t>0b3610a3-3ce3-4e8a-a2ba-e8b6a2d2edd5</t>
        </is>
      </c>
      <c r="D2246" t="inlineStr">
        <is>
          <t>30001087</t>
        </is>
      </c>
      <c r="E2246" t="inlineStr">
        <is>
          <t>ussd_funeral_leads_altitude_20260619</t>
        </is>
      </c>
      <c r="J2246" t="inlineStr">
        <is>
          <t>AA</t>
        </is>
      </c>
      <c r="K2246" t="inlineStr">
        <is>
          <t>Answering Machine Autodial</t>
        </is>
      </c>
      <c r="L2246" t="n">
        <v>3</v>
      </c>
      <c r="M2246" t="inlineStr">
        <is>
          <t>2026-06-23 13:17:14</t>
        </is>
      </c>
      <c r="N2246" t="inlineStr">
        <is>
          <t>system</t>
        </is>
      </c>
      <c r="O2246" t="inlineStr">
        <is>
          <t>2026-06-19 07:10:32</t>
        </is>
      </c>
      <c r="P2246" t="inlineStr">
        <is>
          <t>2026-06-19 07:10:32</t>
        </is>
      </c>
      <c r="Y2246" t="inlineStr">
        <is>
          <t>27607841832</t>
        </is>
      </c>
    </row>
    <row r="2247">
      <c r="A2247" t="inlineStr">
        <is>
          <t>14944995</t>
        </is>
      </c>
      <c r="B2247" t="inlineStr">
        <is>
          <t>9b5cb2c5-28d0-4dd5-bd16-ab8d1943ca91</t>
        </is>
      </c>
      <c r="D2247" t="inlineStr">
        <is>
          <t>30001087</t>
        </is>
      </c>
      <c r="E2247" t="inlineStr">
        <is>
          <t>ussd_funeral_leads_altitude_20260619</t>
        </is>
      </c>
      <c r="J2247" t="inlineStr">
        <is>
          <t>CU</t>
        </is>
      </c>
      <c r="K2247" t="inlineStr">
        <is>
          <t>Client Hung Up</t>
        </is>
      </c>
      <c r="L2247" t="n">
        <v>3</v>
      </c>
      <c r="M2247" t="inlineStr">
        <is>
          <t>2026-06-23 13:17:14</t>
        </is>
      </c>
      <c r="N2247" t="inlineStr">
        <is>
          <t>Dimakatso Nkomo</t>
        </is>
      </c>
      <c r="O2247" t="inlineStr">
        <is>
          <t>2026-06-19 07:10:32</t>
        </is>
      </c>
      <c r="P2247" t="inlineStr">
        <is>
          <t>2026-06-19 07:10:32</t>
        </is>
      </c>
      <c r="Y2247" t="inlineStr">
        <is>
          <t>27818162093</t>
        </is>
      </c>
    </row>
    <row r="2248">
      <c r="A2248" t="inlineStr">
        <is>
          <t>14944996</t>
        </is>
      </c>
      <c r="B2248" t="inlineStr">
        <is>
          <t>c73a82d3-4de4-4580-a047-00fc3a68ad28</t>
        </is>
      </c>
      <c r="D2248" t="inlineStr">
        <is>
          <t>30001087</t>
        </is>
      </c>
      <c r="E2248" t="inlineStr">
        <is>
          <t>ussd_funeral_leads_altitude_20260619</t>
        </is>
      </c>
      <c r="J2248" t="inlineStr">
        <is>
          <t>AA</t>
        </is>
      </c>
      <c r="K2248" t="inlineStr">
        <is>
          <t>Answering Machine Autodial</t>
        </is>
      </c>
      <c r="L2248" t="n">
        <v>3</v>
      </c>
      <c r="M2248" t="inlineStr">
        <is>
          <t>2026-06-23 13:17:14</t>
        </is>
      </c>
      <c r="N2248" t="inlineStr">
        <is>
          <t>system</t>
        </is>
      </c>
      <c r="O2248" t="inlineStr">
        <is>
          <t>2026-06-19 07:10:32</t>
        </is>
      </c>
      <c r="P2248" t="inlineStr">
        <is>
          <t>2026-06-19 07:10:32</t>
        </is>
      </c>
      <c r="Y2248" t="inlineStr">
        <is>
          <t>27825325737</t>
        </is>
      </c>
    </row>
    <row r="2249">
      <c r="A2249" t="inlineStr">
        <is>
          <t>14944993</t>
        </is>
      </c>
      <c r="B2249" t="inlineStr">
        <is>
          <t>266390af-43a6-44a0-993d-f7be87126dbb</t>
        </is>
      </c>
      <c r="D2249" t="inlineStr">
        <is>
          <t>30001087</t>
        </is>
      </c>
      <c r="E2249" t="inlineStr">
        <is>
          <t>ussd_funeral_leads_altitude_20260619</t>
        </is>
      </c>
      <c r="J2249" t="inlineStr">
        <is>
          <t>NA</t>
        </is>
      </c>
      <c r="K2249" t="inlineStr">
        <is>
          <t>No Answer Autodial</t>
        </is>
      </c>
      <c r="L2249" t="n">
        <v>3</v>
      </c>
      <c r="M2249" t="inlineStr">
        <is>
          <t>2026-06-23 13:17:10</t>
        </is>
      </c>
      <c r="N2249" t="inlineStr">
        <is>
          <t>system</t>
        </is>
      </c>
      <c r="O2249" t="inlineStr">
        <is>
          <t>2026-06-19 07:10:32</t>
        </is>
      </c>
      <c r="P2249" t="inlineStr">
        <is>
          <t>2026-06-19 07:10:32</t>
        </is>
      </c>
      <c r="Y2249" t="inlineStr">
        <is>
          <t>27792148773</t>
        </is>
      </c>
    </row>
    <row r="2250">
      <c r="A2250" t="inlineStr">
        <is>
          <t>14944994</t>
        </is>
      </c>
      <c r="B2250" t="inlineStr">
        <is>
          <t>9dc6d56a-50f7-4251-a4c3-cf62a12dc648</t>
        </is>
      </c>
      <c r="D2250" t="inlineStr">
        <is>
          <t>30001087</t>
        </is>
      </c>
      <c r="E2250" t="inlineStr">
        <is>
          <t>ussd_funeral_leads_altitude_20260619</t>
        </is>
      </c>
      <c r="J2250" t="inlineStr">
        <is>
          <t>AA</t>
        </is>
      </c>
      <c r="K2250" t="inlineStr">
        <is>
          <t>Answering Machine Autodial</t>
        </is>
      </c>
      <c r="L2250" t="n">
        <v>3</v>
      </c>
      <c r="M2250" t="inlineStr">
        <is>
          <t>2026-06-23 13:17:10</t>
        </is>
      </c>
      <c r="N2250" t="inlineStr">
        <is>
          <t>system</t>
        </is>
      </c>
      <c r="O2250" t="inlineStr">
        <is>
          <t>2026-06-19 07:10:32</t>
        </is>
      </c>
      <c r="P2250" t="inlineStr">
        <is>
          <t>2026-06-19 07:10:32</t>
        </is>
      </c>
      <c r="Y2250" t="inlineStr">
        <is>
          <t>27762836373</t>
        </is>
      </c>
    </row>
    <row r="2251">
      <c r="A2251" t="inlineStr">
        <is>
          <t>14944932</t>
        </is>
      </c>
      <c r="B2251" t="inlineStr">
        <is>
          <t>a0b7c01e-08e7-408a-825c-2bcae37b4f87</t>
        </is>
      </c>
      <c r="D2251" t="inlineStr">
        <is>
          <t>30001087</t>
        </is>
      </c>
      <c r="E2251" t="inlineStr">
        <is>
          <t>ussd_funeral_leads_altitude_20260619</t>
        </is>
      </c>
      <c r="J2251" t="inlineStr">
        <is>
          <t>AE</t>
        </is>
      </c>
      <c r="K2251" t="inlineStr">
        <is>
          <t>Auto Engaged</t>
        </is>
      </c>
      <c r="L2251" t="n">
        <v>3</v>
      </c>
      <c r="M2251" t="inlineStr">
        <is>
          <t>2026-06-23 13:17:07</t>
        </is>
      </c>
      <c r="N2251" t="inlineStr">
        <is>
          <t>system</t>
        </is>
      </c>
      <c r="O2251" t="inlineStr">
        <is>
          <t>2026-06-19 07:10:32</t>
        </is>
      </c>
      <c r="P2251" t="inlineStr">
        <is>
          <t>2026-06-19 07:10:32</t>
        </is>
      </c>
      <c r="Y2251" t="inlineStr">
        <is>
          <t>27824099891</t>
        </is>
      </c>
    </row>
    <row r="2252">
      <c r="A2252" t="inlineStr">
        <is>
          <t>14944992</t>
        </is>
      </c>
      <c r="B2252" t="inlineStr">
        <is>
          <t>0bcddb41-7195-40e6-9b27-274172da70b8</t>
        </is>
      </c>
      <c r="D2252" t="inlineStr">
        <is>
          <t>30001087</t>
        </is>
      </c>
      <c r="E2252" t="inlineStr">
        <is>
          <t>ussd_funeral_leads_altitude_20260619</t>
        </is>
      </c>
      <c r="J2252" t="inlineStr">
        <is>
          <t>TDN</t>
        </is>
      </c>
      <c r="K2252" t="inlineStr">
        <is>
          <t>Temporary Disconnected Number</t>
        </is>
      </c>
      <c r="L2252" t="n">
        <v>3</v>
      </c>
      <c r="M2252" t="inlineStr">
        <is>
          <t>2026-06-23 13:17:07</t>
        </is>
      </c>
      <c r="N2252" t="inlineStr">
        <is>
          <t>system</t>
        </is>
      </c>
      <c r="O2252" t="inlineStr">
        <is>
          <t>2026-06-19 07:10:32</t>
        </is>
      </c>
      <c r="P2252" t="inlineStr">
        <is>
          <t>2026-06-19 07:10:32</t>
        </is>
      </c>
      <c r="Y2252" t="inlineStr">
        <is>
          <t>27726842215</t>
        </is>
      </c>
    </row>
    <row r="2253">
      <c r="A2253" t="inlineStr">
        <is>
          <t>14944929</t>
        </is>
      </c>
      <c r="B2253" t="inlineStr">
        <is>
          <t>8ce5c4da-dea3-4b88-acd3-9452db304582</t>
        </is>
      </c>
      <c r="D2253" t="inlineStr">
        <is>
          <t>30001087</t>
        </is>
      </c>
      <c r="E2253" t="inlineStr">
        <is>
          <t>ussd_funeral_leads_altitude_20260619</t>
        </is>
      </c>
      <c r="J2253" t="inlineStr">
        <is>
          <t>AA</t>
        </is>
      </c>
      <c r="K2253" t="inlineStr">
        <is>
          <t>Answering Machine Autodial</t>
        </is>
      </c>
      <c r="L2253" t="n">
        <v>3</v>
      </c>
      <c r="M2253" t="inlineStr">
        <is>
          <t>2026-06-23 13:17:04</t>
        </is>
      </c>
      <c r="N2253" t="inlineStr">
        <is>
          <t>system</t>
        </is>
      </c>
      <c r="O2253" t="inlineStr">
        <is>
          <t>2026-06-19 07:10:32</t>
        </is>
      </c>
      <c r="P2253" t="inlineStr">
        <is>
          <t>2026-06-19 07:10:32</t>
        </is>
      </c>
      <c r="Y2253" t="inlineStr">
        <is>
          <t>27721871949</t>
        </is>
      </c>
    </row>
    <row r="2254">
      <c r="A2254" t="inlineStr">
        <is>
          <t>14944930</t>
        </is>
      </c>
      <c r="B2254" t="inlineStr">
        <is>
          <t>6c41ee6d-2b86-4ee5-bd90-eccd33b05a99</t>
        </is>
      </c>
      <c r="D2254" t="inlineStr">
        <is>
          <t>30001087</t>
        </is>
      </c>
      <c r="E2254" t="inlineStr">
        <is>
          <t>ussd_funeral_leads_altitude_20260619</t>
        </is>
      </c>
      <c r="J2254" t="inlineStr">
        <is>
          <t>AA</t>
        </is>
      </c>
      <c r="K2254" t="inlineStr">
        <is>
          <t>Answering Machine Autodial</t>
        </is>
      </c>
      <c r="L2254" t="n">
        <v>3</v>
      </c>
      <c r="M2254" t="inlineStr">
        <is>
          <t>2026-06-23 13:17:04</t>
        </is>
      </c>
      <c r="N2254" t="inlineStr">
        <is>
          <t>system</t>
        </is>
      </c>
      <c r="O2254" t="inlineStr">
        <is>
          <t>2026-06-19 07:10:32</t>
        </is>
      </c>
      <c r="P2254" t="inlineStr">
        <is>
          <t>2026-06-19 07:10:32</t>
        </is>
      </c>
      <c r="Y2254" t="inlineStr">
        <is>
          <t>27726145299</t>
        </is>
      </c>
    </row>
    <row r="2255">
      <c r="A2255" t="inlineStr">
        <is>
          <t>14944931</t>
        </is>
      </c>
      <c r="B2255" t="inlineStr">
        <is>
          <t>00d1ce89-ce36-4f73-a363-e6f4d703ad34</t>
        </is>
      </c>
      <c r="D2255" t="inlineStr">
        <is>
          <t>30001087</t>
        </is>
      </c>
      <c r="E2255" t="inlineStr">
        <is>
          <t>ussd_funeral_leads_altitude_20260619</t>
        </is>
      </c>
      <c r="J2255" t="inlineStr">
        <is>
          <t>AA</t>
        </is>
      </c>
      <c r="K2255" t="inlineStr">
        <is>
          <t>Answering Machine Autodial</t>
        </is>
      </c>
      <c r="L2255" t="n">
        <v>3</v>
      </c>
      <c r="M2255" t="inlineStr">
        <is>
          <t>2026-06-23 13:17:04</t>
        </is>
      </c>
      <c r="N2255" t="inlineStr">
        <is>
          <t>system</t>
        </is>
      </c>
      <c r="O2255" t="inlineStr">
        <is>
          <t>2026-06-19 07:10:32</t>
        </is>
      </c>
      <c r="P2255" t="inlineStr">
        <is>
          <t>2026-06-19 07:10:32</t>
        </is>
      </c>
      <c r="Y2255" t="inlineStr">
        <is>
          <t>27823985168</t>
        </is>
      </c>
    </row>
    <row r="2256">
      <c r="A2256" t="inlineStr">
        <is>
          <t>14944924</t>
        </is>
      </c>
      <c r="B2256" t="inlineStr">
        <is>
          <t>024385e5-dea5-41b2-a2fa-b59fe41b7db2</t>
        </is>
      </c>
      <c r="D2256" t="inlineStr">
        <is>
          <t>30001087</t>
        </is>
      </c>
      <c r="E2256" t="inlineStr">
        <is>
          <t>ussd_funeral_leads_altitude_20260619</t>
        </is>
      </c>
      <c r="J2256" t="inlineStr">
        <is>
          <t>AA</t>
        </is>
      </c>
      <c r="K2256" t="inlineStr">
        <is>
          <t>Answering Machine Autodial</t>
        </is>
      </c>
      <c r="L2256" t="n">
        <v>3</v>
      </c>
      <c r="M2256" t="inlineStr">
        <is>
          <t>2026-06-23 13:17:03</t>
        </is>
      </c>
      <c r="N2256" t="inlineStr">
        <is>
          <t>system</t>
        </is>
      </c>
      <c r="O2256" t="inlineStr">
        <is>
          <t>2026-06-19 07:10:32</t>
        </is>
      </c>
      <c r="P2256" t="inlineStr">
        <is>
          <t>2026-06-19 07:10:32</t>
        </is>
      </c>
      <c r="Y2256" t="inlineStr">
        <is>
          <t>27768679198</t>
        </is>
      </c>
    </row>
    <row r="2257">
      <c r="A2257" t="inlineStr">
        <is>
          <t>14944925</t>
        </is>
      </c>
      <c r="B2257" t="inlineStr">
        <is>
          <t>b65fa179-0638-402f-9348-da82a3b6bec4</t>
        </is>
      </c>
      <c r="D2257" t="inlineStr">
        <is>
          <t>30001087</t>
        </is>
      </c>
      <c r="E2257" t="inlineStr">
        <is>
          <t>ussd_funeral_leads_altitude_20260619</t>
        </is>
      </c>
      <c r="J2257" t="inlineStr">
        <is>
          <t>CU</t>
        </is>
      </c>
      <c r="K2257" t="inlineStr">
        <is>
          <t>Client Hung Up</t>
        </is>
      </c>
      <c r="L2257" t="n">
        <v>3</v>
      </c>
      <c r="M2257" t="inlineStr">
        <is>
          <t>2026-06-23 13:17:03</t>
        </is>
      </c>
      <c r="N2257" t="inlineStr">
        <is>
          <t>Lebohang Mabotja</t>
        </is>
      </c>
      <c r="O2257" t="inlineStr">
        <is>
          <t>2026-06-19 07:10:32</t>
        </is>
      </c>
      <c r="P2257" t="inlineStr">
        <is>
          <t>2026-06-19 07:10:32</t>
        </is>
      </c>
      <c r="Y2257" t="inlineStr">
        <is>
          <t>27711923866</t>
        </is>
      </c>
    </row>
    <row r="2258">
      <c r="A2258" t="inlineStr">
        <is>
          <t>14944926</t>
        </is>
      </c>
      <c r="B2258" t="inlineStr">
        <is>
          <t>377a7ad3-657a-491c-99e5-ecf48798bc6b</t>
        </is>
      </c>
      <c r="D2258" t="inlineStr">
        <is>
          <t>30001087</t>
        </is>
      </c>
      <c r="E2258" t="inlineStr">
        <is>
          <t>ussd_funeral_leads_altitude_20260619</t>
        </is>
      </c>
      <c r="J2258" t="inlineStr">
        <is>
          <t>AA</t>
        </is>
      </c>
      <c r="K2258" t="inlineStr">
        <is>
          <t>Answering Machine Autodial</t>
        </is>
      </c>
      <c r="L2258" t="n">
        <v>3</v>
      </c>
      <c r="M2258" t="inlineStr">
        <is>
          <t>2026-06-23 13:17:03</t>
        </is>
      </c>
      <c r="N2258" t="inlineStr">
        <is>
          <t>system</t>
        </is>
      </c>
      <c r="O2258" t="inlineStr">
        <is>
          <t>2026-06-19 07:10:32</t>
        </is>
      </c>
      <c r="P2258" t="inlineStr">
        <is>
          <t>2026-06-19 07:10:32</t>
        </is>
      </c>
      <c r="Y2258" t="inlineStr">
        <is>
          <t>27711990911</t>
        </is>
      </c>
    </row>
    <row r="2259">
      <c r="A2259" t="inlineStr">
        <is>
          <t>14944927</t>
        </is>
      </c>
      <c r="B2259" t="inlineStr">
        <is>
          <t>2d8cdeae-0487-425a-870d-f4ddbd2322dd</t>
        </is>
      </c>
      <c r="D2259" t="inlineStr">
        <is>
          <t>30001087</t>
        </is>
      </c>
      <c r="E2259" t="inlineStr">
        <is>
          <t>ussd_funeral_leads_altitude_20260619</t>
        </is>
      </c>
      <c r="J2259" t="inlineStr">
        <is>
          <t>AA</t>
        </is>
      </c>
      <c r="K2259" t="inlineStr">
        <is>
          <t>Answering Machine Autodial</t>
        </is>
      </c>
      <c r="L2259" t="n">
        <v>3</v>
      </c>
      <c r="M2259" t="inlineStr">
        <is>
          <t>2026-06-23 13:17:03</t>
        </is>
      </c>
      <c r="N2259" t="inlineStr">
        <is>
          <t>system</t>
        </is>
      </c>
      <c r="O2259" t="inlineStr">
        <is>
          <t>2026-06-19 07:10:32</t>
        </is>
      </c>
      <c r="P2259" t="inlineStr">
        <is>
          <t>2026-06-19 07:10:32</t>
        </is>
      </c>
      <c r="Y2259" t="inlineStr">
        <is>
          <t>27767973222</t>
        </is>
      </c>
    </row>
    <row r="2260">
      <c r="A2260" t="inlineStr">
        <is>
          <t>14944928</t>
        </is>
      </c>
      <c r="B2260" t="inlineStr">
        <is>
          <t>49d5d593-73b9-4865-b9d0-10b8345aae50</t>
        </is>
      </c>
      <c r="D2260" t="inlineStr">
        <is>
          <t>30001087</t>
        </is>
      </c>
      <c r="E2260" t="inlineStr">
        <is>
          <t>ussd_funeral_leads_altitude_20260619</t>
        </is>
      </c>
      <c r="J2260" t="inlineStr">
        <is>
          <t>AA</t>
        </is>
      </c>
      <c r="K2260" t="inlineStr">
        <is>
          <t>Answering Machine Autodial</t>
        </is>
      </c>
      <c r="L2260" t="n">
        <v>3</v>
      </c>
      <c r="M2260" t="inlineStr">
        <is>
          <t>2026-06-23 13:17:03</t>
        </is>
      </c>
      <c r="N2260" t="inlineStr">
        <is>
          <t>system</t>
        </is>
      </c>
      <c r="O2260" t="inlineStr">
        <is>
          <t>2026-06-19 07:10:32</t>
        </is>
      </c>
      <c r="P2260" t="inlineStr">
        <is>
          <t>2026-06-19 07:10:32</t>
        </is>
      </c>
      <c r="Y2260" t="inlineStr">
        <is>
          <t>27608590800</t>
        </is>
      </c>
    </row>
    <row r="2261">
      <c r="A2261" t="inlineStr">
        <is>
          <t>14944912</t>
        </is>
      </c>
      <c r="B2261" t="inlineStr">
        <is>
          <t>eb654f2f-68aa-490c-a1d2-862eb8b9cc8c</t>
        </is>
      </c>
      <c r="D2261" t="inlineStr">
        <is>
          <t>30001087</t>
        </is>
      </c>
      <c r="E2261" t="inlineStr">
        <is>
          <t>ussd_funeral_leads_altitude_20260619</t>
        </is>
      </c>
      <c r="J2261" t="inlineStr">
        <is>
          <t>NA</t>
        </is>
      </c>
      <c r="K2261" t="inlineStr">
        <is>
          <t>No Answer Autodial</t>
        </is>
      </c>
      <c r="L2261" t="n">
        <v>3</v>
      </c>
      <c r="M2261" t="inlineStr">
        <is>
          <t>2026-06-23 13:16:58</t>
        </is>
      </c>
      <c r="N2261" t="inlineStr">
        <is>
          <t>system</t>
        </is>
      </c>
      <c r="O2261" t="inlineStr">
        <is>
          <t>2026-06-19 07:10:32</t>
        </is>
      </c>
      <c r="P2261" t="inlineStr">
        <is>
          <t>2026-06-19 07:10:32</t>
        </is>
      </c>
      <c r="Y2261" t="inlineStr">
        <is>
          <t>27829648727</t>
        </is>
      </c>
    </row>
    <row r="2262">
      <c r="A2262" t="inlineStr">
        <is>
          <t>14944913</t>
        </is>
      </c>
      <c r="B2262" t="inlineStr">
        <is>
          <t>ee0d855d-4791-4d90-b1ac-66ca7daf609e</t>
        </is>
      </c>
      <c r="D2262" t="inlineStr">
        <is>
          <t>30001087</t>
        </is>
      </c>
      <c r="E2262" t="inlineStr">
        <is>
          <t>ussd_funeral_leads_altitude_20260619</t>
        </is>
      </c>
      <c r="J2262" t="inlineStr">
        <is>
          <t>NA</t>
        </is>
      </c>
      <c r="K2262" t="inlineStr">
        <is>
          <t>No Answer Autodial</t>
        </is>
      </c>
      <c r="L2262" t="n">
        <v>3</v>
      </c>
      <c r="M2262" t="inlineStr">
        <is>
          <t>2026-06-23 13:16:58</t>
        </is>
      </c>
      <c r="N2262" t="inlineStr">
        <is>
          <t>system</t>
        </is>
      </c>
      <c r="O2262" t="inlineStr">
        <is>
          <t>2026-06-19 07:10:32</t>
        </is>
      </c>
      <c r="P2262" t="inlineStr">
        <is>
          <t>2026-06-19 07:10:32</t>
        </is>
      </c>
      <c r="Y2262" t="inlineStr">
        <is>
          <t>27713280719</t>
        </is>
      </c>
    </row>
    <row r="2263">
      <c r="A2263" t="inlineStr">
        <is>
          <t>14944915</t>
        </is>
      </c>
      <c r="B2263" t="inlineStr">
        <is>
          <t>feff42a5-b885-412c-bb0c-95cf70ebc4a4</t>
        </is>
      </c>
      <c r="D2263" t="inlineStr">
        <is>
          <t>30001087</t>
        </is>
      </c>
      <c r="E2263" t="inlineStr">
        <is>
          <t>ussd_funeral_leads_altitude_20260619</t>
        </is>
      </c>
      <c r="J2263" t="inlineStr">
        <is>
          <t>AA</t>
        </is>
      </c>
      <c r="K2263" t="inlineStr">
        <is>
          <t>Answering Machine Autodial</t>
        </is>
      </c>
      <c r="L2263" t="n">
        <v>3</v>
      </c>
      <c r="M2263" t="inlineStr">
        <is>
          <t>2026-06-23 13:16:58</t>
        </is>
      </c>
      <c r="N2263" t="inlineStr">
        <is>
          <t>system</t>
        </is>
      </c>
      <c r="O2263" t="inlineStr">
        <is>
          <t>2026-06-19 07:10:32</t>
        </is>
      </c>
      <c r="P2263" t="inlineStr">
        <is>
          <t>2026-06-19 07:10:32</t>
        </is>
      </c>
      <c r="Y2263" t="inlineStr">
        <is>
          <t>27715673574</t>
        </is>
      </c>
    </row>
    <row r="2264">
      <c r="A2264" t="inlineStr">
        <is>
          <t>14944916</t>
        </is>
      </c>
      <c r="B2264" t="inlineStr">
        <is>
          <t>10138a26-2082-44b4-ab2c-350cc1a68b84</t>
        </is>
      </c>
      <c r="D2264" t="inlineStr">
        <is>
          <t>30001087</t>
        </is>
      </c>
      <c r="E2264" t="inlineStr">
        <is>
          <t>ussd_funeral_leads_altitude_20260619</t>
        </is>
      </c>
      <c r="J2264" t="inlineStr">
        <is>
          <t>AA</t>
        </is>
      </c>
      <c r="K2264" t="inlineStr">
        <is>
          <t>Answering Machine Autodial</t>
        </is>
      </c>
      <c r="L2264" t="n">
        <v>3</v>
      </c>
      <c r="M2264" t="inlineStr">
        <is>
          <t>2026-06-23 13:16:58</t>
        </is>
      </c>
      <c r="N2264" t="inlineStr">
        <is>
          <t>system</t>
        </is>
      </c>
      <c r="O2264" t="inlineStr">
        <is>
          <t>2026-06-19 07:10:32</t>
        </is>
      </c>
      <c r="P2264" t="inlineStr">
        <is>
          <t>2026-06-19 07:10:32</t>
        </is>
      </c>
      <c r="Y2264" t="inlineStr">
        <is>
          <t>27764598158</t>
        </is>
      </c>
    </row>
    <row r="2265">
      <c r="A2265" t="inlineStr">
        <is>
          <t>14944922</t>
        </is>
      </c>
      <c r="B2265" t="inlineStr">
        <is>
          <t>84839ae9-8a09-4462-abf0-ba458f8b41c2</t>
        </is>
      </c>
      <c r="D2265" t="inlineStr">
        <is>
          <t>30001087</t>
        </is>
      </c>
      <c r="E2265" t="inlineStr">
        <is>
          <t>ussd_funeral_leads_altitude_20260619</t>
        </is>
      </c>
      <c r="J2265" t="inlineStr">
        <is>
          <t>CU</t>
        </is>
      </c>
      <c r="K2265" t="inlineStr">
        <is>
          <t>Client Hung Up</t>
        </is>
      </c>
      <c r="L2265" t="n">
        <v>3</v>
      </c>
      <c r="M2265" t="inlineStr">
        <is>
          <t>2026-06-23 13:16:58</t>
        </is>
      </c>
      <c r="N2265" t="inlineStr">
        <is>
          <t>Gontse Monageng</t>
        </is>
      </c>
      <c r="O2265" t="inlineStr">
        <is>
          <t>2026-06-19 07:10:32</t>
        </is>
      </c>
      <c r="P2265" t="inlineStr">
        <is>
          <t>2026-06-19 07:10:32</t>
        </is>
      </c>
      <c r="Y2265" t="inlineStr">
        <is>
          <t>27822657966</t>
        </is>
      </c>
    </row>
    <row r="2266">
      <c r="A2266" t="inlineStr">
        <is>
          <t>14944923</t>
        </is>
      </c>
      <c r="B2266" t="inlineStr">
        <is>
          <t>4a320de8-b818-44a4-932b-4811cb8bf0e1</t>
        </is>
      </c>
      <c r="D2266" t="inlineStr">
        <is>
          <t>30001087</t>
        </is>
      </c>
      <c r="E2266" t="inlineStr">
        <is>
          <t>ussd_funeral_leads_altitude_20260619</t>
        </is>
      </c>
      <c r="J2266" t="inlineStr">
        <is>
          <t>ADC</t>
        </is>
      </c>
      <c r="K2266" t="inlineStr">
        <is>
          <t>Auto Dial Disconnected</t>
        </is>
      </c>
      <c r="L2266" t="n">
        <v>3</v>
      </c>
      <c r="M2266" t="inlineStr">
        <is>
          <t>2026-06-23 13:16:58</t>
        </is>
      </c>
      <c r="N2266" t="inlineStr">
        <is>
          <t>system</t>
        </is>
      </c>
      <c r="O2266" t="inlineStr">
        <is>
          <t>2026-06-19 07:10:32</t>
        </is>
      </c>
      <c r="P2266" t="inlineStr">
        <is>
          <t>2026-06-19 07:10:32</t>
        </is>
      </c>
      <c r="Y2266" t="inlineStr">
        <is>
          <t>27725652835</t>
        </is>
      </c>
    </row>
    <row r="2267">
      <c r="A2267" t="inlineStr">
        <is>
          <t>14944908</t>
        </is>
      </c>
      <c r="B2267" t="inlineStr">
        <is>
          <t>e115bbba-5a0a-4b72-9938-5f7c2e04f333</t>
        </is>
      </c>
      <c r="D2267" t="inlineStr">
        <is>
          <t>30001087</t>
        </is>
      </c>
      <c r="E2267" t="inlineStr">
        <is>
          <t>ussd_funeral_leads_altitude_20260619</t>
        </is>
      </c>
      <c r="J2267" t="inlineStr">
        <is>
          <t>AA</t>
        </is>
      </c>
      <c r="K2267" t="inlineStr">
        <is>
          <t>Answering Machine Autodial</t>
        </is>
      </c>
      <c r="L2267" t="n">
        <v>3</v>
      </c>
      <c r="M2267" t="inlineStr">
        <is>
          <t>2026-06-23 13:16:57</t>
        </is>
      </c>
      <c r="N2267" t="inlineStr">
        <is>
          <t>system</t>
        </is>
      </c>
      <c r="O2267" t="inlineStr">
        <is>
          <t>2026-06-19 07:10:32</t>
        </is>
      </c>
      <c r="P2267" t="inlineStr">
        <is>
          <t>2026-06-19 07:10:32</t>
        </is>
      </c>
      <c r="Y2267" t="inlineStr">
        <is>
          <t>27794901059</t>
        </is>
      </c>
    </row>
    <row r="2268">
      <c r="A2268" t="inlineStr">
        <is>
          <t>14944909</t>
        </is>
      </c>
      <c r="B2268" t="inlineStr">
        <is>
          <t>720899fa-dc66-4f42-b9a4-bc9bbcf4d8ed</t>
        </is>
      </c>
      <c r="D2268" t="inlineStr">
        <is>
          <t>30001087</t>
        </is>
      </c>
      <c r="E2268" t="inlineStr">
        <is>
          <t>ussd_funeral_leads_altitude_20260619</t>
        </is>
      </c>
      <c r="J2268" t="inlineStr">
        <is>
          <t>AA</t>
        </is>
      </c>
      <c r="K2268" t="inlineStr">
        <is>
          <t>Answering Machine Autodial</t>
        </is>
      </c>
      <c r="L2268" t="n">
        <v>3</v>
      </c>
      <c r="M2268" t="inlineStr">
        <is>
          <t>2026-06-23 13:16:57</t>
        </is>
      </c>
      <c r="N2268" t="inlineStr">
        <is>
          <t>system</t>
        </is>
      </c>
      <c r="O2268" t="inlineStr">
        <is>
          <t>2026-06-19 07:10:32</t>
        </is>
      </c>
      <c r="P2268" t="inlineStr">
        <is>
          <t>2026-06-19 07:10:32</t>
        </is>
      </c>
      <c r="Y2268" t="inlineStr">
        <is>
          <t>27660497013</t>
        </is>
      </c>
    </row>
    <row r="2269">
      <c r="A2269" t="inlineStr">
        <is>
          <t>14944910</t>
        </is>
      </c>
      <c r="B2269" t="inlineStr">
        <is>
          <t>5d537574-94ad-4786-83ca-fbe7c58cb1bb</t>
        </is>
      </c>
      <c r="D2269" t="inlineStr">
        <is>
          <t>30001087</t>
        </is>
      </c>
      <c r="E2269" t="inlineStr">
        <is>
          <t>ussd_funeral_leads_altitude_20260619</t>
        </is>
      </c>
      <c r="J2269" t="inlineStr">
        <is>
          <t>TDN</t>
        </is>
      </c>
      <c r="K2269" t="inlineStr">
        <is>
          <t>Temporary Disconnected Number</t>
        </is>
      </c>
      <c r="L2269" t="n">
        <v>3</v>
      </c>
      <c r="M2269" t="inlineStr">
        <is>
          <t>2026-06-23 13:16:57</t>
        </is>
      </c>
      <c r="N2269" t="inlineStr">
        <is>
          <t>system</t>
        </is>
      </c>
      <c r="O2269" t="inlineStr">
        <is>
          <t>2026-06-19 07:10:32</t>
        </is>
      </c>
      <c r="P2269" t="inlineStr">
        <is>
          <t>2026-06-19 07:10:32</t>
        </is>
      </c>
      <c r="Y2269" t="inlineStr">
        <is>
          <t>27794372225</t>
        </is>
      </c>
    </row>
    <row r="2270">
      <c r="A2270" t="inlineStr">
        <is>
          <t>14944911</t>
        </is>
      </c>
      <c r="B2270" t="inlineStr">
        <is>
          <t>baba8bc8-4587-420d-9ed3-78e59b73a97a</t>
        </is>
      </c>
      <c r="D2270" t="inlineStr">
        <is>
          <t>30001087</t>
        </is>
      </c>
      <c r="E2270" t="inlineStr">
        <is>
          <t>ussd_funeral_leads_altitude_20260619</t>
        </is>
      </c>
      <c r="J2270" t="inlineStr">
        <is>
          <t>NA</t>
        </is>
      </c>
      <c r="K2270" t="inlineStr">
        <is>
          <t>No Answer Autodial</t>
        </is>
      </c>
      <c r="L2270" t="n">
        <v>3</v>
      </c>
      <c r="M2270" t="inlineStr">
        <is>
          <t>2026-06-23 13:16:57</t>
        </is>
      </c>
      <c r="N2270" t="inlineStr">
        <is>
          <t>system</t>
        </is>
      </c>
      <c r="O2270" t="inlineStr">
        <is>
          <t>2026-06-19 07:10:32</t>
        </is>
      </c>
      <c r="P2270" t="inlineStr">
        <is>
          <t>2026-06-19 07:10:32</t>
        </is>
      </c>
      <c r="Y2270" t="inlineStr">
        <is>
          <t>27721034940</t>
        </is>
      </c>
    </row>
    <row r="2271">
      <c r="A2271" t="inlineStr">
        <is>
          <t>14944917</t>
        </is>
      </c>
      <c r="B2271" t="inlineStr">
        <is>
          <t>1ad38f21-6da1-4046-b200-c52349c71d28</t>
        </is>
      </c>
      <c r="D2271" t="inlineStr">
        <is>
          <t>30001087</t>
        </is>
      </c>
      <c r="E2271" t="inlineStr">
        <is>
          <t>ussd_funeral_leads_altitude_20260619</t>
        </is>
      </c>
      <c r="J2271" t="inlineStr">
        <is>
          <t>AA</t>
        </is>
      </c>
      <c r="K2271" t="inlineStr">
        <is>
          <t>Answering Machine Autodial</t>
        </is>
      </c>
      <c r="L2271" t="n">
        <v>3</v>
      </c>
      <c r="M2271" t="inlineStr">
        <is>
          <t>2026-06-23 13:16:57</t>
        </is>
      </c>
      <c r="N2271" t="inlineStr">
        <is>
          <t>system</t>
        </is>
      </c>
      <c r="O2271" t="inlineStr">
        <is>
          <t>2026-06-19 07:10:32</t>
        </is>
      </c>
      <c r="P2271" t="inlineStr">
        <is>
          <t>2026-06-19 07:10:32</t>
        </is>
      </c>
      <c r="Y2271" t="inlineStr">
        <is>
          <t>27725607982</t>
        </is>
      </c>
    </row>
    <row r="2272">
      <c r="A2272" t="inlineStr">
        <is>
          <t>14944918</t>
        </is>
      </c>
      <c r="B2272" t="inlineStr">
        <is>
          <t>33b2966c-49bc-4f30-b9b9-a385660a7104</t>
        </is>
      </c>
      <c r="D2272" t="inlineStr">
        <is>
          <t>30001087</t>
        </is>
      </c>
      <c r="E2272" t="inlineStr">
        <is>
          <t>ussd_funeral_leads_altitude_20260619</t>
        </is>
      </c>
      <c r="J2272" t="inlineStr">
        <is>
          <t>ADC</t>
        </is>
      </c>
      <c r="K2272" t="inlineStr">
        <is>
          <t>Auto Dial Disconnected</t>
        </is>
      </c>
      <c r="L2272" t="n">
        <v>3</v>
      </c>
      <c r="M2272" t="inlineStr">
        <is>
          <t>2026-06-23 13:16:57</t>
        </is>
      </c>
      <c r="N2272" t="inlineStr">
        <is>
          <t>system</t>
        </is>
      </c>
      <c r="O2272" t="inlineStr">
        <is>
          <t>2026-06-19 07:10:32</t>
        </is>
      </c>
      <c r="P2272" t="inlineStr">
        <is>
          <t>2026-06-19 07:10:32</t>
        </is>
      </c>
      <c r="Y2272" t="inlineStr">
        <is>
          <t>27724530414</t>
        </is>
      </c>
    </row>
    <row r="2273">
      <c r="A2273" t="inlineStr">
        <is>
          <t>14944920</t>
        </is>
      </c>
      <c r="B2273" t="inlineStr">
        <is>
          <t>755f87b4-0b13-4c27-adaa-84db75779b53</t>
        </is>
      </c>
      <c r="D2273" t="inlineStr">
        <is>
          <t>30001087</t>
        </is>
      </c>
      <c r="E2273" t="inlineStr">
        <is>
          <t>ussd_funeral_leads_altitude_20260619</t>
        </is>
      </c>
      <c r="J2273" t="inlineStr">
        <is>
          <t>AA</t>
        </is>
      </c>
      <c r="K2273" t="inlineStr">
        <is>
          <t>Answering Machine Autodial</t>
        </is>
      </c>
      <c r="L2273" t="n">
        <v>3</v>
      </c>
      <c r="M2273" t="inlineStr">
        <is>
          <t>2026-06-23 13:16:57</t>
        </is>
      </c>
      <c r="N2273" t="inlineStr">
        <is>
          <t>system</t>
        </is>
      </c>
      <c r="O2273" t="inlineStr">
        <is>
          <t>2026-06-19 07:10:32</t>
        </is>
      </c>
      <c r="P2273" t="inlineStr">
        <is>
          <t>2026-06-19 07:10:32</t>
        </is>
      </c>
      <c r="Y2273" t="inlineStr">
        <is>
          <t>27769557671</t>
        </is>
      </c>
    </row>
    <row r="2274">
      <c r="A2274" t="inlineStr">
        <is>
          <t>14944921</t>
        </is>
      </c>
      <c r="B2274" t="inlineStr">
        <is>
          <t>55e58a42-2c81-4176-8ca4-a8a0299d2ecf</t>
        </is>
      </c>
      <c r="D2274" t="inlineStr">
        <is>
          <t>30001087</t>
        </is>
      </c>
      <c r="E2274" t="inlineStr">
        <is>
          <t>ussd_funeral_leads_altitude_20260619</t>
        </is>
      </c>
      <c r="J2274" t="inlineStr">
        <is>
          <t>AA</t>
        </is>
      </c>
      <c r="K2274" t="inlineStr">
        <is>
          <t>Answering Machine Autodial</t>
        </is>
      </c>
      <c r="L2274" t="n">
        <v>3</v>
      </c>
      <c r="M2274" t="inlineStr">
        <is>
          <t>2026-06-23 13:16:57</t>
        </is>
      </c>
      <c r="N2274" t="inlineStr">
        <is>
          <t>system</t>
        </is>
      </c>
      <c r="O2274" t="inlineStr">
        <is>
          <t>2026-06-19 07:10:32</t>
        </is>
      </c>
      <c r="P2274" t="inlineStr">
        <is>
          <t>2026-06-19 07:10:32</t>
        </is>
      </c>
      <c r="Y2274" t="inlineStr">
        <is>
          <t>27768403880</t>
        </is>
      </c>
    </row>
    <row r="2275">
      <c r="A2275" t="inlineStr">
        <is>
          <t>14944905</t>
        </is>
      </c>
      <c r="B2275" t="inlineStr">
        <is>
          <t>eed71999-d5ca-4fab-866f-c8c6e9f4ac5c</t>
        </is>
      </c>
      <c r="D2275" t="inlineStr">
        <is>
          <t>30001087</t>
        </is>
      </c>
      <c r="E2275" t="inlineStr">
        <is>
          <t>ussd_funeral_leads_altitude_20260619</t>
        </is>
      </c>
      <c r="J2275" t="inlineStr">
        <is>
          <t>AA</t>
        </is>
      </c>
      <c r="K2275" t="inlineStr">
        <is>
          <t>Answering Machine Autodial</t>
        </is>
      </c>
      <c r="L2275" t="n">
        <v>3</v>
      </c>
      <c r="M2275" t="inlineStr">
        <is>
          <t>2026-06-23 13:16:51</t>
        </is>
      </c>
      <c r="N2275" t="inlineStr">
        <is>
          <t>system</t>
        </is>
      </c>
      <c r="O2275" t="inlineStr">
        <is>
          <t>2026-06-19 07:10:32</t>
        </is>
      </c>
      <c r="P2275" t="inlineStr">
        <is>
          <t>2026-06-19 07:10:32</t>
        </is>
      </c>
      <c r="Y2275" t="inlineStr">
        <is>
          <t>27663729493</t>
        </is>
      </c>
    </row>
    <row r="2276">
      <c r="A2276" t="inlineStr">
        <is>
          <t>14944906</t>
        </is>
      </c>
      <c r="B2276" t="inlineStr">
        <is>
          <t>7cd69f03-80bf-4c35-9b37-a131cf8db2c4</t>
        </is>
      </c>
      <c r="D2276" t="inlineStr">
        <is>
          <t>30001087</t>
        </is>
      </c>
      <c r="E2276" t="inlineStr">
        <is>
          <t>ussd_funeral_leads_altitude_20260619</t>
        </is>
      </c>
      <c r="J2276" t="inlineStr">
        <is>
          <t>AA</t>
        </is>
      </c>
      <c r="K2276" t="inlineStr">
        <is>
          <t>Answering Machine Autodial</t>
        </is>
      </c>
      <c r="L2276" t="n">
        <v>3</v>
      </c>
      <c r="M2276" t="inlineStr">
        <is>
          <t>2026-06-23 13:16:51</t>
        </is>
      </c>
      <c r="N2276" t="inlineStr">
        <is>
          <t>system</t>
        </is>
      </c>
      <c r="O2276" t="inlineStr">
        <is>
          <t>2026-06-19 07:10:32</t>
        </is>
      </c>
      <c r="P2276" t="inlineStr">
        <is>
          <t>2026-06-19 07:10:32</t>
        </is>
      </c>
      <c r="Y2276" t="inlineStr">
        <is>
          <t>27796642118</t>
        </is>
      </c>
    </row>
    <row r="2277">
      <c r="A2277" t="inlineStr">
        <is>
          <t>14944907</t>
        </is>
      </c>
      <c r="B2277" t="inlineStr">
        <is>
          <t>6bdbdd2b-ebe9-4a77-a307-72596494b5ad</t>
        </is>
      </c>
      <c r="D2277" t="inlineStr">
        <is>
          <t>30001087</t>
        </is>
      </c>
      <c r="E2277" t="inlineStr">
        <is>
          <t>ussd_funeral_leads_altitude_20260619</t>
        </is>
      </c>
      <c r="J2277" t="inlineStr">
        <is>
          <t>AA</t>
        </is>
      </c>
      <c r="K2277" t="inlineStr">
        <is>
          <t>Answering Machine Autodial</t>
        </is>
      </c>
      <c r="L2277" t="n">
        <v>3</v>
      </c>
      <c r="M2277" t="inlineStr">
        <is>
          <t>2026-06-23 13:16:51</t>
        </is>
      </c>
      <c r="N2277" t="inlineStr">
        <is>
          <t>system</t>
        </is>
      </c>
      <c r="O2277" t="inlineStr">
        <is>
          <t>2026-06-19 07:10:32</t>
        </is>
      </c>
      <c r="P2277" t="inlineStr">
        <is>
          <t>2026-06-19 07:10:32</t>
        </is>
      </c>
      <c r="Y2277" t="inlineStr">
        <is>
          <t>27799788032</t>
        </is>
      </c>
    </row>
    <row r="2278">
      <c r="A2278" t="inlineStr">
        <is>
          <t>14944904</t>
        </is>
      </c>
      <c r="B2278" t="inlineStr">
        <is>
          <t>57ad99fa-abcf-4bfa-85b7-821424064503</t>
        </is>
      </c>
      <c r="D2278" t="inlineStr">
        <is>
          <t>30001087</t>
        </is>
      </c>
      <c r="E2278" t="inlineStr">
        <is>
          <t>ussd_funeral_leads_altitude_20260619</t>
        </is>
      </c>
      <c r="J2278" t="inlineStr">
        <is>
          <t>CU</t>
        </is>
      </c>
      <c r="K2278" t="inlineStr">
        <is>
          <t>Client Hung Up</t>
        </is>
      </c>
      <c r="L2278" t="n">
        <v>3</v>
      </c>
      <c r="M2278" t="inlineStr">
        <is>
          <t>2026-06-23 13:16:49</t>
        </is>
      </c>
      <c r="N2278" t="inlineStr">
        <is>
          <t>Lebohang Mabotja</t>
        </is>
      </c>
      <c r="O2278" t="inlineStr">
        <is>
          <t>2026-06-19 07:10:32</t>
        </is>
      </c>
      <c r="P2278" t="inlineStr">
        <is>
          <t>2026-06-19 07:10:32</t>
        </is>
      </c>
      <c r="Y2278" t="inlineStr">
        <is>
          <t>27820506180</t>
        </is>
      </c>
    </row>
    <row r="2279">
      <c r="A2279" t="inlineStr">
        <is>
          <t>14944899</t>
        </is>
      </c>
      <c r="B2279" t="inlineStr">
        <is>
          <t>ea955db0-b03d-4aed-a308-6d2257c82e30</t>
        </is>
      </c>
      <c r="D2279" t="inlineStr">
        <is>
          <t>30001087</t>
        </is>
      </c>
      <c r="E2279" t="inlineStr">
        <is>
          <t>ussd_funeral_leads_altitude_20260619</t>
        </is>
      </c>
      <c r="J2279" t="inlineStr">
        <is>
          <t>AA</t>
        </is>
      </c>
      <c r="K2279" t="inlineStr">
        <is>
          <t>Answering Machine Autodial</t>
        </is>
      </c>
      <c r="L2279" t="n">
        <v>3</v>
      </c>
      <c r="M2279" t="inlineStr">
        <is>
          <t>2026-06-23 13:16:46</t>
        </is>
      </c>
      <c r="N2279" t="inlineStr">
        <is>
          <t>system</t>
        </is>
      </c>
      <c r="O2279" t="inlineStr">
        <is>
          <t>2026-06-19 07:10:32</t>
        </is>
      </c>
      <c r="P2279" t="inlineStr">
        <is>
          <t>2026-06-19 07:10:32</t>
        </is>
      </c>
      <c r="Y2279" t="inlineStr">
        <is>
          <t>27661677247</t>
        </is>
      </c>
    </row>
    <row r="2280">
      <c r="A2280" t="inlineStr">
        <is>
          <t>14944901</t>
        </is>
      </c>
      <c r="B2280" t="inlineStr">
        <is>
          <t>5857378a-edc6-4207-8f56-41065c612e97</t>
        </is>
      </c>
      <c r="D2280" t="inlineStr">
        <is>
          <t>30001087</t>
        </is>
      </c>
      <c r="E2280" t="inlineStr">
        <is>
          <t>ussd_funeral_leads_altitude_20260619</t>
        </is>
      </c>
      <c r="J2280" t="inlineStr">
        <is>
          <t>AE</t>
        </is>
      </c>
      <c r="K2280" t="inlineStr">
        <is>
          <t>Auto Engaged</t>
        </is>
      </c>
      <c r="L2280" t="n">
        <v>3</v>
      </c>
      <c r="M2280" t="inlineStr">
        <is>
          <t>2026-06-23 13:16:46</t>
        </is>
      </c>
      <c r="N2280" t="inlineStr">
        <is>
          <t>system</t>
        </is>
      </c>
      <c r="O2280" t="inlineStr">
        <is>
          <t>2026-06-19 07:10:32</t>
        </is>
      </c>
      <c r="P2280" t="inlineStr">
        <is>
          <t>2026-06-19 07:10:32</t>
        </is>
      </c>
      <c r="Y2280" t="inlineStr">
        <is>
          <t>27822293148</t>
        </is>
      </c>
    </row>
    <row r="2281">
      <c r="A2281" t="inlineStr">
        <is>
          <t>14944902</t>
        </is>
      </c>
      <c r="B2281" t="inlineStr">
        <is>
          <t>c575523d-b23f-4662-8efd-5c86b06e998e</t>
        </is>
      </c>
      <c r="D2281" t="inlineStr">
        <is>
          <t>30001087</t>
        </is>
      </c>
      <c r="E2281" t="inlineStr">
        <is>
          <t>ussd_funeral_leads_altitude_20260619</t>
        </is>
      </c>
      <c r="J2281" t="inlineStr">
        <is>
          <t>AA</t>
        </is>
      </c>
      <c r="K2281" t="inlineStr">
        <is>
          <t>Answering Machine Autodial</t>
        </is>
      </c>
      <c r="L2281" t="n">
        <v>3</v>
      </c>
      <c r="M2281" t="inlineStr">
        <is>
          <t>2026-06-23 13:16:46</t>
        </is>
      </c>
      <c r="N2281" t="inlineStr">
        <is>
          <t>system</t>
        </is>
      </c>
      <c r="O2281" t="inlineStr">
        <is>
          <t>2026-06-19 07:10:32</t>
        </is>
      </c>
      <c r="P2281" t="inlineStr">
        <is>
          <t>2026-06-19 07:10:32</t>
        </is>
      </c>
      <c r="Y2281" t="inlineStr">
        <is>
          <t>27823378747</t>
        </is>
      </c>
    </row>
    <row r="2282">
      <c r="A2282" t="inlineStr">
        <is>
          <t>14944896</t>
        </is>
      </c>
      <c r="B2282" t="inlineStr">
        <is>
          <t>bbab788b-16bf-4b23-8376-295ee5f8f311</t>
        </is>
      </c>
      <c r="D2282" t="inlineStr">
        <is>
          <t>30001087</t>
        </is>
      </c>
      <c r="E2282" t="inlineStr">
        <is>
          <t>ussd_funeral_leads_altitude_20260619</t>
        </is>
      </c>
      <c r="J2282" t="inlineStr">
        <is>
          <t>AA</t>
        </is>
      </c>
      <c r="K2282" t="inlineStr">
        <is>
          <t>Answering Machine Autodial</t>
        </is>
      </c>
      <c r="L2282" t="n">
        <v>3</v>
      </c>
      <c r="M2282" t="inlineStr">
        <is>
          <t>2026-06-23 13:16:45</t>
        </is>
      </c>
      <c r="N2282" t="inlineStr">
        <is>
          <t>system</t>
        </is>
      </c>
      <c r="O2282" t="inlineStr">
        <is>
          <t>2026-06-19 07:10:32</t>
        </is>
      </c>
      <c r="P2282" t="inlineStr">
        <is>
          <t>2026-06-19 07:10:32</t>
        </is>
      </c>
      <c r="Y2282" t="inlineStr">
        <is>
          <t>27724203967</t>
        </is>
      </c>
    </row>
    <row r="2283">
      <c r="A2283" t="inlineStr">
        <is>
          <t>14944897</t>
        </is>
      </c>
      <c r="B2283" t="inlineStr">
        <is>
          <t>fcb99fbc-521c-4933-bffd-3c8254e6c95e</t>
        </is>
      </c>
      <c r="D2283" t="inlineStr">
        <is>
          <t>30001087</t>
        </is>
      </c>
      <c r="E2283" t="inlineStr">
        <is>
          <t>ussd_funeral_leads_altitude_20260619</t>
        </is>
      </c>
      <c r="J2283" t="inlineStr">
        <is>
          <t>NA</t>
        </is>
      </c>
      <c r="K2283" t="inlineStr">
        <is>
          <t>No Answer Autodial</t>
        </is>
      </c>
      <c r="L2283" t="n">
        <v>3</v>
      </c>
      <c r="M2283" t="inlineStr">
        <is>
          <t>2026-06-23 13:16:45</t>
        </is>
      </c>
      <c r="N2283" t="inlineStr">
        <is>
          <t>system</t>
        </is>
      </c>
      <c r="O2283" t="inlineStr">
        <is>
          <t>2026-06-19 07:10:32</t>
        </is>
      </c>
      <c r="P2283" t="inlineStr">
        <is>
          <t>2026-06-19 07:10:32</t>
        </is>
      </c>
      <c r="Y2283" t="inlineStr">
        <is>
          <t>27794081959</t>
        </is>
      </c>
    </row>
    <row r="2284">
      <c r="A2284" t="inlineStr">
        <is>
          <t>14944898</t>
        </is>
      </c>
      <c r="B2284" t="inlineStr">
        <is>
          <t>793c360a-950b-409c-a477-9f178f1b879e</t>
        </is>
      </c>
      <c r="D2284" t="inlineStr">
        <is>
          <t>30001087</t>
        </is>
      </c>
      <c r="E2284" t="inlineStr">
        <is>
          <t>ussd_funeral_leads_altitude_20260619</t>
        </is>
      </c>
      <c r="J2284" t="inlineStr">
        <is>
          <t>AA</t>
        </is>
      </c>
      <c r="K2284" t="inlineStr">
        <is>
          <t>Answering Machine Autodial</t>
        </is>
      </c>
      <c r="L2284" t="n">
        <v>3</v>
      </c>
      <c r="M2284" t="inlineStr">
        <is>
          <t>2026-06-23 13:16:45</t>
        </is>
      </c>
      <c r="N2284" t="inlineStr">
        <is>
          <t>system</t>
        </is>
      </c>
      <c r="O2284" t="inlineStr">
        <is>
          <t>2026-06-19 07:10:32</t>
        </is>
      </c>
      <c r="P2284" t="inlineStr">
        <is>
          <t>2026-06-19 07:10:32</t>
        </is>
      </c>
      <c r="Y2284" t="inlineStr">
        <is>
          <t>27720316646</t>
        </is>
      </c>
    </row>
    <row r="2285">
      <c r="A2285" t="inlineStr">
        <is>
          <t>14944894</t>
        </is>
      </c>
      <c r="B2285" t="inlineStr">
        <is>
          <t>831428e6-a876-446a-9085-c9563275ac61</t>
        </is>
      </c>
      <c r="D2285" t="inlineStr">
        <is>
          <t>30001087</t>
        </is>
      </c>
      <c r="E2285" t="inlineStr">
        <is>
          <t>ussd_funeral_leads_altitude_20260619</t>
        </is>
      </c>
      <c r="J2285" t="inlineStr">
        <is>
          <t>AA</t>
        </is>
      </c>
      <c r="K2285" t="inlineStr">
        <is>
          <t>Answering Machine Autodial</t>
        </is>
      </c>
      <c r="L2285" t="n">
        <v>3</v>
      </c>
      <c r="M2285" t="inlineStr">
        <is>
          <t>2026-06-23 13:16:44</t>
        </is>
      </c>
      <c r="N2285" t="inlineStr">
        <is>
          <t>system</t>
        </is>
      </c>
      <c r="O2285" t="inlineStr">
        <is>
          <t>2026-06-19 07:10:32</t>
        </is>
      </c>
      <c r="P2285" t="inlineStr">
        <is>
          <t>2026-06-19 07:10:32</t>
        </is>
      </c>
      <c r="Y2285" t="inlineStr">
        <is>
          <t>27720402534</t>
        </is>
      </c>
    </row>
    <row r="2286">
      <c r="A2286" t="inlineStr">
        <is>
          <t>14944895</t>
        </is>
      </c>
      <c r="B2286" t="inlineStr">
        <is>
          <t>3a17c5fa-0ae6-47fe-8232-e37110ceb6a4</t>
        </is>
      </c>
      <c r="D2286" t="inlineStr">
        <is>
          <t>30001087</t>
        </is>
      </c>
      <c r="E2286" t="inlineStr">
        <is>
          <t>ussd_funeral_leads_altitude_20260619</t>
        </is>
      </c>
      <c r="J2286" t="inlineStr">
        <is>
          <t>AA</t>
        </is>
      </c>
      <c r="K2286" t="inlineStr">
        <is>
          <t>Answering Machine Autodial</t>
        </is>
      </c>
      <c r="L2286" t="n">
        <v>3</v>
      </c>
      <c r="M2286" t="inlineStr">
        <is>
          <t>2026-06-23 13:16:44</t>
        </is>
      </c>
      <c r="N2286" t="inlineStr">
        <is>
          <t>system</t>
        </is>
      </c>
      <c r="O2286" t="inlineStr">
        <is>
          <t>2026-06-19 07:10:32</t>
        </is>
      </c>
      <c r="P2286" t="inlineStr">
        <is>
          <t>2026-06-19 07:10:32</t>
        </is>
      </c>
      <c r="Y2286" t="inlineStr">
        <is>
          <t>27636045940</t>
        </is>
      </c>
    </row>
    <row r="2287">
      <c r="A2287" t="inlineStr">
        <is>
          <t>14944893</t>
        </is>
      </c>
      <c r="B2287" t="inlineStr">
        <is>
          <t>f3b12bb2-90a8-4a39-9174-77c81e5fd896</t>
        </is>
      </c>
      <c r="D2287" t="inlineStr">
        <is>
          <t>30001087</t>
        </is>
      </c>
      <c r="E2287" t="inlineStr">
        <is>
          <t>ussd_funeral_leads_altitude_20260619</t>
        </is>
      </c>
      <c r="J2287" t="inlineStr">
        <is>
          <t>AA</t>
        </is>
      </c>
      <c r="K2287" t="inlineStr">
        <is>
          <t>Answering Machine Autodial</t>
        </is>
      </c>
      <c r="L2287" t="n">
        <v>3</v>
      </c>
      <c r="M2287" t="inlineStr">
        <is>
          <t>2026-06-23 13:16:40</t>
        </is>
      </c>
      <c r="N2287" t="inlineStr">
        <is>
          <t>system</t>
        </is>
      </c>
      <c r="O2287" t="inlineStr">
        <is>
          <t>2026-06-19 07:10:32</t>
        </is>
      </c>
      <c r="P2287" t="inlineStr">
        <is>
          <t>2026-06-19 07:10:32</t>
        </is>
      </c>
      <c r="Y2287" t="inlineStr">
        <is>
          <t>27760790094</t>
        </is>
      </c>
    </row>
    <row r="2288">
      <c r="A2288" t="inlineStr">
        <is>
          <t>14944891</t>
        </is>
      </c>
      <c r="B2288" t="inlineStr">
        <is>
          <t>6c224146-60bb-44b3-bd32-402fa32dda81</t>
        </is>
      </c>
      <c r="D2288" t="inlineStr">
        <is>
          <t>30001087</t>
        </is>
      </c>
      <c r="E2288" t="inlineStr">
        <is>
          <t>ussd_funeral_leads_altitude_20260619</t>
        </is>
      </c>
      <c r="J2288" t="inlineStr">
        <is>
          <t>AE</t>
        </is>
      </c>
      <c r="K2288" t="inlineStr">
        <is>
          <t>Auto Engaged</t>
        </is>
      </c>
      <c r="L2288" t="n">
        <v>3</v>
      </c>
      <c r="M2288" t="inlineStr">
        <is>
          <t>2026-06-23 13:16:39</t>
        </is>
      </c>
      <c r="N2288" t="inlineStr">
        <is>
          <t>system</t>
        </is>
      </c>
      <c r="O2288" t="inlineStr">
        <is>
          <t>2026-06-19 07:10:32</t>
        </is>
      </c>
      <c r="P2288" t="inlineStr">
        <is>
          <t>2026-06-19 07:10:32</t>
        </is>
      </c>
      <c r="Y2288" t="inlineStr">
        <is>
          <t>27795239379</t>
        </is>
      </c>
    </row>
    <row r="2289">
      <c r="A2289" t="inlineStr">
        <is>
          <t>14944892</t>
        </is>
      </c>
      <c r="B2289" t="inlineStr">
        <is>
          <t>f86407b4-b7ca-415f-acfb-4a891a8ffedc</t>
        </is>
      </c>
      <c r="D2289" t="inlineStr">
        <is>
          <t>30001087</t>
        </is>
      </c>
      <c r="E2289" t="inlineStr">
        <is>
          <t>ussd_funeral_leads_altitude_20260619</t>
        </is>
      </c>
      <c r="J2289" t="inlineStr">
        <is>
          <t>AA</t>
        </is>
      </c>
      <c r="K2289" t="inlineStr">
        <is>
          <t>Answering Machine Autodial</t>
        </is>
      </c>
      <c r="L2289" t="n">
        <v>3</v>
      </c>
      <c r="M2289" t="inlineStr">
        <is>
          <t>2026-06-23 13:16:39</t>
        </is>
      </c>
      <c r="N2289" t="inlineStr">
        <is>
          <t>system</t>
        </is>
      </c>
      <c r="O2289" t="inlineStr">
        <is>
          <t>2026-06-19 07:10:32</t>
        </is>
      </c>
      <c r="P2289" t="inlineStr">
        <is>
          <t>2026-06-19 07:10:32</t>
        </is>
      </c>
      <c r="Y2289" t="inlineStr">
        <is>
          <t>27727275521</t>
        </is>
      </c>
    </row>
    <row r="2290">
      <c r="A2290" t="inlineStr">
        <is>
          <t>14944890</t>
        </is>
      </c>
      <c r="B2290" t="inlineStr">
        <is>
          <t>2e51d532-9a05-4f73-a76a-739d6a0a5ccf</t>
        </is>
      </c>
      <c r="D2290" t="inlineStr">
        <is>
          <t>30001087</t>
        </is>
      </c>
      <c r="E2290" t="inlineStr">
        <is>
          <t>ussd_funeral_leads_altitude_20260619</t>
        </is>
      </c>
      <c r="J2290" t="inlineStr">
        <is>
          <t>AA</t>
        </is>
      </c>
      <c r="K2290" t="inlineStr">
        <is>
          <t>Answering Machine Autodial</t>
        </is>
      </c>
      <c r="L2290" t="n">
        <v>3</v>
      </c>
      <c r="M2290" t="inlineStr">
        <is>
          <t>2026-06-23 13:16:26</t>
        </is>
      </c>
      <c r="N2290" t="inlineStr">
        <is>
          <t>system</t>
        </is>
      </c>
      <c r="O2290" t="inlineStr">
        <is>
          <t>2026-06-19 07:10:32</t>
        </is>
      </c>
      <c r="P2290" t="inlineStr">
        <is>
          <t>2026-06-19 07:10:32</t>
        </is>
      </c>
      <c r="Y2290" t="inlineStr">
        <is>
          <t>27608668225</t>
        </is>
      </c>
    </row>
    <row r="2291">
      <c r="A2291" t="inlineStr">
        <is>
          <t>14944888</t>
        </is>
      </c>
      <c r="B2291" t="inlineStr">
        <is>
          <t>d7c6b646-7d3d-4ad9-bfe3-45bf55a25d9e</t>
        </is>
      </c>
      <c r="D2291" t="inlineStr">
        <is>
          <t>30001087</t>
        </is>
      </c>
      <c r="E2291" t="inlineStr">
        <is>
          <t>ussd_funeral_leads_altitude_20260619</t>
        </is>
      </c>
      <c r="J2291" t="inlineStr">
        <is>
          <t>AA</t>
        </is>
      </c>
      <c r="K2291" t="inlineStr">
        <is>
          <t>Answering Machine Autodial</t>
        </is>
      </c>
      <c r="L2291" t="n">
        <v>3</v>
      </c>
      <c r="M2291" t="inlineStr">
        <is>
          <t>2026-06-23 13:16:20</t>
        </is>
      </c>
      <c r="N2291" t="inlineStr">
        <is>
          <t>system</t>
        </is>
      </c>
      <c r="O2291" t="inlineStr">
        <is>
          <t>2026-06-19 07:10:32</t>
        </is>
      </c>
      <c r="P2291" t="inlineStr">
        <is>
          <t>2026-06-19 07:10:32</t>
        </is>
      </c>
      <c r="Y2291" t="inlineStr">
        <is>
          <t>27791359625</t>
        </is>
      </c>
    </row>
    <row r="2292">
      <c r="A2292" t="inlineStr">
        <is>
          <t>14944889</t>
        </is>
      </c>
      <c r="B2292" t="inlineStr">
        <is>
          <t>ddd24155-5f4a-44d8-9f8c-2ed1a684839a</t>
        </is>
      </c>
      <c r="D2292" t="inlineStr">
        <is>
          <t>30001087</t>
        </is>
      </c>
      <c r="E2292" t="inlineStr">
        <is>
          <t>ussd_funeral_leads_altitude_20260619</t>
        </is>
      </c>
      <c r="J2292" t="inlineStr">
        <is>
          <t>AA</t>
        </is>
      </c>
      <c r="K2292" t="inlineStr">
        <is>
          <t>Answering Machine Autodial</t>
        </is>
      </c>
      <c r="L2292" t="n">
        <v>3</v>
      </c>
      <c r="M2292" t="inlineStr">
        <is>
          <t>2026-06-23 13:16:20</t>
        </is>
      </c>
      <c r="N2292" t="inlineStr">
        <is>
          <t>system</t>
        </is>
      </c>
      <c r="O2292" t="inlineStr">
        <is>
          <t>2026-06-19 07:10:32</t>
        </is>
      </c>
      <c r="P2292" t="inlineStr">
        <is>
          <t>2026-06-19 07:10:32</t>
        </is>
      </c>
      <c r="Y2292" t="inlineStr">
        <is>
          <t>27762724910</t>
        </is>
      </c>
    </row>
    <row r="2293">
      <c r="A2293" t="inlineStr">
        <is>
          <t>14944886</t>
        </is>
      </c>
      <c r="B2293" t="inlineStr">
        <is>
          <t>b3cdafd3-190a-46d6-8282-2640af21a548</t>
        </is>
      </c>
      <c r="D2293" t="inlineStr">
        <is>
          <t>30001087</t>
        </is>
      </c>
      <c r="E2293" t="inlineStr">
        <is>
          <t>ussd_funeral_leads_altitude_20260619</t>
        </is>
      </c>
      <c r="J2293" t="inlineStr">
        <is>
          <t>AA</t>
        </is>
      </c>
      <c r="K2293" t="inlineStr">
        <is>
          <t>Answering Machine Autodial</t>
        </is>
      </c>
      <c r="L2293" t="n">
        <v>3</v>
      </c>
      <c r="M2293" t="inlineStr">
        <is>
          <t>2026-06-23 13:16:19</t>
        </is>
      </c>
      <c r="N2293" t="inlineStr">
        <is>
          <t>system</t>
        </is>
      </c>
      <c r="O2293" t="inlineStr">
        <is>
          <t>2026-06-19 07:10:32</t>
        </is>
      </c>
      <c r="P2293" t="inlineStr">
        <is>
          <t>2026-06-19 07:10:32</t>
        </is>
      </c>
      <c r="Y2293" t="inlineStr">
        <is>
          <t>27607974107</t>
        </is>
      </c>
    </row>
    <row r="2294">
      <c r="A2294" t="inlineStr">
        <is>
          <t>14944887</t>
        </is>
      </c>
      <c r="B2294" t="inlineStr">
        <is>
          <t>465d951b-c7d1-4709-b623-8ebd810761dc</t>
        </is>
      </c>
      <c r="D2294" t="inlineStr">
        <is>
          <t>30001087</t>
        </is>
      </c>
      <c r="E2294" t="inlineStr">
        <is>
          <t>ussd_funeral_leads_altitude_20260619</t>
        </is>
      </c>
      <c r="J2294" t="inlineStr">
        <is>
          <t>AA</t>
        </is>
      </c>
      <c r="K2294" t="inlineStr">
        <is>
          <t>Answering Machine Autodial</t>
        </is>
      </c>
      <c r="L2294" t="n">
        <v>3</v>
      </c>
      <c r="M2294" t="inlineStr">
        <is>
          <t>2026-06-23 13:16:19</t>
        </is>
      </c>
      <c r="N2294" t="inlineStr">
        <is>
          <t>system</t>
        </is>
      </c>
      <c r="O2294" t="inlineStr">
        <is>
          <t>2026-06-19 07:10:32</t>
        </is>
      </c>
      <c r="P2294" t="inlineStr">
        <is>
          <t>2026-06-19 07:10:32</t>
        </is>
      </c>
      <c r="Y2294" t="inlineStr">
        <is>
          <t>27760984868</t>
        </is>
      </c>
    </row>
    <row r="2295">
      <c r="A2295" t="inlineStr">
        <is>
          <t>14944885</t>
        </is>
      </c>
      <c r="B2295" t="inlineStr">
        <is>
          <t>7176b63f-bf88-4185-b42d-379063eb609b</t>
        </is>
      </c>
      <c r="D2295" t="inlineStr">
        <is>
          <t>30001087</t>
        </is>
      </c>
      <c r="E2295" t="inlineStr">
        <is>
          <t>ussd_funeral_leads_altitude_20260619</t>
        </is>
      </c>
      <c r="J2295" t="inlineStr">
        <is>
          <t>ADC</t>
        </is>
      </c>
      <c r="K2295" t="inlineStr">
        <is>
          <t>Auto Dial Disconnected</t>
        </is>
      </c>
      <c r="L2295" t="n">
        <v>3</v>
      </c>
      <c r="M2295" t="inlineStr">
        <is>
          <t>2026-06-23 13:16:18</t>
        </is>
      </c>
      <c r="N2295" t="inlineStr">
        <is>
          <t>system</t>
        </is>
      </c>
      <c r="O2295" t="inlineStr">
        <is>
          <t>2026-06-19 07:10:32</t>
        </is>
      </c>
      <c r="P2295" t="inlineStr">
        <is>
          <t>2026-06-19 07:10:32</t>
        </is>
      </c>
      <c r="Y2295" t="inlineStr">
        <is>
          <t>27721472186</t>
        </is>
      </c>
    </row>
    <row r="2296">
      <c r="A2296" t="inlineStr">
        <is>
          <t>14944884</t>
        </is>
      </c>
      <c r="B2296" t="inlineStr">
        <is>
          <t>f4b68ab7-76e7-4678-9b1b-e0991d3ecd3c</t>
        </is>
      </c>
      <c r="D2296" t="inlineStr">
        <is>
          <t>30001087</t>
        </is>
      </c>
      <c r="E2296" t="inlineStr">
        <is>
          <t>ussd_funeral_leads_altitude_20260619</t>
        </is>
      </c>
      <c r="J2296" t="inlineStr">
        <is>
          <t>AA</t>
        </is>
      </c>
      <c r="K2296" t="inlineStr">
        <is>
          <t>Answering Machine Autodial</t>
        </is>
      </c>
      <c r="L2296" t="n">
        <v>3</v>
      </c>
      <c r="M2296" t="inlineStr">
        <is>
          <t>2026-06-23 13:16:17</t>
        </is>
      </c>
      <c r="N2296" t="inlineStr">
        <is>
          <t>system</t>
        </is>
      </c>
      <c r="O2296" t="inlineStr">
        <is>
          <t>2026-06-19 07:10:32</t>
        </is>
      </c>
      <c r="P2296" t="inlineStr">
        <is>
          <t>2026-06-19 07:10:32</t>
        </is>
      </c>
      <c r="Y2296" t="inlineStr">
        <is>
          <t>27796897548</t>
        </is>
      </c>
    </row>
    <row r="2297">
      <c r="A2297" t="inlineStr">
        <is>
          <t>14947750</t>
        </is>
      </c>
      <c r="B2297" t="inlineStr">
        <is>
          <t>bc0245c3-541e-472f-9482-093ff3d17738</t>
        </is>
      </c>
      <c r="D2297" t="inlineStr">
        <is>
          <t>30001087</t>
        </is>
      </c>
      <c r="E2297" t="inlineStr">
        <is>
          <t>ussd_funeral_leads_altitude_20260619</t>
        </is>
      </c>
      <c r="J2297" t="inlineStr">
        <is>
          <t>AA</t>
        </is>
      </c>
      <c r="K2297" t="inlineStr">
        <is>
          <t>Answering Machine Autodial</t>
        </is>
      </c>
      <c r="L2297" t="n">
        <v>3</v>
      </c>
      <c r="M2297" t="inlineStr">
        <is>
          <t>2026-06-23 13:16:14</t>
        </is>
      </c>
      <c r="N2297" t="inlineStr">
        <is>
          <t>system</t>
        </is>
      </c>
      <c r="O2297" t="inlineStr">
        <is>
          <t>2026-06-19 07:10:32</t>
        </is>
      </c>
      <c r="P2297" t="inlineStr">
        <is>
          <t>2026-06-19 07:10:32</t>
        </is>
      </c>
      <c r="Y2297" t="inlineStr">
        <is>
          <t>27772457188</t>
        </is>
      </c>
    </row>
    <row r="2298">
      <c r="A2298" t="inlineStr">
        <is>
          <t>14900000</t>
        </is>
      </c>
      <c r="B2298" t="inlineStr">
        <is>
          <t>e2047c12-eaf9-4327-a6dd-c635bda161dc</t>
        </is>
      </c>
      <c r="D2298" t="inlineStr">
        <is>
          <t>30001087</t>
        </is>
      </c>
      <c r="E2298" t="inlineStr">
        <is>
          <t>ussd_funeral_leads_altitude_20260619</t>
        </is>
      </c>
      <c r="J2298" t="inlineStr">
        <is>
          <t>AA</t>
        </is>
      </c>
      <c r="K2298" t="inlineStr">
        <is>
          <t>Answering Machine Autodial</t>
        </is>
      </c>
      <c r="L2298" t="n">
        <v>3</v>
      </c>
      <c r="M2298" t="inlineStr">
        <is>
          <t>2026-06-23 13:16:12</t>
        </is>
      </c>
      <c r="N2298" t="inlineStr">
        <is>
          <t>system</t>
        </is>
      </c>
      <c r="O2298" t="inlineStr">
        <is>
          <t>2026-06-19 07:10:32</t>
        </is>
      </c>
      <c r="P2298" t="inlineStr">
        <is>
          <t>2026-06-19 07:10:32</t>
        </is>
      </c>
      <c r="Y2298" t="inlineStr">
        <is>
          <t>27769687738</t>
        </is>
      </c>
    </row>
    <row r="2299">
      <c r="A2299" t="inlineStr">
        <is>
          <t>14944991</t>
        </is>
      </c>
      <c r="B2299" t="inlineStr">
        <is>
          <t>40b2b2aa-4859-47a5-b6e9-1a4af67e809d</t>
        </is>
      </c>
      <c r="D2299" t="inlineStr">
        <is>
          <t>30001087</t>
        </is>
      </c>
      <c r="E2299" t="inlineStr">
        <is>
          <t>ussd_funeral_leads_altitude_20260619</t>
        </is>
      </c>
      <c r="J2299" t="inlineStr">
        <is>
          <t>DROP</t>
        </is>
      </c>
      <c r="K2299" t="inlineStr">
        <is>
          <t>Dropped</t>
        </is>
      </c>
      <c r="L2299" t="n">
        <v>3</v>
      </c>
      <c r="M2299" t="inlineStr">
        <is>
          <t>2026-06-23 13:16:12</t>
        </is>
      </c>
      <c r="N2299" t="inlineStr">
        <is>
          <t>system</t>
        </is>
      </c>
      <c r="O2299" t="inlineStr">
        <is>
          <t>2026-06-19 07:10:32</t>
        </is>
      </c>
      <c r="P2299" t="inlineStr">
        <is>
          <t>2026-06-19 07:10:32</t>
        </is>
      </c>
      <c r="Y2299" t="inlineStr">
        <is>
          <t>27766328693</t>
        </is>
      </c>
    </row>
    <row r="2300">
      <c r="A2300" t="inlineStr">
        <is>
          <t>14944965</t>
        </is>
      </c>
      <c r="B2300" t="inlineStr">
        <is>
          <t>781c254a-ea80-42b4-90ac-68108d41da55</t>
        </is>
      </c>
      <c r="D2300" t="inlineStr">
        <is>
          <t>30001087</t>
        </is>
      </c>
      <c r="E2300" t="inlineStr">
        <is>
          <t>ussd_funeral_leads_altitude_20260619</t>
        </is>
      </c>
      <c r="J2300" t="inlineStr">
        <is>
          <t>ADC</t>
        </is>
      </c>
      <c r="K2300" t="inlineStr">
        <is>
          <t>Auto Dial Disconnected</t>
        </is>
      </c>
      <c r="L2300" t="n">
        <v>3</v>
      </c>
      <c r="M2300" t="inlineStr">
        <is>
          <t>2026-06-23 13:16:10</t>
        </is>
      </c>
      <c r="N2300" t="inlineStr">
        <is>
          <t>system</t>
        </is>
      </c>
      <c r="O2300" t="inlineStr">
        <is>
          <t>2026-06-19 07:10:32</t>
        </is>
      </c>
      <c r="P2300" t="inlineStr">
        <is>
          <t>2026-06-19 07:10:32</t>
        </is>
      </c>
      <c r="Y2300" t="inlineStr">
        <is>
          <t>27646986376</t>
        </is>
      </c>
    </row>
    <row r="2301">
      <c r="A2301" t="inlineStr">
        <is>
          <t>14944963</t>
        </is>
      </c>
      <c r="B2301" t="inlineStr">
        <is>
          <t>3a1bb37d-9b5f-473f-a38e-d9cf8305c467</t>
        </is>
      </c>
      <c r="D2301" t="inlineStr">
        <is>
          <t>30001087</t>
        </is>
      </c>
      <c r="E2301" t="inlineStr">
        <is>
          <t>ussd_funeral_leads_altitude_20260619</t>
        </is>
      </c>
      <c r="J2301" t="inlineStr">
        <is>
          <t>AA</t>
        </is>
      </c>
      <c r="K2301" t="inlineStr">
        <is>
          <t>Answering Machine Autodial</t>
        </is>
      </c>
      <c r="L2301" t="n">
        <v>3</v>
      </c>
      <c r="M2301" t="inlineStr">
        <is>
          <t>2026-06-23 13:16:08</t>
        </is>
      </c>
      <c r="N2301" t="inlineStr">
        <is>
          <t>system</t>
        </is>
      </c>
      <c r="O2301" t="inlineStr">
        <is>
          <t>2026-06-19 07:10:32</t>
        </is>
      </c>
      <c r="P2301" t="inlineStr">
        <is>
          <t>2026-06-19 07:10:32</t>
        </is>
      </c>
      <c r="Y2301" t="inlineStr">
        <is>
          <t>27675803993</t>
        </is>
      </c>
    </row>
    <row r="2302">
      <c r="A2302" t="inlineStr">
        <is>
          <t>14944964</t>
        </is>
      </c>
      <c r="B2302" t="inlineStr">
        <is>
          <t>d01eb1a0-b185-4e81-86ac-d164c8431718</t>
        </is>
      </c>
      <c r="D2302" t="inlineStr">
        <is>
          <t>30001087</t>
        </is>
      </c>
      <c r="E2302" t="inlineStr">
        <is>
          <t>ussd_funeral_leads_altitude_20260619</t>
        </is>
      </c>
      <c r="J2302" t="inlineStr">
        <is>
          <t>TDN</t>
        </is>
      </c>
      <c r="K2302" t="inlineStr">
        <is>
          <t>Temporary Disconnected Number</t>
        </is>
      </c>
      <c r="L2302" t="n">
        <v>3</v>
      </c>
      <c r="M2302" t="inlineStr">
        <is>
          <t>2026-06-23 13:16:08</t>
        </is>
      </c>
      <c r="N2302" t="inlineStr">
        <is>
          <t>system</t>
        </is>
      </c>
      <c r="O2302" t="inlineStr">
        <is>
          <t>2026-06-19 07:10:32</t>
        </is>
      </c>
      <c r="P2302" t="inlineStr">
        <is>
          <t>2026-06-19 07:10:32</t>
        </is>
      </c>
      <c r="Y2302" t="inlineStr">
        <is>
          <t>27609197656</t>
        </is>
      </c>
    </row>
    <row r="2303">
      <c r="A2303" t="inlineStr">
        <is>
          <t>14944959</t>
        </is>
      </c>
      <c r="B2303" t="inlineStr">
        <is>
          <t>b7385d9d-eb1f-40cb-897e-213ec4672232</t>
        </is>
      </c>
      <c r="D2303" t="inlineStr">
        <is>
          <t>30001087</t>
        </is>
      </c>
      <c r="E2303" t="inlineStr">
        <is>
          <t>ussd_funeral_leads_altitude_20260619</t>
        </is>
      </c>
      <c r="J2303" t="inlineStr">
        <is>
          <t>NA</t>
        </is>
      </c>
      <c r="K2303" t="inlineStr">
        <is>
          <t>No Answer Autodial</t>
        </is>
      </c>
      <c r="L2303" t="n">
        <v>3</v>
      </c>
      <c r="M2303" t="inlineStr">
        <is>
          <t>2026-06-23 13:16:07</t>
        </is>
      </c>
      <c r="N2303" t="inlineStr">
        <is>
          <t>system</t>
        </is>
      </c>
      <c r="O2303" t="inlineStr">
        <is>
          <t>2026-06-19 07:10:32</t>
        </is>
      </c>
      <c r="P2303" t="inlineStr">
        <is>
          <t>2026-06-19 07:10:32</t>
        </is>
      </c>
      <c r="Y2303" t="inlineStr">
        <is>
          <t>27715709076</t>
        </is>
      </c>
    </row>
    <row r="2304">
      <c r="A2304" t="inlineStr">
        <is>
          <t>14944960</t>
        </is>
      </c>
      <c r="B2304" t="inlineStr">
        <is>
          <t>215ed38c-f5ee-41c0-a7fd-91a35f91c599</t>
        </is>
      </c>
      <c r="D2304" t="inlineStr">
        <is>
          <t>30001087</t>
        </is>
      </c>
      <c r="E2304" t="inlineStr">
        <is>
          <t>ussd_funeral_leads_altitude_20260619</t>
        </is>
      </c>
      <c r="J2304" t="inlineStr">
        <is>
          <t>AE</t>
        </is>
      </c>
      <c r="K2304" t="inlineStr">
        <is>
          <t>Auto Engaged</t>
        </is>
      </c>
      <c r="L2304" t="n">
        <v>3</v>
      </c>
      <c r="M2304" t="inlineStr">
        <is>
          <t>2026-06-23 13:16:07</t>
        </is>
      </c>
      <c r="N2304" t="inlineStr">
        <is>
          <t>system</t>
        </is>
      </c>
      <c r="O2304" t="inlineStr">
        <is>
          <t>2026-06-19 07:10:32</t>
        </is>
      </c>
      <c r="P2304" t="inlineStr">
        <is>
          <t>2026-06-19 07:10:32</t>
        </is>
      </c>
      <c r="Y2304" t="inlineStr">
        <is>
          <t>27649801629</t>
        </is>
      </c>
    </row>
    <row r="2305">
      <c r="A2305" t="inlineStr">
        <is>
          <t>14944961</t>
        </is>
      </c>
      <c r="B2305" t="inlineStr">
        <is>
          <t>156229fd-a89e-4ac4-bc83-fd5ca45329b9</t>
        </is>
      </c>
      <c r="D2305" t="inlineStr">
        <is>
          <t>30001087</t>
        </is>
      </c>
      <c r="E2305" t="inlineStr">
        <is>
          <t>ussd_funeral_leads_altitude_20260619</t>
        </is>
      </c>
      <c r="J2305" t="inlineStr">
        <is>
          <t>CU</t>
        </is>
      </c>
      <c r="K2305" t="inlineStr">
        <is>
          <t>Client Hung Up</t>
        </is>
      </c>
      <c r="L2305" t="n">
        <v>3</v>
      </c>
      <c r="M2305" t="inlineStr">
        <is>
          <t>2026-06-23 13:16:07</t>
        </is>
      </c>
      <c r="N2305" t="inlineStr">
        <is>
          <t>Dimakatso Nkomo</t>
        </is>
      </c>
      <c r="O2305" t="inlineStr">
        <is>
          <t>2026-06-19 07:10:32</t>
        </is>
      </c>
      <c r="P2305" t="inlineStr">
        <is>
          <t>2026-06-19 07:10:32</t>
        </is>
      </c>
      <c r="Y2305" t="inlineStr">
        <is>
          <t>27768150439</t>
        </is>
      </c>
    </row>
    <row r="2306">
      <c r="A2306" t="inlineStr">
        <is>
          <t>14944962</t>
        </is>
      </c>
      <c r="B2306" t="inlineStr">
        <is>
          <t>27a922e3-0b71-420a-8bfe-7ac87198732a</t>
        </is>
      </c>
      <c r="D2306" t="inlineStr">
        <is>
          <t>30001087</t>
        </is>
      </c>
      <c r="E2306" t="inlineStr">
        <is>
          <t>ussd_funeral_leads_altitude_20260619</t>
        </is>
      </c>
      <c r="J2306" t="inlineStr">
        <is>
          <t>AA</t>
        </is>
      </c>
      <c r="K2306" t="inlineStr">
        <is>
          <t>Answering Machine Autodial</t>
        </is>
      </c>
      <c r="L2306" t="n">
        <v>3</v>
      </c>
      <c r="M2306" t="inlineStr">
        <is>
          <t>2026-06-23 13:16:07</t>
        </is>
      </c>
      <c r="N2306" t="inlineStr">
        <is>
          <t>system</t>
        </is>
      </c>
      <c r="O2306" t="inlineStr">
        <is>
          <t>2026-06-19 07:10:32</t>
        </is>
      </c>
      <c r="P2306" t="inlineStr">
        <is>
          <t>2026-06-19 07:10:32</t>
        </is>
      </c>
      <c r="Y2306" t="inlineStr">
        <is>
          <t>27727590120</t>
        </is>
      </c>
    </row>
    <row r="2307">
      <c r="A2307" t="inlineStr">
        <is>
          <t>14944958</t>
        </is>
      </c>
      <c r="B2307" t="inlineStr">
        <is>
          <t>9dd64525-2c86-4f85-a036-2f8d0c975f82</t>
        </is>
      </c>
      <c r="D2307" t="inlineStr">
        <is>
          <t>30001087</t>
        </is>
      </c>
      <c r="E2307" t="inlineStr">
        <is>
          <t>ussd_funeral_leads_altitude_20260619</t>
        </is>
      </c>
      <c r="J2307" t="inlineStr">
        <is>
          <t>AA</t>
        </is>
      </c>
      <c r="K2307" t="inlineStr">
        <is>
          <t>Answering Machine Autodial</t>
        </is>
      </c>
      <c r="L2307" t="n">
        <v>3</v>
      </c>
      <c r="M2307" t="inlineStr">
        <is>
          <t>2026-06-23 13:16:06</t>
        </is>
      </c>
      <c r="N2307" t="inlineStr">
        <is>
          <t>system</t>
        </is>
      </c>
      <c r="O2307" t="inlineStr">
        <is>
          <t>2026-06-19 07:10:32</t>
        </is>
      </c>
      <c r="P2307" t="inlineStr">
        <is>
          <t>2026-06-19 07:10:32</t>
        </is>
      </c>
      <c r="Y2307" t="inlineStr">
        <is>
          <t>27637858898</t>
        </is>
      </c>
    </row>
    <row r="2308">
      <c r="A2308" t="inlineStr">
        <is>
          <t>14944953</t>
        </is>
      </c>
      <c r="B2308" t="inlineStr">
        <is>
          <t>c47d2045-5bf5-40ea-928f-c373e2472023</t>
        </is>
      </c>
      <c r="D2308" t="inlineStr">
        <is>
          <t>30001087</t>
        </is>
      </c>
      <c r="E2308" t="inlineStr">
        <is>
          <t>ussd_funeral_leads_altitude_20260619</t>
        </is>
      </c>
      <c r="J2308" t="inlineStr">
        <is>
          <t>AA</t>
        </is>
      </c>
      <c r="K2308" t="inlineStr">
        <is>
          <t>Answering Machine Autodial</t>
        </is>
      </c>
      <c r="L2308" t="n">
        <v>3</v>
      </c>
      <c r="M2308" t="inlineStr">
        <is>
          <t>2026-06-23 13:16:02</t>
        </is>
      </c>
      <c r="N2308" t="inlineStr">
        <is>
          <t>system</t>
        </is>
      </c>
      <c r="O2308" t="inlineStr">
        <is>
          <t>2026-06-19 07:10:32</t>
        </is>
      </c>
      <c r="P2308" t="inlineStr">
        <is>
          <t>2026-06-19 07:10:32</t>
        </is>
      </c>
      <c r="Y2308" t="inlineStr">
        <is>
          <t>27796315991</t>
        </is>
      </c>
    </row>
    <row r="2309">
      <c r="A2309" t="inlineStr">
        <is>
          <t>14944956</t>
        </is>
      </c>
      <c r="B2309" t="inlineStr">
        <is>
          <t>082e13ef-a01a-423d-bbc5-174b8feab27c</t>
        </is>
      </c>
      <c r="D2309" t="inlineStr">
        <is>
          <t>30001087</t>
        </is>
      </c>
      <c r="E2309" t="inlineStr">
        <is>
          <t>ussd_funeral_leads_altitude_20260619</t>
        </is>
      </c>
      <c r="J2309" t="inlineStr">
        <is>
          <t>TDN</t>
        </is>
      </c>
      <c r="K2309" t="inlineStr">
        <is>
          <t>Temporary Disconnected Number</t>
        </is>
      </c>
      <c r="L2309" t="n">
        <v>3</v>
      </c>
      <c r="M2309" t="inlineStr">
        <is>
          <t>2026-06-23 13:16:02</t>
        </is>
      </c>
      <c r="N2309" t="inlineStr">
        <is>
          <t>system</t>
        </is>
      </c>
      <c r="O2309" t="inlineStr">
        <is>
          <t>2026-06-19 07:10:32</t>
        </is>
      </c>
      <c r="P2309" t="inlineStr">
        <is>
          <t>2026-06-19 07:10:32</t>
        </is>
      </c>
      <c r="Y2309" t="inlineStr">
        <is>
          <t>27714124659</t>
        </is>
      </c>
    </row>
    <row r="2310">
      <c r="A2310" t="inlineStr">
        <is>
          <t>14944957</t>
        </is>
      </c>
      <c r="B2310" t="inlineStr">
        <is>
          <t>db9c87d8-1af4-45bb-83c7-a0e4b10a3445</t>
        </is>
      </c>
      <c r="D2310" t="inlineStr">
        <is>
          <t>30001087</t>
        </is>
      </c>
      <c r="E2310" t="inlineStr">
        <is>
          <t>ussd_funeral_leads_altitude_20260619</t>
        </is>
      </c>
      <c r="J2310" t="inlineStr">
        <is>
          <t>AA</t>
        </is>
      </c>
      <c r="K2310" t="inlineStr">
        <is>
          <t>Answering Machine Autodial</t>
        </is>
      </c>
      <c r="L2310" t="n">
        <v>3</v>
      </c>
      <c r="M2310" t="inlineStr">
        <is>
          <t>2026-06-23 13:16:02</t>
        </is>
      </c>
      <c r="N2310" t="inlineStr">
        <is>
          <t>system</t>
        </is>
      </c>
      <c r="O2310" t="inlineStr">
        <is>
          <t>2026-06-19 07:10:32</t>
        </is>
      </c>
      <c r="P2310" t="inlineStr">
        <is>
          <t>2026-06-19 07:10:32</t>
        </is>
      </c>
      <c r="Y2310" t="inlineStr">
        <is>
          <t>27768576952</t>
        </is>
      </c>
    </row>
    <row r="2311">
      <c r="A2311" t="inlineStr">
        <is>
          <t>14944955</t>
        </is>
      </c>
      <c r="B2311" t="inlineStr">
        <is>
          <t>96a3746e-577a-4152-91d1-d1892feecbf2</t>
        </is>
      </c>
      <c r="D2311" t="inlineStr">
        <is>
          <t>30001087</t>
        </is>
      </c>
      <c r="E2311" t="inlineStr">
        <is>
          <t>ussd_funeral_leads_altitude_20260619</t>
        </is>
      </c>
      <c r="J2311" t="inlineStr">
        <is>
          <t>AA</t>
        </is>
      </c>
      <c r="K2311" t="inlineStr">
        <is>
          <t>Answering Machine Autodial</t>
        </is>
      </c>
      <c r="L2311" t="n">
        <v>3</v>
      </c>
      <c r="M2311" t="inlineStr">
        <is>
          <t>2026-06-23 13:16:01</t>
        </is>
      </c>
      <c r="N2311" t="inlineStr">
        <is>
          <t>system</t>
        </is>
      </c>
      <c r="O2311" t="inlineStr">
        <is>
          <t>2026-06-19 07:10:32</t>
        </is>
      </c>
      <c r="P2311" t="inlineStr">
        <is>
          <t>2026-06-19 07:10:32</t>
        </is>
      </c>
      <c r="Y2311" t="inlineStr">
        <is>
          <t>27663038299</t>
        </is>
      </c>
    </row>
    <row r="2312">
      <c r="A2312" t="inlineStr">
        <is>
          <t>14944952</t>
        </is>
      </c>
      <c r="B2312" t="inlineStr">
        <is>
          <t>f2588d61-7295-463d-a51a-0175f99bc565</t>
        </is>
      </c>
      <c r="D2312" t="inlineStr">
        <is>
          <t>30001087</t>
        </is>
      </c>
      <c r="E2312" t="inlineStr">
        <is>
          <t>ussd_funeral_leads_altitude_20260619</t>
        </is>
      </c>
      <c r="J2312" t="inlineStr">
        <is>
          <t>ADC</t>
        </is>
      </c>
      <c r="K2312" t="inlineStr">
        <is>
          <t>Auto Dial Disconnected</t>
        </is>
      </c>
      <c r="L2312" t="n">
        <v>3</v>
      </c>
      <c r="M2312" t="inlineStr">
        <is>
          <t>2026-06-23 13:15:58</t>
        </is>
      </c>
      <c r="N2312" t="inlineStr">
        <is>
          <t>system</t>
        </is>
      </c>
      <c r="O2312" t="inlineStr">
        <is>
          <t>2026-06-19 07:10:32</t>
        </is>
      </c>
      <c r="P2312" t="inlineStr">
        <is>
          <t>2026-06-19 07:10:32</t>
        </is>
      </c>
      <c r="Y2312" t="inlineStr">
        <is>
          <t>27716386407</t>
        </is>
      </c>
    </row>
    <row r="2313">
      <c r="A2313" t="inlineStr">
        <is>
          <t>14944951</t>
        </is>
      </c>
      <c r="B2313" t="inlineStr">
        <is>
          <t>6484083e-a375-4a3a-85bd-cfc838fa3c3c</t>
        </is>
      </c>
      <c r="D2313" t="inlineStr">
        <is>
          <t>30001087</t>
        </is>
      </c>
      <c r="E2313" t="inlineStr">
        <is>
          <t>ussd_funeral_leads_altitude_20260619</t>
        </is>
      </c>
      <c r="J2313" t="inlineStr">
        <is>
          <t>AA</t>
        </is>
      </c>
      <c r="K2313" t="inlineStr">
        <is>
          <t>Answering Machine Autodial</t>
        </is>
      </c>
      <c r="L2313" t="n">
        <v>3</v>
      </c>
      <c r="M2313" t="inlineStr">
        <is>
          <t>2026-06-23 13:15:57</t>
        </is>
      </c>
      <c r="N2313" t="inlineStr">
        <is>
          <t>system</t>
        </is>
      </c>
      <c r="O2313" t="inlineStr">
        <is>
          <t>2026-06-19 07:10:32</t>
        </is>
      </c>
      <c r="P2313" t="inlineStr">
        <is>
          <t>2026-06-19 07:10:32</t>
        </is>
      </c>
      <c r="Y2313" t="inlineStr">
        <is>
          <t>27820401795</t>
        </is>
      </c>
    </row>
    <row r="2314">
      <c r="A2314" t="inlineStr">
        <is>
          <t>14944947</t>
        </is>
      </c>
      <c r="B2314" t="inlineStr">
        <is>
          <t>5d60493a-a509-4da5-8041-9daf1bc53410</t>
        </is>
      </c>
      <c r="D2314" t="inlineStr">
        <is>
          <t>30001087</t>
        </is>
      </c>
      <c r="E2314" t="inlineStr">
        <is>
          <t>ussd_funeral_leads_altitude_20260619</t>
        </is>
      </c>
      <c r="J2314" t="inlineStr">
        <is>
          <t>TDN</t>
        </is>
      </c>
      <c r="K2314" t="inlineStr">
        <is>
          <t>Temporary Disconnected Number</t>
        </is>
      </c>
      <c r="L2314" t="n">
        <v>3</v>
      </c>
      <c r="M2314" t="inlineStr">
        <is>
          <t>2026-06-23 13:15:51</t>
        </is>
      </c>
      <c r="N2314" t="inlineStr">
        <is>
          <t>system</t>
        </is>
      </c>
      <c r="O2314" t="inlineStr">
        <is>
          <t>2026-06-19 07:10:32</t>
        </is>
      </c>
      <c r="P2314" t="inlineStr">
        <is>
          <t>2026-06-19 07:10:32</t>
        </is>
      </c>
      <c r="Y2314" t="inlineStr">
        <is>
          <t>27649531325</t>
        </is>
      </c>
    </row>
    <row r="2315">
      <c r="A2315" t="inlineStr">
        <is>
          <t>14944948</t>
        </is>
      </c>
      <c r="B2315" t="inlineStr">
        <is>
          <t>d47dda10-4ea0-41c4-892d-39f04f5cec6c</t>
        </is>
      </c>
      <c r="D2315" t="inlineStr">
        <is>
          <t>30001087</t>
        </is>
      </c>
      <c r="E2315" t="inlineStr">
        <is>
          <t>ussd_funeral_leads_altitude_20260619</t>
        </is>
      </c>
      <c r="J2315" t="inlineStr">
        <is>
          <t>AE</t>
        </is>
      </c>
      <c r="K2315" t="inlineStr">
        <is>
          <t>Auto Engaged</t>
        </is>
      </c>
      <c r="L2315" t="n">
        <v>3</v>
      </c>
      <c r="M2315" t="inlineStr">
        <is>
          <t>2026-06-23 13:15:51</t>
        </is>
      </c>
      <c r="N2315" t="inlineStr">
        <is>
          <t>system</t>
        </is>
      </c>
      <c r="O2315" t="inlineStr">
        <is>
          <t>2026-06-19 07:10:32</t>
        </is>
      </c>
      <c r="P2315" t="inlineStr">
        <is>
          <t>2026-06-19 07:10:32</t>
        </is>
      </c>
      <c r="Y2315" t="inlineStr">
        <is>
          <t>27673127359</t>
        </is>
      </c>
    </row>
    <row r="2316">
      <c r="A2316" t="inlineStr">
        <is>
          <t>14944949</t>
        </is>
      </c>
      <c r="B2316" t="inlineStr">
        <is>
          <t>92fc9333-a3e2-4ae4-ac3c-c6cb2c8f2544</t>
        </is>
      </c>
      <c r="D2316" t="inlineStr">
        <is>
          <t>30001087</t>
        </is>
      </c>
      <c r="E2316" t="inlineStr">
        <is>
          <t>ussd_funeral_leads_altitude_20260619</t>
        </is>
      </c>
      <c r="J2316" t="inlineStr">
        <is>
          <t>AA</t>
        </is>
      </c>
      <c r="K2316" t="inlineStr">
        <is>
          <t>Answering Machine Autodial</t>
        </is>
      </c>
      <c r="L2316" t="n">
        <v>3</v>
      </c>
      <c r="M2316" t="inlineStr">
        <is>
          <t>2026-06-23 13:15:51</t>
        </is>
      </c>
      <c r="N2316" t="inlineStr">
        <is>
          <t>system</t>
        </is>
      </c>
      <c r="O2316" t="inlineStr">
        <is>
          <t>2026-06-19 07:10:32</t>
        </is>
      </c>
      <c r="P2316" t="inlineStr">
        <is>
          <t>2026-06-19 07:10:32</t>
        </is>
      </c>
      <c r="Y2316" t="inlineStr">
        <is>
          <t>27609414229</t>
        </is>
      </c>
    </row>
    <row r="2317">
      <c r="A2317" t="inlineStr">
        <is>
          <t>14944950</t>
        </is>
      </c>
      <c r="B2317" t="inlineStr">
        <is>
          <t>836d408c-d102-4ab6-8178-96a814622bed</t>
        </is>
      </c>
      <c r="D2317" t="inlineStr">
        <is>
          <t>30001087</t>
        </is>
      </c>
      <c r="E2317" t="inlineStr">
        <is>
          <t>ussd_funeral_leads_altitude_20260619</t>
        </is>
      </c>
      <c r="J2317" t="inlineStr">
        <is>
          <t>AA</t>
        </is>
      </c>
      <c r="K2317" t="inlineStr">
        <is>
          <t>Answering Machine Autodial</t>
        </is>
      </c>
      <c r="L2317" t="n">
        <v>3</v>
      </c>
      <c r="M2317" t="inlineStr">
        <is>
          <t>2026-06-23 13:15:51</t>
        </is>
      </c>
      <c r="N2317" t="inlineStr">
        <is>
          <t>system</t>
        </is>
      </c>
      <c r="O2317" t="inlineStr">
        <is>
          <t>2026-06-19 07:10:32</t>
        </is>
      </c>
      <c r="P2317" t="inlineStr">
        <is>
          <t>2026-06-19 07:10:32</t>
        </is>
      </c>
      <c r="Y2317" t="inlineStr">
        <is>
          <t>27609248520</t>
        </is>
      </c>
    </row>
    <row r="2318">
      <c r="A2318" t="inlineStr">
        <is>
          <t>14944946</t>
        </is>
      </c>
      <c r="B2318" t="inlineStr">
        <is>
          <t>1e08d7f3-4e03-4058-b3c9-d5360d240882</t>
        </is>
      </c>
      <c r="D2318" t="inlineStr">
        <is>
          <t>30001087</t>
        </is>
      </c>
      <c r="E2318" t="inlineStr">
        <is>
          <t>ussd_funeral_leads_altitude_20260619</t>
        </is>
      </c>
      <c r="J2318" t="inlineStr">
        <is>
          <t>ADC</t>
        </is>
      </c>
      <c r="K2318" t="inlineStr">
        <is>
          <t>Auto Dial Disconnected</t>
        </is>
      </c>
      <c r="L2318" t="n">
        <v>3</v>
      </c>
      <c r="M2318" t="inlineStr">
        <is>
          <t>2026-06-23 13:15:50</t>
        </is>
      </c>
      <c r="N2318" t="inlineStr">
        <is>
          <t>system</t>
        </is>
      </c>
      <c r="O2318" t="inlineStr">
        <is>
          <t>2026-06-19 07:10:32</t>
        </is>
      </c>
      <c r="P2318" t="inlineStr">
        <is>
          <t>2026-06-19 07:10:32</t>
        </is>
      </c>
      <c r="Y2318" t="inlineStr">
        <is>
          <t>27728785866</t>
        </is>
      </c>
    </row>
    <row r="2319">
      <c r="A2319" t="inlineStr">
        <is>
          <t>14944944</t>
        </is>
      </c>
      <c r="B2319" t="inlineStr">
        <is>
          <t>61da2f0a-229d-4bfe-82cb-598800d4c536</t>
        </is>
      </c>
      <c r="D2319" t="inlineStr">
        <is>
          <t>30001087</t>
        </is>
      </c>
      <c r="E2319" t="inlineStr">
        <is>
          <t>ussd_funeral_leads_altitude_20260619</t>
        </is>
      </c>
      <c r="J2319" t="inlineStr">
        <is>
          <t>ADC</t>
        </is>
      </c>
      <c r="K2319" t="inlineStr">
        <is>
          <t>Auto Dial Disconnected</t>
        </is>
      </c>
      <c r="L2319" t="n">
        <v>3</v>
      </c>
      <c r="M2319" t="inlineStr">
        <is>
          <t>2026-06-23 13:15:49</t>
        </is>
      </c>
      <c r="N2319" t="inlineStr">
        <is>
          <t>system</t>
        </is>
      </c>
      <c r="O2319" t="inlineStr">
        <is>
          <t>2026-06-19 07:10:32</t>
        </is>
      </c>
      <c r="P2319" t="inlineStr">
        <is>
          <t>2026-06-19 07:10:32</t>
        </is>
      </c>
      <c r="Y2319" t="inlineStr">
        <is>
          <t>27646822971</t>
        </is>
      </c>
    </row>
    <row r="2320">
      <c r="A2320" t="inlineStr">
        <is>
          <t>14944945</t>
        </is>
      </c>
      <c r="B2320" t="inlineStr">
        <is>
          <t>31a30a01-5f41-40ae-884a-07443afd74e5</t>
        </is>
      </c>
      <c r="D2320" t="inlineStr">
        <is>
          <t>30001087</t>
        </is>
      </c>
      <c r="E2320" t="inlineStr">
        <is>
          <t>ussd_funeral_leads_altitude_20260619</t>
        </is>
      </c>
      <c r="J2320" t="inlineStr">
        <is>
          <t>ADC</t>
        </is>
      </c>
      <c r="K2320" t="inlineStr">
        <is>
          <t>Auto Dial Disconnected</t>
        </is>
      </c>
      <c r="L2320" t="n">
        <v>3</v>
      </c>
      <c r="M2320" t="inlineStr">
        <is>
          <t>2026-06-23 13:15:49</t>
        </is>
      </c>
      <c r="N2320" t="inlineStr">
        <is>
          <t>system</t>
        </is>
      </c>
      <c r="O2320" t="inlineStr">
        <is>
          <t>2026-06-19 07:10:32</t>
        </is>
      </c>
      <c r="P2320" t="inlineStr">
        <is>
          <t>2026-06-19 07:10:32</t>
        </is>
      </c>
      <c r="Y2320" t="inlineStr">
        <is>
          <t>27795088085</t>
        </is>
      </c>
    </row>
    <row r="2321">
      <c r="A2321" t="inlineStr">
        <is>
          <t>14944939</t>
        </is>
      </c>
      <c r="B2321" t="inlineStr">
        <is>
          <t>31987c7a-cd28-4945-b912-a333592e2b8c</t>
        </is>
      </c>
      <c r="D2321" t="inlineStr">
        <is>
          <t>30001087</t>
        </is>
      </c>
      <c r="E2321" t="inlineStr">
        <is>
          <t>ussd_funeral_leads_altitude_20260619</t>
        </is>
      </c>
      <c r="J2321" t="inlineStr">
        <is>
          <t>AE</t>
        </is>
      </c>
      <c r="K2321" t="inlineStr">
        <is>
          <t>Auto Engaged</t>
        </is>
      </c>
      <c r="L2321" t="n">
        <v>3</v>
      </c>
      <c r="M2321" t="inlineStr">
        <is>
          <t>2026-06-23 13:15:46</t>
        </is>
      </c>
      <c r="N2321" t="inlineStr">
        <is>
          <t>system</t>
        </is>
      </c>
      <c r="O2321" t="inlineStr">
        <is>
          <t>2026-06-19 07:10:32</t>
        </is>
      </c>
      <c r="P2321" t="inlineStr">
        <is>
          <t>2026-06-19 07:10:32</t>
        </is>
      </c>
      <c r="Y2321" t="inlineStr">
        <is>
          <t>27674945365</t>
        </is>
      </c>
    </row>
    <row r="2322">
      <c r="A2322" t="inlineStr">
        <is>
          <t>14944940</t>
        </is>
      </c>
      <c r="B2322" t="inlineStr">
        <is>
          <t>ae6c5828-33e5-4dec-9c29-b32a2926266d</t>
        </is>
      </c>
      <c r="D2322" t="inlineStr">
        <is>
          <t>30001087</t>
        </is>
      </c>
      <c r="E2322" t="inlineStr">
        <is>
          <t>ussd_funeral_leads_altitude_20260619</t>
        </is>
      </c>
      <c r="J2322" t="inlineStr">
        <is>
          <t>AA</t>
        </is>
      </c>
      <c r="K2322" t="inlineStr">
        <is>
          <t>Answering Machine Autodial</t>
        </is>
      </c>
      <c r="L2322" t="n">
        <v>3</v>
      </c>
      <c r="M2322" t="inlineStr">
        <is>
          <t>2026-06-23 13:15:46</t>
        </is>
      </c>
      <c r="N2322" t="inlineStr">
        <is>
          <t>system</t>
        </is>
      </c>
      <c r="O2322" t="inlineStr">
        <is>
          <t>2026-06-19 07:10:32</t>
        </is>
      </c>
      <c r="P2322" t="inlineStr">
        <is>
          <t>2026-06-19 07:10:32</t>
        </is>
      </c>
      <c r="Y2322" t="inlineStr">
        <is>
          <t>27790553162</t>
        </is>
      </c>
    </row>
    <row r="2323">
      <c r="A2323" t="inlineStr">
        <is>
          <t>14944941</t>
        </is>
      </c>
      <c r="B2323" t="inlineStr">
        <is>
          <t>673fefff-f9cb-46c7-bc6b-1b420e5cff77</t>
        </is>
      </c>
      <c r="D2323" t="inlineStr">
        <is>
          <t>30001087</t>
        </is>
      </c>
      <c r="E2323" t="inlineStr">
        <is>
          <t>ussd_funeral_leads_altitude_20260619</t>
        </is>
      </c>
      <c r="J2323" t="inlineStr">
        <is>
          <t>NA</t>
        </is>
      </c>
      <c r="K2323" t="inlineStr">
        <is>
          <t>No Answer Autodial</t>
        </is>
      </c>
      <c r="L2323" t="n">
        <v>3</v>
      </c>
      <c r="M2323" t="inlineStr">
        <is>
          <t>2026-06-23 13:15:46</t>
        </is>
      </c>
      <c r="N2323" t="inlineStr">
        <is>
          <t>system</t>
        </is>
      </c>
      <c r="O2323" t="inlineStr">
        <is>
          <t>2026-06-19 07:10:32</t>
        </is>
      </c>
      <c r="P2323" t="inlineStr">
        <is>
          <t>2026-06-19 07:10:32</t>
        </is>
      </c>
      <c r="Y2323" t="inlineStr">
        <is>
          <t>27673821187</t>
        </is>
      </c>
    </row>
    <row r="2324">
      <c r="A2324" t="inlineStr">
        <is>
          <t>14944942</t>
        </is>
      </c>
      <c r="B2324" t="inlineStr">
        <is>
          <t>3a66662a-d4d6-414b-a86c-3fdf864b4542</t>
        </is>
      </c>
      <c r="D2324" t="inlineStr">
        <is>
          <t>30001087</t>
        </is>
      </c>
      <c r="E2324" t="inlineStr">
        <is>
          <t>ussd_funeral_leads_altitude_20260619</t>
        </is>
      </c>
      <c r="J2324" t="inlineStr">
        <is>
          <t>AA</t>
        </is>
      </c>
      <c r="K2324" t="inlineStr">
        <is>
          <t>Answering Machine Autodial</t>
        </is>
      </c>
      <c r="L2324" t="n">
        <v>3</v>
      </c>
      <c r="M2324" t="inlineStr">
        <is>
          <t>2026-06-23 13:15:46</t>
        </is>
      </c>
      <c r="N2324" t="inlineStr">
        <is>
          <t>system</t>
        </is>
      </c>
      <c r="O2324" t="inlineStr">
        <is>
          <t>2026-06-19 07:10:32</t>
        </is>
      </c>
      <c r="P2324" t="inlineStr">
        <is>
          <t>2026-06-19 07:10:32</t>
        </is>
      </c>
      <c r="Y2324" t="inlineStr">
        <is>
          <t>27767227882</t>
        </is>
      </c>
    </row>
    <row r="2325">
      <c r="A2325" t="inlineStr">
        <is>
          <t>14944937</t>
        </is>
      </c>
      <c r="B2325" t="inlineStr">
        <is>
          <t>602d845b-b63d-4a47-83a5-7c4a49fbd9eb</t>
        </is>
      </c>
      <c r="D2325" t="inlineStr">
        <is>
          <t>30001087</t>
        </is>
      </c>
      <c r="E2325" t="inlineStr">
        <is>
          <t>ussd_funeral_leads_altitude_20260619</t>
        </is>
      </c>
      <c r="J2325" t="inlineStr">
        <is>
          <t>AA</t>
        </is>
      </c>
      <c r="K2325" t="inlineStr">
        <is>
          <t>Answering Machine Autodial</t>
        </is>
      </c>
      <c r="L2325" t="n">
        <v>3</v>
      </c>
      <c r="M2325" t="inlineStr">
        <is>
          <t>2026-06-23 13:15:45</t>
        </is>
      </c>
      <c r="N2325" t="inlineStr">
        <is>
          <t>system</t>
        </is>
      </c>
      <c r="O2325" t="inlineStr">
        <is>
          <t>2026-06-19 07:10:32</t>
        </is>
      </c>
      <c r="P2325" t="inlineStr">
        <is>
          <t>2026-06-19 07:10:32</t>
        </is>
      </c>
      <c r="Y2325" t="inlineStr">
        <is>
          <t>27799261771</t>
        </is>
      </c>
    </row>
    <row r="2326">
      <c r="A2326" t="inlineStr">
        <is>
          <t>14944938</t>
        </is>
      </c>
      <c r="B2326" t="inlineStr">
        <is>
          <t>9de13017-2fd1-4dee-b4b8-c7d2540fad7b</t>
        </is>
      </c>
      <c r="D2326" t="inlineStr">
        <is>
          <t>30001087</t>
        </is>
      </c>
      <c r="E2326" t="inlineStr">
        <is>
          <t>ussd_funeral_leads_altitude_20260619</t>
        </is>
      </c>
      <c r="J2326" t="inlineStr">
        <is>
          <t>ADC</t>
        </is>
      </c>
      <c r="K2326" t="inlineStr">
        <is>
          <t>Auto Dial Disconnected</t>
        </is>
      </c>
      <c r="L2326" t="n">
        <v>3</v>
      </c>
      <c r="M2326" t="inlineStr">
        <is>
          <t>2026-06-23 13:15:45</t>
        </is>
      </c>
      <c r="N2326" t="inlineStr">
        <is>
          <t>system</t>
        </is>
      </c>
      <c r="O2326" t="inlineStr">
        <is>
          <t>2026-06-19 07:10:32</t>
        </is>
      </c>
      <c r="P2326" t="inlineStr">
        <is>
          <t>2026-06-19 07:10:32</t>
        </is>
      </c>
      <c r="Y2326" t="inlineStr">
        <is>
          <t>27725028208</t>
        </is>
      </c>
    </row>
    <row r="2327">
      <c r="A2327" t="inlineStr">
        <is>
          <t>14944933</t>
        </is>
      </c>
      <c r="B2327" t="inlineStr">
        <is>
          <t>73b1d198-6b56-438f-9dd1-143f8146f910</t>
        </is>
      </c>
      <c r="D2327" t="inlineStr">
        <is>
          <t>30001087</t>
        </is>
      </c>
      <c r="E2327" t="inlineStr">
        <is>
          <t>ussd_funeral_leads_altitude_20260619</t>
        </is>
      </c>
      <c r="J2327" t="inlineStr">
        <is>
          <t>AA</t>
        </is>
      </c>
      <c r="K2327" t="inlineStr">
        <is>
          <t>Answering Machine Autodial</t>
        </is>
      </c>
      <c r="L2327" t="n">
        <v>3</v>
      </c>
      <c r="M2327" t="inlineStr">
        <is>
          <t>2026-06-23 13:15:44</t>
        </is>
      </c>
      <c r="N2327" t="inlineStr">
        <is>
          <t>system</t>
        </is>
      </c>
      <c r="O2327" t="inlineStr">
        <is>
          <t>2026-06-19 07:10:32</t>
        </is>
      </c>
      <c r="P2327" t="inlineStr">
        <is>
          <t>2026-06-19 07:10:32</t>
        </is>
      </c>
      <c r="Y2327" t="inlineStr">
        <is>
          <t>27608130462</t>
        </is>
      </c>
    </row>
    <row r="2328">
      <c r="A2328" t="inlineStr">
        <is>
          <t>14944934</t>
        </is>
      </c>
      <c r="B2328" t="inlineStr">
        <is>
          <t>f004805d-a3a9-4c1f-98c9-92019772f47e</t>
        </is>
      </c>
      <c r="D2328" t="inlineStr">
        <is>
          <t>30001087</t>
        </is>
      </c>
      <c r="E2328" t="inlineStr">
        <is>
          <t>ussd_funeral_leads_altitude_20260619</t>
        </is>
      </c>
      <c r="J2328" t="inlineStr">
        <is>
          <t>AA</t>
        </is>
      </c>
      <c r="K2328" t="inlineStr">
        <is>
          <t>Answering Machine Autodial</t>
        </is>
      </c>
      <c r="L2328" t="n">
        <v>3</v>
      </c>
      <c r="M2328" t="inlineStr">
        <is>
          <t>2026-06-23 13:15:44</t>
        </is>
      </c>
      <c r="N2328" t="inlineStr">
        <is>
          <t>system</t>
        </is>
      </c>
      <c r="O2328" t="inlineStr">
        <is>
          <t>2026-06-19 07:10:32</t>
        </is>
      </c>
      <c r="P2328" t="inlineStr">
        <is>
          <t>2026-06-19 07:10:32</t>
        </is>
      </c>
      <c r="Y2328" t="inlineStr">
        <is>
          <t>27761766438</t>
        </is>
      </c>
    </row>
    <row r="2329">
      <c r="A2329" t="inlineStr">
        <is>
          <t>14944935</t>
        </is>
      </c>
      <c r="B2329" t="inlineStr">
        <is>
          <t>afb3432f-3635-4d1d-95f5-8ca617d71b29</t>
        </is>
      </c>
      <c r="D2329" t="inlineStr">
        <is>
          <t>30001087</t>
        </is>
      </c>
      <c r="E2329" t="inlineStr">
        <is>
          <t>ussd_funeral_leads_altitude_20260619</t>
        </is>
      </c>
      <c r="J2329" t="inlineStr">
        <is>
          <t>AA</t>
        </is>
      </c>
      <c r="K2329" t="inlineStr">
        <is>
          <t>Answering Machine Autodial</t>
        </is>
      </c>
      <c r="L2329" t="n">
        <v>3</v>
      </c>
      <c r="M2329" t="inlineStr">
        <is>
          <t>2026-06-23 13:15:44</t>
        </is>
      </c>
      <c r="N2329" t="inlineStr">
        <is>
          <t>system</t>
        </is>
      </c>
      <c r="O2329" t="inlineStr">
        <is>
          <t>2026-06-19 07:10:32</t>
        </is>
      </c>
      <c r="P2329" t="inlineStr">
        <is>
          <t>2026-06-19 07:10:32</t>
        </is>
      </c>
      <c r="Y2329" t="inlineStr">
        <is>
          <t>27637075092</t>
        </is>
      </c>
    </row>
    <row r="2330">
      <c r="A2330" t="inlineStr">
        <is>
          <t>14947749</t>
        </is>
      </c>
      <c r="B2330" t="inlineStr">
        <is>
          <t>9539093b-229b-4258-8c54-3a168a231179</t>
        </is>
      </c>
      <c r="D2330" t="inlineStr">
        <is>
          <t>30001087</t>
        </is>
      </c>
      <c r="E2330" t="inlineStr">
        <is>
          <t>ussd_funeral_leads_altitude_20260619</t>
        </is>
      </c>
      <c r="J2330" t="inlineStr">
        <is>
          <t>AA</t>
        </is>
      </c>
      <c r="K2330" t="inlineStr">
        <is>
          <t>Answering Machine Autodial</t>
        </is>
      </c>
      <c r="L2330" t="n">
        <v>3</v>
      </c>
      <c r="M2330" t="inlineStr">
        <is>
          <t>2026-06-23 13:15:44</t>
        </is>
      </c>
      <c r="N2330" t="inlineStr">
        <is>
          <t>system</t>
        </is>
      </c>
      <c r="O2330" t="inlineStr">
        <is>
          <t>2026-06-19 07:10:32</t>
        </is>
      </c>
      <c r="P2330" t="inlineStr">
        <is>
          <t>2026-06-19 07:10:32</t>
        </is>
      </c>
      <c r="Y2330" t="inlineStr">
        <is>
          <t>27790340412</t>
        </is>
      </c>
    </row>
    <row r="2331">
      <c r="A2331" t="inlineStr">
        <is>
          <t>14944986</t>
        </is>
      </c>
      <c r="B2331" t="inlineStr">
        <is>
          <t>292c8528-5ef6-4a67-9abe-d16b524088de</t>
        </is>
      </c>
      <c r="D2331" t="inlineStr">
        <is>
          <t>30001087</t>
        </is>
      </c>
      <c r="E2331" t="inlineStr">
        <is>
          <t>ussd_funeral_leads_altitude_20260619</t>
        </is>
      </c>
      <c r="J2331" t="inlineStr">
        <is>
          <t>AA</t>
        </is>
      </c>
      <c r="K2331" t="inlineStr">
        <is>
          <t>Answering Machine Autodial</t>
        </is>
      </c>
      <c r="L2331" t="n">
        <v>3</v>
      </c>
      <c r="M2331" t="inlineStr">
        <is>
          <t>2026-06-23 13:15:13</t>
        </is>
      </c>
      <c r="N2331" t="inlineStr">
        <is>
          <t>system</t>
        </is>
      </c>
      <c r="O2331" t="inlineStr">
        <is>
          <t>2026-06-19 07:10:32</t>
        </is>
      </c>
      <c r="P2331" t="inlineStr">
        <is>
          <t>2026-06-19 07:10:32</t>
        </is>
      </c>
      <c r="Y2331" t="inlineStr">
        <is>
          <t>27636023322</t>
        </is>
      </c>
    </row>
    <row r="2332">
      <c r="A2332" t="inlineStr">
        <is>
          <t>14944988</t>
        </is>
      </c>
      <c r="B2332" t="inlineStr">
        <is>
          <t>a6a811c6-9e00-4104-aa56-7cf272a49bdf</t>
        </is>
      </c>
      <c r="D2332" t="inlineStr">
        <is>
          <t>30001087</t>
        </is>
      </c>
      <c r="E2332" t="inlineStr">
        <is>
          <t>ussd_funeral_leads_altitude_20260619</t>
        </is>
      </c>
      <c r="J2332" t="inlineStr">
        <is>
          <t>AA</t>
        </is>
      </c>
      <c r="K2332" t="inlineStr">
        <is>
          <t>Answering Machine Autodial</t>
        </is>
      </c>
      <c r="L2332" t="n">
        <v>3</v>
      </c>
      <c r="M2332" t="inlineStr">
        <is>
          <t>2026-06-23 13:15:13</t>
        </is>
      </c>
      <c r="N2332" t="inlineStr">
        <is>
          <t>system</t>
        </is>
      </c>
      <c r="O2332" t="inlineStr">
        <is>
          <t>2026-06-19 07:10:32</t>
        </is>
      </c>
      <c r="P2332" t="inlineStr">
        <is>
          <t>2026-06-19 07:10:32</t>
        </is>
      </c>
      <c r="Y2332" t="inlineStr">
        <is>
          <t>27721235707</t>
        </is>
      </c>
    </row>
    <row r="2333">
      <c r="A2333" t="inlineStr">
        <is>
          <t>14944981</t>
        </is>
      </c>
      <c r="B2333" t="inlineStr">
        <is>
          <t>b476cceb-8c43-485b-ae66-66cafdd38b30</t>
        </is>
      </c>
      <c r="D2333" t="inlineStr">
        <is>
          <t>30001087</t>
        </is>
      </c>
      <c r="E2333" t="inlineStr">
        <is>
          <t>ussd_funeral_leads_altitude_20260619</t>
        </is>
      </c>
      <c r="J2333" t="inlineStr">
        <is>
          <t>AA</t>
        </is>
      </c>
      <c r="K2333" t="inlineStr">
        <is>
          <t>Answering Machine Autodial</t>
        </is>
      </c>
      <c r="L2333" t="n">
        <v>3</v>
      </c>
      <c r="M2333" t="inlineStr">
        <is>
          <t>2026-06-23 13:15:07</t>
        </is>
      </c>
      <c r="N2333" t="inlineStr">
        <is>
          <t>system</t>
        </is>
      </c>
      <c r="O2333" t="inlineStr">
        <is>
          <t>2026-06-19 07:10:32</t>
        </is>
      </c>
      <c r="P2333" t="inlineStr">
        <is>
          <t>2026-06-19 07:10:32</t>
        </is>
      </c>
      <c r="Y2333" t="inlineStr">
        <is>
          <t>27724728578</t>
        </is>
      </c>
    </row>
    <row r="2334">
      <c r="A2334" t="inlineStr">
        <is>
          <t>14944982</t>
        </is>
      </c>
      <c r="B2334" t="inlineStr">
        <is>
          <t>d0e07bdd-5869-4544-b70d-c8acc7648e63</t>
        </is>
      </c>
      <c r="D2334" t="inlineStr">
        <is>
          <t>30001087</t>
        </is>
      </c>
      <c r="E2334" t="inlineStr">
        <is>
          <t>ussd_funeral_leads_altitude_20260619</t>
        </is>
      </c>
      <c r="J2334" t="inlineStr">
        <is>
          <t>AA</t>
        </is>
      </c>
      <c r="K2334" t="inlineStr">
        <is>
          <t>Answering Machine Autodial</t>
        </is>
      </c>
      <c r="L2334" t="n">
        <v>3</v>
      </c>
      <c r="M2334" t="inlineStr">
        <is>
          <t>2026-06-23 13:15:07</t>
        </is>
      </c>
      <c r="N2334" t="inlineStr">
        <is>
          <t>system</t>
        </is>
      </c>
      <c r="O2334" t="inlineStr">
        <is>
          <t>2026-06-19 07:10:32</t>
        </is>
      </c>
      <c r="P2334" t="inlineStr">
        <is>
          <t>2026-06-19 07:10:32</t>
        </is>
      </c>
      <c r="Y2334" t="inlineStr">
        <is>
          <t>27665466448</t>
        </is>
      </c>
    </row>
    <row r="2335">
      <c r="A2335" t="inlineStr">
        <is>
          <t>14900000</t>
        </is>
      </c>
      <c r="B2335" t="inlineStr">
        <is>
          <t>4e893e03-27d4-459e-8023-bc9f275bbcce</t>
        </is>
      </c>
      <c r="D2335" t="inlineStr">
        <is>
          <t>30001087</t>
        </is>
      </c>
      <c r="E2335" t="inlineStr">
        <is>
          <t>ussd_funeral_leads_altitude_20260619</t>
        </is>
      </c>
      <c r="J2335" t="inlineStr">
        <is>
          <t>TDN</t>
        </is>
      </c>
      <c r="K2335" t="inlineStr">
        <is>
          <t>Temporary Disconnected Number</t>
        </is>
      </c>
      <c r="L2335" t="n">
        <v>3</v>
      </c>
      <c r="M2335" t="inlineStr">
        <is>
          <t>2026-06-23 13:15:07</t>
        </is>
      </c>
      <c r="N2335" t="inlineStr">
        <is>
          <t>system</t>
        </is>
      </c>
      <c r="O2335" t="inlineStr">
        <is>
          <t>2026-06-19 07:10:32</t>
        </is>
      </c>
      <c r="P2335" t="inlineStr">
        <is>
          <t>2026-06-19 07:10:32</t>
        </is>
      </c>
      <c r="Y2335" t="inlineStr">
        <is>
          <t>27765524092</t>
        </is>
      </c>
    </row>
    <row r="2336">
      <c r="A2336" t="inlineStr">
        <is>
          <t>14944984</t>
        </is>
      </c>
      <c r="B2336" t="inlineStr">
        <is>
          <t>cfd5e279-ffd2-4d2d-ae15-cf2a6fc17fd1</t>
        </is>
      </c>
      <c r="D2336" t="inlineStr">
        <is>
          <t>30001087</t>
        </is>
      </c>
      <c r="E2336" t="inlineStr">
        <is>
          <t>ussd_funeral_leads_altitude_20260619</t>
        </is>
      </c>
      <c r="J2336" t="inlineStr">
        <is>
          <t>ADC</t>
        </is>
      </c>
      <c r="K2336" t="inlineStr">
        <is>
          <t>Auto Dial Disconnected</t>
        </is>
      </c>
      <c r="L2336" t="n">
        <v>3</v>
      </c>
      <c r="M2336" t="inlineStr">
        <is>
          <t>2026-06-23 13:15:07</t>
        </is>
      </c>
      <c r="N2336" t="inlineStr">
        <is>
          <t>system</t>
        </is>
      </c>
      <c r="O2336" t="inlineStr">
        <is>
          <t>2026-06-19 07:10:32</t>
        </is>
      </c>
      <c r="P2336" t="inlineStr">
        <is>
          <t>2026-06-19 07:10:32</t>
        </is>
      </c>
      <c r="Y2336" t="inlineStr">
        <is>
          <t>27824218249</t>
        </is>
      </c>
    </row>
    <row r="2337">
      <c r="A2337" t="inlineStr">
        <is>
          <t>14944985</t>
        </is>
      </c>
      <c r="B2337" t="inlineStr">
        <is>
          <t>c851c924-4403-4450-b447-028f066d9021</t>
        </is>
      </c>
      <c r="D2337" t="inlineStr">
        <is>
          <t>30001087</t>
        </is>
      </c>
      <c r="E2337" t="inlineStr">
        <is>
          <t>ussd_funeral_leads_altitude_20260619</t>
        </is>
      </c>
      <c r="J2337" t="inlineStr">
        <is>
          <t>CU</t>
        </is>
      </c>
      <c r="K2337" t="inlineStr">
        <is>
          <t>Client Hung Up</t>
        </is>
      </c>
      <c r="L2337" t="n">
        <v>3</v>
      </c>
      <c r="M2337" t="inlineStr">
        <is>
          <t>2026-06-23 13:15:07</t>
        </is>
      </c>
      <c r="N2337" t="inlineStr">
        <is>
          <t>Dimakatso Nkomo</t>
        </is>
      </c>
      <c r="O2337" t="inlineStr">
        <is>
          <t>2026-06-19 07:10:32</t>
        </is>
      </c>
      <c r="P2337" t="inlineStr">
        <is>
          <t>2026-06-19 07:10:32</t>
        </is>
      </c>
      <c r="Y2337" t="inlineStr">
        <is>
          <t>27712586381</t>
        </is>
      </c>
    </row>
    <row r="2338">
      <c r="A2338" t="inlineStr">
        <is>
          <t>14944980</t>
        </is>
      </c>
      <c r="B2338" t="inlineStr">
        <is>
          <t>cae08e44-5630-4543-96e1-4f8b1ade41ec</t>
        </is>
      </c>
      <c r="D2338" t="inlineStr">
        <is>
          <t>30001087</t>
        </is>
      </c>
      <c r="E2338" t="inlineStr">
        <is>
          <t>ussd_funeral_leads_altitude_20260619</t>
        </is>
      </c>
      <c r="J2338" t="inlineStr">
        <is>
          <t>NA</t>
        </is>
      </c>
      <c r="K2338" t="inlineStr">
        <is>
          <t>No Answer Autodial</t>
        </is>
      </c>
      <c r="L2338" t="n">
        <v>3</v>
      </c>
      <c r="M2338" t="inlineStr">
        <is>
          <t>2026-06-23 13:15:04</t>
        </is>
      </c>
      <c r="N2338" t="inlineStr">
        <is>
          <t>system</t>
        </is>
      </c>
      <c r="O2338" t="inlineStr">
        <is>
          <t>2026-06-19 07:10:32</t>
        </is>
      </c>
      <c r="P2338" t="inlineStr">
        <is>
          <t>2026-06-19 07:10:32</t>
        </is>
      </c>
      <c r="Y2338" t="inlineStr">
        <is>
          <t>27773566130</t>
        </is>
      </c>
    </row>
    <row r="2339">
      <c r="A2339" t="inlineStr">
        <is>
          <t>14944979</t>
        </is>
      </c>
      <c r="B2339" t="inlineStr">
        <is>
          <t>5a374d1b-7de4-4ab9-a785-516c8bff3a7f</t>
        </is>
      </c>
      <c r="D2339" t="inlineStr">
        <is>
          <t>30001087</t>
        </is>
      </c>
      <c r="E2339" t="inlineStr">
        <is>
          <t>ussd_funeral_leads_altitude_20260619</t>
        </is>
      </c>
      <c r="J2339" t="inlineStr">
        <is>
          <t>ADC</t>
        </is>
      </c>
      <c r="K2339" t="inlineStr">
        <is>
          <t>Auto Dial Disconnected</t>
        </is>
      </c>
      <c r="L2339" t="n">
        <v>3</v>
      </c>
      <c r="M2339" t="inlineStr">
        <is>
          <t>2026-06-23 13:14:49</t>
        </is>
      </c>
      <c r="N2339" t="inlineStr">
        <is>
          <t>system</t>
        </is>
      </c>
      <c r="O2339" t="inlineStr">
        <is>
          <t>2026-06-19 07:10:32</t>
        </is>
      </c>
      <c r="P2339" t="inlineStr">
        <is>
          <t>2026-06-19 07:10:32</t>
        </is>
      </c>
      <c r="Y2339" t="inlineStr">
        <is>
          <t>27824692982</t>
        </is>
      </c>
    </row>
    <row r="2340">
      <c r="A2340" t="inlineStr">
        <is>
          <t>14944977</t>
        </is>
      </c>
      <c r="B2340" t="inlineStr">
        <is>
          <t>82392367-8350-4214-9d06-fa4cd545e361</t>
        </is>
      </c>
      <c r="D2340" t="inlineStr">
        <is>
          <t>30001087</t>
        </is>
      </c>
      <c r="E2340" t="inlineStr">
        <is>
          <t>ussd_funeral_leads_altitude_20260619</t>
        </is>
      </c>
      <c r="J2340" t="inlineStr">
        <is>
          <t>AA</t>
        </is>
      </c>
      <c r="K2340" t="inlineStr">
        <is>
          <t>Answering Machine Autodial</t>
        </is>
      </c>
      <c r="L2340" t="n">
        <v>3</v>
      </c>
      <c r="M2340" t="inlineStr">
        <is>
          <t>2026-06-23 13:14:37</t>
        </is>
      </c>
      <c r="N2340" t="inlineStr">
        <is>
          <t>system</t>
        </is>
      </c>
      <c r="O2340" t="inlineStr">
        <is>
          <t>2026-06-19 07:10:32</t>
        </is>
      </c>
      <c r="P2340" t="inlineStr">
        <is>
          <t>2026-06-19 07:10:32</t>
        </is>
      </c>
      <c r="Y2340" t="inlineStr">
        <is>
          <t>27768870909</t>
        </is>
      </c>
    </row>
    <row r="2341">
      <c r="A2341" t="inlineStr">
        <is>
          <t>14944978</t>
        </is>
      </c>
      <c r="B2341" t="inlineStr">
        <is>
          <t>b5b73454-9730-4df5-864a-ec3a8964ea28</t>
        </is>
      </c>
      <c r="D2341" t="inlineStr">
        <is>
          <t>30001087</t>
        </is>
      </c>
      <c r="E2341" t="inlineStr">
        <is>
          <t>ussd_funeral_leads_altitude_20260619</t>
        </is>
      </c>
      <c r="J2341" t="inlineStr">
        <is>
          <t>AA</t>
        </is>
      </c>
      <c r="K2341" t="inlineStr">
        <is>
          <t>Answering Machine Autodial</t>
        </is>
      </c>
      <c r="L2341" t="n">
        <v>3</v>
      </c>
      <c r="M2341" t="inlineStr">
        <is>
          <t>2026-06-23 13:14:37</t>
        </is>
      </c>
      <c r="N2341" t="inlineStr">
        <is>
          <t>system</t>
        </is>
      </c>
      <c r="O2341" t="inlineStr">
        <is>
          <t>2026-06-19 07:10:32</t>
        </is>
      </c>
      <c r="P2341" t="inlineStr">
        <is>
          <t>2026-06-19 07:10:32</t>
        </is>
      </c>
      <c r="Y2341" t="inlineStr">
        <is>
          <t>27774884091</t>
        </is>
      </c>
    </row>
    <row r="2342">
      <c r="A2342" t="inlineStr">
        <is>
          <t>14944976</t>
        </is>
      </c>
      <c r="B2342" t="inlineStr">
        <is>
          <t>398526ae-78a8-496a-8297-612ed427cff2</t>
        </is>
      </c>
      <c r="D2342" t="inlineStr">
        <is>
          <t>30001087</t>
        </is>
      </c>
      <c r="E2342" t="inlineStr">
        <is>
          <t>ussd_funeral_leads_altitude_20260619</t>
        </is>
      </c>
      <c r="J2342" t="inlineStr">
        <is>
          <t>NA</t>
        </is>
      </c>
      <c r="K2342" t="inlineStr">
        <is>
          <t>No Answer Autodial</t>
        </is>
      </c>
      <c r="L2342" t="n">
        <v>3</v>
      </c>
      <c r="M2342" t="inlineStr">
        <is>
          <t>2026-06-23 13:14:34</t>
        </is>
      </c>
      <c r="N2342" t="inlineStr">
        <is>
          <t>system</t>
        </is>
      </c>
      <c r="O2342" t="inlineStr">
        <is>
          <t>2026-06-19 07:10:32</t>
        </is>
      </c>
      <c r="P2342" t="inlineStr">
        <is>
          <t>2026-06-19 07:10:32</t>
        </is>
      </c>
      <c r="Y2342" t="inlineStr">
        <is>
          <t>27765986452</t>
        </is>
      </c>
    </row>
    <row r="2343">
      <c r="A2343" t="inlineStr">
        <is>
          <t>14944973</t>
        </is>
      </c>
      <c r="B2343" t="inlineStr">
        <is>
          <t>a23f72fc-2d01-4d57-8272-acca2c02dd84</t>
        </is>
      </c>
      <c r="D2343" t="inlineStr">
        <is>
          <t>30001087</t>
        </is>
      </c>
      <c r="E2343" t="inlineStr">
        <is>
          <t>ussd_funeral_leads_altitude_20260619</t>
        </is>
      </c>
      <c r="J2343" t="inlineStr">
        <is>
          <t>AA</t>
        </is>
      </c>
      <c r="K2343" t="inlineStr">
        <is>
          <t>Answering Machine Autodial</t>
        </is>
      </c>
      <c r="L2343" t="n">
        <v>3</v>
      </c>
      <c r="M2343" t="inlineStr">
        <is>
          <t>2026-06-23 13:14:31</t>
        </is>
      </c>
      <c r="N2343" t="inlineStr">
        <is>
          <t>system</t>
        </is>
      </c>
      <c r="O2343" t="inlineStr">
        <is>
          <t>2026-06-19 07:10:32</t>
        </is>
      </c>
      <c r="P2343" t="inlineStr">
        <is>
          <t>2026-06-19 07:10:32</t>
        </is>
      </c>
      <c r="Y2343" t="inlineStr">
        <is>
          <t>27729709125</t>
        </is>
      </c>
    </row>
    <row r="2344">
      <c r="A2344" t="inlineStr">
        <is>
          <t>14944974</t>
        </is>
      </c>
      <c r="B2344" t="inlineStr">
        <is>
          <t>d9ceced1-3436-4b75-b0ca-2e99f91e5183</t>
        </is>
      </c>
      <c r="D2344" t="inlineStr">
        <is>
          <t>30001087</t>
        </is>
      </c>
      <c r="E2344" t="inlineStr">
        <is>
          <t>ussd_funeral_leads_altitude_20260619</t>
        </is>
      </c>
      <c r="J2344" t="inlineStr">
        <is>
          <t>AA</t>
        </is>
      </c>
      <c r="K2344" t="inlineStr">
        <is>
          <t>Answering Machine Autodial</t>
        </is>
      </c>
      <c r="L2344" t="n">
        <v>3</v>
      </c>
      <c r="M2344" t="inlineStr">
        <is>
          <t>2026-06-23 13:14:31</t>
        </is>
      </c>
      <c r="N2344" t="inlineStr">
        <is>
          <t>system</t>
        </is>
      </c>
      <c r="O2344" t="inlineStr">
        <is>
          <t>2026-06-19 07:10:32</t>
        </is>
      </c>
      <c r="P2344" t="inlineStr">
        <is>
          <t>2026-06-19 07:10:32</t>
        </is>
      </c>
      <c r="Y2344" t="inlineStr">
        <is>
          <t>27768339825</t>
        </is>
      </c>
    </row>
    <row r="2345">
      <c r="A2345" t="inlineStr">
        <is>
          <t>14944975</t>
        </is>
      </c>
      <c r="B2345" t="inlineStr">
        <is>
          <t>12ca4b76-9025-442e-b664-a1b16e4fd761</t>
        </is>
      </c>
      <c r="D2345" t="inlineStr">
        <is>
          <t>30001087</t>
        </is>
      </c>
      <c r="E2345" t="inlineStr">
        <is>
          <t>ussd_funeral_leads_altitude_20260619</t>
        </is>
      </c>
      <c r="J2345" t="inlineStr">
        <is>
          <t>AA</t>
        </is>
      </c>
      <c r="K2345" t="inlineStr">
        <is>
          <t>Answering Machine Autodial</t>
        </is>
      </c>
      <c r="L2345" t="n">
        <v>3</v>
      </c>
      <c r="M2345" t="inlineStr">
        <is>
          <t>2026-06-23 13:14:31</t>
        </is>
      </c>
      <c r="N2345" t="inlineStr">
        <is>
          <t>system</t>
        </is>
      </c>
      <c r="O2345" t="inlineStr">
        <is>
          <t>2026-06-19 07:10:32</t>
        </is>
      </c>
      <c r="P2345" t="inlineStr">
        <is>
          <t>2026-06-19 07:10:32</t>
        </is>
      </c>
      <c r="Y2345" t="inlineStr">
        <is>
          <t>27724235279</t>
        </is>
      </c>
    </row>
    <row r="2346">
      <c r="A2346" t="inlineStr">
        <is>
          <t>14944969</t>
        </is>
      </c>
      <c r="B2346" t="inlineStr">
        <is>
          <t>0dd518b6-b6fc-47f8-9545-8826be0ca40b</t>
        </is>
      </c>
      <c r="D2346" t="inlineStr">
        <is>
          <t>30001087</t>
        </is>
      </c>
      <c r="E2346" t="inlineStr">
        <is>
          <t>ussd_funeral_leads_altitude_20260619</t>
        </is>
      </c>
      <c r="J2346" t="inlineStr">
        <is>
          <t>NA</t>
        </is>
      </c>
      <c r="K2346" t="inlineStr">
        <is>
          <t>No Answer Autodial</t>
        </is>
      </c>
      <c r="L2346" t="n">
        <v>3</v>
      </c>
      <c r="M2346" t="inlineStr">
        <is>
          <t>2026-06-23 13:14:30</t>
        </is>
      </c>
      <c r="N2346" t="inlineStr">
        <is>
          <t>system</t>
        </is>
      </c>
      <c r="O2346" t="inlineStr">
        <is>
          <t>2026-06-19 07:10:32</t>
        </is>
      </c>
      <c r="P2346" t="inlineStr">
        <is>
          <t>2026-06-19 07:10:32</t>
        </is>
      </c>
      <c r="Y2346" t="inlineStr">
        <is>
          <t>27722577447</t>
        </is>
      </c>
    </row>
    <row r="2347">
      <c r="A2347" t="inlineStr">
        <is>
          <t>14944970</t>
        </is>
      </c>
      <c r="B2347" t="inlineStr">
        <is>
          <t>fe9ccaa1-7222-469a-ac64-f0273e805c34</t>
        </is>
      </c>
      <c r="D2347" t="inlineStr">
        <is>
          <t>30001087</t>
        </is>
      </c>
      <c r="E2347" t="inlineStr">
        <is>
          <t>ussd_funeral_leads_altitude_20260619</t>
        </is>
      </c>
      <c r="J2347" t="inlineStr">
        <is>
          <t>AA</t>
        </is>
      </c>
      <c r="K2347" t="inlineStr">
        <is>
          <t>Answering Machine Autodial</t>
        </is>
      </c>
      <c r="L2347" t="n">
        <v>3</v>
      </c>
      <c r="M2347" t="inlineStr">
        <is>
          <t>2026-06-23 13:14:30</t>
        </is>
      </c>
      <c r="N2347" t="inlineStr">
        <is>
          <t>system</t>
        </is>
      </c>
      <c r="O2347" t="inlineStr">
        <is>
          <t>2026-06-19 07:10:32</t>
        </is>
      </c>
      <c r="P2347" t="inlineStr">
        <is>
          <t>2026-06-19 07:10:32</t>
        </is>
      </c>
      <c r="Y2347" t="inlineStr">
        <is>
          <t>27795024968</t>
        </is>
      </c>
    </row>
    <row r="2348">
      <c r="A2348" t="inlineStr">
        <is>
          <t>14944971</t>
        </is>
      </c>
      <c r="B2348" t="inlineStr">
        <is>
          <t>dcf60878-3144-4148-966b-9f662638f9a9</t>
        </is>
      </c>
      <c r="D2348" t="inlineStr">
        <is>
          <t>30001087</t>
        </is>
      </c>
      <c r="E2348" t="inlineStr">
        <is>
          <t>ussd_funeral_leads_altitude_20260619</t>
        </is>
      </c>
      <c r="J2348" t="inlineStr">
        <is>
          <t>AA</t>
        </is>
      </c>
      <c r="K2348" t="inlineStr">
        <is>
          <t>Answering Machine Autodial</t>
        </is>
      </c>
      <c r="L2348" t="n">
        <v>3</v>
      </c>
      <c r="M2348" t="inlineStr">
        <is>
          <t>2026-06-23 13:14:30</t>
        </is>
      </c>
      <c r="N2348" t="inlineStr">
        <is>
          <t>system</t>
        </is>
      </c>
      <c r="O2348" t="inlineStr">
        <is>
          <t>2026-06-19 07:10:32</t>
        </is>
      </c>
      <c r="P2348" t="inlineStr">
        <is>
          <t>2026-06-19 07:10:32</t>
        </is>
      </c>
      <c r="Y2348" t="inlineStr">
        <is>
          <t>27715971474</t>
        </is>
      </c>
    </row>
    <row r="2349">
      <c r="A2349" t="inlineStr">
        <is>
          <t>14944972</t>
        </is>
      </c>
      <c r="B2349" t="inlineStr">
        <is>
          <t>cb713fbe-8e58-4be0-a0cc-0d1f394a147d</t>
        </is>
      </c>
      <c r="D2349" t="inlineStr">
        <is>
          <t>30001087</t>
        </is>
      </c>
      <c r="E2349" t="inlineStr">
        <is>
          <t>ussd_funeral_leads_altitude_20260619</t>
        </is>
      </c>
      <c r="J2349" t="inlineStr">
        <is>
          <t>AA</t>
        </is>
      </c>
      <c r="K2349" t="inlineStr">
        <is>
          <t>Answering Machine Autodial</t>
        </is>
      </c>
      <c r="L2349" t="n">
        <v>3</v>
      </c>
      <c r="M2349" t="inlineStr">
        <is>
          <t>2026-06-23 13:14:30</t>
        </is>
      </c>
      <c r="N2349" t="inlineStr">
        <is>
          <t>system</t>
        </is>
      </c>
      <c r="O2349" t="inlineStr">
        <is>
          <t>2026-06-19 07:10:32</t>
        </is>
      </c>
      <c r="P2349" t="inlineStr">
        <is>
          <t>2026-06-19 07:10:32</t>
        </is>
      </c>
      <c r="Y2349" t="inlineStr">
        <is>
          <t>27795855231</t>
        </is>
      </c>
    </row>
    <row r="2350">
      <c r="A2350" t="inlineStr">
        <is>
          <t>14944966</t>
        </is>
      </c>
      <c r="B2350" t="inlineStr">
        <is>
          <t>569eceda-4e1d-4c59-9cd2-76cc5121af69</t>
        </is>
      </c>
      <c r="D2350" t="inlineStr">
        <is>
          <t>30001087</t>
        </is>
      </c>
      <c r="E2350" t="inlineStr">
        <is>
          <t>ussd_funeral_leads_altitude_20260619</t>
        </is>
      </c>
      <c r="J2350" t="inlineStr">
        <is>
          <t>A</t>
        </is>
      </c>
      <c r="K2350" t="inlineStr">
        <is>
          <t>Answering Machine</t>
        </is>
      </c>
      <c r="L2350" t="n">
        <v>3</v>
      </c>
      <c r="M2350" t="inlineStr">
        <is>
          <t>2026-06-23 13:14:29</t>
        </is>
      </c>
      <c r="N2350" t="inlineStr">
        <is>
          <t>Gontse Monageng</t>
        </is>
      </c>
      <c r="O2350" t="inlineStr">
        <is>
          <t>2026-06-19 07:10:32</t>
        </is>
      </c>
      <c r="P2350" t="inlineStr">
        <is>
          <t>2026-06-19 07:10:32</t>
        </is>
      </c>
      <c r="Y2350" t="inlineStr">
        <is>
          <t>27609776789</t>
        </is>
      </c>
    </row>
    <row r="2351">
      <c r="A2351" t="inlineStr">
        <is>
          <t>14944967</t>
        </is>
      </c>
      <c r="B2351" t="inlineStr">
        <is>
          <t>d19a1dd3-506a-46af-9291-dc03f5fb984a</t>
        </is>
      </c>
      <c r="D2351" t="inlineStr">
        <is>
          <t>30001087</t>
        </is>
      </c>
      <c r="E2351" t="inlineStr">
        <is>
          <t>ussd_funeral_leads_altitude_20260619</t>
        </is>
      </c>
      <c r="J2351" t="inlineStr">
        <is>
          <t>NA</t>
        </is>
      </c>
      <c r="K2351" t="inlineStr">
        <is>
          <t>No Answer Autodial</t>
        </is>
      </c>
      <c r="L2351" t="n">
        <v>3</v>
      </c>
      <c r="M2351" t="inlineStr">
        <is>
          <t>2026-06-23 13:14:29</t>
        </is>
      </c>
      <c r="N2351" t="inlineStr">
        <is>
          <t>system</t>
        </is>
      </c>
      <c r="O2351" t="inlineStr">
        <is>
          <t>2026-06-19 07:10:32</t>
        </is>
      </c>
      <c r="P2351" t="inlineStr">
        <is>
          <t>2026-06-19 07:10:32</t>
        </is>
      </c>
      <c r="Y2351" t="inlineStr">
        <is>
          <t>27674622236</t>
        </is>
      </c>
    </row>
    <row r="2352">
      <c r="A2352" t="inlineStr">
        <is>
          <t>14944968</t>
        </is>
      </c>
      <c r="B2352" t="inlineStr">
        <is>
          <t>540611bf-9e38-4717-b065-0eb6bfd4e65c</t>
        </is>
      </c>
      <c r="D2352" t="inlineStr">
        <is>
          <t>30001087</t>
        </is>
      </c>
      <c r="E2352" t="inlineStr">
        <is>
          <t>ussd_funeral_leads_altitude_20260619</t>
        </is>
      </c>
      <c r="J2352" t="inlineStr">
        <is>
          <t>AA</t>
        </is>
      </c>
      <c r="K2352" t="inlineStr">
        <is>
          <t>Answering Machine Autodial</t>
        </is>
      </c>
      <c r="L2352" t="n">
        <v>3</v>
      </c>
      <c r="M2352" t="inlineStr">
        <is>
          <t>2026-06-23 13:14:29</t>
        </is>
      </c>
      <c r="N2352" t="inlineStr">
        <is>
          <t>system</t>
        </is>
      </c>
      <c r="O2352" t="inlineStr">
        <is>
          <t>2026-06-19 07:10:32</t>
        </is>
      </c>
      <c r="P2352" t="inlineStr">
        <is>
          <t>2026-06-19 07:10:32</t>
        </is>
      </c>
      <c r="Y2352" t="inlineStr">
        <is>
          <t>27647233654</t>
        </is>
      </c>
    </row>
    <row r="2353">
      <c r="A2353" t="inlineStr">
        <is>
          <t>14947747</t>
        </is>
      </c>
      <c r="B2353" t="inlineStr">
        <is>
          <t>3c6f3c78-ba99-4343-84de-cce290fa3a80</t>
        </is>
      </c>
      <c r="D2353" t="inlineStr">
        <is>
          <t>30001087</t>
        </is>
      </c>
      <c r="E2353" t="inlineStr">
        <is>
          <t>ussd_funeral_leads_altitude_20260619</t>
        </is>
      </c>
      <c r="J2353" t="inlineStr">
        <is>
          <t>AA</t>
        </is>
      </c>
      <c r="K2353" t="inlineStr">
        <is>
          <t>Answering Machine Autodial</t>
        </is>
      </c>
      <c r="L2353" t="n">
        <v>3</v>
      </c>
      <c r="M2353" t="inlineStr">
        <is>
          <t>2026-06-23 13:14:29</t>
        </is>
      </c>
      <c r="N2353" t="inlineStr">
        <is>
          <t>system</t>
        </is>
      </c>
      <c r="O2353" t="inlineStr">
        <is>
          <t>2026-06-19 07:10:32</t>
        </is>
      </c>
      <c r="P2353" t="inlineStr">
        <is>
          <t>2026-06-19 07:10:32</t>
        </is>
      </c>
      <c r="Y2353" t="inlineStr">
        <is>
          <t>27827279850</t>
        </is>
      </c>
    </row>
    <row r="2354">
      <c r="A2354" t="inlineStr">
        <is>
          <t>14945018</t>
        </is>
      </c>
      <c r="B2354" t="inlineStr">
        <is>
          <t>8bba9299-301b-4472-a483-fb329d5b0840</t>
        </is>
      </c>
      <c r="D2354" t="inlineStr">
        <is>
          <t>30001087</t>
        </is>
      </c>
      <c r="E2354" t="inlineStr">
        <is>
          <t>ussd_funeral_leads_altitude_20260619</t>
        </is>
      </c>
      <c r="H2354" t="inlineStr">
        <is>
          <t>27729436927</t>
        </is>
      </c>
      <c r="J2354" t="inlineStr">
        <is>
          <t>CU</t>
        </is>
      </c>
      <c r="K2354" t="inlineStr">
        <is>
          <t>Client Hung Up</t>
        </is>
      </c>
      <c r="L2354" t="n">
        <v>3</v>
      </c>
      <c r="M2354" t="inlineStr">
        <is>
          <t>2026-06-23 13:14:17</t>
        </is>
      </c>
      <c r="N2354" t="inlineStr">
        <is>
          <t>Lebohang Mabotja</t>
        </is>
      </c>
      <c r="O2354" t="inlineStr">
        <is>
          <t>2026-06-19 07:10:32</t>
        </is>
      </c>
      <c r="P2354" t="inlineStr">
        <is>
          <t>2026-06-19 07:10:32</t>
        </is>
      </c>
      <c r="Y2354" t="inlineStr">
        <is>
          <t>27729436927</t>
        </is>
      </c>
    </row>
    <row r="2355">
      <c r="A2355" t="inlineStr">
        <is>
          <t>14945034</t>
        </is>
      </c>
      <c r="B2355" t="inlineStr">
        <is>
          <t>5ae07e6d-c8e0-4d5a-96c7-75dcd997bc9d</t>
        </is>
      </c>
      <c r="D2355" t="inlineStr">
        <is>
          <t>30001087</t>
        </is>
      </c>
      <c r="E2355" t="inlineStr">
        <is>
          <t>ussd_funeral_leads_altitude_20260619</t>
        </is>
      </c>
      <c r="J2355" t="inlineStr">
        <is>
          <t>AA</t>
        </is>
      </c>
      <c r="K2355" t="inlineStr">
        <is>
          <t>Answering Machine Autodial</t>
        </is>
      </c>
      <c r="L2355" t="n">
        <v>3</v>
      </c>
      <c r="M2355" t="inlineStr">
        <is>
          <t>2026-06-23 13:14:15</t>
        </is>
      </c>
      <c r="N2355" t="inlineStr">
        <is>
          <t>system</t>
        </is>
      </c>
      <c r="O2355" t="inlineStr">
        <is>
          <t>2026-06-19 07:10:32</t>
        </is>
      </c>
      <c r="P2355" t="inlineStr">
        <is>
          <t>2026-06-19 07:10:32</t>
        </is>
      </c>
      <c r="Y2355" t="inlineStr">
        <is>
          <t>27723233028</t>
        </is>
      </c>
    </row>
    <row r="2356">
      <c r="A2356" t="inlineStr">
        <is>
          <t>14945032</t>
        </is>
      </c>
      <c r="B2356" t="inlineStr">
        <is>
          <t>29c4c6d6-1d57-41de-ad18-3f83f5ed4750</t>
        </is>
      </c>
      <c r="D2356" t="inlineStr">
        <is>
          <t>30001087</t>
        </is>
      </c>
      <c r="E2356" t="inlineStr">
        <is>
          <t>ussd_funeral_leads_altitude_20260619</t>
        </is>
      </c>
      <c r="J2356" t="inlineStr">
        <is>
          <t>AA</t>
        </is>
      </c>
      <c r="K2356" t="inlineStr">
        <is>
          <t>Answering Machine Autodial</t>
        </is>
      </c>
      <c r="L2356" t="n">
        <v>3</v>
      </c>
      <c r="M2356" t="inlineStr">
        <is>
          <t>2026-06-23 13:14:13</t>
        </is>
      </c>
      <c r="N2356" t="inlineStr">
        <is>
          <t>system</t>
        </is>
      </c>
      <c r="O2356" t="inlineStr">
        <is>
          <t>2026-06-19 07:10:32</t>
        </is>
      </c>
      <c r="P2356" t="inlineStr">
        <is>
          <t>2026-06-19 07:10:32</t>
        </is>
      </c>
      <c r="Y2356" t="inlineStr">
        <is>
          <t>27723217742</t>
        </is>
      </c>
    </row>
    <row r="2357">
      <c r="A2357" t="inlineStr">
        <is>
          <t>14945033</t>
        </is>
      </c>
      <c r="B2357" t="inlineStr">
        <is>
          <t>0a1ad103-43ac-4b7a-8d32-69efea556fcd</t>
        </is>
      </c>
      <c r="D2357" t="inlineStr">
        <is>
          <t>30001087</t>
        </is>
      </c>
      <c r="E2357" t="inlineStr">
        <is>
          <t>ussd_funeral_leads_altitude_20260619</t>
        </is>
      </c>
      <c r="J2357" t="inlineStr">
        <is>
          <t>AA</t>
        </is>
      </c>
      <c r="K2357" t="inlineStr">
        <is>
          <t>Answering Machine Autodial</t>
        </is>
      </c>
      <c r="L2357" t="n">
        <v>3</v>
      </c>
      <c r="M2357" t="inlineStr">
        <is>
          <t>2026-06-23 13:14:13</t>
        </is>
      </c>
      <c r="N2357" t="inlineStr">
        <is>
          <t>system</t>
        </is>
      </c>
      <c r="O2357" t="inlineStr">
        <is>
          <t>2026-06-19 07:10:32</t>
        </is>
      </c>
      <c r="P2357" t="inlineStr">
        <is>
          <t>2026-06-19 07:10:32</t>
        </is>
      </c>
      <c r="Y2357" t="inlineStr">
        <is>
          <t>27606364472</t>
        </is>
      </c>
    </row>
    <row r="2358">
      <c r="A2358" t="inlineStr">
        <is>
          <t>14945030</t>
        </is>
      </c>
      <c r="B2358" t="inlineStr">
        <is>
          <t>155b4afb-b17e-4e51-b70a-9b9007ce20ee</t>
        </is>
      </c>
      <c r="D2358" t="inlineStr">
        <is>
          <t>30001087</t>
        </is>
      </c>
      <c r="E2358" t="inlineStr">
        <is>
          <t>ussd_funeral_leads_altitude_20260619</t>
        </is>
      </c>
      <c r="J2358" t="inlineStr">
        <is>
          <t>AA</t>
        </is>
      </c>
      <c r="K2358" t="inlineStr">
        <is>
          <t>Answering Machine Autodial</t>
        </is>
      </c>
      <c r="L2358" t="n">
        <v>3</v>
      </c>
      <c r="M2358" t="inlineStr">
        <is>
          <t>2026-06-23 13:14:12</t>
        </is>
      </c>
      <c r="N2358" t="inlineStr">
        <is>
          <t>system</t>
        </is>
      </c>
      <c r="O2358" t="inlineStr">
        <is>
          <t>2026-06-19 07:10:32</t>
        </is>
      </c>
      <c r="P2358" t="inlineStr">
        <is>
          <t>2026-06-19 07:10:32</t>
        </is>
      </c>
      <c r="Y2358" t="inlineStr">
        <is>
          <t>27674874515</t>
        </is>
      </c>
    </row>
    <row r="2359">
      <c r="A2359" t="inlineStr">
        <is>
          <t>14945028</t>
        </is>
      </c>
      <c r="B2359" t="inlineStr">
        <is>
          <t>7f1c4e0b-8e57-4c1d-80c0-1e69d6c9c10f</t>
        </is>
      </c>
      <c r="D2359" t="inlineStr">
        <is>
          <t>30001087</t>
        </is>
      </c>
      <c r="E2359" t="inlineStr">
        <is>
          <t>ussd_funeral_leads_altitude_20260619</t>
        </is>
      </c>
      <c r="J2359" t="inlineStr">
        <is>
          <t>AA</t>
        </is>
      </c>
      <c r="K2359" t="inlineStr">
        <is>
          <t>Answering Machine Autodial</t>
        </is>
      </c>
      <c r="L2359" t="n">
        <v>3</v>
      </c>
      <c r="M2359" t="inlineStr">
        <is>
          <t>2026-06-23 13:14:09</t>
        </is>
      </c>
      <c r="N2359" t="inlineStr">
        <is>
          <t>system</t>
        </is>
      </c>
      <c r="O2359" t="inlineStr">
        <is>
          <t>2026-06-19 07:10:32</t>
        </is>
      </c>
      <c r="P2359" t="inlineStr">
        <is>
          <t>2026-06-19 07:10:32</t>
        </is>
      </c>
      <c r="Y2359" t="inlineStr">
        <is>
          <t>27765155877</t>
        </is>
      </c>
    </row>
    <row r="2360">
      <c r="A2360" t="inlineStr">
        <is>
          <t>14945029</t>
        </is>
      </c>
      <c r="B2360" t="inlineStr">
        <is>
          <t>d1f2c38d-0699-45b7-8ce3-b946875dcc69</t>
        </is>
      </c>
      <c r="D2360" t="inlineStr">
        <is>
          <t>30001087</t>
        </is>
      </c>
      <c r="E2360" t="inlineStr">
        <is>
          <t>ussd_funeral_leads_altitude_20260619</t>
        </is>
      </c>
      <c r="J2360" t="inlineStr">
        <is>
          <t>TDN</t>
        </is>
      </c>
      <c r="K2360" t="inlineStr">
        <is>
          <t>Temporary Disconnected Number</t>
        </is>
      </c>
      <c r="L2360" t="n">
        <v>3</v>
      </c>
      <c r="M2360" t="inlineStr">
        <is>
          <t>2026-06-23 13:14:09</t>
        </is>
      </c>
      <c r="N2360" t="inlineStr">
        <is>
          <t>system</t>
        </is>
      </c>
      <c r="O2360" t="inlineStr">
        <is>
          <t>2026-06-19 07:10:32</t>
        </is>
      </c>
      <c r="P2360" t="inlineStr">
        <is>
          <t>2026-06-19 07:10:32</t>
        </is>
      </c>
      <c r="Y2360" t="inlineStr">
        <is>
          <t>27660600740</t>
        </is>
      </c>
    </row>
    <row r="2361">
      <c r="A2361" t="inlineStr">
        <is>
          <t>14945024</t>
        </is>
      </c>
      <c r="B2361" t="inlineStr">
        <is>
          <t>0184a3d5-a7ed-467b-93bb-503c529c4967</t>
        </is>
      </c>
      <c r="D2361" t="inlineStr">
        <is>
          <t>30001087</t>
        </is>
      </c>
      <c r="E2361" t="inlineStr">
        <is>
          <t>ussd_funeral_leads_altitude_20260619</t>
        </is>
      </c>
      <c r="J2361" t="inlineStr">
        <is>
          <t>TDN</t>
        </is>
      </c>
      <c r="K2361" t="inlineStr">
        <is>
          <t>Temporary Disconnected Number</t>
        </is>
      </c>
      <c r="L2361" t="n">
        <v>3</v>
      </c>
      <c r="M2361" t="inlineStr">
        <is>
          <t>2026-06-23 13:14:08</t>
        </is>
      </c>
      <c r="N2361" t="inlineStr">
        <is>
          <t>system</t>
        </is>
      </c>
      <c r="O2361" t="inlineStr">
        <is>
          <t>2026-06-19 07:10:32</t>
        </is>
      </c>
      <c r="P2361" t="inlineStr">
        <is>
          <t>2026-06-19 07:10:32</t>
        </is>
      </c>
      <c r="Y2361" t="inlineStr">
        <is>
          <t>27673344901</t>
        </is>
      </c>
    </row>
    <row r="2362">
      <c r="A2362" t="inlineStr">
        <is>
          <t>14945025</t>
        </is>
      </c>
      <c r="B2362" t="inlineStr">
        <is>
          <t>23e6dbab-e09c-4ceb-8662-ac0e95b08821</t>
        </is>
      </c>
      <c r="D2362" t="inlineStr">
        <is>
          <t>30001087</t>
        </is>
      </c>
      <c r="E2362" t="inlineStr">
        <is>
          <t>ussd_funeral_leads_altitude_20260619</t>
        </is>
      </c>
      <c r="J2362" t="inlineStr">
        <is>
          <t>TDN</t>
        </is>
      </c>
      <c r="K2362" t="inlineStr">
        <is>
          <t>Temporary Disconnected Number</t>
        </is>
      </c>
      <c r="L2362" t="n">
        <v>3</v>
      </c>
      <c r="M2362" t="inlineStr">
        <is>
          <t>2026-06-23 13:14:08</t>
        </is>
      </c>
      <c r="N2362" t="inlineStr">
        <is>
          <t>system</t>
        </is>
      </c>
      <c r="O2362" t="inlineStr">
        <is>
          <t>2026-06-19 07:10:32</t>
        </is>
      </c>
      <c r="P2362" t="inlineStr">
        <is>
          <t>2026-06-19 07:10:32</t>
        </is>
      </c>
      <c r="Y2362" t="inlineStr">
        <is>
          <t>27729319112</t>
        </is>
      </c>
    </row>
    <row r="2363">
      <c r="A2363" t="inlineStr">
        <is>
          <t>14945026</t>
        </is>
      </c>
      <c r="B2363" t="inlineStr">
        <is>
          <t>486bc5f6-528a-4772-a6ad-f52a73d42b46</t>
        </is>
      </c>
      <c r="D2363" t="inlineStr">
        <is>
          <t>30001087</t>
        </is>
      </c>
      <c r="E2363" t="inlineStr">
        <is>
          <t>ussd_funeral_leads_altitude_20260619</t>
        </is>
      </c>
      <c r="J2363" t="inlineStr">
        <is>
          <t>TDN</t>
        </is>
      </c>
      <c r="K2363" t="inlineStr">
        <is>
          <t>Temporary Disconnected Number</t>
        </is>
      </c>
      <c r="L2363" t="n">
        <v>3</v>
      </c>
      <c r="M2363" t="inlineStr">
        <is>
          <t>2026-06-23 13:14:08</t>
        </is>
      </c>
      <c r="N2363" t="inlineStr">
        <is>
          <t>system</t>
        </is>
      </c>
      <c r="O2363" t="inlineStr">
        <is>
          <t>2026-06-19 07:10:32</t>
        </is>
      </c>
      <c r="P2363" t="inlineStr">
        <is>
          <t>2026-06-19 07:10:32</t>
        </is>
      </c>
      <c r="Y2363" t="inlineStr">
        <is>
          <t>27767468097</t>
        </is>
      </c>
    </row>
    <row r="2364">
      <c r="A2364" t="inlineStr">
        <is>
          <t>14945027</t>
        </is>
      </c>
      <c r="B2364" t="inlineStr">
        <is>
          <t>d3e1550b-a385-40a9-9f1e-cdfa903ab40e</t>
        </is>
      </c>
      <c r="D2364" t="inlineStr">
        <is>
          <t>30001087</t>
        </is>
      </c>
      <c r="E2364" t="inlineStr">
        <is>
          <t>ussd_funeral_leads_altitude_20260619</t>
        </is>
      </c>
      <c r="J2364" t="inlineStr">
        <is>
          <t>AA</t>
        </is>
      </c>
      <c r="K2364" t="inlineStr">
        <is>
          <t>Answering Machine Autodial</t>
        </is>
      </c>
      <c r="L2364" t="n">
        <v>3</v>
      </c>
      <c r="M2364" t="inlineStr">
        <is>
          <t>2026-06-23 13:14:08</t>
        </is>
      </c>
      <c r="N2364" t="inlineStr">
        <is>
          <t>system</t>
        </is>
      </c>
      <c r="O2364" t="inlineStr">
        <is>
          <t>2026-06-19 07:10:32</t>
        </is>
      </c>
      <c r="P2364" t="inlineStr">
        <is>
          <t>2026-06-19 07:10:32</t>
        </is>
      </c>
      <c r="Y2364" t="inlineStr">
        <is>
          <t>27724003384</t>
        </is>
      </c>
    </row>
    <row r="2365">
      <c r="A2365" t="inlineStr">
        <is>
          <t>14945020</t>
        </is>
      </c>
      <c r="B2365" t="inlineStr">
        <is>
          <t>8fef43ca-3b37-440c-a0be-41fe036ca56d</t>
        </is>
      </c>
      <c r="D2365" t="inlineStr">
        <is>
          <t>30001087</t>
        </is>
      </c>
      <c r="E2365" t="inlineStr">
        <is>
          <t>ussd_funeral_leads_altitude_20260619</t>
        </is>
      </c>
      <c r="J2365" t="inlineStr">
        <is>
          <t>AE</t>
        </is>
      </c>
      <c r="K2365" t="inlineStr">
        <is>
          <t>Auto Engaged</t>
        </is>
      </c>
      <c r="L2365" t="n">
        <v>3</v>
      </c>
      <c r="M2365" t="inlineStr">
        <is>
          <t>2026-06-23 13:14:06</t>
        </is>
      </c>
      <c r="N2365" t="inlineStr">
        <is>
          <t>system</t>
        </is>
      </c>
      <c r="O2365" t="inlineStr">
        <is>
          <t>2026-06-19 07:10:32</t>
        </is>
      </c>
      <c r="P2365" t="inlineStr">
        <is>
          <t>2026-06-19 07:10:32</t>
        </is>
      </c>
      <c r="Y2365" t="inlineStr">
        <is>
          <t>27774833847</t>
        </is>
      </c>
    </row>
    <row r="2366">
      <c r="A2366" t="inlineStr">
        <is>
          <t>14945021</t>
        </is>
      </c>
      <c r="B2366" t="inlineStr">
        <is>
          <t>d4b3b370-6f64-4b33-be38-8b354c5cc8ac</t>
        </is>
      </c>
      <c r="D2366" t="inlineStr">
        <is>
          <t>30001087</t>
        </is>
      </c>
      <c r="E2366" t="inlineStr">
        <is>
          <t>ussd_funeral_leads_altitude_20260619</t>
        </is>
      </c>
      <c r="J2366" t="inlineStr">
        <is>
          <t>ADC</t>
        </is>
      </c>
      <c r="K2366" t="inlineStr">
        <is>
          <t>Auto Dial Disconnected</t>
        </is>
      </c>
      <c r="L2366" t="n">
        <v>3</v>
      </c>
      <c r="M2366" t="inlineStr">
        <is>
          <t>2026-06-23 13:14:06</t>
        </is>
      </c>
      <c r="N2366" t="inlineStr">
        <is>
          <t>system</t>
        </is>
      </c>
      <c r="O2366" t="inlineStr">
        <is>
          <t>2026-06-19 07:10:32</t>
        </is>
      </c>
      <c r="P2366" t="inlineStr">
        <is>
          <t>2026-06-19 07:10:32</t>
        </is>
      </c>
      <c r="Y2366" t="inlineStr">
        <is>
          <t>27727352323</t>
        </is>
      </c>
    </row>
    <row r="2367">
      <c r="A2367" t="inlineStr">
        <is>
          <t>14945022</t>
        </is>
      </c>
      <c r="B2367" t="inlineStr">
        <is>
          <t>c6fb70be-ccce-42ad-bc6c-7b430b386bb6</t>
        </is>
      </c>
      <c r="D2367" t="inlineStr">
        <is>
          <t>30001087</t>
        </is>
      </c>
      <c r="E2367" t="inlineStr">
        <is>
          <t>ussd_funeral_leads_altitude_20260619</t>
        </is>
      </c>
      <c r="J2367" t="inlineStr">
        <is>
          <t>AA</t>
        </is>
      </c>
      <c r="K2367" t="inlineStr">
        <is>
          <t>Answering Machine Autodial</t>
        </is>
      </c>
      <c r="L2367" t="n">
        <v>3</v>
      </c>
      <c r="M2367" t="inlineStr">
        <is>
          <t>2026-06-23 13:14:06</t>
        </is>
      </c>
      <c r="N2367" t="inlineStr">
        <is>
          <t>system</t>
        </is>
      </c>
      <c r="O2367" t="inlineStr">
        <is>
          <t>2026-06-19 07:10:32</t>
        </is>
      </c>
      <c r="P2367" t="inlineStr">
        <is>
          <t>2026-06-19 07:10:32</t>
        </is>
      </c>
      <c r="Y2367" t="inlineStr">
        <is>
          <t>27766697969</t>
        </is>
      </c>
    </row>
    <row r="2368">
      <c r="A2368" t="inlineStr">
        <is>
          <t>14945019</t>
        </is>
      </c>
      <c r="B2368" t="inlineStr">
        <is>
          <t>edf88829-2abb-409f-81c4-3ea2a334a708</t>
        </is>
      </c>
      <c r="D2368" t="inlineStr">
        <is>
          <t>30001087</t>
        </is>
      </c>
      <c r="E2368" t="inlineStr">
        <is>
          <t>ussd_funeral_leads_altitude_20260619</t>
        </is>
      </c>
      <c r="J2368" t="inlineStr">
        <is>
          <t>AA</t>
        </is>
      </c>
      <c r="K2368" t="inlineStr">
        <is>
          <t>Answering Machine Autodial</t>
        </is>
      </c>
      <c r="L2368" t="n">
        <v>3</v>
      </c>
      <c r="M2368" t="inlineStr">
        <is>
          <t>2026-06-23 13:14:05</t>
        </is>
      </c>
      <c r="N2368" t="inlineStr">
        <is>
          <t>system</t>
        </is>
      </c>
      <c r="O2368" t="inlineStr">
        <is>
          <t>2026-06-19 07:10:32</t>
        </is>
      </c>
      <c r="P2368" t="inlineStr">
        <is>
          <t>2026-06-19 07:10:32</t>
        </is>
      </c>
      <c r="Y2368" t="inlineStr">
        <is>
          <t>27663113392</t>
        </is>
      </c>
    </row>
    <row r="2369">
      <c r="A2369" t="inlineStr">
        <is>
          <t>14945016</t>
        </is>
      </c>
      <c r="B2369" t="inlineStr">
        <is>
          <t>a5aec7f0-25d5-4037-92a1-01a697a45783</t>
        </is>
      </c>
      <c r="D2369" t="inlineStr">
        <is>
          <t>30001087</t>
        </is>
      </c>
      <c r="E2369" t="inlineStr">
        <is>
          <t>ussd_funeral_leads_altitude_20260619</t>
        </is>
      </c>
      <c r="J2369" t="inlineStr">
        <is>
          <t>ADC</t>
        </is>
      </c>
      <c r="K2369" t="inlineStr">
        <is>
          <t>Auto Dial Disconnected</t>
        </is>
      </c>
      <c r="L2369" t="n">
        <v>3</v>
      </c>
      <c r="M2369" t="inlineStr">
        <is>
          <t>2026-06-23 13:13:50</t>
        </is>
      </c>
      <c r="N2369" t="inlineStr">
        <is>
          <t>system</t>
        </is>
      </c>
      <c r="O2369" t="inlineStr">
        <is>
          <t>2026-06-19 07:10:32</t>
        </is>
      </c>
      <c r="P2369" t="inlineStr">
        <is>
          <t>2026-06-19 07:10:32</t>
        </is>
      </c>
      <c r="Y2369" t="inlineStr">
        <is>
          <t>27790380753</t>
        </is>
      </c>
    </row>
    <row r="2370">
      <c r="A2370" t="inlineStr">
        <is>
          <t>14945017</t>
        </is>
      </c>
      <c r="B2370" t="inlineStr">
        <is>
          <t>519609ed-97fb-499e-a5b6-8c535eac8f68</t>
        </is>
      </c>
      <c r="D2370" t="inlineStr">
        <is>
          <t>30001087</t>
        </is>
      </c>
      <c r="E2370" t="inlineStr">
        <is>
          <t>ussd_funeral_leads_altitude_20260619</t>
        </is>
      </c>
      <c r="H2370" t="inlineStr">
        <is>
          <t>27793653972</t>
        </is>
      </c>
      <c r="J2370" t="inlineStr">
        <is>
          <t>AA</t>
        </is>
      </c>
      <c r="K2370" t="inlineStr">
        <is>
          <t>Answering Machine Autodial</t>
        </is>
      </c>
      <c r="L2370" t="n">
        <v>3</v>
      </c>
      <c r="M2370" t="inlineStr">
        <is>
          <t>2026-06-23 13:13:50</t>
        </is>
      </c>
      <c r="N2370" t="inlineStr">
        <is>
          <t>system</t>
        </is>
      </c>
      <c r="O2370" t="inlineStr">
        <is>
          <t>2026-06-19 07:10:32</t>
        </is>
      </c>
      <c r="P2370" t="inlineStr">
        <is>
          <t>2026-06-19 07:10:32</t>
        </is>
      </c>
      <c r="Y2370" t="inlineStr">
        <is>
          <t>27793653972</t>
        </is>
      </c>
    </row>
    <row r="2371">
      <c r="A2371" t="inlineStr">
        <is>
          <t>14945015</t>
        </is>
      </c>
      <c r="B2371" t="inlineStr">
        <is>
          <t>49d9f331-ac83-413b-b898-a94e0891c871</t>
        </is>
      </c>
      <c r="D2371" t="inlineStr">
        <is>
          <t>30001087</t>
        </is>
      </c>
      <c r="E2371" t="inlineStr">
        <is>
          <t>ussd_funeral_leads_altitude_20260619</t>
        </is>
      </c>
      <c r="J2371" t="inlineStr">
        <is>
          <t>AE</t>
        </is>
      </c>
      <c r="K2371" t="inlineStr">
        <is>
          <t>Auto Engaged</t>
        </is>
      </c>
      <c r="L2371" t="n">
        <v>3</v>
      </c>
      <c r="M2371" t="inlineStr">
        <is>
          <t>2026-06-23 13:13:32</t>
        </is>
      </c>
      <c r="N2371" t="inlineStr">
        <is>
          <t>system</t>
        </is>
      </c>
      <c r="O2371" t="inlineStr">
        <is>
          <t>2026-06-19 07:10:32</t>
        </is>
      </c>
      <c r="P2371" t="inlineStr">
        <is>
          <t>2026-06-19 07:10:32</t>
        </is>
      </c>
      <c r="Y2371" t="inlineStr">
        <is>
          <t>27727241613</t>
        </is>
      </c>
    </row>
    <row r="2372">
      <c r="A2372" t="inlineStr">
        <is>
          <t>14945013</t>
        </is>
      </c>
      <c r="B2372" t="inlineStr">
        <is>
          <t>d2399f1d-06f8-4fa4-ae89-dfd8c3d1cb6f</t>
        </is>
      </c>
      <c r="D2372" t="inlineStr">
        <is>
          <t>30001087</t>
        </is>
      </c>
      <c r="E2372" t="inlineStr">
        <is>
          <t>ussd_funeral_leads_altitude_20260619</t>
        </is>
      </c>
      <c r="J2372" t="inlineStr">
        <is>
          <t>CU</t>
        </is>
      </c>
      <c r="K2372" t="inlineStr">
        <is>
          <t>Client Hung Up</t>
        </is>
      </c>
      <c r="L2372" t="n">
        <v>3</v>
      </c>
      <c r="M2372" t="inlineStr">
        <is>
          <t>2026-06-23 13:13:30</t>
        </is>
      </c>
      <c r="N2372" t="inlineStr">
        <is>
          <t>Dimakatso Nkomo</t>
        </is>
      </c>
      <c r="O2372" t="inlineStr">
        <is>
          <t>2026-06-19 07:10:32</t>
        </is>
      </c>
      <c r="P2372" t="inlineStr">
        <is>
          <t>2026-06-19 07:10:32</t>
        </is>
      </c>
      <c r="Y2372" t="inlineStr">
        <is>
          <t>27713776153</t>
        </is>
      </c>
    </row>
    <row r="2373">
      <c r="A2373" t="inlineStr">
        <is>
          <t>14945011</t>
        </is>
      </c>
      <c r="B2373" t="inlineStr">
        <is>
          <t>7c5e9d0a-b0f1-41c6-beaf-462492c25350</t>
        </is>
      </c>
      <c r="D2373" t="inlineStr">
        <is>
          <t>30001087</t>
        </is>
      </c>
      <c r="E2373" t="inlineStr">
        <is>
          <t>ussd_funeral_leads_altitude_20260619</t>
        </is>
      </c>
      <c r="J2373" t="inlineStr">
        <is>
          <t>TDN</t>
        </is>
      </c>
      <c r="K2373" t="inlineStr">
        <is>
          <t>Temporary Disconnected Number</t>
        </is>
      </c>
      <c r="L2373" t="n">
        <v>3</v>
      </c>
      <c r="M2373" t="inlineStr">
        <is>
          <t>2026-06-23 13:13:25</t>
        </is>
      </c>
      <c r="N2373" t="inlineStr">
        <is>
          <t>system</t>
        </is>
      </c>
      <c r="O2373" t="inlineStr">
        <is>
          <t>2026-06-19 07:10:32</t>
        </is>
      </c>
      <c r="P2373" t="inlineStr">
        <is>
          <t>2026-06-19 07:10:32</t>
        </is>
      </c>
      <c r="Y2373" t="inlineStr">
        <is>
          <t>27826132672</t>
        </is>
      </c>
    </row>
    <row r="2374">
      <c r="A2374" t="inlineStr">
        <is>
          <t>14945012</t>
        </is>
      </c>
      <c r="B2374" t="inlineStr">
        <is>
          <t>24cfffdd-1d73-44ad-a852-123f844f35f2</t>
        </is>
      </c>
      <c r="D2374" t="inlineStr">
        <is>
          <t>30001087</t>
        </is>
      </c>
      <c r="E2374" t="inlineStr">
        <is>
          <t>ussd_funeral_leads_altitude_20260619</t>
        </is>
      </c>
      <c r="H2374" t="inlineStr">
        <is>
          <t>27712057089</t>
        </is>
      </c>
      <c r="J2374" t="inlineStr">
        <is>
          <t>DROP</t>
        </is>
      </c>
      <c r="K2374" t="inlineStr">
        <is>
          <t>Dropped</t>
        </is>
      </c>
      <c r="L2374" t="n">
        <v>3</v>
      </c>
      <c r="M2374" t="inlineStr">
        <is>
          <t>2026-06-23 13:13:25</t>
        </is>
      </c>
      <c r="N2374" t="inlineStr">
        <is>
          <t>system</t>
        </is>
      </c>
      <c r="O2374" t="inlineStr">
        <is>
          <t>2026-06-19 07:10:32</t>
        </is>
      </c>
      <c r="P2374" t="inlineStr">
        <is>
          <t>2026-06-19 07:10:32</t>
        </is>
      </c>
      <c r="Y2374" t="inlineStr">
        <is>
          <t>27712057089</t>
        </is>
      </c>
    </row>
    <row r="2375">
      <c r="A2375" t="inlineStr">
        <is>
          <t>14900000</t>
        </is>
      </c>
      <c r="B2375" t="inlineStr">
        <is>
          <t>2e92533c-8430-42aa-8eb5-545bf3070ade</t>
        </is>
      </c>
      <c r="D2375" t="inlineStr">
        <is>
          <t>30001087</t>
        </is>
      </c>
      <c r="E2375" t="inlineStr">
        <is>
          <t>ussd_funeral_leads_altitude_20260619</t>
        </is>
      </c>
      <c r="J2375" t="inlineStr">
        <is>
          <t>AA</t>
        </is>
      </c>
      <c r="K2375" t="inlineStr">
        <is>
          <t>Answering Machine Autodial</t>
        </is>
      </c>
      <c r="L2375" t="n">
        <v>3</v>
      </c>
      <c r="M2375" t="inlineStr">
        <is>
          <t>2026-06-23 13:13:20</t>
        </is>
      </c>
      <c r="N2375" t="inlineStr">
        <is>
          <t>system</t>
        </is>
      </c>
      <c r="O2375" t="inlineStr">
        <is>
          <t>2026-06-19 07:10:32</t>
        </is>
      </c>
      <c r="P2375" t="inlineStr">
        <is>
          <t>2026-06-19 07:10:32</t>
        </is>
      </c>
      <c r="Y2375" t="inlineStr">
        <is>
          <t>27727189465</t>
        </is>
      </c>
    </row>
    <row r="2376">
      <c r="A2376" t="inlineStr">
        <is>
          <t>14945061</t>
        </is>
      </c>
      <c r="B2376" t="inlineStr">
        <is>
          <t>46468d72-e273-4948-af22-e967d55508f1</t>
        </is>
      </c>
      <c r="D2376" t="inlineStr">
        <is>
          <t>30001087</t>
        </is>
      </c>
      <c r="E2376" t="inlineStr">
        <is>
          <t>ussd_funeral_leads_altitude_20260619</t>
        </is>
      </c>
      <c r="J2376" t="inlineStr">
        <is>
          <t>AA</t>
        </is>
      </c>
      <c r="K2376" t="inlineStr">
        <is>
          <t>Answering Machine Autodial</t>
        </is>
      </c>
      <c r="L2376" t="n">
        <v>3</v>
      </c>
      <c r="M2376" t="inlineStr">
        <is>
          <t>2026-06-23 13:13:14</t>
        </is>
      </c>
      <c r="N2376" t="inlineStr">
        <is>
          <t>system</t>
        </is>
      </c>
      <c r="O2376" t="inlineStr">
        <is>
          <t>2026-06-19 07:10:32</t>
        </is>
      </c>
      <c r="P2376" t="inlineStr">
        <is>
          <t>2026-06-19 07:10:32</t>
        </is>
      </c>
      <c r="Y2376" t="inlineStr">
        <is>
          <t>27762501852</t>
        </is>
      </c>
    </row>
    <row r="2377">
      <c r="A2377" t="inlineStr">
        <is>
          <t>14945058</t>
        </is>
      </c>
      <c r="B2377" t="inlineStr">
        <is>
          <t>8a6f3520-93af-4965-8d2e-b4273ea0531c</t>
        </is>
      </c>
      <c r="D2377" t="inlineStr">
        <is>
          <t>30001087</t>
        </is>
      </c>
      <c r="E2377" t="inlineStr">
        <is>
          <t>ussd_funeral_leads_altitude_20260619</t>
        </is>
      </c>
      <c r="J2377" t="inlineStr">
        <is>
          <t>AA</t>
        </is>
      </c>
      <c r="K2377" t="inlineStr">
        <is>
          <t>Answering Machine Autodial</t>
        </is>
      </c>
      <c r="L2377" t="n">
        <v>3</v>
      </c>
      <c r="M2377" t="inlineStr">
        <is>
          <t>2026-06-23 13:13:13</t>
        </is>
      </c>
      <c r="N2377" t="inlineStr">
        <is>
          <t>system</t>
        </is>
      </c>
      <c r="O2377" t="inlineStr">
        <is>
          <t>2026-06-19 07:10:32</t>
        </is>
      </c>
      <c r="P2377" t="inlineStr">
        <is>
          <t>2026-06-19 07:10:32</t>
        </is>
      </c>
      <c r="Y2377" t="inlineStr">
        <is>
          <t>27795800217</t>
        </is>
      </c>
    </row>
    <row r="2378">
      <c r="A2378" t="inlineStr">
        <is>
          <t>14945059</t>
        </is>
      </c>
      <c r="B2378" t="inlineStr">
        <is>
          <t>92affa3c-d57e-4473-bca1-35743091ff34</t>
        </is>
      </c>
      <c r="D2378" t="inlineStr">
        <is>
          <t>30001087</t>
        </is>
      </c>
      <c r="E2378" t="inlineStr">
        <is>
          <t>ussd_funeral_leads_altitude_20260619</t>
        </is>
      </c>
      <c r="J2378" t="inlineStr">
        <is>
          <t>CU</t>
        </is>
      </c>
      <c r="K2378" t="inlineStr">
        <is>
          <t>Client Hung Up</t>
        </is>
      </c>
      <c r="L2378" t="n">
        <v>3</v>
      </c>
      <c r="M2378" t="inlineStr">
        <is>
          <t>2026-06-23 13:13:13</t>
        </is>
      </c>
      <c r="N2378" t="inlineStr">
        <is>
          <t>Lebohang Mabotja</t>
        </is>
      </c>
      <c r="O2378" t="inlineStr">
        <is>
          <t>2026-06-19 07:10:32</t>
        </is>
      </c>
      <c r="P2378" t="inlineStr">
        <is>
          <t>2026-06-19 07:10:32</t>
        </is>
      </c>
      <c r="Y2378" t="inlineStr">
        <is>
          <t>27766203774</t>
        </is>
      </c>
    </row>
    <row r="2379">
      <c r="A2379" t="inlineStr">
        <is>
          <t>14945060</t>
        </is>
      </c>
      <c r="B2379" t="inlineStr">
        <is>
          <t>933b6e44-8e4f-41ff-9e8b-c30c871cc432</t>
        </is>
      </c>
      <c r="D2379" t="inlineStr">
        <is>
          <t>30001087</t>
        </is>
      </c>
      <c r="E2379" t="inlineStr">
        <is>
          <t>ussd_funeral_leads_altitude_20260619</t>
        </is>
      </c>
      <c r="J2379" t="inlineStr">
        <is>
          <t>NA</t>
        </is>
      </c>
      <c r="K2379" t="inlineStr">
        <is>
          <t>No Answer Autodial</t>
        </is>
      </c>
      <c r="L2379" t="n">
        <v>3</v>
      </c>
      <c r="M2379" t="inlineStr">
        <is>
          <t>2026-06-23 13:13:13</t>
        </is>
      </c>
      <c r="N2379" t="inlineStr">
        <is>
          <t>system</t>
        </is>
      </c>
      <c r="O2379" t="inlineStr">
        <is>
          <t>2026-06-19 07:10:32</t>
        </is>
      </c>
      <c r="P2379" t="inlineStr">
        <is>
          <t>2026-06-19 07:10:32</t>
        </is>
      </c>
      <c r="Y2379" t="inlineStr">
        <is>
          <t>27820535988</t>
        </is>
      </c>
    </row>
    <row r="2380">
      <c r="A2380" t="inlineStr">
        <is>
          <t>14947748</t>
        </is>
      </c>
      <c r="B2380" t="inlineStr">
        <is>
          <t>faa9df68-7c6b-4549-83d3-f71d8587b836</t>
        </is>
      </c>
      <c r="D2380" t="inlineStr">
        <is>
          <t>30001087</t>
        </is>
      </c>
      <c r="E2380" t="inlineStr">
        <is>
          <t>ussd_funeral_leads_altitude_20260619</t>
        </is>
      </c>
      <c r="J2380" t="inlineStr">
        <is>
          <t>AA</t>
        </is>
      </c>
      <c r="K2380" t="inlineStr">
        <is>
          <t>Answering Machine Autodial</t>
        </is>
      </c>
      <c r="L2380" t="n">
        <v>3</v>
      </c>
      <c r="M2380" t="inlineStr">
        <is>
          <t>2026-06-23 13:13:13</t>
        </is>
      </c>
      <c r="N2380" t="inlineStr">
        <is>
          <t>system</t>
        </is>
      </c>
      <c r="O2380" t="inlineStr">
        <is>
          <t>2026-06-19 07:10:32</t>
        </is>
      </c>
      <c r="P2380" t="inlineStr">
        <is>
          <t>2026-06-19 07:10:32</t>
        </is>
      </c>
      <c r="Y2380" t="inlineStr">
        <is>
          <t>27660353555</t>
        </is>
      </c>
    </row>
    <row r="2381">
      <c r="A2381" t="inlineStr">
        <is>
          <t>14945057</t>
        </is>
      </c>
      <c r="B2381" t="inlineStr">
        <is>
          <t>eebb7c1c-7634-414c-92e2-053b043999b5</t>
        </is>
      </c>
      <c r="D2381" t="inlineStr">
        <is>
          <t>30001087</t>
        </is>
      </c>
      <c r="E2381" t="inlineStr">
        <is>
          <t>ussd_funeral_leads_altitude_20260619</t>
        </is>
      </c>
      <c r="J2381" t="inlineStr">
        <is>
          <t>AA</t>
        </is>
      </c>
      <c r="K2381" t="inlineStr">
        <is>
          <t>Answering Machine Autodial</t>
        </is>
      </c>
      <c r="L2381" t="n">
        <v>3</v>
      </c>
      <c r="M2381" t="inlineStr">
        <is>
          <t>2026-06-23 13:12:33</t>
        </is>
      </c>
      <c r="N2381" t="inlineStr">
        <is>
          <t>system</t>
        </is>
      </c>
      <c r="O2381" t="inlineStr">
        <is>
          <t>2026-06-19 07:10:32</t>
        </is>
      </c>
      <c r="P2381" t="inlineStr">
        <is>
          <t>2026-06-19 07:10:32</t>
        </is>
      </c>
      <c r="Y2381" t="inlineStr">
        <is>
          <t>27715862445</t>
        </is>
      </c>
    </row>
    <row r="2382">
      <c r="A2382" t="inlineStr">
        <is>
          <t>14945055</t>
        </is>
      </c>
      <c r="B2382" t="inlineStr">
        <is>
          <t>efa14fd2-0eca-4660-8a4d-e1dd126a40e9</t>
        </is>
      </c>
      <c r="D2382" t="inlineStr">
        <is>
          <t>30001087</t>
        </is>
      </c>
      <c r="E2382" t="inlineStr">
        <is>
          <t>ussd_funeral_leads_altitude_20260619</t>
        </is>
      </c>
      <c r="J2382" t="inlineStr">
        <is>
          <t>NA</t>
        </is>
      </c>
      <c r="K2382" t="inlineStr">
        <is>
          <t>No Answer Autodial</t>
        </is>
      </c>
      <c r="L2382" t="n">
        <v>3</v>
      </c>
      <c r="M2382" t="inlineStr">
        <is>
          <t>2026-06-23 13:12:31</t>
        </is>
      </c>
      <c r="N2382" t="inlineStr">
        <is>
          <t>system</t>
        </is>
      </c>
      <c r="O2382" t="inlineStr">
        <is>
          <t>2026-06-19 07:10:32</t>
        </is>
      </c>
      <c r="P2382" t="inlineStr">
        <is>
          <t>2026-06-19 07:10:32</t>
        </is>
      </c>
      <c r="Y2382" t="inlineStr">
        <is>
          <t>27794226998</t>
        </is>
      </c>
    </row>
    <row r="2383">
      <c r="A2383" t="inlineStr">
        <is>
          <t>14945056</t>
        </is>
      </c>
      <c r="B2383" t="inlineStr">
        <is>
          <t>403c46bc-5dcc-4e40-80e5-5ba5f5606126</t>
        </is>
      </c>
      <c r="D2383" t="inlineStr">
        <is>
          <t>30001087</t>
        </is>
      </c>
      <c r="E2383" t="inlineStr">
        <is>
          <t>ussd_funeral_leads_altitude_20260619</t>
        </is>
      </c>
      <c r="J2383" t="inlineStr">
        <is>
          <t>TDN</t>
        </is>
      </c>
      <c r="K2383" t="inlineStr">
        <is>
          <t>Temporary Disconnected Number</t>
        </is>
      </c>
      <c r="L2383" t="n">
        <v>3</v>
      </c>
      <c r="M2383" t="inlineStr">
        <is>
          <t>2026-06-23 13:12:31</t>
        </is>
      </c>
      <c r="N2383" t="inlineStr">
        <is>
          <t>system</t>
        </is>
      </c>
      <c r="O2383" t="inlineStr">
        <is>
          <t>2026-06-19 07:10:32</t>
        </is>
      </c>
      <c r="P2383" t="inlineStr">
        <is>
          <t>2026-06-19 07:10:32</t>
        </is>
      </c>
      <c r="Y2383" t="inlineStr">
        <is>
          <t>27608801909</t>
        </is>
      </c>
    </row>
    <row r="2384">
      <c r="A2384" t="inlineStr">
        <is>
          <t>14945054</t>
        </is>
      </c>
      <c r="B2384" t="inlineStr">
        <is>
          <t>f4fe39f2-9bfe-42e7-9c20-279aabf3028e</t>
        </is>
      </c>
      <c r="D2384" t="inlineStr">
        <is>
          <t>30001087</t>
        </is>
      </c>
      <c r="E2384" t="inlineStr">
        <is>
          <t>ussd_funeral_leads_altitude_20260619</t>
        </is>
      </c>
      <c r="J2384" t="inlineStr">
        <is>
          <t>AA</t>
        </is>
      </c>
      <c r="K2384" t="inlineStr">
        <is>
          <t>Answering Machine Autodial</t>
        </is>
      </c>
      <c r="L2384" t="n">
        <v>3</v>
      </c>
      <c r="M2384" t="inlineStr">
        <is>
          <t>2026-06-23 13:12:30</t>
        </is>
      </c>
      <c r="N2384" t="inlineStr">
        <is>
          <t>system</t>
        </is>
      </c>
      <c r="O2384" t="inlineStr">
        <is>
          <t>2026-06-19 07:10:32</t>
        </is>
      </c>
      <c r="P2384" t="inlineStr">
        <is>
          <t>2026-06-19 07:10:32</t>
        </is>
      </c>
      <c r="Y2384" t="inlineStr">
        <is>
          <t>27765343993</t>
        </is>
      </c>
    </row>
    <row r="2385">
      <c r="A2385" t="inlineStr">
        <is>
          <t>14945050</t>
        </is>
      </c>
      <c r="B2385" t="inlineStr">
        <is>
          <t>12ce4603-b09d-40be-bc53-5ed38e498de6</t>
        </is>
      </c>
      <c r="D2385" t="inlineStr">
        <is>
          <t>30001087</t>
        </is>
      </c>
      <c r="E2385" t="inlineStr">
        <is>
          <t>ussd_funeral_leads_altitude_20260619</t>
        </is>
      </c>
      <c r="J2385" t="inlineStr">
        <is>
          <t>NA</t>
        </is>
      </c>
      <c r="K2385" t="inlineStr">
        <is>
          <t>No Answer Autodial</t>
        </is>
      </c>
      <c r="L2385" t="n">
        <v>3</v>
      </c>
      <c r="M2385" t="inlineStr">
        <is>
          <t>2026-06-23 13:12:29</t>
        </is>
      </c>
      <c r="N2385" t="inlineStr">
        <is>
          <t>system</t>
        </is>
      </c>
      <c r="O2385" t="inlineStr">
        <is>
          <t>2026-06-19 07:10:32</t>
        </is>
      </c>
      <c r="P2385" t="inlineStr">
        <is>
          <t>2026-06-19 07:10:32</t>
        </is>
      </c>
      <c r="Y2385" t="inlineStr">
        <is>
          <t>27637070733</t>
        </is>
      </c>
    </row>
    <row r="2386">
      <c r="A2386" t="inlineStr">
        <is>
          <t>14945051</t>
        </is>
      </c>
      <c r="B2386" t="inlineStr">
        <is>
          <t>54dd0051-f728-4152-836f-c8f576a30901</t>
        </is>
      </c>
      <c r="D2386" t="inlineStr">
        <is>
          <t>30001087</t>
        </is>
      </c>
      <c r="E2386" t="inlineStr">
        <is>
          <t>ussd_funeral_leads_altitude_20260619</t>
        </is>
      </c>
      <c r="J2386" t="inlineStr">
        <is>
          <t>AA</t>
        </is>
      </c>
      <c r="K2386" t="inlineStr">
        <is>
          <t>Answering Machine Autodial</t>
        </is>
      </c>
      <c r="L2386" t="n">
        <v>3</v>
      </c>
      <c r="M2386" t="inlineStr">
        <is>
          <t>2026-06-23 13:12:29</t>
        </is>
      </c>
      <c r="N2386" t="inlineStr">
        <is>
          <t>system</t>
        </is>
      </c>
      <c r="O2386" t="inlineStr">
        <is>
          <t>2026-06-19 07:10:32</t>
        </is>
      </c>
      <c r="P2386" t="inlineStr">
        <is>
          <t>2026-06-19 07:10:32</t>
        </is>
      </c>
      <c r="Y2386" t="inlineStr">
        <is>
          <t>27795348344</t>
        </is>
      </c>
    </row>
    <row r="2387">
      <c r="A2387" t="inlineStr">
        <is>
          <t>14945052</t>
        </is>
      </c>
      <c r="B2387" t="inlineStr">
        <is>
          <t>937380ba-1c47-4467-87d7-c31e2cd06292</t>
        </is>
      </c>
      <c r="D2387" t="inlineStr">
        <is>
          <t>30001087</t>
        </is>
      </c>
      <c r="E2387" t="inlineStr">
        <is>
          <t>ussd_funeral_leads_altitude_20260619</t>
        </is>
      </c>
      <c r="J2387" t="inlineStr">
        <is>
          <t>AA</t>
        </is>
      </c>
      <c r="K2387" t="inlineStr">
        <is>
          <t>Answering Machine Autodial</t>
        </is>
      </c>
      <c r="L2387" t="n">
        <v>3</v>
      </c>
      <c r="M2387" t="inlineStr">
        <is>
          <t>2026-06-23 13:12:29</t>
        </is>
      </c>
      <c r="N2387" t="inlineStr">
        <is>
          <t>system</t>
        </is>
      </c>
      <c r="O2387" t="inlineStr">
        <is>
          <t>2026-06-19 07:10:32</t>
        </is>
      </c>
      <c r="P2387" t="inlineStr">
        <is>
          <t>2026-06-19 07:10:32</t>
        </is>
      </c>
      <c r="Y2387" t="inlineStr">
        <is>
          <t>27790913164</t>
        </is>
      </c>
    </row>
    <row r="2388">
      <c r="A2388" t="inlineStr">
        <is>
          <t>14945053</t>
        </is>
      </c>
      <c r="B2388" t="inlineStr">
        <is>
          <t>048c4585-8432-4631-8227-4bbc76bb176e</t>
        </is>
      </c>
      <c r="D2388" t="inlineStr">
        <is>
          <t>30001087</t>
        </is>
      </c>
      <c r="E2388" t="inlineStr">
        <is>
          <t>ussd_funeral_leads_altitude_20260619</t>
        </is>
      </c>
      <c r="J2388" t="inlineStr">
        <is>
          <t>AE</t>
        </is>
      </c>
      <c r="K2388" t="inlineStr">
        <is>
          <t>Auto Engaged</t>
        </is>
      </c>
      <c r="L2388" t="n">
        <v>3</v>
      </c>
      <c r="M2388" t="inlineStr">
        <is>
          <t>2026-06-23 13:12:29</t>
        </is>
      </c>
      <c r="N2388" t="inlineStr">
        <is>
          <t>system</t>
        </is>
      </c>
      <c r="O2388" t="inlineStr">
        <is>
          <t>2026-06-19 07:10:32</t>
        </is>
      </c>
      <c r="P2388" t="inlineStr">
        <is>
          <t>2026-06-19 07:10:32</t>
        </is>
      </c>
      <c r="Y2388" t="inlineStr">
        <is>
          <t>27826275254</t>
        </is>
      </c>
    </row>
    <row r="2389">
      <c r="A2389" t="inlineStr">
        <is>
          <t>14945048</t>
        </is>
      </c>
      <c r="B2389" t="inlineStr">
        <is>
          <t>524d7b94-e174-4592-b36d-9cee6a46d320</t>
        </is>
      </c>
      <c r="D2389" t="inlineStr">
        <is>
          <t>30001087</t>
        </is>
      </c>
      <c r="E2389" t="inlineStr">
        <is>
          <t>ussd_funeral_leads_altitude_20260619</t>
        </is>
      </c>
      <c r="J2389" t="inlineStr">
        <is>
          <t>ADC</t>
        </is>
      </c>
      <c r="K2389" t="inlineStr">
        <is>
          <t>Auto Dial Disconnected</t>
        </is>
      </c>
      <c r="L2389" t="n">
        <v>3</v>
      </c>
      <c r="M2389" t="inlineStr">
        <is>
          <t>2026-06-23 13:12:28</t>
        </is>
      </c>
      <c r="N2389" t="inlineStr">
        <is>
          <t>system</t>
        </is>
      </c>
      <c r="O2389" t="inlineStr">
        <is>
          <t>2026-06-19 07:10:32</t>
        </is>
      </c>
      <c r="P2389" t="inlineStr">
        <is>
          <t>2026-06-19 07:10:32</t>
        </is>
      </c>
      <c r="Y2389" t="inlineStr">
        <is>
          <t>27781160338</t>
        </is>
      </c>
    </row>
    <row r="2390">
      <c r="A2390" t="inlineStr">
        <is>
          <t>14945049</t>
        </is>
      </c>
      <c r="B2390" t="inlineStr">
        <is>
          <t>040e286d-8747-487a-8300-95ca6750d6de</t>
        </is>
      </c>
      <c r="D2390" t="inlineStr">
        <is>
          <t>30001087</t>
        </is>
      </c>
      <c r="E2390" t="inlineStr">
        <is>
          <t>ussd_funeral_leads_altitude_20260619</t>
        </is>
      </c>
      <c r="J2390" t="inlineStr">
        <is>
          <t>AA</t>
        </is>
      </c>
      <c r="K2390" t="inlineStr">
        <is>
          <t>Answering Machine Autodial</t>
        </is>
      </c>
      <c r="L2390" t="n">
        <v>3</v>
      </c>
      <c r="M2390" t="inlineStr">
        <is>
          <t>2026-06-23 13:12:28</t>
        </is>
      </c>
      <c r="N2390" t="inlineStr">
        <is>
          <t>system</t>
        </is>
      </c>
      <c r="O2390" t="inlineStr">
        <is>
          <t>2026-06-19 07:10:32</t>
        </is>
      </c>
      <c r="P2390" t="inlineStr">
        <is>
          <t>2026-06-19 07:10:32</t>
        </is>
      </c>
      <c r="Y2390" t="inlineStr">
        <is>
          <t>27760561301</t>
        </is>
      </c>
    </row>
    <row r="2391">
      <c r="A2391" t="inlineStr">
        <is>
          <t>14945046</t>
        </is>
      </c>
      <c r="B2391" t="inlineStr">
        <is>
          <t>866fc21a-182d-48e6-94ab-1a62ecf2a750</t>
        </is>
      </c>
      <c r="D2391" t="inlineStr">
        <is>
          <t>30001087</t>
        </is>
      </c>
      <c r="E2391" t="inlineStr">
        <is>
          <t>ussd_funeral_leads_altitude_20260619</t>
        </is>
      </c>
      <c r="J2391" t="inlineStr">
        <is>
          <t>AA</t>
        </is>
      </c>
      <c r="K2391" t="inlineStr">
        <is>
          <t>Answering Machine Autodial</t>
        </is>
      </c>
      <c r="L2391" t="n">
        <v>3</v>
      </c>
      <c r="M2391" t="inlineStr">
        <is>
          <t>2026-06-23 13:12:25</t>
        </is>
      </c>
      <c r="N2391" t="inlineStr">
        <is>
          <t>system</t>
        </is>
      </c>
      <c r="O2391" t="inlineStr">
        <is>
          <t>2026-06-19 07:10:32</t>
        </is>
      </c>
      <c r="P2391" t="inlineStr">
        <is>
          <t>2026-06-19 07:10:32</t>
        </is>
      </c>
      <c r="Y2391" t="inlineStr">
        <is>
          <t>27729714125</t>
        </is>
      </c>
    </row>
    <row r="2392">
      <c r="A2392" t="inlineStr">
        <is>
          <t>14945047</t>
        </is>
      </c>
      <c r="B2392" t="inlineStr">
        <is>
          <t>64f83ea3-ec34-4819-a3c3-905bfd8e6c19</t>
        </is>
      </c>
      <c r="D2392" t="inlineStr">
        <is>
          <t>30001087</t>
        </is>
      </c>
      <c r="E2392" t="inlineStr">
        <is>
          <t>ussd_funeral_leads_altitude_20260619</t>
        </is>
      </c>
      <c r="J2392" t="inlineStr">
        <is>
          <t>AA</t>
        </is>
      </c>
      <c r="K2392" t="inlineStr">
        <is>
          <t>Answering Machine Autodial</t>
        </is>
      </c>
      <c r="L2392" t="n">
        <v>3</v>
      </c>
      <c r="M2392" t="inlineStr">
        <is>
          <t>2026-06-23 13:12:25</t>
        </is>
      </c>
      <c r="N2392" t="inlineStr">
        <is>
          <t>system</t>
        </is>
      </c>
      <c r="O2392" t="inlineStr">
        <is>
          <t>2026-06-19 07:10:32</t>
        </is>
      </c>
      <c r="P2392" t="inlineStr">
        <is>
          <t>2026-06-19 07:10:32</t>
        </is>
      </c>
      <c r="Y2392" t="inlineStr">
        <is>
          <t>27607147667</t>
        </is>
      </c>
    </row>
    <row r="2393">
      <c r="A2393" t="inlineStr">
        <is>
          <t>14945043</t>
        </is>
      </c>
      <c r="B2393" t="inlineStr">
        <is>
          <t>78858f4b-0e2d-4b80-b5b2-4a29ab678009</t>
        </is>
      </c>
      <c r="D2393" t="inlineStr">
        <is>
          <t>30001087</t>
        </is>
      </c>
      <c r="E2393" t="inlineStr">
        <is>
          <t>ussd_funeral_leads_altitude_20260619</t>
        </is>
      </c>
      <c r="J2393" t="inlineStr">
        <is>
          <t>AA</t>
        </is>
      </c>
      <c r="K2393" t="inlineStr">
        <is>
          <t>Answering Machine Autodial</t>
        </is>
      </c>
      <c r="L2393" t="n">
        <v>3</v>
      </c>
      <c r="M2393" t="inlineStr">
        <is>
          <t>2026-06-23 13:12:23</t>
        </is>
      </c>
      <c r="N2393" t="inlineStr">
        <is>
          <t>system</t>
        </is>
      </c>
      <c r="O2393" t="inlineStr">
        <is>
          <t>2026-06-19 07:10:32</t>
        </is>
      </c>
      <c r="P2393" t="inlineStr">
        <is>
          <t>2026-06-19 07:10:32</t>
        </is>
      </c>
      <c r="Y2393" t="inlineStr">
        <is>
          <t>27794535125</t>
        </is>
      </c>
    </row>
    <row r="2394">
      <c r="A2394" t="inlineStr">
        <is>
          <t>14945044</t>
        </is>
      </c>
      <c r="B2394" t="inlineStr">
        <is>
          <t>71d77793-6a1f-4320-b28e-aeccf55b1f8e</t>
        </is>
      </c>
      <c r="D2394" t="inlineStr">
        <is>
          <t>30001087</t>
        </is>
      </c>
      <c r="E2394" t="inlineStr">
        <is>
          <t>ussd_funeral_leads_altitude_20260619</t>
        </is>
      </c>
      <c r="J2394" t="inlineStr">
        <is>
          <t>ADC</t>
        </is>
      </c>
      <c r="K2394" t="inlineStr">
        <is>
          <t>Auto Dial Disconnected</t>
        </is>
      </c>
      <c r="L2394" t="n">
        <v>3</v>
      </c>
      <c r="M2394" t="inlineStr">
        <is>
          <t>2026-06-23 13:12:23</t>
        </is>
      </c>
      <c r="N2394" t="inlineStr">
        <is>
          <t>system</t>
        </is>
      </c>
      <c r="O2394" t="inlineStr">
        <is>
          <t>2026-06-19 07:10:32</t>
        </is>
      </c>
      <c r="P2394" t="inlineStr">
        <is>
          <t>2026-06-19 07:10:32</t>
        </is>
      </c>
      <c r="Y2394" t="inlineStr">
        <is>
          <t>27763025197</t>
        </is>
      </c>
    </row>
    <row r="2395">
      <c r="A2395" t="inlineStr">
        <is>
          <t>14945045</t>
        </is>
      </c>
      <c r="B2395" t="inlineStr">
        <is>
          <t>bc83f766-71ef-4324-b39a-1d3087aba550</t>
        </is>
      </c>
      <c r="D2395" t="inlineStr">
        <is>
          <t>30001087</t>
        </is>
      </c>
      <c r="E2395" t="inlineStr">
        <is>
          <t>ussd_funeral_leads_altitude_20260619</t>
        </is>
      </c>
      <c r="J2395" t="inlineStr">
        <is>
          <t>AA</t>
        </is>
      </c>
      <c r="K2395" t="inlineStr">
        <is>
          <t>Answering Machine Autodial</t>
        </is>
      </c>
      <c r="L2395" t="n">
        <v>3</v>
      </c>
      <c r="M2395" t="inlineStr">
        <is>
          <t>2026-06-23 13:12:23</t>
        </is>
      </c>
      <c r="N2395" t="inlineStr">
        <is>
          <t>system</t>
        </is>
      </c>
      <c r="O2395" t="inlineStr">
        <is>
          <t>2026-06-19 07:10:32</t>
        </is>
      </c>
      <c r="P2395" t="inlineStr">
        <is>
          <t>2026-06-19 07:10:32</t>
        </is>
      </c>
      <c r="Y2395" t="inlineStr">
        <is>
          <t>27827628008</t>
        </is>
      </c>
    </row>
    <row r="2396">
      <c r="A2396" t="inlineStr">
        <is>
          <t>14900000</t>
        </is>
      </c>
      <c r="B2396" t="inlineStr">
        <is>
          <t>9e949252-4e0a-4261-a395-6773327a2e43</t>
        </is>
      </c>
      <c r="D2396" t="inlineStr">
        <is>
          <t>30001087</t>
        </is>
      </c>
      <c r="E2396" t="inlineStr">
        <is>
          <t>ussd_funeral_leads_altitude_20260619</t>
        </is>
      </c>
      <c r="J2396" t="inlineStr">
        <is>
          <t>AE</t>
        </is>
      </c>
      <c r="K2396" t="inlineStr">
        <is>
          <t>Auto Engaged</t>
        </is>
      </c>
      <c r="L2396" t="n">
        <v>3</v>
      </c>
      <c r="M2396" t="inlineStr">
        <is>
          <t>2026-06-23 13:12:21</t>
        </is>
      </c>
      <c r="N2396" t="inlineStr">
        <is>
          <t>system</t>
        </is>
      </c>
      <c r="O2396" t="inlineStr">
        <is>
          <t>2026-06-19 07:10:32</t>
        </is>
      </c>
      <c r="P2396" t="inlineStr">
        <is>
          <t>2026-06-19 07:10:32</t>
        </is>
      </c>
      <c r="Y2396" t="inlineStr">
        <is>
          <t>27793660129</t>
        </is>
      </c>
    </row>
    <row r="2397">
      <c r="A2397" t="inlineStr">
        <is>
          <t>14945041</t>
        </is>
      </c>
      <c r="B2397" t="inlineStr">
        <is>
          <t>10e140d3-cb04-48ae-aa1f-9f438ee81675</t>
        </is>
      </c>
      <c r="D2397" t="inlineStr">
        <is>
          <t>30001087</t>
        </is>
      </c>
      <c r="E2397" t="inlineStr">
        <is>
          <t>ussd_funeral_leads_altitude_20260619</t>
        </is>
      </c>
      <c r="J2397" t="inlineStr">
        <is>
          <t>NA</t>
        </is>
      </c>
      <c r="K2397" t="inlineStr">
        <is>
          <t>No Answer Autodial</t>
        </is>
      </c>
      <c r="L2397" t="n">
        <v>3</v>
      </c>
      <c r="M2397" t="inlineStr">
        <is>
          <t>2026-06-23 13:12:20</t>
        </is>
      </c>
      <c r="N2397" t="inlineStr">
        <is>
          <t>system</t>
        </is>
      </c>
      <c r="O2397" t="inlineStr">
        <is>
          <t>2026-06-19 07:10:32</t>
        </is>
      </c>
      <c r="P2397" t="inlineStr">
        <is>
          <t>2026-06-19 07:10:32</t>
        </is>
      </c>
      <c r="Y2397" t="inlineStr">
        <is>
          <t>27790994187</t>
        </is>
      </c>
    </row>
    <row r="2398">
      <c r="A2398" t="inlineStr">
        <is>
          <t>14945039</t>
        </is>
      </c>
      <c r="B2398" t="inlineStr">
        <is>
          <t>8eb0db9d-d425-4289-a11b-97dc30c65690</t>
        </is>
      </c>
      <c r="D2398" t="inlineStr">
        <is>
          <t>30001087</t>
        </is>
      </c>
      <c r="E2398" t="inlineStr">
        <is>
          <t>ussd_funeral_leads_altitude_20260619</t>
        </is>
      </c>
      <c r="J2398" t="inlineStr">
        <is>
          <t>ADC</t>
        </is>
      </c>
      <c r="K2398" t="inlineStr">
        <is>
          <t>Auto Dial Disconnected</t>
        </is>
      </c>
      <c r="L2398" t="n">
        <v>3</v>
      </c>
      <c r="M2398" t="inlineStr">
        <is>
          <t>2026-06-23 13:12:18</t>
        </is>
      </c>
      <c r="N2398" t="inlineStr">
        <is>
          <t>system</t>
        </is>
      </c>
      <c r="O2398" t="inlineStr">
        <is>
          <t>2026-06-19 07:10:32</t>
        </is>
      </c>
      <c r="P2398" t="inlineStr">
        <is>
          <t>2026-06-19 07:10:32</t>
        </is>
      </c>
      <c r="Y2398" t="inlineStr">
        <is>
          <t>27799954813</t>
        </is>
      </c>
    </row>
    <row r="2399">
      <c r="A2399" t="inlineStr">
        <is>
          <t>14947744</t>
        </is>
      </c>
      <c r="B2399" t="inlineStr">
        <is>
          <t>a0fe86cd-2682-4f0d-b866-83de11a8c727</t>
        </is>
      </c>
      <c r="D2399" t="inlineStr">
        <is>
          <t>30001087</t>
        </is>
      </c>
      <c r="E2399" t="inlineStr">
        <is>
          <t>ussd_funeral_leads_altitude_20260619</t>
        </is>
      </c>
      <c r="J2399" t="inlineStr">
        <is>
          <t>AA</t>
        </is>
      </c>
      <c r="K2399" t="inlineStr">
        <is>
          <t>Answering Machine Autodial</t>
        </is>
      </c>
      <c r="L2399" t="n">
        <v>3</v>
      </c>
      <c r="M2399" t="inlineStr">
        <is>
          <t>2026-06-23 13:12:18</t>
        </is>
      </c>
      <c r="N2399" t="inlineStr">
        <is>
          <t>system</t>
        </is>
      </c>
      <c r="O2399" t="inlineStr">
        <is>
          <t>2026-06-19 07:10:32</t>
        </is>
      </c>
      <c r="P2399" t="inlineStr">
        <is>
          <t>2026-06-19 07:10:32</t>
        </is>
      </c>
      <c r="Y2399" t="inlineStr">
        <is>
          <t>27720579347</t>
        </is>
      </c>
    </row>
    <row r="2400">
      <c r="A2400" t="inlineStr">
        <is>
          <t>14900000</t>
        </is>
      </c>
      <c r="B2400" t="inlineStr">
        <is>
          <t>e25113a1-9fb8-4e77-a026-eb7baac01ba6</t>
        </is>
      </c>
      <c r="D2400" t="inlineStr">
        <is>
          <t>30001087</t>
        </is>
      </c>
      <c r="E2400" t="inlineStr">
        <is>
          <t>ussd_funeral_leads_altitude_20260619</t>
        </is>
      </c>
      <c r="J2400" t="inlineStr">
        <is>
          <t>AA</t>
        </is>
      </c>
      <c r="K2400" t="inlineStr">
        <is>
          <t>Answering Machine Autodial</t>
        </is>
      </c>
      <c r="L2400" t="n">
        <v>3</v>
      </c>
      <c r="M2400" t="inlineStr">
        <is>
          <t>2026-06-23 13:12:15</t>
        </is>
      </c>
      <c r="N2400" t="inlineStr">
        <is>
          <t>system</t>
        </is>
      </c>
      <c r="O2400" t="inlineStr">
        <is>
          <t>2026-06-19 07:10:32</t>
        </is>
      </c>
      <c r="P2400" t="inlineStr">
        <is>
          <t>2026-06-19 07:10:32</t>
        </is>
      </c>
      <c r="Y2400" t="inlineStr">
        <is>
          <t>27763327169</t>
        </is>
      </c>
    </row>
    <row r="2401">
      <c r="A2401" t="inlineStr">
        <is>
          <t>14900000</t>
        </is>
      </c>
      <c r="B2401" t="inlineStr">
        <is>
          <t>e4609bde-1bdf-4e39-9485-8b66b86df3cc</t>
        </is>
      </c>
      <c r="D2401" t="inlineStr">
        <is>
          <t>30001087</t>
        </is>
      </c>
      <c r="E2401" t="inlineStr">
        <is>
          <t>ussd_funeral_leads_altitude_20260619</t>
        </is>
      </c>
      <c r="J2401" t="inlineStr">
        <is>
          <t>NA</t>
        </is>
      </c>
      <c r="K2401" t="inlineStr">
        <is>
          <t>No Answer Autodial</t>
        </is>
      </c>
      <c r="L2401" t="n">
        <v>3</v>
      </c>
      <c r="M2401" t="inlineStr">
        <is>
          <t>2026-06-23 13:02:12</t>
        </is>
      </c>
      <c r="N2401" t="inlineStr">
        <is>
          <t>system</t>
        </is>
      </c>
      <c r="O2401" t="inlineStr">
        <is>
          <t>2026-06-19 07:10:32</t>
        </is>
      </c>
      <c r="P2401" t="inlineStr">
        <is>
          <t>2026-06-19 07:10:32</t>
        </is>
      </c>
      <c r="Y2401" t="inlineStr">
        <is>
          <t>27791078758</t>
        </is>
      </c>
    </row>
    <row r="2402">
      <c r="A2402" t="inlineStr">
        <is>
          <t>14945138</t>
        </is>
      </c>
      <c r="B2402" t="inlineStr">
        <is>
          <t>7d1f284b-8177-41d4-af6b-596f57510b59</t>
        </is>
      </c>
      <c r="D2402" t="inlineStr">
        <is>
          <t>30001087</t>
        </is>
      </c>
      <c r="E2402" t="inlineStr">
        <is>
          <t>ussd_funeral_leads_altitude_20260619</t>
        </is>
      </c>
      <c r="J2402" t="inlineStr">
        <is>
          <t>DROP</t>
        </is>
      </c>
      <c r="K2402" t="inlineStr">
        <is>
          <t>Dropped</t>
        </is>
      </c>
      <c r="L2402" t="n">
        <v>3</v>
      </c>
      <c r="M2402" t="inlineStr">
        <is>
          <t>2026-06-23 13:02:12</t>
        </is>
      </c>
      <c r="N2402" t="inlineStr">
        <is>
          <t>system</t>
        </is>
      </c>
      <c r="O2402" t="inlineStr">
        <is>
          <t>2026-06-19 07:10:32</t>
        </is>
      </c>
      <c r="P2402" t="inlineStr">
        <is>
          <t>2026-06-19 07:10:32</t>
        </is>
      </c>
      <c r="Y2402" t="inlineStr">
        <is>
          <t>27662722636</t>
        </is>
      </c>
    </row>
    <row r="2403">
      <c r="A2403" t="inlineStr">
        <is>
          <t>14945139</t>
        </is>
      </c>
      <c r="B2403" t="inlineStr">
        <is>
          <t>fbcfaec6-da53-42cf-9e29-e2f45c2ca086</t>
        </is>
      </c>
      <c r="D2403" t="inlineStr">
        <is>
          <t>30001087</t>
        </is>
      </c>
      <c r="E2403" t="inlineStr">
        <is>
          <t>ussd_funeral_leads_altitude_20260619</t>
        </is>
      </c>
      <c r="J2403" t="inlineStr">
        <is>
          <t>ADC</t>
        </is>
      </c>
      <c r="K2403" t="inlineStr">
        <is>
          <t>Auto Dial Disconnected</t>
        </is>
      </c>
      <c r="L2403" t="n">
        <v>3</v>
      </c>
      <c r="M2403" t="inlineStr">
        <is>
          <t>2026-06-23 13:02:12</t>
        </is>
      </c>
      <c r="N2403" t="inlineStr">
        <is>
          <t>system</t>
        </is>
      </c>
      <c r="O2403" t="inlineStr">
        <is>
          <t>2026-06-19 07:10:32</t>
        </is>
      </c>
      <c r="P2403" t="inlineStr">
        <is>
          <t>2026-06-19 07:10:32</t>
        </is>
      </c>
      <c r="Y2403" t="inlineStr">
        <is>
          <t>27720734853</t>
        </is>
      </c>
    </row>
    <row r="2404">
      <c r="A2404" t="inlineStr">
        <is>
          <t>14947746</t>
        </is>
      </c>
      <c r="B2404" t="inlineStr">
        <is>
          <t>97eb028f-2d8f-43a2-a651-f9b7f85ef376</t>
        </is>
      </c>
      <c r="D2404" t="inlineStr">
        <is>
          <t>30001087</t>
        </is>
      </c>
      <c r="E2404" t="inlineStr">
        <is>
          <t>ussd_funeral_leads_altitude_20260619</t>
        </is>
      </c>
      <c r="J2404" t="inlineStr">
        <is>
          <t>NA</t>
        </is>
      </c>
      <c r="K2404" t="inlineStr">
        <is>
          <t>No Answer Autodial</t>
        </is>
      </c>
      <c r="L2404" t="n">
        <v>3</v>
      </c>
      <c r="M2404" t="inlineStr">
        <is>
          <t>2026-06-23 13:02:12</t>
        </is>
      </c>
      <c r="N2404" t="inlineStr">
        <is>
          <t>system</t>
        </is>
      </c>
      <c r="O2404" t="inlineStr">
        <is>
          <t>2026-06-19 07:10:32</t>
        </is>
      </c>
      <c r="P2404" t="inlineStr">
        <is>
          <t>2026-06-19 07:10:32</t>
        </is>
      </c>
      <c r="Y2404" t="inlineStr">
        <is>
          <t>27660705798</t>
        </is>
      </c>
    </row>
    <row r="2405">
      <c r="A2405" t="inlineStr">
        <is>
          <t>14946730</t>
        </is>
      </c>
      <c r="B2405" t="inlineStr">
        <is>
          <t>1a732f13-349d-4848-a56d-33fafdbf774a</t>
        </is>
      </c>
      <c r="D2405" t="inlineStr">
        <is>
          <t>30001087</t>
        </is>
      </c>
      <c r="E2405" t="inlineStr">
        <is>
          <t>ussd_funeral_leads_altitude_20260619</t>
        </is>
      </c>
      <c r="H2405" t="inlineStr">
        <is>
          <t>27793085914</t>
        </is>
      </c>
      <c r="J2405" t="inlineStr">
        <is>
          <t>CU</t>
        </is>
      </c>
      <c r="K2405" t="inlineStr">
        <is>
          <t>Client Hung Up</t>
        </is>
      </c>
      <c r="L2405" t="n">
        <v>3</v>
      </c>
      <c r="M2405" t="inlineStr">
        <is>
          <t>2026-06-23 13:01:21</t>
        </is>
      </c>
      <c r="N2405" t="inlineStr">
        <is>
          <t>Lebohang Mabotja</t>
        </is>
      </c>
      <c r="O2405" t="inlineStr">
        <is>
          <t>2026-06-19 07:10:32</t>
        </is>
      </c>
      <c r="P2405" t="inlineStr">
        <is>
          <t>2026-06-19 07:10:32</t>
        </is>
      </c>
      <c r="Y2405" t="inlineStr">
        <is>
          <t>27793085914</t>
        </is>
      </c>
    </row>
    <row r="2406">
      <c r="A2406" t="inlineStr">
        <is>
          <t>14946732</t>
        </is>
      </c>
      <c r="B2406" t="inlineStr">
        <is>
          <t>06c4c3f6-11ac-4d14-b198-7ca4f2491874</t>
        </is>
      </c>
      <c r="D2406" t="inlineStr">
        <is>
          <t>30001087</t>
        </is>
      </c>
      <c r="E2406" t="inlineStr">
        <is>
          <t>ussd_funeral_leads_altitude_20260619</t>
        </is>
      </c>
      <c r="J2406" t="inlineStr">
        <is>
          <t>NA</t>
        </is>
      </c>
      <c r="K2406" t="inlineStr">
        <is>
          <t>No Answer Autodial</t>
        </is>
      </c>
      <c r="L2406" t="n">
        <v>3</v>
      </c>
      <c r="M2406" t="inlineStr">
        <is>
          <t>2026-06-23 13:00:38</t>
        </is>
      </c>
      <c r="N2406" t="inlineStr">
        <is>
          <t>system</t>
        </is>
      </c>
      <c r="O2406" t="inlineStr">
        <is>
          <t>2026-06-19 07:10:32</t>
        </is>
      </c>
      <c r="P2406" t="inlineStr">
        <is>
          <t>2026-06-19 07:10:32</t>
        </is>
      </c>
      <c r="Y2406" t="inlineStr">
        <is>
          <t>27649918707</t>
        </is>
      </c>
    </row>
    <row r="2407">
      <c r="A2407" t="inlineStr">
        <is>
          <t>14946725</t>
        </is>
      </c>
      <c r="B2407" t="inlineStr">
        <is>
          <t>d848cd1a-ffb7-4adf-91d2-7d91d9b94f42</t>
        </is>
      </c>
      <c r="D2407" t="inlineStr">
        <is>
          <t>30001087</t>
        </is>
      </c>
      <c r="E2407" t="inlineStr">
        <is>
          <t>ussd_funeral_leads_altitude_20260619</t>
        </is>
      </c>
      <c r="J2407" t="inlineStr">
        <is>
          <t>NA</t>
        </is>
      </c>
      <c r="K2407" t="inlineStr">
        <is>
          <t>No Answer Autodial</t>
        </is>
      </c>
      <c r="L2407" t="n">
        <v>3</v>
      </c>
      <c r="M2407" t="inlineStr">
        <is>
          <t>2026-06-23 13:00:37</t>
        </is>
      </c>
      <c r="N2407" t="inlineStr">
        <is>
          <t>system</t>
        </is>
      </c>
      <c r="O2407" t="inlineStr">
        <is>
          <t>2026-06-19 07:10:32</t>
        </is>
      </c>
      <c r="P2407" t="inlineStr">
        <is>
          <t>2026-06-19 07:10:32</t>
        </is>
      </c>
      <c r="Y2407" t="inlineStr">
        <is>
          <t>27761379391</t>
        </is>
      </c>
    </row>
    <row r="2408">
      <c r="A2408" t="inlineStr">
        <is>
          <t>14946726</t>
        </is>
      </c>
      <c r="B2408" t="inlineStr">
        <is>
          <t>5b264880-8329-4750-9108-9debb49d126a</t>
        </is>
      </c>
      <c r="D2408" t="inlineStr">
        <is>
          <t>30001087</t>
        </is>
      </c>
      <c r="E2408" t="inlineStr">
        <is>
          <t>ussd_funeral_leads_altitude_20260619</t>
        </is>
      </c>
      <c r="J2408" t="inlineStr">
        <is>
          <t>AA</t>
        </is>
      </c>
      <c r="K2408" t="inlineStr">
        <is>
          <t>Answering Machine Autodial</t>
        </is>
      </c>
      <c r="L2408" t="n">
        <v>3</v>
      </c>
      <c r="M2408" t="inlineStr">
        <is>
          <t>2026-06-23 13:00:37</t>
        </is>
      </c>
      <c r="N2408" t="inlineStr">
        <is>
          <t>system</t>
        </is>
      </c>
      <c r="O2408" t="inlineStr">
        <is>
          <t>2026-06-19 07:10:32</t>
        </is>
      </c>
      <c r="P2408" t="inlineStr">
        <is>
          <t>2026-06-19 07:10:32</t>
        </is>
      </c>
      <c r="Y2408" t="inlineStr">
        <is>
          <t>27727744591</t>
        </is>
      </c>
    </row>
    <row r="2409">
      <c r="A2409" t="inlineStr">
        <is>
          <t>14946724</t>
        </is>
      </c>
      <c r="B2409" t="inlineStr">
        <is>
          <t>617f7e78-2d81-4887-b2bd-f2a2c3a9c831</t>
        </is>
      </c>
      <c r="D2409" t="inlineStr">
        <is>
          <t>30001087</t>
        </is>
      </c>
      <c r="E2409" t="inlineStr">
        <is>
          <t>ussd_funeral_leads_altitude_20260619</t>
        </is>
      </c>
      <c r="J2409" t="inlineStr">
        <is>
          <t>DROP</t>
        </is>
      </c>
      <c r="K2409" t="inlineStr">
        <is>
          <t>Dropped</t>
        </is>
      </c>
      <c r="L2409" t="n">
        <v>3</v>
      </c>
      <c r="M2409" t="inlineStr">
        <is>
          <t>2026-06-23 13:00:36</t>
        </is>
      </c>
      <c r="N2409" t="inlineStr">
        <is>
          <t>system</t>
        </is>
      </c>
      <c r="O2409" t="inlineStr">
        <is>
          <t>2026-06-19 07:10:32</t>
        </is>
      </c>
      <c r="P2409" t="inlineStr">
        <is>
          <t>2026-06-19 07:10:32</t>
        </is>
      </c>
      <c r="Y2409" t="inlineStr">
        <is>
          <t>27646882640</t>
        </is>
      </c>
    </row>
    <row r="2410">
      <c r="A2410" t="inlineStr">
        <is>
          <t>14946696</t>
        </is>
      </c>
      <c r="B2410" t="inlineStr">
        <is>
          <t>1ffb5638-38d2-4bb9-9859-6b5807d1d392</t>
        </is>
      </c>
      <c r="D2410" t="inlineStr">
        <is>
          <t>30001087</t>
        </is>
      </c>
      <c r="E2410" t="inlineStr">
        <is>
          <t>ussd_funeral_leads_altitude_20260619</t>
        </is>
      </c>
      <c r="J2410" t="inlineStr">
        <is>
          <t>AA</t>
        </is>
      </c>
      <c r="K2410" t="inlineStr">
        <is>
          <t>Answering Machine Autodial</t>
        </is>
      </c>
      <c r="L2410" t="n">
        <v>3</v>
      </c>
      <c r="M2410" t="inlineStr">
        <is>
          <t>2026-06-23 13:00:32</t>
        </is>
      </c>
      <c r="N2410" t="inlineStr">
        <is>
          <t>system</t>
        </is>
      </c>
      <c r="O2410" t="inlineStr">
        <is>
          <t>2026-06-19 07:10:32</t>
        </is>
      </c>
      <c r="P2410" t="inlineStr">
        <is>
          <t>2026-06-19 07:10:32</t>
        </is>
      </c>
      <c r="Y2410" t="inlineStr">
        <is>
          <t>27649474304</t>
        </is>
      </c>
    </row>
    <row r="2411">
      <c r="A2411" t="inlineStr">
        <is>
          <t>14946698</t>
        </is>
      </c>
      <c r="B2411" t="inlineStr">
        <is>
          <t>fba5032a-5542-42d0-a857-614a056b50a8</t>
        </is>
      </c>
      <c r="D2411" t="inlineStr">
        <is>
          <t>30001087</t>
        </is>
      </c>
      <c r="E2411" t="inlineStr">
        <is>
          <t>ussd_funeral_leads_altitude_20260619</t>
        </is>
      </c>
      <c r="J2411" t="inlineStr">
        <is>
          <t>AA</t>
        </is>
      </c>
      <c r="K2411" t="inlineStr">
        <is>
          <t>Answering Machine Autodial</t>
        </is>
      </c>
      <c r="L2411" t="n">
        <v>3</v>
      </c>
      <c r="M2411" t="inlineStr">
        <is>
          <t>2026-06-23 13:00:32</t>
        </is>
      </c>
      <c r="N2411" t="inlineStr">
        <is>
          <t>system</t>
        </is>
      </c>
      <c r="O2411" t="inlineStr">
        <is>
          <t>2026-06-19 07:10:32</t>
        </is>
      </c>
      <c r="P2411" t="inlineStr">
        <is>
          <t>2026-06-19 07:10:32</t>
        </is>
      </c>
      <c r="Y2411" t="inlineStr">
        <is>
          <t>27799270835</t>
        </is>
      </c>
    </row>
    <row r="2412">
      <c r="A2412" t="inlineStr">
        <is>
          <t>14900000</t>
        </is>
      </c>
      <c r="B2412" t="inlineStr">
        <is>
          <t>e6693da3-f712-48bc-9bb3-f6387a93270a</t>
        </is>
      </c>
      <c r="D2412" t="inlineStr">
        <is>
          <t>30001087</t>
        </is>
      </c>
      <c r="E2412" t="inlineStr">
        <is>
          <t>ussd_funeral_leads_altitude_20260619</t>
        </is>
      </c>
      <c r="J2412" t="inlineStr">
        <is>
          <t>AA</t>
        </is>
      </c>
      <c r="K2412" t="inlineStr">
        <is>
          <t>Answering Machine Autodial</t>
        </is>
      </c>
      <c r="L2412" t="n">
        <v>3</v>
      </c>
      <c r="M2412" t="inlineStr">
        <is>
          <t>2026-06-23 13:00:32</t>
        </is>
      </c>
      <c r="N2412" t="inlineStr">
        <is>
          <t>system</t>
        </is>
      </c>
      <c r="O2412" t="inlineStr">
        <is>
          <t>2026-06-19 07:10:32</t>
        </is>
      </c>
      <c r="P2412" t="inlineStr">
        <is>
          <t>2026-06-19 07:10:32</t>
        </is>
      </c>
      <c r="Y2412" t="inlineStr">
        <is>
          <t>27716127800</t>
        </is>
      </c>
    </row>
    <row r="2413">
      <c r="A2413" t="inlineStr">
        <is>
          <t>14946694</t>
        </is>
      </c>
      <c r="B2413" t="inlineStr">
        <is>
          <t>7d38810f-a888-4402-8ee3-f44c33e1e235</t>
        </is>
      </c>
      <c r="D2413" t="inlineStr">
        <is>
          <t>30001087</t>
        </is>
      </c>
      <c r="E2413" t="inlineStr">
        <is>
          <t>ussd_funeral_leads_altitude_20260619</t>
        </is>
      </c>
      <c r="H2413" t="inlineStr">
        <is>
          <t>27818752537</t>
        </is>
      </c>
      <c r="J2413" t="inlineStr">
        <is>
          <t>AA</t>
        </is>
      </c>
      <c r="K2413" t="inlineStr">
        <is>
          <t>Answering Machine Autodial</t>
        </is>
      </c>
      <c r="L2413" t="n">
        <v>3</v>
      </c>
      <c r="M2413" t="inlineStr">
        <is>
          <t>2026-06-23 13:00:31</t>
        </is>
      </c>
      <c r="N2413" t="inlineStr">
        <is>
          <t>system</t>
        </is>
      </c>
      <c r="O2413" t="inlineStr">
        <is>
          <t>2026-06-19 07:10:32</t>
        </is>
      </c>
      <c r="P2413" t="inlineStr">
        <is>
          <t>2026-06-19 07:10:32</t>
        </is>
      </c>
      <c r="Y2413" t="inlineStr">
        <is>
          <t>27818752537</t>
        </is>
      </c>
    </row>
    <row r="2414">
      <c r="A2414" t="inlineStr">
        <is>
          <t>14946695</t>
        </is>
      </c>
      <c r="B2414" t="inlineStr">
        <is>
          <t>faf1cc42-1dda-45bf-9bf8-f9e0c5186672</t>
        </is>
      </c>
      <c r="D2414" t="inlineStr">
        <is>
          <t>30001087</t>
        </is>
      </c>
      <c r="E2414" t="inlineStr">
        <is>
          <t>ussd_funeral_leads_altitude_20260619</t>
        </is>
      </c>
      <c r="J2414" t="inlineStr">
        <is>
          <t>AA</t>
        </is>
      </c>
      <c r="K2414" t="inlineStr">
        <is>
          <t>Answering Machine Autodial</t>
        </is>
      </c>
      <c r="L2414" t="n">
        <v>3</v>
      </c>
      <c r="M2414" t="inlineStr">
        <is>
          <t>2026-06-23 13:00:31</t>
        </is>
      </c>
      <c r="N2414" t="inlineStr">
        <is>
          <t>system</t>
        </is>
      </c>
      <c r="O2414" t="inlineStr">
        <is>
          <t>2026-06-19 07:10:32</t>
        </is>
      </c>
      <c r="P2414" t="inlineStr">
        <is>
          <t>2026-06-19 07:10:32</t>
        </is>
      </c>
      <c r="Y2414" t="inlineStr">
        <is>
          <t>27608269045</t>
        </is>
      </c>
    </row>
    <row r="2415">
      <c r="A2415" t="inlineStr">
        <is>
          <t>14946667</t>
        </is>
      </c>
      <c r="B2415" t="inlineStr">
        <is>
          <t>078913d2-49cc-4ebe-b6a6-f6307fcf6353</t>
        </is>
      </c>
      <c r="D2415" t="inlineStr">
        <is>
          <t>30001087</t>
        </is>
      </c>
      <c r="E2415" t="inlineStr">
        <is>
          <t>ussd_funeral_leads_altitude_20260619</t>
        </is>
      </c>
      <c r="J2415" t="inlineStr">
        <is>
          <t>AA</t>
        </is>
      </c>
      <c r="K2415" t="inlineStr">
        <is>
          <t>Answering Machine Autodial</t>
        </is>
      </c>
      <c r="L2415" t="n">
        <v>3</v>
      </c>
      <c r="M2415" t="inlineStr">
        <is>
          <t>2026-06-23 13:00:31</t>
        </is>
      </c>
      <c r="N2415" t="inlineStr">
        <is>
          <t>system</t>
        </is>
      </c>
      <c r="O2415" t="inlineStr">
        <is>
          <t>2026-06-19 07:10:32</t>
        </is>
      </c>
      <c r="P2415" t="inlineStr">
        <is>
          <t>2026-06-19 07:10:32</t>
        </is>
      </c>
      <c r="Y2415" t="inlineStr">
        <is>
          <t>27727288136</t>
        </is>
      </c>
    </row>
    <row r="2416">
      <c r="A2416" t="inlineStr">
        <is>
          <t>14946668</t>
        </is>
      </c>
      <c r="B2416" t="inlineStr">
        <is>
          <t>84fea0b1-2e5b-446f-a354-ac19a58d69d9</t>
        </is>
      </c>
      <c r="D2416" t="inlineStr">
        <is>
          <t>30001087</t>
        </is>
      </c>
      <c r="E2416" t="inlineStr">
        <is>
          <t>ussd_funeral_leads_altitude_20260619</t>
        </is>
      </c>
      <c r="J2416" t="inlineStr">
        <is>
          <t>AA</t>
        </is>
      </c>
      <c r="K2416" t="inlineStr">
        <is>
          <t>Answering Machine Autodial</t>
        </is>
      </c>
      <c r="L2416" t="n">
        <v>3</v>
      </c>
      <c r="M2416" t="inlineStr">
        <is>
          <t>2026-06-23 13:00:31</t>
        </is>
      </c>
      <c r="N2416" t="inlineStr">
        <is>
          <t>system</t>
        </is>
      </c>
      <c r="O2416" t="inlineStr">
        <is>
          <t>2026-06-19 07:10:32</t>
        </is>
      </c>
      <c r="P2416" t="inlineStr">
        <is>
          <t>2026-06-19 07:10:32</t>
        </is>
      </c>
      <c r="Y2416" t="inlineStr">
        <is>
          <t>27763908607</t>
        </is>
      </c>
    </row>
    <row r="2417">
      <c r="A2417" t="inlineStr">
        <is>
          <t>14946666</t>
        </is>
      </c>
      <c r="B2417" t="inlineStr">
        <is>
          <t>c00751fe-00ee-4ed5-8412-b23d86c0bba9</t>
        </is>
      </c>
      <c r="D2417" t="inlineStr">
        <is>
          <t>30001087</t>
        </is>
      </c>
      <c r="E2417" t="inlineStr">
        <is>
          <t>ussd_funeral_leads_altitude_20260619</t>
        </is>
      </c>
      <c r="J2417" t="inlineStr">
        <is>
          <t>AA</t>
        </is>
      </c>
      <c r="K2417" t="inlineStr">
        <is>
          <t>Answering Machine Autodial</t>
        </is>
      </c>
      <c r="L2417" t="n">
        <v>3</v>
      </c>
      <c r="M2417" t="inlineStr">
        <is>
          <t>2026-06-23 13:00:26</t>
        </is>
      </c>
      <c r="N2417" t="inlineStr">
        <is>
          <t>system</t>
        </is>
      </c>
      <c r="O2417" t="inlineStr">
        <is>
          <t>2026-06-19 07:10:32</t>
        </is>
      </c>
      <c r="P2417" t="inlineStr">
        <is>
          <t>2026-06-19 07:10:32</t>
        </is>
      </c>
      <c r="Y2417" t="inlineStr">
        <is>
          <t>27762889547</t>
        </is>
      </c>
    </row>
    <row r="2418">
      <c r="A2418" t="inlineStr">
        <is>
          <t>14946665</t>
        </is>
      </c>
      <c r="B2418" t="inlineStr">
        <is>
          <t>c04ada56-3770-44f2-8296-be2e5efe7f99</t>
        </is>
      </c>
      <c r="D2418" t="inlineStr">
        <is>
          <t>30001087</t>
        </is>
      </c>
      <c r="E2418" t="inlineStr">
        <is>
          <t>ussd_funeral_leads_altitude_20260619</t>
        </is>
      </c>
      <c r="J2418" t="inlineStr">
        <is>
          <t>A</t>
        </is>
      </c>
      <c r="K2418" t="inlineStr">
        <is>
          <t>Answering Machine</t>
        </is>
      </c>
      <c r="L2418" t="n">
        <v>3</v>
      </c>
      <c r="M2418" t="inlineStr">
        <is>
          <t>2026-06-23 13:00:25</t>
        </is>
      </c>
      <c r="N2418" t="inlineStr">
        <is>
          <t>Lebohang Mabotja</t>
        </is>
      </c>
      <c r="O2418" t="inlineStr">
        <is>
          <t>2026-06-19 07:10:32</t>
        </is>
      </c>
      <c r="P2418" t="inlineStr">
        <is>
          <t>2026-06-19 07:10:32</t>
        </is>
      </c>
      <c r="Y2418" t="inlineStr">
        <is>
          <t>27716913215</t>
        </is>
      </c>
    </row>
    <row r="2419">
      <c r="A2419" t="inlineStr">
        <is>
          <t>14946661</t>
        </is>
      </c>
      <c r="B2419" t="inlineStr">
        <is>
          <t>07873c89-2da7-41c7-8507-ca63201af052</t>
        </is>
      </c>
      <c r="D2419" t="inlineStr">
        <is>
          <t>30001087</t>
        </is>
      </c>
      <c r="E2419" t="inlineStr">
        <is>
          <t>ussd_funeral_leads_altitude_20260619</t>
        </is>
      </c>
      <c r="J2419" t="inlineStr">
        <is>
          <t>NA</t>
        </is>
      </c>
      <c r="K2419" t="inlineStr">
        <is>
          <t>No Answer Autodial</t>
        </is>
      </c>
      <c r="L2419" t="n">
        <v>3</v>
      </c>
      <c r="M2419" t="inlineStr">
        <is>
          <t>2026-06-23 13:00:22</t>
        </is>
      </c>
      <c r="N2419" t="inlineStr">
        <is>
          <t>system</t>
        </is>
      </c>
      <c r="O2419" t="inlineStr">
        <is>
          <t>2026-06-19 07:10:32</t>
        </is>
      </c>
      <c r="P2419" t="inlineStr">
        <is>
          <t>2026-06-19 07:10:32</t>
        </is>
      </c>
      <c r="Y2419" t="inlineStr">
        <is>
          <t>27713248384</t>
        </is>
      </c>
    </row>
    <row r="2420">
      <c r="A2420" t="inlineStr">
        <is>
          <t>14946659</t>
        </is>
      </c>
      <c r="B2420" t="inlineStr">
        <is>
          <t>df47ba78-1765-495c-9685-9b5801cbbf99</t>
        </is>
      </c>
      <c r="D2420" t="inlineStr">
        <is>
          <t>30001087</t>
        </is>
      </c>
      <c r="E2420" t="inlineStr">
        <is>
          <t>ussd_funeral_leads_altitude_20260619</t>
        </is>
      </c>
      <c r="J2420" t="inlineStr">
        <is>
          <t>AA</t>
        </is>
      </c>
      <c r="K2420" t="inlineStr">
        <is>
          <t>Answering Machine Autodial</t>
        </is>
      </c>
      <c r="L2420" t="n">
        <v>3</v>
      </c>
      <c r="M2420" t="inlineStr">
        <is>
          <t>2026-06-23 13:00:20</t>
        </is>
      </c>
      <c r="N2420" t="inlineStr">
        <is>
          <t>system</t>
        </is>
      </c>
      <c r="O2420" t="inlineStr">
        <is>
          <t>2026-06-19 07:10:32</t>
        </is>
      </c>
      <c r="P2420" t="inlineStr">
        <is>
          <t>2026-06-19 07:10:32</t>
        </is>
      </c>
      <c r="Y2420" t="inlineStr">
        <is>
          <t>27648355854</t>
        </is>
      </c>
    </row>
    <row r="2421">
      <c r="A2421" t="inlineStr">
        <is>
          <t>14946657</t>
        </is>
      </c>
      <c r="B2421" t="inlineStr">
        <is>
          <t>5c4a6ec4-385a-4eed-9e26-3cd5426dd69a</t>
        </is>
      </c>
      <c r="D2421" t="inlineStr">
        <is>
          <t>30001087</t>
        </is>
      </c>
      <c r="E2421" t="inlineStr">
        <is>
          <t>ussd_funeral_leads_altitude_20260619</t>
        </is>
      </c>
      <c r="J2421" t="inlineStr">
        <is>
          <t>AA</t>
        </is>
      </c>
      <c r="K2421" t="inlineStr">
        <is>
          <t>Answering Machine Autodial</t>
        </is>
      </c>
      <c r="L2421" t="n">
        <v>3</v>
      </c>
      <c r="M2421" t="inlineStr">
        <is>
          <t>2026-06-23 13:00:18</t>
        </is>
      </c>
      <c r="N2421" t="inlineStr">
        <is>
          <t>system</t>
        </is>
      </c>
      <c r="O2421" t="inlineStr">
        <is>
          <t>2026-06-19 07:10:32</t>
        </is>
      </c>
      <c r="P2421" t="inlineStr">
        <is>
          <t>2026-06-19 07:10:32</t>
        </is>
      </c>
      <c r="Y2421" t="inlineStr">
        <is>
          <t>27607141606</t>
        </is>
      </c>
    </row>
    <row r="2422">
      <c r="A2422" t="inlineStr">
        <is>
          <t>14946655</t>
        </is>
      </c>
      <c r="B2422" t="inlineStr">
        <is>
          <t>a0c2a1f2-309e-49e6-b64e-69976b2b192a</t>
        </is>
      </c>
      <c r="D2422" t="inlineStr">
        <is>
          <t>30001087</t>
        </is>
      </c>
      <c r="E2422" t="inlineStr">
        <is>
          <t>ussd_funeral_leads_altitude_20260619</t>
        </is>
      </c>
      <c r="J2422" t="inlineStr">
        <is>
          <t>AA</t>
        </is>
      </c>
      <c r="K2422" t="inlineStr">
        <is>
          <t>Answering Machine Autodial</t>
        </is>
      </c>
      <c r="L2422" t="n">
        <v>3</v>
      </c>
      <c r="M2422" t="inlineStr">
        <is>
          <t>2026-06-23 13:00:16</t>
        </is>
      </c>
      <c r="N2422" t="inlineStr">
        <is>
          <t>system</t>
        </is>
      </c>
      <c r="O2422" t="inlineStr">
        <is>
          <t>2026-06-19 07:10:32</t>
        </is>
      </c>
      <c r="P2422" t="inlineStr">
        <is>
          <t>2026-06-19 07:10:32</t>
        </is>
      </c>
      <c r="Y2422" t="inlineStr">
        <is>
          <t>27606774107</t>
        </is>
      </c>
    </row>
    <row r="2423">
      <c r="A2423" t="inlineStr">
        <is>
          <t>14946654</t>
        </is>
      </c>
      <c r="B2423" t="inlineStr">
        <is>
          <t>bacf3fe7-bbfb-4b61-b901-178b9e79758b</t>
        </is>
      </c>
      <c r="D2423" t="inlineStr">
        <is>
          <t>30001087</t>
        </is>
      </c>
      <c r="E2423" t="inlineStr">
        <is>
          <t>ussd_funeral_leads_altitude_20260619</t>
        </is>
      </c>
      <c r="J2423" t="inlineStr">
        <is>
          <t>NA</t>
        </is>
      </c>
      <c r="K2423" t="inlineStr">
        <is>
          <t>No Answer Autodial</t>
        </is>
      </c>
      <c r="L2423" t="n">
        <v>3</v>
      </c>
      <c r="M2423" t="inlineStr">
        <is>
          <t>2026-06-23 13:00:05</t>
        </is>
      </c>
      <c r="N2423" t="inlineStr">
        <is>
          <t>system</t>
        </is>
      </c>
      <c r="O2423" t="inlineStr">
        <is>
          <t>2026-06-19 07:10:32</t>
        </is>
      </c>
      <c r="P2423" t="inlineStr">
        <is>
          <t>2026-06-19 07:10:32</t>
        </is>
      </c>
      <c r="Y2423" t="inlineStr">
        <is>
          <t>27608602464</t>
        </is>
      </c>
    </row>
    <row r="2424">
      <c r="A2424" t="inlineStr">
        <is>
          <t>14946644</t>
        </is>
      </c>
      <c r="B2424" t="inlineStr">
        <is>
          <t>0d5e9288-fa54-437f-9b69-c83454ac5175</t>
        </is>
      </c>
      <c r="D2424" t="inlineStr">
        <is>
          <t>30001087</t>
        </is>
      </c>
      <c r="E2424" t="inlineStr">
        <is>
          <t>ussd_funeral_leads_altitude_20260619</t>
        </is>
      </c>
      <c r="J2424" t="inlineStr">
        <is>
          <t>AA</t>
        </is>
      </c>
      <c r="K2424" t="inlineStr">
        <is>
          <t>Answering Machine Autodial</t>
        </is>
      </c>
      <c r="L2424" t="n">
        <v>3</v>
      </c>
      <c r="M2424" t="inlineStr">
        <is>
          <t>2026-06-23 12:59:44</t>
        </is>
      </c>
      <c r="N2424" t="inlineStr">
        <is>
          <t>system</t>
        </is>
      </c>
      <c r="O2424" t="inlineStr">
        <is>
          <t>2026-06-19 07:10:32</t>
        </is>
      </c>
      <c r="P2424" t="inlineStr">
        <is>
          <t>2026-06-19 07:10:32</t>
        </is>
      </c>
      <c r="Y2424" t="inlineStr">
        <is>
          <t>27663832501</t>
        </is>
      </c>
    </row>
    <row r="2425">
      <c r="A2425" t="inlineStr">
        <is>
          <t>14946645</t>
        </is>
      </c>
      <c r="B2425" t="inlineStr">
        <is>
          <t>9a4dcde1-bab1-45da-999d-8a0dfd1aaea2</t>
        </is>
      </c>
      <c r="D2425" t="inlineStr">
        <is>
          <t>30001087</t>
        </is>
      </c>
      <c r="E2425" t="inlineStr">
        <is>
          <t>ussd_funeral_leads_altitude_20260619</t>
        </is>
      </c>
      <c r="J2425" t="inlineStr">
        <is>
          <t>AA</t>
        </is>
      </c>
      <c r="K2425" t="inlineStr">
        <is>
          <t>Answering Machine Autodial</t>
        </is>
      </c>
      <c r="L2425" t="n">
        <v>3</v>
      </c>
      <c r="M2425" t="inlineStr">
        <is>
          <t>2026-06-23 12:59:44</t>
        </is>
      </c>
      <c r="N2425" t="inlineStr">
        <is>
          <t>system</t>
        </is>
      </c>
      <c r="O2425" t="inlineStr">
        <is>
          <t>2026-06-19 07:10:32</t>
        </is>
      </c>
      <c r="P2425" t="inlineStr">
        <is>
          <t>2026-06-19 07:10:32</t>
        </is>
      </c>
      <c r="Y2425" t="inlineStr">
        <is>
          <t>27763261312</t>
        </is>
      </c>
    </row>
    <row r="2426">
      <c r="A2426" t="inlineStr">
        <is>
          <t>14946647</t>
        </is>
      </c>
      <c r="B2426" t="inlineStr">
        <is>
          <t>bae3e7c5-15cb-44de-b05e-0549ece424bb</t>
        </is>
      </c>
      <c r="D2426" t="inlineStr">
        <is>
          <t>30001087</t>
        </is>
      </c>
      <c r="E2426" t="inlineStr">
        <is>
          <t>ussd_funeral_leads_altitude_20260619</t>
        </is>
      </c>
      <c r="J2426" t="inlineStr">
        <is>
          <t>NA</t>
        </is>
      </c>
      <c r="K2426" t="inlineStr">
        <is>
          <t>No Answer Autodial</t>
        </is>
      </c>
      <c r="L2426" t="n">
        <v>3</v>
      </c>
      <c r="M2426" t="inlineStr">
        <is>
          <t>2026-06-23 12:59:44</t>
        </is>
      </c>
      <c r="N2426" t="inlineStr">
        <is>
          <t>system</t>
        </is>
      </c>
      <c r="O2426" t="inlineStr">
        <is>
          <t>2026-06-19 07:10:32</t>
        </is>
      </c>
      <c r="P2426" t="inlineStr">
        <is>
          <t>2026-06-19 07:10:32</t>
        </is>
      </c>
      <c r="Y2426" t="inlineStr">
        <is>
          <t>27648692516</t>
        </is>
      </c>
    </row>
    <row r="2427">
      <c r="A2427" t="inlineStr">
        <is>
          <t>14946653</t>
        </is>
      </c>
      <c r="B2427" t="inlineStr">
        <is>
          <t>faacb3a5-404d-4f65-87f0-026dd579ccba</t>
        </is>
      </c>
      <c r="D2427" t="inlineStr">
        <is>
          <t>30001087</t>
        </is>
      </c>
      <c r="E2427" t="inlineStr">
        <is>
          <t>ussd_funeral_leads_altitude_20260619</t>
        </is>
      </c>
      <c r="J2427" t="inlineStr">
        <is>
          <t>AA</t>
        </is>
      </c>
      <c r="K2427" t="inlineStr">
        <is>
          <t>Answering Machine Autodial</t>
        </is>
      </c>
      <c r="L2427" t="n">
        <v>3</v>
      </c>
      <c r="M2427" t="inlineStr">
        <is>
          <t>2026-06-23 12:59:44</t>
        </is>
      </c>
      <c r="N2427" t="inlineStr">
        <is>
          <t>system</t>
        </is>
      </c>
      <c r="O2427" t="inlineStr">
        <is>
          <t>2026-06-19 07:10:32</t>
        </is>
      </c>
      <c r="P2427" t="inlineStr">
        <is>
          <t>2026-06-19 07:10:32</t>
        </is>
      </c>
      <c r="Y2427" t="inlineStr">
        <is>
          <t>27761665580</t>
        </is>
      </c>
    </row>
    <row r="2428">
      <c r="A2428" t="inlineStr">
        <is>
          <t>14946640</t>
        </is>
      </c>
      <c r="B2428" t="inlineStr">
        <is>
          <t>103eaabb-6ca4-4f72-a744-e82755744505</t>
        </is>
      </c>
      <c r="D2428" t="inlineStr">
        <is>
          <t>30001087</t>
        </is>
      </c>
      <c r="E2428" t="inlineStr">
        <is>
          <t>ussd_funeral_leads_altitude_20260619</t>
        </is>
      </c>
      <c r="J2428" t="inlineStr">
        <is>
          <t>NA</t>
        </is>
      </c>
      <c r="K2428" t="inlineStr">
        <is>
          <t>No Answer Autodial</t>
        </is>
      </c>
      <c r="L2428" t="n">
        <v>3</v>
      </c>
      <c r="M2428" t="inlineStr">
        <is>
          <t>2026-06-23 12:59:43</t>
        </is>
      </c>
      <c r="N2428" t="inlineStr">
        <is>
          <t>system</t>
        </is>
      </c>
      <c r="O2428" t="inlineStr">
        <is>
          <t>2026-06-19 07:10:32</t>
        </is>
      </c>
      <c r="P2428" t="inlineStr">
        <is>
          <t>2026-06-19 07:10:32</t>
        </is>
      </c>
      <c r="Y2428" t="inlineStr">
        <is>
          <t>27723858215</t>
        </is>
      </c>
    </row>
    <row r="2429">
      <c r="A2429" t="inlineStr">
        <is>
          <t>14946641</t>
        </is>
      </c>
      <c r="B2429" t="inlineStr">
        <is>
          <t>e0ae582a-fccb-4882-9daf-a359c688d1d4</t>
        </is>
      </c>
      <c r="D2429" t="inlineStr">
        <is>
          <t>30001087</t>
        </is>
      </c>
      <c r="E2429" t="inlineStr">
        <is>
          <t>ussd_funeral_leads_altitude_20260619</t>
        </is>
      </c>
      <c r="J2429" t="inlineStr">
        <is>
          <t>AA</t>
        </is>
      </c>
      <c r="K2429" t="inlineStr">
        <is>
          <t>Answering Machine Autodial</t>
        </is>
      </c>
      <c r="L2429" t="n">
        <v>3</v>
      </c>
      <c r="M2429" t="inlineStr">
        <is>
          <t>2026-06-23 12:59:43</t>
        </is>
      </c>
      <c r="N2429" t="inlineStr">
        <is>
          <t>system</t>
        </is>
      </c>
      <c r="O2429" t="inlineStr">
        <is>
          <t>2026-06-19 07:10:32</t>
        </is>
      </c>
      <c r="P2429" t="inlineStr">
        <is>
          <t>2026-06-19 07:10:32</t>
        </is>
      </c>
      <c r="Y2429" t="inlineStr">
        <is>
          <t>27793151599</t>
        </is>
      </c>
    </row>
    <row r="2430">
      <c r="A2430" t="inlineStr">
        <is>
          <t>14946642</t>
        </is>
      </c>
      <c r="B2430" t="inlineStr">
        <is>
          <t>943a16e1-d8c8-4dc5-8754-69a9b77cf050</t>
        </is>
      </c>
      <c r="D2430" t="inlineStr">
        <is>
          <t>30001087</t>
        </is>
      </c>
      <c r="E2430" t="inlineStr">
        <is>
          <t>ussd_funeral_leads_altitude_20260619</t>
        </is>
      </c>
      <c r="J2430" t="inlineStr">
        <is>
          <t>CU</t>
        </is>
      </c>
      <c r="K2430" t="inlineStr">
        <is>
          <t>Client Hung Up</t>
        </is>
      </c>
      <c r="L2430" t="n">
        <v>3</v>
      </c>
      <c r="M2430" t="inlineStr">
        <is>
          <t>2026-06-23 12:59:43</t>
        </is>
      </c>
      <c r="N2430" t="inlineStr">
        <is>
          <t>Vuyiswa Nxumalo</t>
        </is>
      </c>
      <c r="O2430" t="inlineStr">
        <is>
          <t>2026-06-19 07:10:32</t>
        </is>
      </c>
      <c r="P2430" t="inlineStr">
        <is>
          <t>2026-06-19 07:10:32</t>
        </is>
      </c>
      <c r="Y2430" t="inlineStr">
        <is>
          <t>27760689041</t>
        </is>
      </c>
    </row>
    <row r="2431">
      <c r="A2431" t="inlineStr">
        <is>
          <t>14946637</t>
        </is>
      </c>
      <c r="B2431" t="inlineStr">
        <is>
          <t>67b891ac-6f4c-457b-8795-466a8676ae72</t>
        </is>
      </c>
      <c r="D2431" t="inlineStr">
        <is>
          <t>30001087</t>
        </is>
      </c>
      <c r="E2431" t="inlineStr">
        <is>
          <t>ussd_funeral_leads_altitude_20260619</t>
        </is>
      </c>
      <c r="J2431" t="inlineStr">
        <is>
          <t>AA</t>
        </is>
      </c>
      <c r="K2431" t="inlineStr">
        <is>
          <t>Answering Machine Autodial</t>
        </is>
      </c>
      <c r="L2431" t="n">
        <v>3</v>
      </c>
      <c r="M2431" t="inlineStr">
        <is>
          <t>2026-06-23 12:59:36</t>
        </is>
      </c>
      <c r="N2431" t="inlineStr">
        <is>
          <t>system</t>
        </is>
      </c>
      <c r="O2431" t="inlineStr">
        <is>
          <t>2026-06-19 07:10:32</t>
        </is>
      </c>
      <c r="P2431" t="inlineStr">
        <is>
          <t>2026-06-19 07:10:32</t>
        </is>
      </c>
      <c r="Y2431" t="inlineStr">
        <is>
          <t>27823694816</t>
        </is>
      </c>
    </row>
    <row r="2432">
      <c r="A2432" t="inlineStr">
        <is>
          <t>14946638</t>
        </is>
      </c>
      <c r="B2432" t="inlineStr">
        <is>
          <t>3eec650e-50ee-404a-a9af-eb8296e39417</t>
        </is>
      </c>
      <c r="D2432" t="inlineStr">
        <is>
          <t>30001087</t>
        </is>
      </c>
      <c r="E2432" t="inlineStr">
        <is>
          <t>ussd_funeral_leads_altitude_20260619</t>
        </is>
      </c>
      <c r="J2432" t="inlineStr">
        <is>
          <t>AA</t>
        </is>
      </c>
      <c r="K2432" t="inlineStr">
        <is>
          <t>Answering Machine Autodial</t>
        </is>
      </c>
      <c r="L2432" t="n">
        <v>3</v>
      </c>
      <c r="M2432" t="inlineStr">
        <is>
          <t>2026-06-23 12:59:36</t>
        </is>
      </c>
      <c r="N2432" t="inlineStr">
        <is>
          <t>system</t>
        </is>
      </c>
      <c r="O2432" t="inlineStr">
        <is>
          <t>2026-06-19 07:10:32</t>
        </is>
      </c>
      <c r="P2432" t="inlineStr">
        <is>
          <t>2026-06-19 07:10:32</t>
        </is>
      </c>
      <c r="Y2432" t="inlineStr">
        <is>
          <t>27662860718</t>
        </is>
      </c>
    </row>
    <row r="2433">
      <c r="A2433" t="inlineStr">
        <is>
          <t>14900000</t>
        </is>
      </c>
      <c r="B2433" t="inlineStr">
        <is>
          <t>60e20763-0b3a-495f-a193-56f28bb4d45f</t>
        </is>
      </c>
      <c r="D2433" t="inlineStr">
        <is>
          <t>30001087</t>
        </is>
      </c>
      <c r="E2433" t="inlineStr">
        <is>
          <t>ussd_funeral_leads_altitude_20260619</t>
        </is>
      </c>
      <c r="J2433" t="inlineStr">
        <is>
          <t>NA</t>
        </is>
      </c>
      <c r="K2433" t="inlineStr">
        <is>
          <t>No Answer Autodial</t>
        </is>
      </c>
      <c r="L2433" t="n">
        <v>3</v>
      </c>
      <c r="M2433" t="inlineStr">
        <is>
          <t>2026-06-23 12:59:36</t>
        </is>
      </c>
      <c r="N2433" t="inlineStr">
        <is>
          <t>system</t>
        </is>
      </c>
      <c r="O2433" t="inlineStr">
        <is>
          <t>2026-06-19 07:10:32</t>
        </is>
      </c>
      <c r="P2433" t="inlineStr">
        <is>
          <t>2026-06-19 07:10:32</t>
        </is>
      </c>
      <c r="Y2433" t="inlineStr">
        <is>
          <t>27726978339</t>
        </is>
      </c>
    </row>
    <row r="2434">
      <c r="A2434" t="inlineStr">
        <is>
          <t>14946636</t>
        </is>
      </c>
      <c r="B2434" t="inlineStr">
        <is>
          <t>8a693360-3846-466a-83a4-e95b98031345</t>
        </is>
      </c>
      <c r="D2434" t="inlineStr">
        <is>
          <t>30001087</t>
        </is>
      </c>
      <c r="E2434" t="inlineStr">
        <is>
          <t>ussd_funeral_leads_altitude_20260619</t>
        </is>
      </c>
      <c r="J2434" t="inlineStr">
        <is>
          <t>AA</t>
        </is>
      </c>
      <c r="K2434" t="inlineStr">
        <is>
          <t>Answering Machine Autodial</t>
        </is>
      </c>
      <c r="L2434" t="n">
        <v>3</v>
      </c>
      <c r="M2434" t="inlineStr">
        <is>
          <t>2026-06-23 12:59:35</t>
        </is>
      </c>
      <c r="N2434" t="inlineStr">
        <is>
          <t>system</t>
        </is>
      </c>
      <c r="O2434" t="inlineStr">
        <is>
          <t>2026-06-19 07:10:32</t>
        </is>
      </c>
      <c r="P2434" t="inlineStr">
        <is>
          <t>2026-06-19 07:10:32</t>
        </is>
      </c>
      <c r="Y2434" t="inlineStr">
        <is>
          <t>27763753960</t>
        </is>
      </c>
    </row>
    <row r="2435">
      <c r="A2435" t="inlineStr">
        <is>
          <t>14900000</t>
        </is>
      </c>
      <c r="B2435" t="inlineStr">
        <is>
          <t>942e727f-31e8-45cc-bb9d-81a9d39dcd78</t>
        </is>
      </c>
      <c r="D2435" t="inlineStr">
        <is>
          <t>30001087</t>
        </is>
      </c>
      <c r="E2435" t="inlineStr">
        <is>
          <t>ussd_funeral_leads_altitude_20260619</t>
        </is>
      </c>
      <c r="J2435" t="inlineStr">
        <is>
          <t>AA</t>
        </is>
      </c>
      <c r="K2435" t="inlineStr">
        <is>
          <t>Answering Machine Autodial</t>
        </is>
      </c>
      <c r="L2435" t="n">
        <v>3</v>
      </c>
      <c r="M2435" t="inlineStr">
        <is>
          <t>2026-06-23 12:59:33</t>
        </is>
      </c>
      <c r="N2435" t="inlineStr">
        <is>
          <t>system</t>
        </is>
      </c>
      <c r="O2435" t="inlineStr">
        <is>
          <t>2026-06-19 07:10:32</t>
        </is>
      </c>
      <c r="P2435" t="inlineStr">
        <is>
          <t>2026-06-19 07:10:32</t>
        </is>
      </c>
      <c r="Y2435" t="inlineStr">
        <is>
          <t>27714388005</t>
        </is>
      </c>
    </row>
    <row r="2436">
      <c r="A2436" t="inlineStr">
        <is>
          <t>14946633</t>
        </is>
      </c>
      <c r="B2436" t="inlineStr">
        <is>
          <t>cdc2c683-d50e-4067-90e5-ad99dfe09118</t>
        </is>
      </c>
      <c r="D2436" t="inlineStr">
        <is>
          <t>30001087</t>
        </is>
      </c>
      <c r="E2436" t="inlineStr">
        <is>
          <t>ussd_funeral_leads_altitude_20260619</t>
        </is>
      </c>
      <c r="J2436" t="inlineStr">
        <is>
          <t>AA</t>
        </is>
      </c>
      <c r="K2436" t="inlineStr">
        <is>
          <t>Answering Machine Autodial</t>
        </is>
      </c>
      <c r="L2436" t="n">
        <v>3</v>
      </c>
      <c r="M2436" t="inlineStr">
        <is>
          <t>2026-06-23 12:59:32</t>
        </is>
      </c>
      <c r="N2436" t="inlineStr">
        <is>
          <t>system</t>
        </is>
      </c>
      <c r="O2436" t="inlineStr">
        <is>
          <t>2026-06-19 07:10:32</t>
        </is>
      </c>
      <c r="P2436" t="inlineStr">
        <is>
          <t>2026-06-19 07:10:32</t>
        </is>
      </c>
      <c r="Y2436" t="inlineStr">
        <is>
          <t>27716424843</t>
        </is>
      </c>
    </row>
    <row r="2437">
      <c r="A2437" t="inlineStr">
        <is>
          <t>14946627</t>
        </is>
      </c>
      <c r="B2437" t="inlineStr">
        <is>
          <t>2065c94f-0e66-4355-8304-690b68d8e4bf</t>
        </is>
      </c>
      <c r="D2437" t="inlineStr">
        <is>
          <t>30001087</t>
        </is>
      </c>
      <c r="E2437" t="inlineStr">
        <is>
          <t>ussd_funeral_leads_altitude_20260619</t>
        </is>
      </c>
      <c r="J2437" t="inlineStr">
        <is>
          <t>AA</t>
        </is>
      </c>
      <c r="K2437" t="inlineStr">
        <is>
          <t>Answering Machine Autodial</t>
        </is>
      </c>
      <c r="L2437" t="n">
        <v>3</v>
      </c>
      <c r="M2437" t="inlineStr">
        <is>
          <t>2026-06-23 12:59:29</t>
        </is>
      </c>
      <c r="N2437" t="inlineStr">
        <is>
          <t>system</t>
        </is>
      </c>
      <c r="O2437" t="inlineStr">
        <is>
          <t>2026-06-19 07:10:32</t>
        </is>
      </c>
      <c r="P2437" t="inlineStr">
        <is>
          <t>2026-06-19 07:10:32</t>
        </is>
      </c>
      <c r="Y2437" t="inlineStr">
        <is>
          <t>27664393792</t>
        </is>
      </c>
    </row>
    <row r="2438">
      <c r="A2438" t="inlineStr">
        <is>
          <t>14946629</t>
        </is>
      </c>
      <c r="B2438" t="inlineStr">
        <is>
          <t>abbfeb5b-2c44-4b59-925c-15b5d51ae2bb</t>
        </is>
      </c>
      <c r="D2438" t="inlineStr">
        <is>
          <t>30001087</t>
        </is>
      </c>
      <c r="E2438" t="inlineStr">
        <is>
          <t>ussd_funeral_leads_altitude_20260619</t>
        </is>
      </c>
      <c r="J2438" t="inlineStr">
        <is>
          <t>AA</t>
        </is>
      </c>
      <c r="K2438" t="inlineStr">
        <is>
          <t>Answering Machine Autodial</t>
        </is>
      </c>
      <c r="L2438" t="n">
        <v>3</v>
      </c>
      <c r="M2438" t="inlineStr">
        <is>
          <t>2026-06-23 12:59:29</t>
        </is>
      </c>
      <c r="N2438" t="inlineStr">
        <is>
          <t>system</t>
        </is>
      </c>
      <c r="O2438" t="inlineStr">
        <is>
          <t>2026-06-19 07:10:32</t>
        </is>
      </c>
      <c r="P2438" t="inlineStr">
        <is>
          <t>2026-06-19 07:10:32</t>
        </is>
      </c>
      <c r="Y2438" t="inlineStr">
        <is>
          <t>27727476609</t>
        </is>
      </c>
    </row>
    <row r="2439">
      <c r="A2439" t="inlineStr">
        <is>
          <t>14946562</t>
        </is>
      </c>
      <c r="B2439" t="inlineStr">
        <is>
          <t>bb23a46e-bab3-40d4-9d81-b0ba2b0b1def</t>
        </is>
      </c>
      <c r="D2439" t="inlineStr">
        <is>
          <t>30001087</t>
        </is>
      </c>
      <c r="E2439" t="inlineStr">
        <is>
          <t>ussd_funeral_leads_altitude_20260619</t>
        </is>
      </c>
      <c r="J2439" t="inlineStr">
        <is>
          <t>CU</t>
        </is>
      </c>
      <c r="K2439" t="inlineStr">
        <is>
          <t>Client Hung Up</t>
        </is>
      </c>
      <c r="L2439" t="n">
        <v>3</v>
      </c>
      <c r="M2439" t="inlineStr">
        <is>
          <t>2026-06-23 12:59:29</t>
        </is>
      </c>
      <c r="N2439" t="inlineStr">
        <is>
          <t>Lebohang Mabotja</t>
        </is>
      </c>
      <c r="O2439" t="inlineStr">
        <is>
          <t>2026-06-19 07:10:32</t>
        </is>
      </c>
      <c r="P2439" t="inlineStr">
        <is>
          <t>2026-06-19 07:10:32</t>
        </is>
      </c>
      <c r="Y2439" t="inlineStr">
        <is>
          <t>27729486787</t>
        </is>
      </c>
    </row>
    <row r="2440">
      <c r="A2440" t="inlineStr">
        <is>
          <t>14900000</t>
        </is>
      </c>
      <c r="B2440" t="inlineStr">
        <is>
          <t>61e17323-b833-4c64-9276-4494bd148fc0</t>
        </is>
      </c>
      <c r="D2440" t="inlineStr">
        <is>
          <t>30001087</t>
        </is>
      </c>
      <c r="E2440" t="inlineStr">
        <is>
          <t>ussd_funeral_leads_altitude_20260619</t>
        </is>
      </c>
      <c r="J2440" t="inlineStr">
        <is>
          <t>NA</t>
        </is>
      </c>
      <c r="K2440" t="inlineStr">
        <is>
          <t>No Answer Autodial</t>
        </is>
      </c>
      <c r="L2440" t="n">
        <v>3</v>
      </c>
      <c r="M2440" t="inlineStr">
        <is>
          <t>2026-06-23 12:59:29</t>
        </is>
      </c>
      <c r="N2440" t="inlineStr">
        <is>
          <t>system</t>
        </is>
      </c>
      <c r="O2440" t="inlineStr">
        <is>
          <t>2026-06-19 07:10:32</t>
        </is>
      </c>
      <c r="P2440" t="inlineStr">
        <is>
          <t>2026-06-19 07:10:32</t>
        </is>
      </c>
      <c r="Y2440" t="inlineStr">
        <is>
          <t>27673633945</t>
        </is>
      </c>
    </row>
    <row r="2441">
      <c r="A2441" t="inlineStr">
        <is>
          <t>14946566</t>
        </is>
      </c>
      <c r="B2441" t="inlineStr">
        <is>
          <t>25b3bfcd-7c13-47da-a5dc-e04af9e75aba</t>
        </is>
      </c>
      <c r="D2441" t="inlineStr">
        <is>
          <t>30001087</t>
        </is>
      </c>
      <c r="E2441" t="inlineStr">
        <is>
          <t>ussd_funeral_leads_altitude_20260619</t>
        </is>
      </c>
      <c r="J2441" t="inlineStr">
        <is>
          <t>AA</t>
        </is>
      </c>
      <c r="K2441" t="inlineStr">
        <is>
          <t>Answering Machine Autodial</t>
        </is>
      </c>
      <c r="L2441" t="n">
        <v>3</v>
      </c>
      <c r="M2441" t="inlineStr">
        <is>
          <t>2026-06-23 12:59:29</t>
        </is>
      </c>
      <c r="N2441" t="inlineStr">
        <is>
          <t>system</t>
        </is>
      </c>
      <c r="O2441" t="inlineStr">
        <is>
          <t>2026-06-19 07:10:32</t>
        </is>
      </c>
      <c r="P2441" t="inlineStr">
        <is>
          <t>2026-06-19 07:10:32</t>
        </is>
      </c>
      <c r="Y2441" t="inlineStr">
        <is>
          <t>27646439922</t>
        </is>
      </c>
    </row>
    <row r="2442">
      <c r="A2442" t="inlineStr">
        <is>
          <t>14946569</t>
        </is>
      </c>
      <c r="B2442" t="inlineStr">
        <is>
          <t>44f62824-338a-40a0-a1e4-568700bc8e50</t>
        </is>
      </c>
      <c r="D2442" t="inlineStr">
        <is>
          <t>30001087</t>
        </is>
      </c>
      <c r="E2442" t="inlineStr">
        <is>
          <t>ussd_funeral_leads_altitude_20260619</t>
        </is>
      </c>
      <c r="J2442" t="inlineStr">
        <is>
          <t>AA</t>
        </is>
      </c>
      <c r="K2442" t="inlineStr">
        <is>
          <t>Answering Machine Autodial</t>
        </is>
      </c>
      <c r="L2442" t="n">
        <v>3</v>
      </c>
      <c r="M2442" t="inlineStr">
        <is>
          <t>2026-06-23 12:59:29</t>
        </is>
      </c>
      <c r="N2442" t="inlineStr">
        <is>
          <t>system</t>
        </is>
      </c>
      <c r="O2442" t="inlineStr">
        <is>
          <t>2026-06-19 07:10:32</t>
        </is>
      </c>
      <c r="P2442" t="inlineStr">
        <is>
          <t>2026-06-19 07:10:32</t>
        </is>
      </c>
      <c r="Y2442" t="inlineStr">
        <is>
          <t>27608325054</t>
        </is>
      </c>
    </row>
    <row r="2443">
      <c r="A2443" t="inlineStr">
        <is>
          <t>14946560</t>
        </is>
      </c>
      <c r="B2443" t="inlineStr">
        <is>
          <t>3d0f6188-7fc6-4b64-bd84-b0c5feb56a88</t>
        </is>
      </c>
      <c r="D2443" t="inlineStr">
        <is>
          <t>30001087</t>
        </is>
      </c>
      <c r="E2443" t="inlineStr">
        <is>
          <t>ussd_funeral_leads_altitude_20260619</t>
        </is>
      </c>
      <c r="J2443" t="inlineStr">
        <is>
          <t>NA</t>
        </is>
      </c>
      <c r="K2443" t="inlineStr">
        <is>
          <t>No Answer Autodial</t>
        </is>
      </c>
      <c r="L2443" t="n">
        <v>3</v>
      </c>
      <c r="M2443" t="inlineStr">
        <is>
          <t>2026-06-23 12:59:28</t>
        </is>
      </c>
      <c r="N2443" t="inlineStr">
        <is>
          <t>system</t>
        </is>
      </c>
      <c r="O2443" t="inlineStr">
        <is>
          <t>2026-06-19 07:10:32</t>
        </is>
      </c>
      <c r="P2443" t="inlineStr">
        <is>
          <t>2026-06-19 07:10:32</t>
        </is>
      </c>
      <c r="Y2443" t="inlineStr">
        <is>
          <t>27790839328</t>
        </is>
      </c>
    </row>
    <row r="2444">
      <c r="A2444" t="inlineStr">
        <is>
          <t>14946561</t>
        </is>
      </c>
      <c r="B2444" t="inlineStr">
        <is>
          <t>0e0b7120-1104-427e-b8f2-6992e227a12d</t>
        </is>
      </c>
      <c r="D2444" t="inlineStr">
        <is>
          <t>30001087</t>
        </is>
      </c>
      <c r="E2444" t="inlineStr">
        <is>
          <t>ussd_funeral_leads_altitude_20260619</t>
        </is>
      </c>
      <c r="J2444" t="inlineStr">
        <is>
          <t>AA</t>
        </is>
      </c>
      <c r="K2444" t="inlineStr">
        <is>
          <t>Answering Machine Autodial</t>
        </is>
      </c>
      <c r="L2444" t="n">
        <v>3</v>
      </c>
      <c r="M2444" t="inlineStr">
        <is>
          <t>2026-06-23 12:59:28</t>
        </is>
      </c>
      <c r="N2444" t="inlineStr">
        <is>
          <t>system</t>
        </is>
      </c>
      <c r="O2444" t="inlineStr">
        <is>
          <t>2026-06-19 07:10:32</t>
        </is>
      </c>
      <c r="P2444" t="inlineStr">
        <is>
          <t>2026-06-19 07:10:32</t>
        </is>
      </c>
      <c r="Y2444" t="inlineStr">
        <is>
          <t>27721954630</t>
        </is>
      </c>
    </row>
    <row r="2445">
      <c r="A2445" t="inlineStr">
        <is>
          <t>14946359</t>
        </is>
      </c>
      <c r="B2445" t="inlineStr">
        <is>
          <t>ada5b040-0abc-4638-8afe-93a4f09c719a</t>
        </is>
      </c>
      <c r="D2445" t="inlineStr">
        <is>
          <t>30001087</t>
        </is>
      </c>
      <c r="E2445" t="inlineStr">
        <is>
          <t>ussd_funeral_leads_altitude_20260619</t>
        </is>
      </c>
      <c r="J2445" t="inlineStr">
        <is>
          <t>AA</t>
        </is>
      </c>
      <c r="K2445" t="inlineStr">
        <is>
          <t>Answering Machine Autodial</t>
        </is>
      </c>
      <c r="L2445" t="n">
        <v>3</v>
      </c>
      <c r="M2445" t="inlineStr">
        <is>
          <t>2026-06-23 12:59:26</t>
        </is>
      </c>
      <c r="N2445" t="inlineStr">
        <is>
          <t>system</t>
        </is>
      </c>
      <c r="O2445" t="inlineStr">
        <is>
          <t>2026-06-19 07:10:32</t>
        </is>
      </c>
      <c r="P2445" t="inlineStr">
        <is>
          <t>2026-06-19 07:10:32</t>
        </is>
      </c>
      <c r="Y2445" t="inlineStr">
        <is>
          <t>27799269015</t>
        </is>
      </c>
    </row>
    <row r="2446">
      <c r="A2446" t="inlineStr">
        <is>
          <t>14946555</t>
        </is>
      </c>
      <c r="B2446" t="inlineStr">
        <is>
          <t>9a42cc02-337e-427c-9b5e-1726d6afbebc</t>
        </is>
      </c>
      <c r="D2446" t="inlineStr">
        <is>
          <t>30001087</t>
        </is>
      </c>
      <c r="E2446" t="inlineStr">
        <is>
          <t>ussd_funeral_leads_altitude_20260619</t>
        </is>
      </c>
      <c r="J2446" t="inlineStr">
        <is>
          <t>AA</t>
        </is>
      </c>
      <c r="K2446" t="inlineStr">
        <is>
          <t>Answering Machine Autodial</t>
        </is>
      </c>
      <c r="L2446" t="n">
        <v>3</v>
      </c>
      <c r="M2446" t="inlineStr">
        <is>
          <t>2026-06-23 12:59:26</t>
        </is>
      </c>
      <c r="N2446" t="inlineStr">
        <is>
          <t>system</t>
        </is>
      </c>
      <c r="O2446" t="inlineStr">
        <is>
          <t>2026-06-19 07:10:32</t>
        </is>
      </c>
      <c r="P2446" t="inlineStr">
        <is>
          <t>2026-06-19 07:10:32</t>
        </is>
      </c>
      <c r="Y2446" t="inlineStr">
        <is>
          <t>27772457084</t>
        </is>
      </c>
    </row>
    <row r="2447">
      <c r="A2447" t="inlineStr">
        <is>
          <t>14946556</t>
        </is>
      </c>
      <c r="B2447" t="inlineStr">
        <is>
          <t>8aa5def2-2b58-46bb-833e-65ad10c8fe79</t>
        </is>
      </c>
      <c r="D2447" t="inlineStr">
        <is>
          <t>30001087</t>
        </is>
      </c>
      <c r="E2447" t="inlineStr">
        <is>
          <t>ussd_funeral_leads_altitude_20260619</t>
        </is>
      </c>
      <c r="J2447" t="inlineStr">
        <is>
          <t>AA</t>
        </is>
      </c>
      <c r="K2447" t="inlineStr">
        <is>
          <t>Answering Machine Autodial</t>
        </is>
      </c>
      <c r="L2447" t="n">
        <v>3</v>
      </c>
      <c r="M2447" t="inlineStr">
        <is>
          <t>2026-06-23 12:59:26</t>
        </is>
      </c>
      <c r="N2447" t="inlineStr">
        <is>
          <t>system</t>
        </is>
      </c>
      <c r="O2447" t="inlineStr">
        <is>
          <t>2026-06-19 07:10:32</t>
        </is>
      </c>
      <c r="P2447" t="inlineStr">
        <is>
          <t>2026-06-19 07:10:32</t>
        </is>
      </c>
      <c r="Y2447" t="inlineStr">
        <is>
          <t>27766679601</t>
        </is>
      </c>
    </row>
    <row r="2448">
      <c r="A2448" t="inlineStr">
        <is>
          <t>14946557</t>
        </is>
      </c>
      <c r="B2448" t="inlineStr">
        <is>
          <t>7fbba09b-a1c6-41b7-8132-c7e323643b9a</t>
        </is>
      </c>
      <c r="D2448" t="inlineStr">
        <is>
          <t>30001087</t>
        </is>
      </c>
      <c r="E2448" t="inlineStr">
        <is>
          <t>ussd_funeral_leads_altitude_20260619</t>
        </is>
      </c>
      <c r="J2448" t="inlineStr">
        <is>
          <t>AA</t>
        </is>
      </c>
      <c r="K2448" t="inlineStr">
        <is>
          <t>Answering Machine Autodial</t>
        </is>
      </c>
      <c r="L2448" t="n">
        <v>3</v>
      </c>
      <c r="M2448" t="inlineStr">
        <is>
          <t>2026-06-23 12:59:25</t>
        </is>
      </c>
      <c r="N2448" t="inlineStr">
        <is>
          <t>system</t>
        </is>
      </c>
      <c r="O2448" t="inlineStr">
        <is>
          <t>2026-06-19 07:10:32</t>
        </is>
      </c>
      <c r="P2448" t="inlineStr">
        <is>
          <t>2026-06-19 07:10:32</t>
        </is>
      </c>
      <c r="Y2448" t="inlineStr">
        <is>
          <t>27794268405</t>
        </is>
      </c>
    </row>
    <row r="2449">
      <c r="A2449" t="inlineStr">
        <is>
          <t>14946357</t>
        </is>
      </c>
      <c r="B2449" t="inlineStr">
        <is>
          <t>0fb03d81-1c79-4eea-b8d5-1daf8f9b1b4f</t>
        </is>
      </c>
      <c r="D2449" t="inlineStr">
        <is>
          <t>30001087</t>
        </is>
      </c>
      <c r="E2449" t="inlineStr">
        <is>
          <t>ussd_funeral_leads_altitude_20260619</t>
        </is>
      </c>
      <c r="J2449" t="inlineStr">
        <is>
          <t>NA</t>
        </is>
      </c>
      <c r="K2449" t="inlineStr">
        <is>
          <t>No Answer Autodial</t>
        </is>
      </c>
      <c r="L2449" t="n">
        <v>3</v>
      </c>
      <c r="M2449" t="inlineStr">
        <is>
          <t>2026-06-23 12:59:22</t>
        </is>
      </c>
      <c r="N2449" t="inlineStr">
        <is>
          <t>system</t>
        </is>
      </c>
      <c r="O2449" t="inlineStr">
        <is>
          <t>2026-06-19 07:10:32</t>
        </is>
      </c>
      <c r="P2449" t="inlineStr">
        <is>
          <t>2026-06-19 07:10:32</t>
        </is>
      </c>
      <c r="Y2449" t="inlineStr">
        <is>
          <t>27646152722</t>
        </is>
      </c>
    </row>
    <row r="2450">
      <c r="A2450" t="inlineStr">
        <is>
          <t>14946356</t>
        </is>
      </c>
      <c r="B2450" t="inlineStr">
        <is>
          <t>95cbffe7-bea6-4068-8197-700d6d436609</t>
        </is>
      </c>
      <c r="D2450" t="inlineStr">
        <is>
          <t>30001087</t>
        </is>
      </c>
      <c r="E2450" t="inlineStr">
        <is>
          <t>ussd_funeral_leads_altitude_20260619</t>
        </is>
      </c>
      <c r="J2450" t="inlineStr">
        <is>
          <t>AA</t>
        </is>
      </c>
      <c r="K2450" t="inlineStr">
        <is>
          <t>Answering Machine Autodial</t>
        </is>
      </c>
      <c r="L2450" t="n">
        <v>3</v>
      </c>
      <c r="M2450" t="inlineStr">
        <is>
          <t>2026-06-23 12:59:21</t>
        </is>
      </c>
      <c r="N2450" t="inlineStr">
        <is>
          <t>system</t>
        </is>
      </c>
      <c r="O2450" t="inlineStr">
        <is>
          <t>2026-06-19 07:10:32</t>
        </is>
      </c>
      <c r="P2450" t="inlineStr">
        <is>
          <t>2026-06-19 07:10:32</t>
        </is>
      </c>
      <c r="Y2450" t="inlineStr">
        <is>
          <t>27794953080</t>
        </is>
      </c>
    </row>
    <row r="2451">
      <c r="A2451" t="inlineStr">
        <is>
          <t>14946173</t>
        </is>
      </c>
      <c r="B2451" t="inlineStr">
        <is>
          <t>2393b42a-3840-4335-a14d-8190d4d9c81c</t>
        </is>
      </c>
      <c r="D2451" t="inlineStr">
        <is>
          <t>30001087</t>
        </is>
      </c>
      <c r="E2451" t="inlineStr">
        <is>
          <t>ussd_funeral_leads_altitude_20260619</t>
        </is>
      </c>
      <c r="J2451" t="inlineStr">
        <is>
          <t>AA</t>
        </is>
      </c>
      <c r="K2451" t="inlineStr">
        <is>
          <t>Answering Machine Autodial</t>
        </is>
      </c>
      <c r="L2451" t="n">
        <v>3</v>
      </c>
      <c r="M2451" t="inlineStr">
        <is>
          <t>2026-06-23 12:59:20</t>
        </is>
      </c>
      <c r="N2451" t="inlineStr">
        <is>
          <t>system</t>
        </is>
      </c>
      <c r="O2451" t="inlineStr">
        <is>
          <t>2026-06-19 07:10:32</t>
        </is>
      </c>
      <c r="P2451" t="inlineStr">
        <is>
          <t>2026-06-19 07:10:32</t>
        </is>
      </c>
      <c r="Y2451" t="inlineStr">
        <is>
          <t>27795808974</t>
        </is>
      </c>
    </row>
    <row r="2452">
      <c r="A2452" t="inlineStr">
        <is>
          <t>14946170</t>
        </is>
      </c>
      <c r="B2452" t="inlineStr">
        <is>
          <t>28f7dbd3-2f62-4381-9d3e-b8281e9927bf</t>
        </is>
      </c>
      <c r="D2452" t="inlineStr">
        <is>
          <t>30001087</t>
        </is>
      </c>
      <c r="E2452" t="inlineStr">
        <is>
          <t>ussd_funeral_leads_altitude_20260619</t>
        </is>
      </c>
      <c r="J2452" t="inlineStr">
        <is>
          <t>AA</t>
        </is>
      </c>
      <c r="K2452" t="inlineStr">
        <is>
          <t>Answering Machine Autodial</t>
        </is>
      </c>
      <c r="L2452" t="n">
        <v>3</v>
      </c>
      <c r="M2452" t="inlineStr">
        <is>
          <t>2026-06-23 12:59:19</t>
        </is>
      </c>
      <c r="N2452" t="inlineStr">
        <is>
          <t>system</t>
        </is>
      </c>
      <c r="O2452" t="inlineStr">
        <is>
          <t>2026-06-19 07:10:32</t>
        </is>
      </c>
      <c r="P2452" t="inlineStr">
        <is>
          <t>2026-06-19 07:10:32</t>
        </is>
      </c>
      <c r="Y2452" t="inlineStr">
        <is>
          <t>27725450000</t>
        </is>
      </c>
    </row>
    <row r="2453">
      <c r="A2453" t="inlineStr">
        <is>
          <t>14946171</t>
        </is>
      </c>
      <c r="B2453" t="inlineStr">
        <is>
          <t>f74d6bc1-deb2-487c-affc-e633a050eb1c</t>
        </is>
      </c>
      <c r="D2453" t="inlineStr">
        <is>
          <t>30001087</t>
        </is>
      </c>
      <c r="E2453" t="inlineStr">
        <is>
          <t>ussd_funeral_leads_altitude_20260619</t>
        </is>
      </c>
      <c r="J2453" t="inlineStr">
        <is>
          <t>AA</t>
        </is>
      </c>
      <c r="K2453" t="inlineStr">
        <is>
          <t>Answering Machine Autodial</t>
        </is>
      </c>
      <c r="L2453" t="n">
        <v>3</v>
      </c>
      <c r="M2453" t="inlineStr">
        <is>
          <t>2026-06-23 12:59:19</t>
        </is>
      </c>
      <c r="N2453" t="inlineStr">
        <is>
          <t>system</t>
        </is>
      </c>
      <c r="O2453" t="inlineStr">
        <is>
          <t>2026-06-19 07:10:32</t>
        </is>
      </c>
      <c r="P2453" t="inlineStr">
        <is>
          <t>2026-06-19 07:10:32</t>
        </is>
      </c>
      <c r="Y2453" t="inlineStr">
        <is>
          <t>27766341791</t>
        </is>
      </c>
    </row>
    <row r="2454">
      <c r="A2454" t="inlineStr">
        <is>
          <t>14946169</t>
        </is>
      </c>
      <c r="B2454" t="inlineStr">
        <is>
          <t>5a46beb1-92ba-4922-9740-44f79c8eff78</t>
        </is>
      </c>
      <c r="D2454" t="inlineStr">
        <is>
          <t>30001087</t>
        </is>
      </c>
      <c r="E2454" t="inlineStr">
        <is>
          <t>ussd_funeral_leads_altitude_20260619</t>
        </is>
      </c>
      <c r="J2454" t="inlineStr">
        <is>
          <t>AA</t>
        </is>
      </c>
      <c r="K2454" t="inlineStr">
        <is>
          <t>Answering Machine Autodial</t>
        </is>
      </c>
      <c r="L2454" t="n">
        <v>3</v>
      </c>
      <c r="M2454" t="inlineStr">
        <is>
          <t>2026-06-23 12:59:18</t>
        </is>
      </c>
      <c r="N2454" t="inlineStr">
        <is>
          <t>system</t>
        </is>
      </c>
      <c r="O2454" t="inlineStr">
        <is>
          <t>2026-06-19 07:10:32</t>
        </is>
      </c>
      <c r="P2454" t="inlineStr">
        <is>
          <t>2026-06-19 07:10:32</t>
        </is>
      </c>
      <c r="Y2454" t="inlineStr">
        <is>
          <t>27828645497</t>
        </is>
      </c>
    </row>
    <row r="2455">
      <c r="A2455" t="inlineStr">
        <is>
          <t>14946160</t>
        </is>
      </c>
      <c r="B2455" t="inlineStr">
        <is>
          <t>15386043-3577-4e99-a626-395e73227de2</t>
        </is>
      </c>
      <c r="D2455" t="inlineStr">
        <is>
          <t>30001087</t>
        </is>
      </c>
      <c r="E2455" t="inlineStr">
        <is>
          <t>ussd_funeral_leads_altitude_20260619</t>
        </is>
      </c>
      <c r="J2455" t="inlineStr">
        <is>
          <t>CU</t>
        </is>
      </c>
      <c r="K2455" t="inlineStr">
        <is>
          <t>Client Hung Up</t>
        </is>
      </c>
      <c r="L2455" t="n">
        <v>3</v>
      </c>
      <c r="M2455" t="inlineStr">
        <is>
          <t>2026-06-23 12:59:16</t>
        </is>
      </c>
      <c r="N2455" t="inlineStr">
        <is>
          <t>Goitsimang Mogwasa</t>
        </is>
      </c>
      <c r="O2455" t="inlineStr">
        <is>
          <t>2026-06-19 07:10:32</t>
        </is>
      </c>
      <c r="P2455" t="inlineStr">
        <is>
          <t>2026-06-19 07:10:32</t>
        </is>
      </c>
      <c r="Y2455" t="inlineStr">
        <is>
          <t>27765473963</t>
        </is>
      </c>
    </row>
    <row r="2456">
      <c r="A2456" t="inlineStr">
        <is>
          <t>14946165</t>
        </is>
      </c>
      <c r="B2456" t="inlineStr">
        <is>
          <t>7153e003-eea3-4033-b2e6-92db57d7f899</t>
        </is>
      </c>
      <c r="D2456" t="inlineStr">
        <is>
          <t>30001087</t>
        </is>
      </c>
      <c r="E2456" t="inlineStr">
        <is>
          <t>ussd_funeral_leads_altitude_20260619</t>
        </is>
      </c>
      <c r="J2456" t="inlineStr">
        <is>
          <t>AA</t>
        </is>
      </c>
      <c r="K2456" t="inlineStr">
        <is>
          <t>Answering Machine Autodial</t>
        </is>
      </c>
      <c r="L2456" t="n">
        <v>3</v>
      </c>
      <c r="M2456" t="inlineStr">
        <is>
          <t>2026-06-23 12:59:16</t>
        </is>
      </c>
      <c r="N2456" t="inlineStr">
        <is>
          <t>system</t>
        </is>
      </c>
      <c r="O2456" t="inlineStr">
        <is>
          <t>2026-06-19 07:10:32</t>
        </is>
      </c>
      <c r="P2456" t="inlineStr">
        <is>
          <t>2026-06-19 07:10:32</t>
        </is>
      </c>
      <c r="Y2456" t="inlineStr">
        <is>
          <t>27790149738</t>
        </is>
      </c>
    </row>
    <row r="2457">
      <c r="A2457" t="inlineStr">
        <is>
          <t>14946099</t>
        </is>
      </c>
      <c r="B2457" t="inlineStr">
        <is>
          <t>ee9cd803-1230-4bd9-8864-60ce76cc06a2</t>
        </is>
      </c>
      <c r="D2457" t="inlineStr">
        <is>
          <t>30001087</t>
        </is>
      </c>
      <c r="E2457" t="inlineStr">
        <is>
          <t>ussd_funeral_leads_altitude_20260619</t>
        </is>
      </c>
      <c r="J2457" t="inlineStr">
        <is>
          <t>AA</t>
        </is>
      </c>
      <c r="K2457" t="inlineStr">
        <is>
          <t>Answering Machine Autodial</t>
        </is>
      </c>
      <c r="L2457" t="n">
        <v>3</v>
      </c>
      <c r="M2457" t="inlineStr">
        <is>
          <t>2026-06-23 12:59:15</t>
        </is>
      </c>
      <c r="N2457" t="inlineStr">
        <is>
          <t>system</t>
        </is>
      </c>
      <c r="O2457" t="inlineStr">
        <is>
          <t>2026-06-19 07:10:32</t>
        </is>
      </c>
      <c r="P2457" t="inlineStr">
        <is>
          <t>2026-06-19 07:10:32</t>
        </is>
      </c>
      <c r="Y2457" t="inlineStr">
        <is>
          <t>27720838265</t>
        </is>
      </c>
    </row>
    <row r="2458">
      <c r="A2458" t="inlineStr">
        <is>
          <t>14946159</t>
        </is>
      </c>
      <c r="B2458" t="inlineStr">
        <is>
          <t>13e90a98-af95-44c1-9eae-2e72e0295fad</t>
        </is>
      </c>
      <c r="D2458" t="inlineStr">
        <is>
          <t>30001087</t>
        </is>
      </c>
      <c r="E2458" t="inlineStr">
        <is>
          <t>ussd_funeral_leads_altitude_20260619</t>
        </is>
      </c>
      <c r="J2458" t="inlineStr">
        <is>
          <t>AA</t>
        </is>
      </c>
      <c r="K2458" t="inlineStr">
        <is>
          <t>Answering Machine Autodial</t>
        </is>
      </c>
      <c r="L2458" t="n">
        <v>3</v>
      </c>
      <c r="M2458" t="inlineStr">
        <is>
          <t>2026-06-23 12:59:15</t>
        </is>
      </c>
      <c r="N2458" t="inlineStr">
        <is>
          <t>system</t>
        </is>
      </c>
      <c r="O2458" t="inlineStr">
        <is>
          <t>2026-06-19 07:10:32</t>
        </is>
      </c>
      <c r="P2458" t="inlineStr">
        <is>
          <t>2026-06-19 07:10:32</t>
        </is>
      </c>
      <c r="Y2458" t="inlineStr">
        <is>
          <t>27637468945</t>
        </is>
      </c>
    </row>
    <row r="2459">
      <c r="A2459" t="inlineStr">
        <is>
          <t>14945791</t>
        </is>
      </c>
      <c r="B2459" t="inlineStr">
        <is>
          <t>7fbd526d-98af-49d7-a64c-ed21be8aa9ec</t>
        </is>
      </c>
      <c r="D2459" t="inlineStr">
        <is>
          <t>30001087</t>
        </is>
      </c>
      <c r="E2459" t="inlineStr">
        <is>
          <t>ussd_funeral_leads_altitude_20260619</t>
        </is>
      </c>
      <c r="J2459" t="inlineStr">
        <is>
          <t>AA</t>
        </is>
      </c>
      <c r="K2459" t="inlineStr">
        <is>
          <t>Answering Machine Autodial</t>
        </is>
      </c>
      <c r="L2459" t="n">
        <v>3</v>
      </c>
      <c r="M2459" t="inlineStr">
        <is>
          <t>2026-06-23 12:59:13</t>
        </is>
      </c>
      <c r="N2459" t="inlineStr">
        <is>
          <t>system</t>
        </is>
      </c>
      <c r="O2459" t="inlineStr">
        <is>
          <t>2026-06-19 07:10:32</t>
        </is>
      </c>
      <c r="P2459" t="inlineStr">
        <is>
          <t>2026-06-19 07:10:32</t>
        </is>
      </c>
      <c r="Y2459" t="inlineStr">
        <is>
          <t>27796291821</t>
        </is>
      </c>
    </row>
    <row r="2460">
      <c r="A2460" t="inlineStr">
        <is>
          <t>14900000</t>
        </is>
      </c>
      <c r="B2460" t="inlineStr">
        <is>
          <t>e5510c08-4268-4626-bdc1-7d83aa3d768e</t>
        </is>
      </c>
      <c r="D2460" t="inlineStr">
        <is>
          <t>30001087</t>
        </is>
      </c>
      <c r="E2460" t="inlineStr">
        <is>
          <t>ussd_funeral_leads_altitude_20260619</t>
        </is>
      </c>
      <c r="J2460" t="inlineStr">
        <is>
          <t>AA</t>
        </is>
      </c>
      <c r="K2460" t="inlineStr">
        <is>
          <t>Answering Machine Autodial</t>
        </is>
      </c>
      <c r="L2460" t="n">
        <v>3</v>
      </c>
      <c r="M2460" t="inlineStr">
        <is>
          <t>2026-06-23 12:59:12</t>
        </is>
      </c>
      <c r="N2460" t="inlineStr">
        <is>
          <t>system</t>
        </is>
      </c>
      <c r="O2460" t="inlineStr">
        <is>
          <t>2026-06-19 07:10:32</t>
        </is>
      </c>
      <c r="P2460" t="inlineStr">
        <is>
          <t>2026-06-19 07:10:32</t>
        </is>
      </c>
      <c r="Y2460" t="inlineStr">
        <is>
          <t>27796042432</t>
        </is>
      </c>
    </row>
    <row r="2461">
      <c r="A2461" t="inlineStr">
        <is>
          <t>14945790</t>
        </is>
      </c>
      <c r="B2461" t="inlineStr">
        <is>
          <t>45b91b62-9135-4ee3-b8ae-f1890a1a4923</t>
        </is>
      </c>
      <c r="D2461" t="inlineStr">
        <is>
          <t>30001087</t>
        </is>
      </c>
      <c r="E2461" t="inlineStr">
        <is>
          <t>ussd_funeral_leads_altitude_20260619</t>
        </is>
      </c>
      <c r="J2461" t="inlineStr">
        <is>
          <t>DC</t>
        </is>
      </c>
      <c r="K2461" t="inlineStr">
        <is>
          <t>Disconnected</t>
        </is>
      </c>
      <c r="L2461" t="n">
        <v>3</v>
      </c>
      <c r="M2461" t="inlineStr">
        <is>
          <t>2026-06-23 12:59:12</t>
        </is>
      </c>
      <c r="N2461" t="inlineStr">
        <is>
          <t>Dimakatso Nkomo</t>
        </is>
      </c>
      <c r="O2461" t="inlineStr">
        <is>
          <t>2026-06-19 07:10:32</t>
        </is>
      </c>
      <c r="P2461" t="inlineStr">
        <is>
          <t>2026-06-19 07:10:32</t>
        </is>
      </c>
      <c r="Y2461" t="inlineStr">
        <is>
          <t>27661237935</t>
        </is>
      </c>
    </row>
    <row r="2462">
      <c r="A2462" t="inlineStr">
        <is>
          <t>14945268</t>
        </is>
      </c>
      <c r="B2462" t="inlineStr">
        <is>
          <t>0ef2e8f9-e968-4ce3-8b1e-6a0f7feb45a9</t>
        </is>
      </c>
      <c r="D2462" t="inlineStr">
        <is>
          <t>30001087</t>
        </is>
      </c>
      <c r="E2462" t="inlineStr">
        <is>
          <t>ussd_funeral_leads_altitude_20260619</t>
        </is>
      </c>
      <c r="J2462" t="inlineStr">
        <is>
          <t>AA</t>
        </is>
      </c>
      <c r="K2462" t="inlineStr">
        <is>
          <t>Answering Machine Autodial</t>
        </is>
      </c>
      <c r="L2462" t="n">
        <v>3</v>
      </c>
      <c r="M2462" t="inlineStr">
        <is>
          <t>2026-06-23 12:59:11</t>
        </is>
      </c>
      <c r="N2462" t="inlineStr">
        <is>
          <t>system</t>
        </is>
      </c>
      <c r="O2462" t="inlineStr">
        <is>
          <t>2026-06-19 07:10:32</t>
        </is>
      </c>
      <c r="P2462" t="inlineStr">
        <is>
          <t>2026-06-19 07:10:32</t>
        </is>
      </c>
      <c r="Y2462" t="inlineStr">
        <is>
          <t>27827114468</t>
        </is>
      </c>
    </row>
    <row r="2463">
      <c r="A2463" t="inlineStr">
        <is>
          <t>14945269</t>
        </is>
      </c>
      <c r="B2463" t="inlineStr">
        <is>
          <t>786c4659-b045-4365-8264-6bc5a8009f1c</t>
        </is>
      </c>
      <c r="D2463" t="inlineStr">
        <is>
          <t>30001087</t>
        </is>
      </c>
      <c r="E2463" t="inlineStr">
        <is>
          <t>ussd_funeral_leads_altitude_20260619</t>
        </is>
      </c>
      <c r="J2463" t="inlineStr">
        <is>
          <t>NA</t>
        </is>
      </c>
      <c r="K2463" t="inlineStr">
        <is>
          <t>No Answer Autodial</t>
        </is>
      </c>
      <c r="L2463" t="n">
        <v>3</v>
      </c>
      <c r="M2463" t="inlineStr">
        <is>
          <t>2026-06-23 12:59:11</t>
        </is>
      </c>
      <c r="N2463" t="inlineStr">
        <is>
          <t>system</t>
        </is>
      </c>
      <c r="O2463" t="inlineStr">
        <is>
          <t>2026-06-19 07:10:32</t>
        </is>
      </c>
      <c r="P2463" t="inlineStr">
        <is>
          <t>2026-06-19 07:10:32</t>
        </is>
      </c>
      <c r="Y2463" t="inlineStr">
        <is>
          <t>27725836988</t>
        </is>
      </c>
    </row>
    <row r="2464">
      <c r="A2464" t="inlineStr">
        <is>
          <t>14945787</t>
        </is>
      </c>
      <c r="B2464" t="inlineStr">
        <is>
          <t>370483f1-a88c-4868-a8df-199ff663f878</t>
        </is>
      </c>
      <c r="D2464" t="inlineStr">
        <is>
          <t>30001087</t>
        </is>
      </c>
      <c r="E2464" t="inlineStr">
        <is>
          <t>ussd_funeral_leads_altitude_20260619</t>
        </is>
      </c>
      <c r="J2464" t="inlineStr">
        <is>
          <t>AA</t>
        </is>
      </c>
      <c r="K2464" t="inlineStr">
        <is>
          <t>Answering Machine Autodial</t>
        </is>
      </c>
      <c r="L2464" t="n">
        <v>3</v>
      </c>
      <c r="M2464" t="inlineStr">
        <is>
          <t>2026-06-23 12:59:11</t>
        </is>
      </c>
      <c r="N2464" t="inlineStr">
        <is>
          <t>system</t>
        </is>
      </c>
      <c r="O2464" t="inlineStr">
        <is>
          <t>2026-06-19 07:10:32</t>
        </is>
      </c>
      <c r="P2464" t="inlineStr">
        <is>
          <t>2026-06-19 07:10:32</t>
        </is>
      </c>
      <c r="Y2464" t="inlineStr">
        <is>
          <t>27764389687</t>
        </is>
      </c>
    </row>
    <row r="2465">
      <c r="A2465" t="inlineStr">
        <is>
          <t>14945788</t>
        </is>
      </c>
      <c r="B2465" t="inlineStr">
        <is>
          <t>886e69f8-8e0f-4758-b5bc-79dc76f82e64</t>
        </is>
      </c>
      <c r="D2465" t="inlineStr">
        <is>
          <t>30001087</t>
        </is>
      </c>
      <c r="E2465" t="inlineStr">
        <is>
          <t>ussd_funeral_leads_altitude_20260619</t>
        </is>
      </c>
      <c r="J2465" t="inlineStr">
        <is>
          <t>AA</t>
        </is>
      </c>
      <c r="K2465" t="inlineStr">
        <is>
          <t>Answering Machine Autodial</t>
        </is>
      </c>
      <c r="L2465" t="n">
        <v>3</v>
      </c>
      <c r="M2465" t="inlineStr">
        <is>
          <t>2026-06-23 12:59:11</t>
        </is>
      </c>
      <c r="N2465" t="inlineStr">
        <is>
          <t>system</t>
        </is>
      </c>
      <c r="O2465" t="inlineStr">
        <is>
          <t>2026-06-19 07:10:32</t>
        </is>
      </c>
      <c r="P2465" t="inlineStr">
        <is>
          <t>2026-06-19 07:10:32</t>
        </is>
      </c>
      <c r="Y2465" t="inlineStr">
        <is>
          <t>27665786932</t>
        </is>
      </c>
    </row>
    <row r="2466">
      <c r="A2466" t="inlineStr">
        <is>
          <t>14945244</t>
        </is>
      </c>
      <c r="B2466" t="inlineStr">
        <is>
          <t>718c6e74-5e6f-442e-922f-def343ae6f9b</t>
        </is>
      </c>
      <c r="D2466" t="inlineStr">
        <is>
          <t>30001087</t>
        </is>
      </c>
      <c r="E2466" t="inlineStr">
        <is>
          <t>ussd_funeral_leads_altitude_20260619</t>
        </is>
      </c>
      <c r="J2466" t="inlineStr">
        <is>
          <t>TDN</t>
        </is>
      </c>
      <c r="K2466" t="inlineStr">
        <is>
          <t>Temporary Disconnected Number</t>
        </is>
      </c>
      <c r="L2466" t="n">
        <v>3</v>
      </c>
      <c r="M2466" t="inlineStr">
        <is>
          <t>2026-06-23 12:59:09</t>
        </is>
      </c>
      <c r="N2466" t="inlineStr">
        <is>
          <t>system</t>
        </is>
      </c>
      <c r="O2466" t="inlineStr">
        <is>
          <t>2026-06-19 07:10:32</t>
        </is>
      </c>
      <c r="P2466" t="inlineStr">
        <is>
          <t>2026-06-19 07:10:32</t>
        </is>
      </c>
      <c r="Y2466" t="inlineStr">
        <is>
          <t>27791601577</t>
        </is>
      </c>
    </row>
    <row r="2467">
      <c r="A2467" t="inlineStr">
        <is>
          <t>14900000</t>
        </is>
      </c>
      <c r="B2467" t="inlineStr">
        <is>
          <t>761e791d-55ba-4cd3-a890-7e07ecca2643</t>
        </is>
      </c>
      <c r="D2467" t="inlineStr">
        <is>
          <t>30001087</t>
        </is>
      </c>
      <c r="E2467" t="inlineStr">
        <is>
          <t>ussd_funeral_leads_altitude_20260619</t>
        </is>
      </c>
      <c r="J2467" t="inlineStr">
        <is>
          <t>AA</t>
        </is>
      </c>
      <c r="K2467" t="inlineStr">
        <is>
          <t>Answering Machine Autodial</t>
        </is>
      </c>
      <c r="L2467" t="n">
        <v>3</v>
      </c>
      <c r="M2467" t="inlineStr">
        <is>
          <t>2026-06-23 12:59:09</t>
        </is>
      </c>
      <c r="N2467" t="inlineStr">
        <is>
          <t>system</t>
        </is>
      </c>
      <c r="O2467" t="inlineStr">
        <is>
          <t>2026-06-19 07:10:32</t>
        </is>
      </c>
      <c r="P2467" t="inlineStr">
        <is>
          <t>2026-06-19 07:10:32</t>
        </is>
      </c>
      <c r="Y2467" t="inlineStr">
        <is>
          <t>27791779094</t>
        </is>
      </c>
    </row>
    <row r="2468">
      <c r="A2468" t="inlineStr">
        <is>
          <t>14945246</t>
        </is>
      </c>
      <c r="B2468" t="inlineStr">
        <is>
          <t>7ec3dbbf-88df-459f-a882-ae5c54241932</t>
        </is>
      </c>
      <c r="D2468" t="inlineStr">
        <is>
          <t>30001087</t>
        </is>
      </c>
      <c r="E2468" t="inlineStr">
        <is>
          <t>ussd_funeral_leads_altitude_20260619</t>
        </is>
      </c>
      <c r="J2468" t="inlineStr">
        <is>
          <t>AA</t>
        </is>
      </c>
      <c r="K2468" t="inlineStr">
        <is>
          <t>Answering Machine Autodial</t>
        </is>
      </c>
      <c r="L2468" t="n">
        <v>3</v>
      </c>
      <c r="M2468" t="inlineStr">
        <is>
          <t>2026-06-23 12:59:09</t>
        </is>
      </c>
      <c r="N2468" t="inlineStr">
        <is>
          <t>system</t>
        </is>
      </c>
      <c r="O2468" t="inlineStr">
        <is>
          <t>2026-06-19 07:10:32</t>
        </is>
      </c>
      <c r="P2468" t="inlineStr">
        <is>
          <t>2026-06-19 07:10:32</t>
        </is>
      </c>
      <c r="Y2468" t="inlineStr">
        <is>
          <t>27793317203</t>
        </is>
      </c>
    </row>
    <row r="2469">
      <c r="A2469" t="inlineStr">
        <is>
          <t>14945242</t>
        </is>
      </c>
      <c r="B2469" t="inlineStr">
        <is>
          <t>a1335b82-ad67-4298-98ac-4865fb1964b8</t>
        </is>
      </c>
      <c r="D2469" t="inlineStr">
        <is>
          <t>30001087</t>
        </is>
      </c>
      <c r="E2469" t="inlineStr">
        <is>
          <t>ussd_funeral_leads_altitude_20260619</t>
        </is>
      </c>
      <c r="J2469" t="inlineStr">
        <is>
          <t>AA</t>
        </is>
      </c>
      <c r="K2469" t="inlineStr">
        <is>
          <t>Answering Machine Autodial</t>
        </is>
      </c>
      <c r="L2469" t="n">
        <v>3</v>
      </c>
      <c r="M2469" t="inlineStr">
        <is>
          <t>2026-06-23 12:59:03</t>
        </is>
      </c>
      <c r="N2469" t="inlineStr">
        <is>
          <t>system</t>
        </is>
      </c>
      <c r="O2469" t="inlineStr">
        <is>
          <t>2026-06-19 07:10:32</t>
        </is>
      </c>
      <c r="P2469" t="inlineStr">
        <is>
          <t>2026-06-19 07:10:32</t>
        </is>
      </c>
      <c r="Y2469" t="inlineStr">
        <is>
          <t>27649235965</t>
        </is>
      </c>
    </row>
    <row r="2470">
      <c r="A2470" t="inlineStr">
        <is>
          <t>14945243</t>
        </is>
      </c>
      <c r="B2470" t="inlineStr">
        <is>
          <t>280dec87-8b8a-4272-9123-85511e819aee</t>
        </is>
      </c>
      <c r="D2470" t="inlineStr">
        <is>
          <t>30001087</t>
        </is>
      </c>
      <c r="E2470" t="inlineStr">
        <is>
          <t>ussd_funeral_leads_altitude_20260619</t>
        </is>
      </c>
      <c r="J2470" t="inlineStr">
        <is>
          <t>TDN</t>
        </is>
      </c>
      <c r="K2470" t="inlineStr">
        <is>
          <t>Temporary Disconnected Number</t>
        </is>
      </c>
      <c r="L2470" t="n">
        <v>3</v>
      </c>
      <c r="M2470" t="inlineStr">
        <is>
          <t>2026-06-23 12:59:03</t>
        </is>
      </c>
      <c r="N2470" t="inlineStr">
        <is>
          <t>system</t>
        </is>
      </c>
      <c r="O2470" t="inlineStr">
        <is>
          <t>2026-06-19 07:10:32</t>
        </is>
      </c>
      <c r="P2470" t="inlineStr">
        <is>
          <t>2026-06-19 07:10:32</t>
        </is>
      </c>
      <c r="Y2470" t="inlineStr">
        <is>
          <t>27791840144</t>
        </is>
      </c>
    </row>
    <row r="2471">
      <c r="A2471" t="inlineStr">
        <is>
          <t>14945240</t>
        </is>
      </c>
      <c r="B2471" t="inlineStr">
        <is>
          <t>cf0aa516-0074-4f70-bae4-605b642f0b4a</t>
        </is>
      </c>
      <c r="D2471" t="inlineStr">
        <is>
          <t>30001087</t>
        </is>
      </c>
      <c r="E2471" t="inlineStr">
        <is>
          <t>ussd_funeral_leads_altitude_20260619</t>
        </is>
      </c>
      <c r="J2471" t="inlineStr">
        <is>
          <t>NA</t>
        </is>
      </c>
      <c r="K2471" t="inlineStr">
        <is>
          <t>No Answer Autodial</t>
        </is>
      </c>
      <c r="L2471" t="n">
        <v>3</v>
      </c>
      <c r="M2471" t="inlineStr">
        <is>
          <t>2026-06-23 12:58:53</t>
        </is>
      </c>
      <c r="N2471" t="inlineStr">
        <is>
          <t>system</t>
        </is>
      </c>
      <c r="O2471" t="inlineStr">
        <is>
          <t>2026-06-19 07:10:32</t>
        </is>
      </c>
      <c r="P2471" t="inlineStr">
        <is>
          <t>2026-06-19 07:10:32</t>
        </is>
      </c>
      <c r="Y2471" t="inlineStr">
        <is>
          <t>27765050848</t>
        </is>
      </c>
    </row>
    <row r="2472">
      <c r="A2472" t="inlineStr">
        <is>
          <t>14945241</t>
        </is>
      </c>
      <c r="B2472" t="inlineStr">
        <is>
          <t>066f2282-2f93-4434-b798-912db6f9d22c</t>
        </is>
      </c>
      <c r="D2472" t="inlineStr">
        <is>
          <t>30001087</t>
        </is>
      </c>
      <c r="E2472" t="inlineStr">
        <is>
          <t>ussd_funeral_leads_altitude_20260619</t>
        </is>
      </c>
      <c r="J2472" t="inlineStr">
        <is>
          <t>AA</t>
        </is>
      </c>
      <c r="K2472" t="inlineStr">
        <is>
          <t>Answering Machine Autodial</t>
        </is>
      </c>
      <c r="L2472" t="n">
        <v>3</v>
      </c>
      <c r="M2472" t="inlineStr">
        <is>
          <t>2026-06-23 12:58:53</t>
        </is>
      </c>
      <c r="N2472" t="inlineStr">
        <is>
          <t>system</t>
        </is>
      </c>
      <c r="O2472" t="inlineStr">
        <is>
          <t>2026-06-19 07:10:32</t>
        </is>
      </c>
      <c r="P2472" t="inlineStr">
        <is>
          <t>2026-06-19 07:10:32</t>
        </is>
      </c>
      <c r="Y2472" t="inlineStr">
        <is>
          <t>27763970368</t>
        </is>
      </c>
    </row>
    <row r="2473">
      <c r="A2473" t="inlineStr">
        <is>
          <t>14945239</t>
        </is>
      </c>
      <c r="B2473" t="inlineStr">
        <is>
          <t>a83675a7-80e9-4468-9630-e5a7f2ed957a</t>
        </is>
      </c>
      <c r="D2473" t="inlineStr">
        <is>
          <t>30001087</t>
        </is>
      </c>
      <c r="E2473" t="inlineStr">
        <is>
          <t>ussd_funeral_leads_altitude_20260619</t>
        </is>
      </c>
      <c r="J2473" t="inlineStr">
        <is>
          <t>AA</t>
        </is>
      </c>
      <c r="K2473" t="inlineStr">
        <is>
          <t>Answering Machine Autodial</t>
        </is>
      </c>
      <c r="L2473" t="n">
        <v>3</v>
      </c>
      <c r="M2473" t="inlineStr">
        <is>
          <t>2026-06-23 12:58:51</t>
        </is>
      </c>
      <c r="N2473" t="inlineStr">
        <is>
          <t>system</t>
        </is>
      </c>
      <c r="O2473" t="inlineStr">
        <is>
          <t>2026-06-19 07:10:32</t>
        </is>
      </c>
      <c r="P2473" t="inlineStr">
        <is>
          <t>2026-06-19 07:10:32</t>
        </is>
      </c>
      <c r="Y2473" t="inlineStr">
        <is>
          <t>27661142284</t>
        </is>
      </c>
    </row>
    <row r="2474">
      <c r="A2474" t="inlineStr">
        <is>
          <t>14945238</t>
        </is>
      </c>
      <c r="B2474" t="inlineStr">
        <is>
          <t>75af579a-2446-4b81-8a37-c528b5b68d59</t>
        </is>
      </c>
      <c r="D2474" t="inlineStr">
        <is>
          <t>30001087</t>
        </is>
      </c>
      <c r="E2474" t="inlineStr">
        <is>
          <t>ussd_funeral_leads_altitude_20260619</t>
        </is>
      </c>
      <c r="J2474" t="inlineStr">
        <is>
          <t>ADC</t>
        </is>
      </c>
      <c r="K2474" t="inlineStr">
        <is>
          <t>Auto Dial Disconnected</t>
        </is>
      </c>
      <c r="L2474" t="n">
        <v>3</v>
      </c>
      <c r="M2474" t="inlineStr">
        <is>
          <t>2026-06-23 12:58:50</t>
        </is>
      </c>
      <c r="N2474" t="inlineStr">
        <is>
          <t>system</t>
        </is>
      </c>
      <c r="O2474" t="inlineStr">
        <is>
          <t>2026-06-19 07:10:32</t>
        </is>
      </c>
      <c r="P2474" t="inlineStr">
        <is>
          <t>2026-06-19 07:10:32</t>
        </is>
      </c>
      <c r="Y2474" t="inlineStr">
        <is>
          <t>27795137792</t>
        </is>
      </c>
    </row>
    <row r="2475">
      <c r="A2475" t="inlineStr">
        <is>
          <t>14945230</t>
        </is>
      </c>
      <c r="B2475" t="inlineStr">
        <is>
          <t>ecff7c38-f8eb-4d9e-ad86-f32f690af884</t>
        </is>
      </c>
      <c r="D2475" t="inlineStr">
        <is>
          <t>30001087</t>
        </is>
      </c>
      <c r="E2475" t="inlineStr">
        <is>
          <t>ussd_funeral_leads_altitude_20260619</t>
        </is>
      </c>
      <c r="H2475" t="inlineStr">
        <is>
          <t>27772813199</t>
        </is>
      </c>
      <c r="J2475" t="inlineStr">
        <is>
          <t>AA</t>
        </is>
      </c>
      <c r="K2475" t="inlineStr">
        <is>
          <t>Answering Machine Autodial</t>
        </is>
      </c>
      <c r="L2475" t="n">
        <v>3</v>
      </c>
      <c r="M2475" t="inlineStr">
        <is>
          <t>2026-06-23 12:58:48</t>
        </is>
      </c>
      <c r="N2475" t="inlineStr">
        <is>
          <t>system</t>
        </is>
      </c>
      <c r="O2475" t="inlineStr">
        <is>
          <t>2026-06-19 07:10:32</t>
        </is>
      </c>
      <c r="P2475" t="inlineStr">
        <is>
          <t>2026-06-19 07:10:32</t>
        </is>
      </c>
      <c r="Y2475" t="inlineStr">
        <is>
          <t>27772813199</t>
        </is>
      </c>
    </row>
    <row r="2476">
      <c r="A2476" t="inlineStr">
        <is>
          <t>14945231</t>
        </is>
      </c>
      <c r="B2476" t="inlineStr">
        <is>
          <t>1ce065a7-bb55-42a5-a401-6cd4e29af3b2</t>
        </is>
      </c>
      <c r="D2476" t="inlineStr">
        <is>
          <t>30001087</t>
        </is>
      </c>
      <c r="E2476" t="inlineStr">
        <is>
          <t>ussd_funeral_leads_altitude_20260619</t>
        </is>
      </c>
      <c r="J2476" t="inlineStr">
        <is>
          <t>TDN</t>
        </is>
      </c>
      <c r="K2476" t="inlineStr">
        <is>
          <t>Temporary Disconnected Number</t>
        </is>
      </c>
      <c r="L2476" t="n">
        <v>3</v>
      </c>
      <c r="M2476" t="inlineStr">
        <is>
          <t>2026-06-23 12:58:48</t>
        </is>
      </c>
      <c r="N2476" t="inlineStr">
        <is>
          <t>system</t>
        </is>
      </c>
      <c r="O2476" t="inlineStr">
        <is>
          <t>2026-06-19 07:10:32</t>
        </is>
      </c>
      <c r="P2476" t="inlineStr">
        <is>
          <t>2026-06-19 07:10:32</t>
        </is>
      </c>
      <c r="Y2476" t="inlineStr">
        <is>
          <t>27769727568</t>
        </is>
      </c>
    </row>
    <row r="2477">
      <c r="A2477" t="inlineStr">
        <is>
          <t>14945232</t>
        </is>
      </c>
      <c r="B2477" t="inlineStr">
        <is>
          <t>20a560b3-db26-4095-a6d8-cc091db3c74c</t>
        </is>
      </c>
      <c r="D2477" t="inlineStr">
        <is>
          <t>30001087</t>
        </is>
      </c>
      <c r="E2477" t="inlineStr">
        <is>
          <t>ussd_funeral_leads_altitude_20260619</t>
        </is>
      </c>
      <c r="J2477" t="inlineStr">
        <is>
          <t>AA</t>
        </is>
      </c>
      <c r="K2477" t="inlineStr">
        <is>
          <t>Answering Machine Autodial</t>
        </is>
      </c>
      <c r="L2477" t="n">
        <v>3</v>
      </c>
      <c r="M2477" t="inlineStr">
        <is>
          <t>2026-06-23 12:58:48</t>
        </is>
      </c>
      <c r="N2477" t="inlineStr">
        <is>
          <t>system</t>
        </is>
      </c>
      <c r="O2477" t="inlineStr">
        <is>
          <t>2026-06-19 07:10:32</t>
        </is>
      </c>
      <c r="P2477" t="inlineStr">
        <is>
          <t>2026-06-19 07:10:32</t>
        </is>
      </c>
      <c r="Y2477" t="inlineStr">
        <is>
          <t>27792765569</t>
        </is>
      </c>
    </row>
    <row r="2478">
      <c r="A2478" t="inlineStr">
        <is>
          <t>14945233</t>
        </is>
      </c>
      <c r="B2478" t="inlineStr">
        <is>
          <t>b94dfb30-4b79-4a9c-b564-676500b211c0</t>
        </is>
      </c>
      <c r="D2478" t="inlineStr">
        <is>
          <t>30001087</t>
        </is>
      </c>
      <c r="E2478" t="inlineStr">
        <is>
          <t>ussd_funeral_leads_altitude_20260619</t>
        </is>
      </c>
      <c r="J2478" t="inlineStr">
        <is>
          <t>A</t>
        </is>
      </c>
      <c r="K2478" t="inlineStr">
        <is>
          <t>Answering Machine</t>
        </is>
      </c>
      <c r="L2478" t="n">
        <v>3</v>
      </c>
      <c r="M2478" t="inlineStr">
        <is>
          <t>2026-06-23 12:58:48</t>
        </is>
      </c>
      <c r="N2478" t="inlineStr">
        <is>
          <t>Dimakatso Nkomo</t>
        </is>
      </c>
      <c r="O2478" t="inlineStr">
        <is>
          <t>2026-06-19 07:10:32</t>
        </is>
      </c>
      <c r="P2478" t="inlineStr">
        <is>
          <t>2026-06-19 07:10:32</t>
        </is>
      </c>
      <c r="Y2478" t="inlineStr">
        <is>
          <t>27664900430</t>
        </is>
      </c>
    </row>
    <row r="2479">
      <c r="A2479" t="inlineStr">
        <is>
          <t>14945234</t>
        </is>
      </c>
      <c r="B2479" t="inlineStr">
        <is>
          <t>9ad64ced-d191-41fd-93ce-20cae97bdc9d</t>
        </is>
      </c>
      <c r="D2479" t="inlineStr">
        <is>
          <t>30001087</t>
        </is>
      </c>
      <c r="E2479" t="inlineStr">
        <is>
          <t>ussd_funeral_leads_altitude_20260619</t>
        </is>
      </c>
      <c r="J2479" t="inlineStr">
        <is>
          <t>NA</t>
        </is>
      </c>
      <c r="K2479" t="inlineStr">
        <is>
          <t>No Answer Autodial</t>
        </is>
      </c>
      <c r="L2479" t="n">
        <v>3</v>
      </c>
      <c r="M2479" t="inlineStr">
        <is>
          <t>2026-06-23 12:58:48</t>
        </is>
      </c>
      <c r="N2479" t="inlineStr">
        <is>
          <t>system</t>
        </is>
      </c>
      <c r="O2479" t="inlineStr">
        <is>
          <t>2026-06-19 07:10:32</t>
        </is>
      </c>
      <c r="P2479" t="inlineStr">
        <is>
          <t>2026-06-19 07:10:32</t>
        </is>
      </c>
      <c r="Y2479" t="inlineStr">
        <is>
          <t>27606203661</t>
        </is>
      </c>
    </row>
    <row r="2480">
      <c r="A2480" t="inlineStr">
        <is>
          <t>14945235</t>
        </is>
      </c>
      <c r="B2480" t="inlineStr">
        <is>
          <t>d57a9618-b54f-4ef0-bb90-a929cc40b544</t>
        </is>
      </c>
      <c r="D2480" t="inlineStr">
        <is>
          <t>30001087</t>
        </is>
      </c>
      <c r="E2480" t="inlineStr">
        <is>
          <t>ussd_funeral_leads_altitude_20260619</t>
        </is>
      </c>
      <c r="J2480" t="inlineStr">
        <is>
          <t>NA</t>
        </is>
      </c>
      <c r="K2480" t="inlineStr">
        <is>
          <t>No Answer Autodial</t>
        </is>
      </c>
      <c r="L2480" t="n">
        <v>3</v>
      </c>
      <c r="M2480" t="inlineStr">
        <is>
          <t>2026-06-23 12:58:48</t>
        </is>
      </c>
      <c r="N2480" t="inlineStr">
        <is>
          <t>system</t>
        </is>
      </c>
      <c r="O2480" t="inlineStr">
        <is>
          <t>2026-06-19 07:10:32</t>
        </is>
      </c>
      <c r="P2480" t="inlineStr">
        <is>
          <t>2026-06-19 07:10:32</t>
        </is>
      </c>
      <c r="Y2480" t="inlineStr">
        <is>
          <t>27665088709</t>
        </is>
      </c>
    </row>
    <row r="2481">
      <c r="A2481" t="inlineStr">
        <is>
          <t>14945236</t>
        </is>
      </c>
      <c r="B2481" t="inlineStr">
        <is>
          <t>6a1685c0-2961-4deb-8cc0-a83d1a0038da</t>
        </is>
      </c>
      <c r="D2481" t="inlineStr">
        <is>
          <t>30001087</t>
        </is>
      </c>
      <c r="E2481" t="inlineStr">
        <is>
          <t>ussd_funeral_leads_altitude_20260619</t>
        </is>
      </c>
      <c r="J2481" t="inlineStr">
        <is>
          <t>AA</t>
        </is>
      </c>
      <c r="K2481" t="inlineStr">
        <is>
          <t>Answering Machine Autodial</t>
        </is>
      </c>
      <c r="L2481" t="n">
        <v>3</v>
      </c>
      <c r="M2481" t="inlineStr">
        <is>
          <t>2026-06-23 12:58:46</t>
        </is>
      </c>
      <c r="N2481" t="inlineStr">
        <is>
          <t>system</t>
        </is>
      </c>
      <c r="O2481" t="inlineStr">
        <is>
          <t>2026-06-19 07:10:32</t>
        </is>
      </c>
      <c r="P2481" t="inlineStr">
        <is>
          <t>2026-06-19 07:10:32</t>
        </is>
      </c>
      <c r="Y2481" t="inlineStr">
        <is>
          <t>27727149354</t>
        </is>
      </c>
    </row>
    <row r="2482">
      <c r="A2482" t="inlineStr">
        <is>
          <t>14945229</t>
        </is>
      </c>
      <c r="B2482" t="inlineStr">
        <is>
          <t>dd72ad46-fff4-47a6-987c-690bab7cd119</t>
        </is>
      </c>
      <c r="D2482" t="inlineStr">
        <is>
          <t>30001087</t>
        </is>
      </c>
      <c r="E2482" t="inlineStr">
        <is>
          <t>ussd_funeral_leads_altitude_20260619</t>
        </is>
      </c>
      <c r="J2482" t="inlineStr">
        <is>
          <t>AE</t>
        </is>
      </c>
      <c r="K2482" t="inlineStr">
        <is>
          <t>Auto Engaged</t>
        </is>
      </c>
      <c r="L2482" t="n">
        <v>3</v>
      </c>
      <c r="M2482" t="inlineStr">
        <is>
          <t>2026-06-23 12:58:44</t>
        </is>
      </c>
      <c r="N2482" t="inlineStr">
        <is>
          <t>system</t>
        </is>
      </c>
      <c r="O2482" t="inlineStr">
        <is>
          <t>2026-06-19 07:10:32</t>
        </is>
      </c>
      <c r="P2482" t="inlineStr">
        <is>
          <t>2026-06-19 07:10:32</t>
        </is>
      </c>
      <c r="Y2482" t="inlineStr">
        <is>
          <t>27660228451</t>
        </is>
      </c>
    </row>
    <row r="2483">
      <c r="A2483" t="inlineStr">
        <is>
          <t>14947743</t>
        </is>
      </c>
      <c r="B2483" t="inlineStr">
        <is>
          <t>9af914ce-28ee-49ea-bbcf-62fa7b76d05f</t>
        </is>
      </c>
      <c r="D2483" t="inlineStr">
        <is>
          <t>30001087</t>
        </is>
      </c>
      <c r="E2483" t="inlineStr">
        <is>
          <t>ussd_funeral_leads_altitude_20260619</t>
        </is>
      </c>
      <c r="J2483" t="inlineStr">
        <is>
          <t>AA</t>
        </is>
      </c>
      <c r="K2483" t="inlineStr">
        <is>
          <t>Answering Machine Autodial</t>
        </is>
      </c>
      <c r="L2483" t="n">
        <v>3</v>
      </c>
      <c r="M2483" t="inlineStr">
        <is>
          <t>2026-06-23 12:58:41</t>
        </is>
      </c>
      <c r="N2483" t="inlineStr">
        <is>
          <t>system</t>
        </is>
      </c>
      <c r="O2483" t="inlineStr">
        <is>
          <t>2026-06-19 07:10:32</t>
        </is>
      </c>
      <c r="P2483" t="inlineStr">
        <is>
          <t>2026-06-19 07:10:32</t>
        </is>
      </c>
      <c r="Y2483" t="inlineStr">
        <is>
          <t>27792705992</t>
        </is>
      </c>
    </row>
    <row r="2484">
      <c r="A2484" t="inlineStr">
        <is>
          <t>14945267</t>
        </is>
      </c>
      <c r="B2484" t="inlineStr">
        <is>
          <t>83b64c53-09e8-4b95-a3c3-1387087542f5</t>
        </is>
      </c>
      <c r="D2484" t="inlineStr">
        <is>
          <t>30001087</t>
        </is>
      </c>
      <c r="E2484" t="inlineStr">
        <is>
          <t>ussd_funeral_leads_altitude_20260619</t>
        </is>
      </c>
      <c r="J2484" t="inlineStr">
        <is>
          <t>NA</t>
        </is>
      </c>
      <c r="K2484" t="inlineStr">
        <is>
          <t>No Answer Autodial</t>
        </is>
      </c>
      <c r="L2484" t="n">
        <v>3</v>
      </c>
      <c r="M2484" t="inlineStr">
        <is>
          <t>2026-06-23 12:58:03</t>
        </is>
      </c>
      <c r="N2484" t="inlineStr">
        <is>
          <t>system</t>
        </is>
      </c>
      <c r="O2484" t="inlineStr">
        <is>
          <t>2026-06-19 07:10:32</t>
        </is>
      </c>
      <c r="P2484" t="inlineStr">
        <is>
          <t>2026-06-19 07:10:32</t>
        </is>
      </c>
      <c r="Y2484" t="inlineStr">
        <is>
          <t>27767594001</t>
        </is>
      </c>
    </row>
    <row r="2485">
      <c r="A2485" t="inlineStr">
        <is>
          <t>14945265</t>
        </is>
      </c>
      <c r="B2485" t="inlineStr">
        <is>
          <t>a25139b5-a061-4301-a6d9-220cef000cf8</t>
        </is>
      </c>
      <c r="D2485" t="inlineStr">
        <is>
          <t>30001087</t>
        </is>
      </c>
      <c r="E2485" t="inlineStr">
        <is>
          <t>ussd_funeral_leads_altitude_20260619</t>
        </is>
      </c>
      <c r="J2485" t="inlineStr">
        <is>
          <t>NA</t>
        </is>
      </c>
      <c r="K2485" t="inlineStr">
        <is>
          <t>No Answer Autodial</t>
        </is>
      </c>
      <c r="L2485" t="n">
        <v>3</v>
      </c>
      <c r="M2485" t="inlineStr">
        <is>
          <t>2026-06-23 12:58:02</t>
        </is>
      </c>
      <c r="N2485" t="inlineStr">
        <is>
          <t>system</t>
        </is>
      </c>
      <c r="O2485" t="inlineStr">
        <is>
          <t>2026-06-19 07:10:32</t>
        </is>
      </c>
      <c r="P2485" t="inlineStr">
        <is>
          <t>2026-06-19 07:10:32</t>
        </is>
      </c>
      <c r="Y2485" t="inlineStr">
        <is>
          <t>27795944800</t>
        </is>
      </c>
    </row>
    <row r="2486">
      <c r="A2486" t="inlineStr">
        <is>
          <t>14945266</t>
        </is>
      </c>
      <c r="B2486" t="inlineStr">
        <is>
          <t>f9088923-5046-4a63-8b0f-d6bf49e7471e</t>
        </is>
      </c>
      <c r="D2486" t="inlineStr">
        <is>
          <t>30001087</t>
        </is>
      </c>
      <c r="E2486" t="inlineStr">
        <is>
          <t>ussd_funeral_leads_altitude_20260619</t>
        </is>
      </c>
      <c r="J2486" t="inlineStr">
        <is>
          <t>AA</t>
        </is>
      </c>
      <c r="K2486" t="inlineStr">
        <is>
          <t>Answering Machine Autodial</t>
        </is>
      </c>
      <c r="L2486" t="n">
        <v>3</v>
      </c>
      <c r="M2486" t="inlineStr">
        <is>
          <t>2026-06-23 12:58:02</t>
        </is>
      </c>
      <c r="N2486" t="inlineStr">
        <is>
          <t>system</t>
        </is>
      </c>
      <c r="O2486" t="inlineStr">
        <is>
          <t>2026-06-19 07:10:32</t>
        </is>
      </c>
      <c r="P2486" t="inlineStr">
        <is>
          <t>2026-06-19 07:10:32</t>
        </is>
      </c>
      <c r="Y2486" t="inlineStr">
        <is>
          <t>27794192443</t>
        </is>
      </c>
    </row>
    <row r="2487">
      <c r="A2487" t="inlineStr">
        <is>
          <t>14945261</t>
        </is>
      </c>
      <c r="B2487" t="inlineStr">
        <is>
          <t>0851c3d7-b130-41aa-b8cd-ca310b8553af</t>
        </is>
      </c>
      <c r="D2487" t="inlineStr">
        <is>
          <t>30001087</t>
        </is>
      </c>
      <c r="E2487" t="inlineStr">
        <is>
          <t>ussd_funeral_leads_altitude_20260619</t>
        </is>
      </c>
      <c r="J2487" t="inlineStr">
        <is>
          <t>ADC</t>
        </is>
      </c>
      <c r="K2487" t="inlineStr">
        <is>
          <t>Auto Dial Disconnected</t>
        </is>
      </c>
      <c r="L2487" t="n">
        <v>3</v>
      </c>
      <c r="M2487" t="inlineStr">
        <is>
          <t>2026-06-23 12:58:01</t>
        </is>
      </c>
      <c r="N2487" t="inlineStr">
        <is>
          <t>system</t>
        </is>
      </c>
      <c r="O2487" t="inlineStr">
        <is>
          <t>2026-06-19 07:10:32</t>
        </is>
      </c>
      <c r="P2487" t="inlineStr">
        <is>
          <t>2026-06-19 07:10:32</t>
        </is>
      </c>
      <c r="Y2487" t="inlineStr">
        <is>
          <t>27761549844</t>
        </is>
      </c>
    </row>
    <row r="2488">
      <c r="A2488" t="inlineStr">
        <is>
          <t>14945262</t>
        </is>
      </c>
      <c r="B2488" t="inlineStr">
        <is>
          <t>9b0dfa97-ba2d-45ff-aae1-4686146cbe96</t>
        </is>
      </c>
      <c r="D2488" t="inlineStr">
        <is>
          <t>30001087</t>
        </is>
      </c>
      <c r="E2488" t="inlineStr">
        <is>
          <t>ussd_funeral_leads_altitude_20260619</t>
        </is>
      </c>
      <c r="J2488" t="inlineStr">
        <is>
          <t>CU</t>
        </is>
      </c>
      <c r="K2488" t="inlineStr">
        <is>
          <t>Client Hung Up</t>
        </is>
      </c>
      <c r="L2488" t="n">
        <v>3</v>
      </c>
      <c r="M2488" t="inlineStr">
        <is>
          <t>2026-06-23 12:58:01</t>
        </is>
      </c>
      <c r="N2488" t="inlineStr">
        <is>
          <t>Goitsimang Mogwasa</t>
        </is>
      </c>
      <c r="O2488" t="inlineStr">
        <is>
          <t>2026-06-19 07:10:32</t>
        </is>
      </c>
      <c r="P2488" t="inlineStr">
        <is>
          <t>2026-06-19 07:10:32</t>
        </is>
      </c>
      <c r="Y2488" t="inlineStr">
        <is>
          <t>27799803904</t>
        </is>
      </c>
    </row>
    <row r="2489">
      <c r="A2489" t="inlineStr">
        <is>
          <t>14945263</t>
        </is>
      </c>
      <c r="B2489" t="inlineStr">
        <is>
          <t>881616a2-1636-47fa-bc0b-3e6942c896e1</t>
        </is>
      </c>
      <c r="D2489" t="inlineStr">
        <is>
          <t>30001087</t>
        </is>
      </c>
      <c r="E2489" t="inlineStr">
        <is>
          <t>ussd_funeral_leads_altitude_20260619</t>
        </is>
      </c>
      <c r="J2489" t="inlineStr">
        <is>
          <t>ADC</t>
        </is>
      </c>
      <c r="K2489" t="inlineStr">
        <is>
          <t>Auto Dial Disconnected</t>
        </is>
      </c>
      <c r="L2489" t="n">
        <v>3</v>
      </c>
      <c r="M2489" t="inlineStr">
        <is>
          <t>2026-06-23 12:58:01</t>
        </is>
      </c>
      <c r="N2489" t="inlineStr">
        <is>
          <t>system</t>
        </is>
      </c>
      <c r="O2489" t="inlineStr">
        <is>
          <t>2026-06-19 07:10:32</t>
        </is>
      </c>
      <c r="P2489" t="inlineStr">
        <is>
          <t>2026-06-19 07:10:32</t>
        </is>
      </c>
      <c r="Y2489" t="inlineStr">
        <is>
          <t>27664482000</t>
        </is>
      </c>
    </row>
    <row r="2490">
      <c r="A2490" t="inlineStr">
        <is>
          <t>14945264</t>
        </is>
      </c>
      <c r="B2490" t="inlineStr">
        <is>
          <t>fa259202-b195-4260-ae42-9d2b136d20c7</t>
        </is>
      </c>
      <c r="D2490" t="inlineStr">
        <is>
          <t>30001087</t>
        </is>
      </c>
      <c r="E2490" t="inlineStr">
        <is>
          <t>ussd_funeral_leads_altitude_20260619</t>
        </is>
      </c>
      <c r="J2490" t="inlineStr">
        <is>
          <t>AA</t>
        </is>
      </c>
      <c r="K2490" t="inlineStr">
        <is>
          <t>Answering Machine Autodial</t>
        </is>
      </c>
      <c r="L2490" t="n">
        <v>3</v>
      </c>
      <c r="M2490" t="inlineStr">
        <is>
          <t>2026-06-23 12:58:01</t>
        </is>
      </c>
      <c r="N2490" t="inlineStr">
        <is>
          <t>system</t>
        </is>
      </c>
      <c r="O2490" t="inlineStr">
        <is>
          <t>2026-06-19 07:10:32</t>
        </is>
      </c>
      <c r="P2490" t="inlineStr">
        <is>
          <t>2026-06-19 07:10:32</t>
        </is>
      </c>
      <c r="Y2490" t="inlineStr">
        <is>
          <t>27606303588</t>
        </is>
      </c>
    </row>
    <row r="2491">
      <c r="A2491" t="inlineStr">
        <is>
          <t>14945260</t>
        </is>
      </c>
      <c r="B2491" t="inlineStr">
        <is>
          <t>9186679a-e24c-4576-a6d1-933ea5696568</t>
        </is>
      </c>
      <c r="D2491" t="inlineStr">
        <is>
          <t>30001087</t>
        </is>
      </c>
      <c r="E2491" t="inlineStr">
        <is>
          <t>ussd_funeral_leads_altitude_20260619</t>
        </is>
      </c>
      <c r="J2491" t="inlineStr">
        <is>
          <t>ADC</t>
        </is>
      </c>
      <c r="K2491" t="inlineStr">
        <is>
          <t>Auto Dial Disconnected</t>
        </is>
      </c>
      <c r="L2491" t="n">
        <v>3</v>
      </c>
      <c r="M2491" t="inlineStr">
        <is>
          <t>2026-06-23 12:57:53</t>
        </is>
      </c>
      <c r="N2491" t="inlineStr">
        <is>
          <t>system</t>
        </is>
      </c>
      <c r="O2491" t="inlineStr">
        <is>
          <t>2026-06-19 07:10:32</t>
        </is>
      </c>
      <c r="P2491" t="inlineStr">
        <is>
          <t>2026-06-19 07:10:32</t>
        </is>
      </c>
      <c r="Y2491" t="inlineStr">
        <is>
          <t>27761824376</t>
        </is>
      </c>
    </row>
    <row r="2492">
      <c r="A2492" t="inlineStr">
        <is>
          <t>14945258</t>
        </is>
      </c>
      <c r="B2492" t="inlineStr">
        <is>
          <t>d4a19839-fcd2-425c-b87e-6267ba1c5e43</t>
        </is>
      </c>
      <c r="D2492" t="inlineStr">
        <is>
          <t>30001087</t>
        </is>
      </c>
      <c r="E2492" t="inlineStr">
        <is>
          <t>ussd_funeral_leads_altitude_20260619</t>
        </is>
      </c>
      <c r="J2492" t="inlineStr">
        <is>
          <t>CU</t>
        </is>
      </c>
      <c r="K2492" t="inlineStr">
        <is>
          <t>Client Hung Up</t>
        </is>
      </c>
      <c r="L2492" t="n">
        <v>3</v>
      </c>
      <c r="M2492" t="inlineStr">
        <is>
          <t>2026-06-23 12:57:52</t>
        </is>
      </c>
      <c r="N2492" t="inlineStr">
        <is>
          <t>Vuyiswa Nxumalo</t>
        </is>
      </c>
      <c r="O2492" t="inlineStr">
        <is>
          <t>2026-06-19 07:10:32</t>
        </is>
      </c>
      <c r="P2492" t="inlineStr">
        <is>
          <t>2026-06-19 07:10:32</t>
        </is>
      </c>
      <c r="Y2492" t="inlineStr">
        <is>
          <t>27825001792</t>
        </is>
      </c>
    </row>
    <row r="2493">
      <c r="A2493" t="inlineStr">
        <is>
          <t>14945259</t>
        </is>
      </c>
      <c r="B2493" t="inlineStr">
        <is>
          <t>9f7f0040-919f-44cb-b5d3-8b58cdc48d50</t>
        </is>
      </c>
      <c r="D2493" t="inlineStr">
        <is>
          <t>30001087</t>
        </is>
      </c>
      <c r="E2493" t="inlineStr">
        <is>
          <t>ussd_funeral_leads_altitude_20260619</t>
        </is>
      </c>
      <c r="J2493" t="inlineStr">
        <is>
          <t>NA</t>
        </is>
      </c>
      <c r="K2493" t="inlineStr">
        <is>
          <t>No Answer Autodial</t>
        </is>
      </c>
      <c r="L2493" t="n">
        <v>3</v>
      </c>
      <c r="M2493" t="inlineStr">
        <is>
          <t>2026-06-23 12:57:52</t>
        </is>
      </c>
      <c r="N2493" t="inlineStr">
        <is>
          <t>system</t>
        </is>
      </c>
      <c r="O2493" t="inlineStr">
        <is>
          <t>2026-06-19 07:10:32</t>
        </is>
      </c>
      <c r="P2493" t="inlineStr">
        <is>
          <t>2026-06-19 07:10:32</t>
        </is>
      </c>
      <c r="Y2493" t="inlineStr">
        <is>
          <t>27761567299</t>
        </is>
      </c>
    </row>
    <row r="2494">
      <c r="A2494" t="inlineStr">
        <is>
          <t>14945257</t>
        </is>
      </c>
      <c r="B2494" t="inlineStr">
        <is>
          <t>c6ba8b8b-3ec3-4217-8041-19c6bfd2ac77</t>
        </is>
      </c>
      <c r="D2494" t="inlineStr">
        <is>
          <t>30001087</t>
        </is>
      </c>
      <c r="E2494" t="inlineStr">
        <is>
          <t>ussd_funeral_leads_altitude_20260619</t>
        </is>
      </c>
      <c r="J2494" t="inlineStr">
        <is>
          <t>TDN</t>
        </is>
      </c>
      <c r="K2494" t="inlineStr">
        <is>
          <t>Temporary Disconnected Number</t>
        </is>
      </c>
      <c r="L2494" t="n">
        <v>3</v>
      </c>
      <c r="M2494" t="inlineStr">
        <is>
          <t>2026-06-23 12:57:47</t>
        </is>
      </c>
      <c r="N2494" t="inlineStr">
        <is>
          <t>system</t>
        </is>
      </c>
      <c r="O2494" t="inlineStr">
        <is>
          <t>2026-06-19 07:10:32</t>
        </is>
      </c>
      <c r="P2494" t="inlineStr">
        <is>
          <t>2026-06-19 07:10:32</t>
        </is>
      </c>
      <c r="Y2494" t="inlineStr">
        <is>
          <t>27761151912</t>
        </is>
      </c>
    </row>
    <row r="2495">
      <c r="A2495" t="inlineStr">
        <is>
          <t>14945254</t>
        </is>
      </c>
      <c r="B2495" t="inlineStr">
        <is>
          <t>410f7027-a0eb-4ec7-95cb-789b42152caf</t>
        </is>
      </c>
      <c r="D2495" t="inlineStr">
        <is>
          <t>30001087</t>
        </is>
      </c>
      <c r="E2495" t="inlineStr">
        <is>
          <t>ussd_funeral_leads_altitude_20260619</t>
        </is>
      </c>
      <c r="J2495" t="inlineStr">
        <is>
          <t>AA</t>
        </is>
      </c>
      <c r="K2495" t="inlineStr">
        <is>
          <t>Answering Machine Autodial</t>
        </is>
      </c>
      <c r="L2495" t="n">
        <v>3</v>
      </c>
      <c r="M2495" t="inlineStr">
        <is>
          <t>2026-06-23 12:57:46</t>
        </is>
      </c>
      <c r="N2495" t="inlineStr">
        <is>
          <t>system</t>
        </is>
      </c>
      <c r="O2495" t="inlineStr">
        <is>
          <t>2026-06-19 07:10:32</t>
        </is>
      </c>
      <c r="P2495" t="inlineStr">
        <is>
          <t>2026-06-19 07:10:32</t>
        </is>
      </c>
      <c r="Y2495" t="inlineStr">
        <is>
          <t>27724111702</t>
        </is>
      </c>
    </row>
    <row r="2496">
      <c r="A2496" t="inlineStr">
        <is>
          <t>14945255</t>
        </is>
      </c>
      <c r="B2496" t="inlineStr">
        <is>
          <t>4481e103-d419-4602-b8d3-d9f5b61c9275</t>
        </is>
      </c>
      <c r="D2496" t="inlineStr">
        <is>
          <t>30001087</t>
        </is>
      </c>
      <c r="E2496" t="inlineStr">
        <is>
          <t>ussd_funeral_leads_altitude_20260619</t>
        </is>
      </c>
      <c r="J2496" t="inlineStr">
        <is>
          <t>NA</t>
        </is>
      </c>
      <c r="K2496" t="inlineStr">
        <is>
          <t>No Answer Autodial</t>
        </is>
      </c>
      <c r="L2496" t="n">
        <v>3</v>
      </c>
      <c r="M2496" t="inlineStr">
        <is>
          <t>2026-06-23 12:57:46</t>
        </is>
      </c>
      <c r="N2496" t="inlineStr">
        <is>
          <t>system</t>
        </is>
      </c>
      <c r="O2496" t="inlineStr">
        <is>
          <t>2026-06-19 07:10:32</t>
        </is>
      </c>
      <c r="P2496" t="inlineStr">
        <is>
          <t>2026-06-19 07:10:32</t>
        </is>
      </c>
      <c r="Y2496" t="inlineStr">
        <is>
          <t>27726969043</t>
        </is>
      </c>
    </row>
    <row r="2497">
      <c r="A2497" t="inlineStr">
        <is>
          <t>14945256</t>
        </is>
      </c>
      <c r="B2497" t="inlineStr">
        <is>
          <t>c56e51d6-5226-4d9f-aeee-2db7d45a6557</t>
        </is>
      </c>
      <c r="D2497" t="inlineStr">
        <is>
          <t>30001087</t>
        </is>
      </c>
      <c r="E2497" t="inlineStr">
        <is>
          <t>ussd_funeral_leads_altitude_20260619</t>
        </is>
      </c>
      <c r="J2497" t="inlineStr">
        <is>
          <t>CU</t>
        </is>
      </c>
      <c r="K2497" t="inlineStr">
        <is>
          <t>Client Hung Up</t>
        </is>
      </c>
      <c r="L2497" t="n">
        <v>3</v>
      </c>
      <c r="M2497" t="inlineStr">
        <is>
          <t>2026-06-23 12:57:46</t>
        </is>
      </c>
      <c r="N2497" t="inlineStr">
        <is>
          <t>Vuyiswa Nxumalo</t>
        </is>
      </c>
      <c r="O2497" t="inlineStr">
        <is>
          <t>2026-06-19 07:10:32</t>
        </is>
      </c>
      <c r="P2497" t="inlineStr">
        <is>
          <t>2026-06-19 07:10:32</t>
        </is>
      </c>
      <c r="Y2497" t="inlineStr">
        <is>
          <t>27673402679</t>
        </is>
      </c>
    </row>
    <row r="2498">
      <c r="A2498" t="inlineStr">
        <is>
          <t>14900000</t>
        </is>
      </c>
      <c r="B2498" t="inlineStr">
        <is>
          <t>e2108654-1231-441a-8cd7-2871849f8fb5</t>
        </is>
      </c>
      <c r="D2498" t="inlineStr">
        <is>
          <t>30001087</t>
        </is>
      </c>
      <c r="E2498" t="inlineStr">
        <is>
          <t>ussd_funeral_leads_altitude_20260619</t>
        </is>
      </c>
      <c r="J2498" t="inlineStr">
        <is>
          <t>ADC</t>
        </is>
      </c>
      <c r="K2498" t="inlineStr">
        <is>
          <t>Auto Dial Disconnected</t>
        </is>
      </c>
      <c r="L2498" t="n">
        <v>3</v>
      </c>
      <c r="M2498" t="inlineStr">
        <is>
          <t>2026-06-23 12:57:45</t>
        </is>
      </c>
      <c r="N2498" t="inlineStr">
        <is>
          <t>system</t>
        </is>
      </c>
      <c r="O2498" t="inlineStr">
        <is>
          <t>2026-06-19 07:10:32</t>
        </is>
      </c>
      <c r="P2498" t="inlineStr">
        <is>
          <t>2026-06-19 07:10:32</t>
        </is>
      </c>
      <c r="Y2498" t="inlineStr">
        <is>
          <t>27648886062</t>
        </is>
      </c>
    </row>
    <row r="2499">
      <c r="A2499" t="inlineStr">
        <is>
          <t>14945251</t>
        </is>
      </c>
      <c r="B2499" t="inlineStr">
        <is>
          <t>30dd75e5-cc1d-42d6-b6d8-a3a0dfcadf22</t>
        </is>
      </c>
      <c r="D2499" t="inlineStr">
        <is>
          <t>30001087</t>
        </is>
      </c>
      <c r="E2499" t="inlineStr">
        <is>
          <t>ussd_funeral_leads_altitude_20260619</t>
        </is>
      </c>
      <c r="J2499" t="inlineStr">
        <is>
          <t>AA</t>
        </is>
      </c>
      <c r="K2499" t="inlineStr">
        <is>
          <t>Answering Machine Autodial</t>
        </is>
      </c>
      <c r="L2499" t="n">
        <v>3</v>
      </c>
      <c r="M2499" t="inlineStr">
        <is>
          <t>2026-06-23 12:57:40</t>
        </is>
      </c>
      <c r="N2499" t="inlineStr">
        <is>
          <t>system</t>
        </is>
      </c>
      <c r="O2499" t="inlineStr">
        <is>
          <t>2026-06-19 07:10:32</t>
        </is>
      </c>
      <c r="P2499" t="inlineStr">
        <is>
          <t>2026-06-19 07:10:32</t>
        </is>
      </c>
      <c r="Y2499" t="inlineStr">
        <is>
          <t>27795391953</t>
        </is>
      </c>
    </row>
    <row r="2500">
      <c r="A2500" t="inlineStr">
        <is>
          <t>14945252</t>
        </is>
      </c>
      <c r="B2500" t="inlineStr">
        <is>
          <t>075ad57b-f283-4220-8a5a-6574afdfa701</t>
        </is>
      </c>
      <c r="D2500" t="inlineStr">
        <is>
          <t>30001087</t>
        </is>
      </c>
      <c r="E2500" t="inlineStr">
        <is>
          <t>ussd_funeral_leads_altitude_20260619</t>
        </is>
      </c>
      <c r="J2500" t="inlineStr">
        <is>
          <t>AA</t>
        </is>
      </c>
      <c r="K2500" t="inlineStr">
        <is>
          <t>Answering Machine Autodial</t>
        </is>
      </c>
      <c r="L2500" t="n">
        <v>3</v>
      </c>
      <c r="M2500" t="inlineStr">
        <is>
          <t>2026-06-23 12:57:39</t>
        </is>
      </c>
      <c r="N2500" t="inlineStr">
        <is>
          <t>system</t>
        </is>
      </c>
      <c r="O2500" t="inlineStr">
        <is>
          <t>2026-06-19 07:10:32</t>
        </is>
      </c>
      <c r="P2500" t="inlineStr">
        <is>
          <t>2026-06-19 07:10:32</t>
        </is>
      </c>
      <c r="Y2500" t="inlineStr">
        <is>
          <t>27646293128</t>
        </is>
      </c>
    </row>
    <row r="2501">
      <c r="A2501" t="inlineStr">
        <is>
          <t>14945250</t>
        </is>
      </c>
      <c r="B2501" t="inlineStr">
        <is>
          <t>dbd6bd06-c863-4272-aeaa-d3e815756d89</t>
        </is>
      </c>
      <c r="D2501" t="inlineStr">
        <is>
          <t>30001087</t>
        </is>
      </c>
      <c r="E2501" t="inlineStr">
        <is>
          <t>ussd_funeral_leads_altitude_20260619</t>
        </is>
      </c>
      <c r="J2501" t="inlineStr">
        <is>
          <t>AA</t>
        </is>
      </c>
      <c r="K2501" t="inlineStr">
        <is>
          <t>Answering Machine Autodial</t>
        </is>
      </c>
      <c r="L2501" t="n">
        <v>3</v>
      </c>
      <c r="M2501" t="inlineStr">
        <is>
          <t>2026-06-23 12:57:38</t>
        </is>
      </c>
      <c r="N2501" t="inlineStr">
        <is>
          <t>system</t>
        </is>
      </c>
      <c r="O2501" t="inlineStr">
        <is>
          <t>2026-06-19 07:10:32</t>
        </is>
      </c>
      <c r="P2501" t="inlineStr">
        <is>
          <t>2026-06-19 07:10:32</t>
        </is>
      </c>
      <c r="Y2501" t="inlineStr">
        <is>
          <t>27774487400</t>
        </is>
      </c>
    </row>
    <row r="2502">
      <c r="A2502" t="inlineStr">
        <is>
          <t>14945249</t>
        </is>
      </c>
      <c r="B2502" t="inlineStr">
        <is>
          <t>d3348465-cfca-4ed7-bca6-108953eb38b5</t>
        </is>
      </c>
      <c r="D2502" t="inlineStr">
        <is>
          <t>30001087</t>
        </is>
      </c>
      <c r="E2502" t="inlineStr">
        <is>
          <t>ussd_funeral_leads_altitude_20260619</t>
        </is>
      </c>
      <c r="J2502" t="inlineStr">
        <is>
          <t>TDN</t>
        </is>
      </c>
      <c r="K2502" t="inlineStr">
        <is>
          <t>Temporary Disconnected Number</t>
        </is>
      </c>
      <c r="L2502" t="n">
        <v>3</v>
      </c>
      <c r="M2502" t="inlineStr">
        <is>
          <t>2026-06-23 12:57:36</t>
        </is>
      </c>
      <c r="N2502" t="inlineStr">
        <is>
          <t>system</t>
        </is>
      </c>
      <c r="O2502" t="inlineStr">
        <is>
          <t>2026-06-19 07:10:32</t>
        </is>
      </c>
      <c r="P2502" t="inlineStr">
        <is>
          <t>2026-06-19 07:10:32</t>
        </is>
      </c>
      <c r="Y2502" t="inlineStr">
        <is>
          <t>27608279849</t>
        </is>
      </c>
    </row>
    <row r="2503">
      <c r="A2503" t="inlineStr">
        <is>
          <t>14900000</t>
        </is>
      </c>
      <c r="B2503" t="inlineStr">
        <is>
          <t>4e834725-7d79-4dcb-9ea4-b6ba59e612d4</t>
        </is>
      </c>
      <c r="D2503" t="inlineStr">
        <is>
          <t>30001087</t>
        </is>
      </c>
      <c r="E2503" t="inlineStr">
        <is>
          <t>ussd_funeral_leads_altitude_20260619</t>
        </is>
      </c>
      <c r="J2503" t="inlineStr">
        <is>
          <t>AA</t>
        </is>
      </c>
      <c r="K2503" t="inlineStr">
        <is>
          <t>Answering Machine Autodial</t>
        </is>
      </c>
      <c r="L2503" t="n">
        <v>3</v>
      </c>
      <c r="M2503" t="inlineStr">
        <is>
          <t>2026-06-23 12:57:34</t>
        </is>
      </c>
      <c r="N2503" t="inlineStr">
        <is>
          <t>system</t>
        </is>
      </c>
      <c r="O2503" t="inlineStr">
        <is>
          <t>2026-06-19 07:10:32</t>
        </is>
      </c>
      <c r="P2503" t="inlineStr">
        <is>
          <t>2026-06-19 07:10:32</t>
        </is>
      </c>
      <c r="Y2503" t="inlineStr">
        <is>
          <t>27762155020</t>
        </is>
      </c>
    </row>
    <row r="2504">
      <c r="A2504" t="inlineStr">
        <is>
          <t>14945248</t>
        </is>
      </c>
      <c r="B2504" t="inlineStr">
        <is>
          <t>c02aa9ef-ccd7-4f31-864e-cb2b7d24c258</t>
        </is>
      </c>
      <c r="D2504" t="inlineStr">
        <is>
          <t>30001087</t>
        </is>
      </c>
      <c r="E2504" t="inlineStr">
        <is>
          <t>ussd_funeral_leads_altitude_20260619</t>
        </is>
      </c>
      <c r="J2504" t="inlineStr">
        <is>
          <t>NA</t>
        </is>
      </c>
      <c r="K2504" t="inlineStr">
        <is>
          <t>No Answer Autodial</t>
        </is>
      </c>
      <c r="L2504" t="n">
        <v>3</v>
      </c>
      <c r="M2504" t="inlineStr">
        <is>
          <t>2026-06-23 12:57:34</t>
        </is>
      </c>
      <c r="N2504" t="inlineStr">
        <is>
          <t>system</t>
        </is>
      </c>
      <c r="O2504" t="inlineStr">
        <is>
          <t>2026-06-19 07:10:32</t>
        </is>
      </c>
      <c r="P2504" t="inlineStr">
        <is>
          <t>2026-06-19 07:10:32</t>
        </is>
      </c>
      <c r="Y2504" t="inlineStr">
        <is>
          <t>27799343757</t>
        </is>
      </c>
    </row>
    <row r="2505">
      <c r="A2505" t="inlineStr">
        <is>
          <t>14947726</t>
        </is>
      </c>
      <c r="B2505" t="inlineStr">
        <is>
          <t>8f454684-6e4a-490a-be2d-6ac4315a07f8</t>
        </is>
      </c>
      <c r="D2505" t="inlineStr">
        <is>
          <t>30001087</t>
        </is>
      </c>
      <c r="E2505" t="inlineStr">
        <is>
          <t>ussd_funeral_leads_altitude_20260619</t>
        </is>
      </c>
      <c r="J2505" t="inlineStr">
        <is>
          <t>ADC</t>
        </is>
      </c>
      <c r="K2505" t="inlineStr">
        <is>
          <t>Auto Dial Disconnected</t>
        </is>
      </c>
      <c r="L2505" t="n">
        <v>3</v>
      </c>
      <c r="M2505" t="inlineStr">
        <is>
          <t>2026-06-23 12:57:34</t>
        </is>
      </c>
      <c r="N2505" t="inlineStr">
        <is>
          <t>system</t>
        </is>
      </c>
      <c r="O2505" t="inlineStr">
        <is>
          <t>2026-06-19 07:10:32</t>
        </is>
      </c>
      <c r="P2505" t="inlineStr">
        <is>
          <t>2026-06-19 07:10:32</t>
        </is>
      </c>
      <c r="Y2505" t="inlineStr">
        <is>
          <t>27660878543</t>
        </is>
      </c>
    </row>
    <row r="2506">
      <c r="A2506" t="inlineStr">
        <is>
          <t>14945786</t>
        </is>
      </c>
      <c r="B2506" t="inlineStr">
        <is>
          <t>4c2e3492-6eba-43f9-a42f-e014b860a6d9</t>
        </is>
      </c>
      <c r="D2506" t="inlineStr">
        <is>
          <t>30001087</t>
        </is>
      </c>
      <c r="E2506" t="inlineStr">
        <is>
          <t>ussd_funeral_leads_altitude_20260619</t>
        </is>
      </c>
      <c r="J2506" t="inlineStr">
        <is>
          <t>AA</t>
        </is>
      </c>
      <c r="K2506" t="inlineStr">
        <is>
          <t>Answering Machine Autodial</t>
        </is>
      </c>
      <c r="L2506" t="n">
        <v>3</v>
      </c>
      <c r="M2506" t="inlineStr">
        <is>
          <t>2026-06-23 12:57:16</t>
        </is>
      </c>
      <c r="N2506" t="inlineStr">
        <is>
          <t>system</t>
        </is>
      </c>
      <c r="O2506" t="inlineStr">
        <is>
          <t>2026-06-19 07:10:32</t>
        </is>
      </c>
      <c r="P2506" t="inlineStr">
        <is>
          <t>2026-06-19 07:10:32</t>
        </is>
      </c>
      <c r="Y2506" t="inlineStr">
        <is>
          <t>27796837617</t>
        </is>
      </c>
    </row>
    <row r="2507">
      <c r="A2507" t="inlineStr">
        <is>
          <t>14900000</t>
        </is>
      </c>
      <c r="B2507" t="inlineStr">
        <is>
          <t>1e210997-11d2-47cc-8173-54ddafeb6d32</t>
        </is>
      </c>
      <c r="D2507" t="inlineStr">
        <is>
          <t>30001087</t>
        </is>
      </c>
      <c r="E2507" t="inlineStr">
        <is>
          <t>ussd_funeral_leads_altitude_20260619</t>
        </is>
      </c>
      <c r="J2507" t="inlineStr">
        <is>
          <t>TDN</t>
        </is>
      </c>
      <c r="K2507" t="inlineStr">
        <is>
          <t>Temporary Disconnected Number</t>
        </is>
      </c>
      <c r="L2507" t="n">
        <v>3</v>
      </c>
      <c r="M2507" t="inlineStr">
        <is>
          <t>2026-06-23 12:57:15</t>
        </is>
      </c>
      <c r="N2507" t="inlineStr">
        <is>
          <t>system</t>
        </is>
      </c>
      <c r="O2507" t="inlineStr">
        <is>
          <t>2026-06-19 07:10:32</t>
        </is>
      </c>
      <c r="P2507" t="inlineStr">
        <is>
          <t>2026-06-19 07:10:32</t>
        </is>
      </c>
      <c r="Y2507" t="inlineStr">
        <is>
          <t>27647244822</t>
        </is>
      </c>
    </row>
    <row r="2508">
      <c r="A2508" t="inlineStr">
        <is>
          <t>14945784</t>
        </is>
      </c>
      <c r="B2508" t="inlineStr">
        <is>
          <t>1918af0e-aa40-4d12-8247-e88ec8288549</t>
        </is>
      </c>
      <c r="D2508" t="inlineStr">
        <is>
          <t>30001087</t>
        </is>
      </c>
      <c r="E2508" t="inlineStr">
        <is>
          <t>ussd_funeral_leads_altitude_20260619</t>
        </is>
      </c>
      <c r="J2508" t="inlineStr">
        <is>
          <t>AA</t>
        </is>
      </c>
      <c r="K2508" t="inlineStr">
        <is>
          <t>Answering Machine Autodial</t>
        </is>
      </c>
      <c r="L2508" t="n">
        <v>3</v>
      </c>
      <c r="M2508" t="inlineStr">
        <is>
          <t>2026-06-23 12:57:05</t>
        </is>
      </c>
      <c r="N2508" t="inlineStr">
        <is>
          <t>system</t>
        </is>
      </c>
      <c r="O2508" t="inlineStr">
        <is>
          <t>2026-06-19 07:10:32</t>
        </is>
      </c>
      <c r="P2508" t="inlineStr">
        <is>
          <t>2026-06-19 07:10:32</t>
        </is>
      </c>
      <c r="Y2508" t="inlineStr">
        <is>
          <t>27797793032</t>
        </is>
      </c>
    </row>
    <row r="2509">
      <c r="A2509" t="inlineStr">
        <is>
          <t>14900000</t>
        </is>
      </c>
      <c r="B2509" t="inlineStr">
        <is>
          <t>e908f4cd-9337-462e-8cc1-0c32ecbc9a32</t>
        </is>
      </c>
      <c r="D2509" t="inlineStr">
        <is>
          <t>30001087</t>
        </is>
      </c>
      <c r="E2509" t="inlineStr">
        <is>
          <t>ussd_funeral_leads_altitude_20260619</t>
        </is>
      </c>
      <c r="J2509" t="inlineStr">
        <is>
          <t>NA</t>
        </is>
      </c>
      <c r="K2509" t="inlineStr">
        <is>
          <t>No Answer Autodial</t>
        </is>
      </c>
      <c r="L2509" t="n">
        <v>3</v>
      </c>
      <c r="M2509" t="inlineStr">
        <is>
          <t>2026-06-23 12:57:03</t>
        </is>
      </c>
      <c r="N2509" t="inlineStr">
        <is>
          <t>system</t>
        </is>
      </c>
      <c r="O2509" t="inlineStr">
        <is>
          <t>2026-06-19 07:10:32</t>
        </is>
      </c>
      <c r="P2509" t="inlineStr">
        <is>
          <t>2026-06-19 07:10:32</t>
        </is>
      </c>
      <c r="Y2509" t="inlineStr">
        <is>
          <t>27675338112</t>
        </is>
      </c>
    </row>
    <row r="2510">
      <c r="A2510" t="inlineStr">
        <is>
          <t>14945781</t>
        </is>
      </c>
      <c r="B2510" t="inlineStr">
        <is>
          <t>68696e47-d673-4f32-bf3e-37c616f32e35</t>
        </is>
      </c>
      <c r="D2510" t="inlineStr">
        <is>
          <t>30001087</t>
        </is>
      </c>
      <c r="E2510" t="inlineStr">
        <is>
          <t>ussd_funeral_leads_altitude_20260619</t>
        </is>
      </c>
      <c r="J2510" t="inlineStr">
        <is>
          <t>CU</t>
        </is>
      </c>
      <c r="K2510" t="inlineStr">
        <is>
          <t>Client Hung Up</t>
        </is>
      </c>
      <c r="L2510" t="n">
        <v>3</v>
      </c>
      <c r="M2510" t="inlineStr">
        <is>
          <t>2026-06-23 12:56:47</t>
        </is>
      </c>
      <c r="N2510" t="inlineStr">
        <is>
          <t>Dimakatso Nkomo</t>
        </is>
      </c>
      <c r="O2510" t="inlineStr">
        <is>
          <t>2026-06-19 07:10:32</t>
        </is>
      </c>
      <c r="P2510" t="inlineStr">
        <is>
          <t>2026-06-19 07:10:32</t>
        </is>
      </c>
      <c r="Y2510" t="inlineStr">
        <is>
          <t>27721646162</t>
        </is>
      </c>
    </row>
    <row r="2511">
      <c r="A2511" t="inlineStr">
        <is>
          <t>14945782</t>
        </is>
      </c>
      <c r="B2511" t="inlineStr">
        <is>
          <t>74f0f572-291a-4c15-b54d-8b82eede9244</t>
        </is>
      </c>
      <c r="D2511" t="inlineStr">
        <is>
          <t>30001087</t>
        </is>
      </c>
      <c r="E2511" t="inlineStr">
        <is>
          <t>ussd_funeral_leads_altitude_20260619</t>
        </is>
      </c>
      <c r="J2511" t="inlineStr">
        <is>
          <t>AA</t>
        </is>
      </c>
      <c r="K2511" t="inlineStr">
        <is>
          <t>Answering Machine Autodial</t>
        </is>
      </c>
      <c r="L2511" t="n">
        <v>3</v>
      </c>
      <c r="M2511" t="inlineStr">
        <is>
          <t>2026-06-23 12:56:47</t>
        </is>
      </c>
      <c r="N2511" t="inlineStr">
        <is>
          <t>system</t>
        </is>
      </c>
      <c r="O2511" t="inlineStr">
        <is>
          <t>2026-06-19 07:10:32</t>
        </is>
      </c>
      <c r="P2511" t="inlineStr">
        <is>
          <t>2026-06-19 07:10:32</t>
        </is>
      </c>
      <c r="Y2511" t="inlineStr">
        <is>
          <t>27824728688</t>
        </is>
      </c>
    </row>
    <row r="2512">
      <c r="A2512" t="inlineStr">
        <is>
          <t>14945779</t>
        </is>
      </c>
      <c r="B2512" t="inlineStr">
        <is>
          <t>00cb3882-44a2-4009-b109-42835b688c66</t>
        </is>
      </c>
      <c r="D2512" t="inlineStr">
        <is>
          <t>30001087</t>
        </is>
      </c>
      <c r="E2512" t="inlineStr">
        <is>
          <t>ussd_funeral_leads_altitude_20260619</t>
        </is>
      </c>
      <c r="J2512" t="inlineStr">
        <is>
          <t>TDN</t>
        </is>
      </c>
      <c r="K2512" t="inlineStr">
        <is>
          <t>Temporary Disconnected Number</t>
        </is>
      </c>
      <c r="L2512" t="n">
        <v>3</v>
      </c>
      <c r="M2512" t="inlineStr">
        <is>
          <t>2026-06-23 12:56:44</t>
        </is>
      </c>
      <c r="N2512" t="inlineStr">
        <is>
          <t>system</t>
        </is>
      </c>
      <c r="O2512" t="inlineStr">
        <is>
          <t>2026-06-19 07:10:32</t>
        </is>
      </c>
      <c r="P2512" t="inlineStr">
        <is>
          <t>2026-06-19 07:10:32</t>
        </is>
      </c>
      <c r="Y2512" t="inlineStr">
        <is>
          <t>27793253264</t>
        </is>
      </c>
    </row>
    <row r="2513">
      <c r="A2513" t="inlineStr">
        <is>
          <t>14945780</t>
        </is>
      </c>
      <c r="B2513" t="inlineStr">
        <is>
          <t>cfd82896-c190-4e9d-b740-2bc966c7b8b4</t>
        </is>
      </c>
      <c r="D2513" t="inlineStr">
        <is>
          <t>30001087</t>
        </is>
      </c>
      <c r="E2513" t="inlineStr">
        <is>
          <t>ussd_funeral_leads_altitude_20260619</t>
        </is>
      </c>
      <c r="J2513" t="inlineStr">
        <is>
          <t>ADC</t>
        </is>
      </c>
      <c r="K2513" t="inlineStr">
        <is>
          <t>Auto Dial Disconnected</t>
        </is>
      </c>
      <c r="L2513" t="n">
        <v>3</v>
      </c>
      <c r="M2513" t="inlineStr">
        <is>
          <t>2026-06-23 12:56:44</t>
        </is>
      </c>
      <c r="N2513" t="inlineStr">
        <is>
          <t>system</t>
        </is>
      </c>
      <c r="O2513" t="inlineStr">
        <is>
          <t>2026-06-19 07:10:32</t>
        </is>
      </c>
      <c r="P2513" t="inlineStr">
        <is>
          <t>2026-06-19 07:10:32</t>
        </is>
      </c>
      <c r="Y2513" t="inlineStr">
        <is>
          <t>27796364738</t>
        </is>
      </c>
    </row>
    <row r="2514">
      <c r="A2514" t="inlineStr">
        <is>
          <t>14945775</t>
        </is>
      </c>
      <c r="B2514" t="inlineStr">
        <is>
          <t>34782ea7-5776-4a13-85a2-76075e1e63fe</t>
        </is>
      </c>
      <c r="D2514" t="inlineStr">
        <is>
          <t>30001087</t>
        </is>
      </c>
      <c r="E2514" t="inlineStr">
        <is>
          <t>ussd_funeral_leads_altitude_20260619</t>
        </is>
      </c>
      <c r="J2514" t="inlineStr">
        <is>
          <t>ADC</t>
        </is>
      </c>
      <c r="K2514" t="inlineStr">
        <is>
          <t>Auto Dial Disconnected</t>
        </is>
      </c>
      <c r="L2514" t="n">
        <v>3</v>
      </c>
      <c r="M2514" t="inlineStr">
        <is>
          <t>2026-06-23 12:56:43</t>
        </is>
      </c>
      <c r="N2514" t="inlineStr">
        <is>
          <t>system</t>
        </is>
      </c>
      <c r="O2514" t="inlineStr">
        <is>
          <t>2026-06-19 07:10:32</t>
        </is>
      </c>
      <c r="P2514" t="inlineStr">
        <is>
          <t>2026-06-19 07:10:32</t>
        </is>
      </c>
      <c r="Y2514" t="inlineStr">
        <is>
          <t>27714765273</t>
        </is>
      </c>
    </row>
    <row r="2515">
      <c r="A2515" t="inlineStr">
        <is>
          <t>14945776</t>
        </is>
      </c>
      <c r="B2515" t="inlineStr">
        <is>
          <t>a5961d56-1177-4c3a-afac-bcb1e7c829c6</t>
        </is>
      </c>
      <c r="D2515" t="inlineStr">
        <is>
          <t>30001087</t>
        </is>
      </c>
      <c r="E2515" t="inlineStr">
        <is>
          <t>ussd_funeral_leads_altitude_20260619</t>
        </is>
      </c>
      <c r="J2515" t="inlineStr">
        <is>
          <t>NA</t>
        </is>
      </c>
      <c r="K2515" t="inlineStr">
        <is>
          <t>No Answer Autodial</t>
        </is>
      </c>
      <c r="L2515" t="n">
        <v>3</v>
      </c>
      <c r="M2515" t="inlineStr">
        <is>
          <t>2026-06-23 12:56:43</t>
        </is>
      </c>
      <c r="N2515" t="inlineStr">
        <is>
          <t>system</t>
        </is>
      </c>
      <c r="O2515" t="inlineStr">
        <is>
          <t>2026-06-19 07:10:32</t>
        </is>
      </c>
      <c r="P2515" t="inlineStr">
        <is>
          <t>2026-06-19 07:10:32</t>
        </is>
      </c>
      <c r="Y2515" t="inlineStr">
        <is>
          <t>27649089089</t>
        </is>
      </c>
    </row>
    <row r="2516">
      <c r="A2516" t="inlineStr">
        <is>
          <t>14945777</t>
        </is>
      </c>
      <c r="B2516" t="inlineStr">
        <is>
          <t>51222d07-592b-45be-a3b3-8eafebf014e1</t>
        </is>
      </c>
      <c r="D2516" t="inlineStr">
        <is>
          <t>30001087</t>
        </is>
      </c>
      <c r="E2516" t="inlineStr">
        <is>
          <t>ussd_funeral_leads_altitude_20260619</t>
        </is>
      </c>
      <c r="J2516" t="inlineStr">
        <is>
          <t>AA</t>
        </is>
      </c>
      <c r="K2516" t="inlineStr">
        <is>
          <t>Answering Machine Autodial</t>
        </is>
      </c>
      <c r="L2516" t="n">
        <v>3</v>
      </c>
      <c r="M2516" t="inlineStr">
        <is>
          <t>2026-06-23 12:56:43</t>
        </is>
      </c>
      <c r="N2516" t="inlineStr">
        <is>
          <t>system</t>
        </is>
      </c>
      <c r="O2516" t="inlineStr">
        <is>
          <t>2026-06-19 07:10:32</t>
        </is>
      </c>
      <c r="P2516" t="inlineStr">
        <is>
          <t>2026-06-19 07:10:32</t>
        </is>
      </c>
      <c r="Y2516" t="inlineStr">
        <is>
          <t>27726713306</t>
        </is>
      </c>
    </row>
    <row r="2517">
      <c r="A2517" t="inlineStr">
        <is>
          <t>14945773</t>
        </is>
      </c>
      <c r="B2517" t="inlineStr">
        <is>
          <t>75a2a49a-657e-495b-ad76-6732e86d962c</t>
        </is>
      </c>
      <c r="D2517" t="inlineStr">
        <is>
          <t>30001087</t>
        </is>
      </c>
      <c r="E2517" t="inlineStr">
        <is>
          <t>ussd_funeral_leads_altitude_20260619</t>
        </is>
      </c>
      <c r="J2517" t="inlineStr">
        <is>
          <t>AA</t>
        </is>
      </c>
      <c r="K2517" t="inlineStr">
        <is>
          <t>Answering Machine Autodial</t>
        </is>
      </c>
      <c r="L2517" t="n">
        <v>3</v>
      </c>
      <c r="M2517" t="inlineStr">
        <is>
          <t>2026-06-23 12:56:37</t>
        </is>
      </c>
      <c r="N2517" t="inlineStr">
        <is>
          <t>system</t>
        </is>
      </c>
      <c r="O2517" t="inlineStr">
        <is>
          <t>2026-06-19 07:10:32</t>
        </is>
      </c>
      <c r="P2517" t="inlineStr">
        <is>
          <t>2026-06-19 07:10:32</t>
        </is>
      </c>
      <c r="Y2517" t="inlineStr">
        <is>
          <t>27824311077</t>
        </is>
      </c>
    </row>
    <row r="2518">
      <c r="A2518" t="inlineStr">
        <is>
          <t>14945774</t>
        </is>
      </c>
      <c r="B2518" t="inlineStr">
        <is>
          <t>ba3bc952-535a-47f8-848e-e7dd69b3ea07</t>
        </is>
      </c>
      <c r="D2518" t="inlineStr">
        <is>
          <t>30001087</t>
        </is>
      </c>
      <c r="E2518" t="inlineStr">
        <is>
          <t>ussd_funeral_leads_altitude_20260619</t>
        </is>
      </c>
      <c r="J2518" t="inlineStr">
        <is>
          <t>AA</t>
        </is>
      </c>
      <c r="K2518" t="inlineStr">
        <is>
          <t>Answering Machine Autodial</t>
        </is>
      </c>
      <c r="L2518" t="n">
        <v>3</v>
      </c>
      <c r="M2518" t="inlineStr">
        <is>
          <t>2026-06-23 12:56:37</t>
        </is>
      </c>
      <c r="N2518" t="inlineStr">
        <is>
          <t>system</t>
        </is>
      </c>
      <c r="O2518" t="inlineStr">
        <is>
          <t>2026-06-19 07:10:32</t>
        </is>
      </c>
      <c r="P2518" t="inlineStr">
        <is>
          <t>2026-06-19 07:10:32</t>
        </is>
      </c>
      <c r="Y2518" t="inlineStr">
        <is>
          <t>27726599181</t>
        </is>
      </c>
    </row>
    <row r="2519">
      <c r="A2519" t="inlineStr">
        <is>
          <t>14945772</t>
        </is>
      </c>
      <c r="B2519" t="inlineStr">
        <is>
          <t>180160f5-abba-4ca6-8f20-f4876f3dd2b0</t>
        </is>
      </c>
      <c r="D2519" t="inlineStr">
        <is>
          <t>30001087</t>
        </is>
      </c>
      <c r="E2519" t="inlineStr">
        <is>
          <t>ussd_funeral_leads_altitude_20260619</t>
        </is>
      </c>
      <c r="J2519" t="inlineStr">
        <is>
          <t>AA</t>
        </is>
      </c>
      <c r="K2519" t="inlineStr">
        <is>
          <t>Answering Machine Autodial</t>
        </is>
      </c>
      <c r="L2519" t="n">
        <v>3</v>
      </c>
      <c r="M2519" t="inlineStr">
        <is>
          <t>2026-06-23 12:56:35</t>
        </is>
      </c>
      <c r="N2519" t="inlineStr">
        <is>
          <t>system</t>
        </is>
      </c>
      <c r="O2519" t="inlineStr">
        <is>
          <t>2026-06-19 07:10:32</t>
        </is>
      </c>
      <c r="P2519" t="inlineStr">
        <is>
          <t>2026-06-19 07:10:32</t>
        </is>
      </c>
      <c r="Y2519" t="inlineStr">
        <is>
          <t>27798015823</t>
        </is>
      </c>
    </row>
    <row r="2520">
      <c r="A2520" t="inlineStr">
        <is>
          <t>14945771</t>
        </is>
      </c>
      <c r="B2520" t="inlineStr">
        <is>
          <t>4a952b6e-b5ee-4055-ae0c-6a27673966c7</t>
        </is>
      </c>
      <c r="D2520" t="inlineStr">
        <is>
          <t>30001087</t>
        </is>
      </c>
      <c r="E2520" t="inlineStr">
        <is>
          <t>ussd_funeral_leads_altitude_20260619</t>
        </is>
      </c>
      <c r="J2520" t="inlineStr">
        <is>
          <t>ADC</t>
        </is>
      </c>
      <c r="K2520" t="inlineStr">
        <is>
          <t>Auto Dial Disconnected</t>
        </is>
      </c>
      <c r="L2520" t="n">
        <v>3</v>
      </c>
      <c r="M2520" t="inlineStr">
        <is>
          <t>2026-06-23 12:56:32</t>
        </is>
      </c>
      <c r="N2520" t="inlineStr">
        <is>
          <t>system</t>
        </is>
      </c>
      <c r="O2520" t="inlineStr">
        <is>
          <t>2026-06-19 07:10:32</t>
        </is>
      </c>
      <c r="P2520" t="inlineStr">
        <is>
          <t>2026-06-19 07:10:32</t>
        </is>
      </c>
      <c r="Y2520" t="inlineStr">
        <is>
          <t>27792631377</t>
        </is>
      </c>
    </row>
    <row r="2521">
      <c r="A2521" t="inlineStr">
        <is>
          <t>14945769</t>
        </is>
      </c>
      <c r="B2521" t="inlineStr">
        <is>
          <t>8f8b08b0-a2e5-4bfc-95ea-e4d72ded8a2d</t>
        </is>
      </c>
      <c r="D2521" t="inlineStr">
        <is>
          <t>30001087</t>
        </is>
      </c>
      <c r="E2521" t="inlineStr">
        <is>
          <t>ussd_funeral_leads_altitude_20260619</t>
        </is>
      </c>
      <c r="J2521" t="inlineStr">
        <is>
          <t>AA</t>
        </is>
      </c>
      <c r="K2521" t="inlineStr">
        <is>
          <t>Answering Machine Autodial</t>
        </is>
      </c>
      <c r="L2521" t="n">
        <v>3</v>
      </c>
      <c r="M2521" t="inlineStr">
        <is>
          <t>2026-06-23 12:56:31</t>
        </is>
      </c>
      <c r="N2521" t="inlineStr">
        <is>
          <t>system</t>
        </is>
      </c>
      <c r="O2521" t="inlineStr">
        <is>
          <t>2026-06-19 07:10:32</t>
        </is>
      </c>
      <c r="P2521" t="inlineStr">
        <is>
          <t>2026-06-19 07:10:32</t>
        </is>
      </c>
      <c r="Y2521" t="inlineStr">
        <is>
          <t>27661203422</t>
        </is>
      </c>
    </row>
    <row r="2522">
      <c r="A2522" t="inlineStr">
        <is>
          <t>14945770</t>
        </is>
      </c>
      <c r="B2522" t="inlineStr">
        <is>
          <t>d01b809b-0ecc-427b-b8b4-db4a28eecaee</t>
        </is>
      </c>
      <c r="D2522" t="inlineStr">
        <is>
          <t>30001087</t>
        </is>
      </c>
      <c r="E2522" t="inlineStr">
        <is>
          <t>ussd_funeral_leads_altitude_20260619</t>
        </is>
      </c>
      <c r="J2522" t="inlineStr">
        <is>
          <t>AA</t>
        </is>
      </c>
      <c r="K2522" t="inlineStr">
        <is>
          <t>Answering Machine Autodial</t>
        </is>
      </c>
      <c r="L2522" t="n">
        <v>3</v>
      </c>
      <c r="M2522" t="inlineStr">
        <is>
          <t>2026-06-23 12:56:31</t>
        </is>
      </c>
      <c r="N2522" t="inlineStr">
        <is>
          <t>system</t>
        </is>
      </c>
      <c r="O2522" t="inlineStr">
        <is>
          <t>2026-06-19 07:10:32</t>
        </is>
      </c>
      <c r="P2522" t="inlineStr">
        <is>
          <t>2026-06-19 07:10:32</t>
        </is>
      </c>
      <c r="Y2522" t="inlineStr">
        <is>
          <t>27723210417</t>
        </is>
      </c>
    </row>
    <row r="2523">
      <c r="A2523" t="inlineStr">
        <is>
          <t>14945768</t>
        </is>
      </c>
      <c r="B2523" t="inlineStr">
        <is>
          <t>2d33bae0-5a49-4487-97d0-7455810265ba</t>
        </is>
      </c>
      <c r="D2523" t="inlineStr">
        <is>
          <t>30001087</t>
        </is>
      </c>
      <c r="E2523" t="inlineStr">
        <is>
          <t>ussd_funeral_leads_altitude_20260619</t>
        </is>
      </c>
      <c r="J2523" t="inlineStr">
        <is>
          <t>AA</t>
        </is>
      </c>
      <c r="K2523" t="inlineStr">
        <is>
          <t>Answering Machine Autodial</t>
        </is>
      </c>
      <c r="L2523" t="n">
        <v>3</v>
      </c>
      <c r="M2523" t="inlineStr">
        <is>
          <t>2026-06-23 12:56:30</t>
        </is>
      </c>
      <c r="N2523" t="inlineStr">
        <is>
          <t>system</t>
        </is>
      </c>
      <c r="O2523" t="inlineStr">
        <is>
          <t>2026-06-19 07:10:32</t>
        </is>
      </c>
      <c r="P2523" t="inlineStr">
        <is>
          <t>2026-06-19 07:10:32</t>
        </is>
      </c>
      <c r="Y2523" t="inlineStr">
        <is>
          <t>27724979815</t>
        </is>
      </c>
    </row>
    <row r="2524">
      <c r="A2524" t="inlineStr">
        <is>
          <t>14947618</t>
        </is>
      </c>
      <c r="B2524" t="inlineStr">
        <is>
          <t>8c5bc88b-9e76-4e61-87fa-598b89a8671c</t>
        </is>
      </c>
      <c r="D2524" t="inlineStr">
        <is>
          <t>30001087</t>
        </is>
      </c>
      <c r="E2524" t="inlineStr">
        <is>
          <t>ussd_funeral_leads_altitude_20260619</t>
        </is>
      </c>
      <c r="G2524" t="inlineStr">
        <is>
          <t>THAPELO</t>
        </is>
      </c>
      <c r="H2524" t="inlineStr">
        <is>
          <t>SEBELA</t>
        </is>
      </c>
      <c r="J2524" t="inlineStr">
        <is>
          <t>A</t>
        </is>
      </c>
      <c r="K2524" t="inlineStr">
        <is>
          <t>Answering Machine</t>
        </is>
      </c>
      <c r="L2524" t="n">
        <v>4</v>
      </c>
      <c r="M2524" t="inlineStr">
        <is>
          <t>2026-06-23 12:56:18</t>
        </is>
      </c>
      <c r="N2524" t="inlineStr">
        <is>
          <t>Goitsimang Mogwasa</t>
        </is>
      </c>
      <c r="O2524" t="inlineStr">
        <is>
          <t>2026-06-19 07:10:32</t>
        </is>
      </c>
      <c r="P2524" t="inlineStr">
        <is>
          <t>2026-06-23 12:19:14</t>
        </is>
      </c>
      <c r="Y2524" t="inlineStr">
        <is>
          <t>27729020417</t>
        </is>
      </c>
    </row>
    <row r="2525">
      <c r="A2525" t="inlineStr">
        <is>
          <t>14945767</t>
        </is>
      </c>
      <c r="B2525" t="inlineStr">
        <is>
          <t>96ef23b1-1cc1-4660-be91-ebc1c8624247</t>
        </is>
      </c>
      <c r="D2525" t="inlineStr">
        <is>
          <t>30001087</t>
        </is>
      </c>
      <c r="E2525" t="inlineStr">
        <is>
          <t>ussd_funeral_leads_altitude_20260619</t>
        </is>
      </c>
      <c r="J2525" t="inlineStr">
        <is>
          <t>AA</t>
        </is>
      </c>
      <c r="K2525" t="inlineStr">
        <is>
          <t>Answering Machine Autodial</t>
        </is>
      </c>
      <c r="L2525" t="n">
        <v>3</v>
      </c>
      <c r="M2525" t="inlineStr">
        <is>
          <t>2026-06-23 12:56:17</t>
        </is>
      </c>
      <c r="N2525" t="inlineStr">
        <is>
          <t>system</t>
        </is>
      </c>
      <c r="O2525" t="inlineStr">
        <is>
          <t>2026-06-19 07:10:32</t>
        </is>
      </c>
      <c r="P2525" t="inlineStr">
        <is>
          <t>2026-06-19 07:10:32</t>
        </is>
      </c>
      <c r="Y2525" t="inlineStr">
        <is>
          <t>27725660503</t>
        </is>
      </c>
    </row>
    <row r="2526">
      <c r="A2526" t="inlineStr">
        <is>
          <t>14945766</t>
        </is>
      </c>
      <c r="B2526" t="inlineStr">
        <is>
          <t>81218828-9912-4a0a-accf-9de91e3cf2d6</t>
        </is>
      </c>
      <c r="D2526" t="inlineStr">
        <is>
          <t>30001087</t>
        </is>
      </c>
      <c r="E2526" t="inlineStr">
        <is>
          <t>ussd_funeral_leads_altitude_20260619</t>
        </is>
      </c>
      <c r="J2526" t="inlineStr">
        <is>
          <t>TDN</t>
        </is>
      </c>
      <c r="K2526" t="inlineStr">
        <is>
          <t>Temporary Disconnected Number</t>
        </is>
      </c>
      <c r="L2526" t="n">
        <v>3</v>
      </c>
      <c r="M2526" t="inlineStr">
        <is>
          <t>2026-06-23 12:56:15</t>
        </is>
      </c>
      <c r="N2526" t="inlineStr">
        <is>
          <t>system</t>
        </is>
      </c>
      <c r="O2526" t="inlineStr">
        <is>
          <t>2026-06-19 07:10:32</t>
        </is>
      </c>
      <c r="P2526" t="inlineStr">
        <is>
          <t>2026-06-19 07:10:32</t>
        </is>
      </c>
      <c r="Y2526" t="inlineStr">
        <is>
          <t>27660093460</t>
        </is>
      </c>
    </row>
    <row r="2527">
      <c r="A2527" t="inlineStr">
        <is>
          <t>14945765</t>
        </is>
      </c>
      <c r="B2527" t="inlineStr">
        <is>
          <t>4618ceaa-48dc-406b-b2e9-9e03b5ca4b98</t>
        </is>
      </c>
      <c r="D2527" t="inlineStr">
        <is>
          <t>30001087</t>
        </is>
      </c>
      <c r="E2527" t="inlineStr">
        <is>
          <t>ussd_funeral_leads_altitude_20260619</t>
        </is>
      </c>
      <c r="J2527" t="inlineStr">
        <is>
          <t>ADC</t>
        </is>
      </c>
      <c r="K2527" t="inlineStr">
        <is>
          <t>Auto Dial Disconnected</t>
        </is>
      </c>
      <c r="L2527" t="n">
        <v>3</v>
      </c>
      <c r="M2527" t="inlineStr">
        <is>
          <t>2026-06-23 12:56:08</t>
        </is>
      </c>
      <c r="N2527" t="inlineStr">
        <is>
          <t>system</t>
        </is>
      </c>
      <c r="O2527" t="inlineStr">
        <is>
          <t>2026-06-19 07:10:32</t>
        </is>
      </c>
      <c r="P2527" t="inlineStr">
        <is>
          <t>2026-06-19 07:10:32</t>
        </is>
      </c>
      <c r="Y2527" t="inlineStr">
        <is>
          <t>27675855497</t>
        </is>
      </c>
    </row>
    <row r="2528">
      <c r="A2528" t="inlineStr">
        <is>
          <t>14945764</t>
        </is>
      </c>
      <c r="B2528" t="inlineStr">
        <is>
          <t>58624586-418a-4c32-a4cc-a7e73298fc87</t>
        </is>
      </c>
      <c r="D2528" t="inlineStr">
        <is>
          <t>30001087</t>
        </is>
      </c>
      <c r="E2528" t="inlineStr">
        <is>
          <t>ussd_funeral_leads_altitude_20260619</t>
        </is>
      </c>
      <c r="J2528" t="inlineStr">
        <is>
          <t>ADC</t>
        </is>
      </c>
      <c r="K2528" t="inlineStr">
        <is>
          <t>Auto Dial Disconnected</t>
        </is>
      </c>
      <c r="L2528" t="n">
        <v>3</v>
      </c>
      <c r="M2528" t="inlineStr">
        <is>
          <t>2026-06-23 12:56:07</t>
        </is>
      </c>
      <c r="N2528" t="inlineStr">
        <is>
          <t>system</t>
        </is>
      </c>
      <c r="O2528" t="inlineStr">
        <is>
          <t>2026-06-19 07:10:32</t>
        </is>
      </c>
      <c r="P2528" t="inlineStr">
        <is>
          <t>2026-06-19 07:10:32</t>
        </is>
      </c>
      <c r="Y2528" t="inlineStr">
        <is>
          <t>27714035000</t>
        </is>
      </c>
    </row>
    <row r="2529">
      <c r="A2529" t="inlineStr">
        <is>
          <t>14945735</t>
        </is>
      </c>
      <c r="B2529" t="inlineStr">
        <is>
          <t>0ffdc94e-3754-4d45-a386-bda7c29efe2b</t>
        </is>
      </c>
      <c r="D2529" t="inlineStr">
        <is>
          <t>30001087</t>
        </is>
      </c>
      <c r="E2529" t="inlineStr">
        <is>
          <t>ussd_funeral_leads_altitude_20260619</t>
        </is>
      </c>
      <c r="J2529" t="inlineStr">
        <is>
          <t>CU</t>
        </is>
      </c>
      <c r="K2529" t="inlineStr">
        <is>
          <t>Client Hung Up</t>
        </is>
      </c>
      <c r="L2529" t="n">
        <v>4</v>
      </c>
      <c r="M2529" t="inlineStr">
        <is>
          <t>2026-06-23 12:56:07</t>
        </is>
      </c>
      <c r="N2529" t="inlineStr">
        <is>
          <t>Dimakatso Nkomo</t>
        </is>
      </c>
      <c r="O2529" t="inlineStr">
        <is>
          <t>2026-06-19 07:10:32</t>
        </is>
      </c>
      <c r="P2529" t="inlineStr">
        <is>
          <t>2026-06-19 07:10:32</t>
        </is>
      </c>
      <c r="Y2529" t="inlineStr">
        <is>
          <t>27769312306</t>
        </is>
      </c>
    </row>
    <row r="2530">
      <c r="A2530" t="inlineStr">
        <is>
          <t>14945293</t>
        </is>
      </c>
      <c r="B2530" t="inlineStr">
        <is>
          <t>4075ce51-98f7-4d2d-b5f0-c97a2090a77e</t>
        </is>
      </c>
      <c r="D2530" t="inlineStr">
        <is>
          <t>30001087</t>
        </is>
      </c>
      <c r="E2530" t="inlineStr">
        <is>
          <t>ussd_funeral_leads_altitude_20260619</t>
        </is>
      </c>
      <c r="J2530" t="inlineStr">
        <is>
          <t>ADC</t>
        </is>
      </c>
      <c r="K2530" t="inlineStr">
        <is>
          <t>Auto Dial Disconnected</t>
        </is>
      </c>
      <c r="L2530" t="n">
        <v>3</v>
      </c>
      <c r="M2530" t="inlineStr">
        <is>
          <t>2026-06-23 12:56:06</t>
        </is>
      </c>
      <c r="N2530" t="inlineStr">
        <is>
          <t>system</t>
        </is>
      </c>
      <c r="O2530" t="inlineStr">
        <is>
          <t>2026-06-19 07:10:32</t>
        </is>
      </c>
      <c r="P2530" t="inlineStr">
        <is>
          <t>2026-06-19 07:10:32</t>
        </is>
      </c>
      <c r="Y2530" t="inlineStr">
        <is>
          <t>27606572245</t>
        </is>
      </c>
    </row>
    <row r="2531">
      <c r="A2531" t="inlineStr">
        <is>
          <t>14945759</t>
        </is>
      </c>
      <c r="B2531" t="inlineStr">
        <is>
          <t>565ec16b-2b49-487d-ba94-6c07d46256de</t>
        </is>
      </c>
      <c r="D2531" t="inlineStr">
        <is>
          <t>30001087</t>
        </is>
      </c>
      <c r="E2531" t="inlineStr">
        <is>
          <t>ussd_funeral_leads_altitude_20260619</t>
        </is>
      </c>
      <c r="J2531" t="inlineStr">
        <is>
          <t>AA</t>
        </is>
      </c>
      <c r="K2531" t="inlineStr">
        <is>
          <t>Answering Machine Autodial</t>
        </is>
      </c>
      <c r="L2531" t="n">
        <v>3</v>
      </c>
      <c r="M2531" t="inlineStr">
        <is>
          <t>2026-06-23 12:56:06</t>
        </is>
      </c>
      <c r="N2531" t="inlineStr">
        <is>
          <t>system</t>
        </is>
      </c>
      <c r="O2531" t="inlineStr">
        <is>
          <t>2026-06-19 07:10:32</t>
        </is>
      </c>
      <c r="P2531" t="inlineStr">
        <is>
          <t>2026-06-19 07:10:32</t>
        </is>
      </c>
      <c r="Y2531" t="inlineStr">
        <is>
          <t>27799565915</t>
        </is>
      </c>
    </row>
    <row r="2532">
      <c r="A2532" t="inlineStr">
        <is>
          <t>14945760</t>
        </is>
      </c>
      <c r="B2532" t="inlineStr">
        <is>
          <t>c5072d58-32bf-4a1a-84e5-3dbeacdbce7c</t>
        </is>
      </c>
      <c r="D2532" t="inlineStr">
        <is>
          <t>30001087</t>
        </is>
      </c>
      <c r="E2532" t="inlineStr">
        <is>
          <t>ussd_funeral_leads_altitude_20260619</t>
        </is>
      </c>
      <c r="J2532" t="inlineStr">
        <is>
          <t>AA</t>
        </is>
      </c>
      <c r="K2532" t="inlineStr">
        <is>
          <t>Answering Machine Autodial</t>
        </is>
      </c>
      <c r="L2532" t="n">
        <v>3</v>
      </c>
      <c r="M2532" t="inlineStr">
        <is>
          <t>2026-06-23 12:56:06</t>
        </is>
      </c>
      <c r="N2532" t="inlineStr">
        <is>
          <t>system</t>
        </is>
      </c>
      <c r="O2532" t="inlineStr">
        <is>
          <t>2026-06-19 07:10:32</t>
        </is>
      </c>
      <c r="P2532" t="inlineStr">
        <is>
          <t>2026-06-19 07:10:32</t>
        </is>
      </c>
      <c r="Y2532" t="inlineStr">
        <is>
          <t>27608070118</t>
        </is>
      </c>
    </row>
    <row r="2533">
      <c r="A2533" t="inlineStr">
        <is>
          <t>14945761</t>
        </is>
      </c>
      <c r="B2533" t="inlineStr">
        <is>
          <t>a5b774ba-f26f-4e99-940d-ec6674b0fc04</t>
        </is>
      </c>
      <c r="D2533" t="inlineStr">
        <is>
          <t>30001087</t>
        </is>
      </c>
      <c r="E2533" t="inlineStr">
        <is>
          <t>ussd_funeral_leads_altitude_20260619</t>
        </is>
      </c>
      <c r="J2533" t="inlineStr">
        <is>
          <t>NA</t>
        </is>
      </c>
      <c r="K2533" t="inlineStr">
        <is>
          <t>No Answer Autodial</t>
        </is>
      </c>
      <c r="L2533" t="n">
        <v>3</v>
      </c>
      <c r="M2533" t="inlineStr">
        <is>
          <t>2026-06-23 12:56:06</t>
        </is>
      </c>
      <c r="N2533" t="inlineStr">
        <is>
          <t>system</t>
        </is>
      </c>
      <c r="O2533" t="inlineStr">
        <is>
          <t>2026-06-19 07:10:32</t>
        </is>
      </c>
      <c r="P2533" t="inlineStr">
        <is>
          <t>2026-06-19 07:10:32</t>
        </is>
      </c>
      <c r="Y2533" t="inlineStr">
        <is>
          <t>27799655404</t>
        </is>
      </c>
    </row>
    <row r="2534">
      <c r="A2534" t="inlineStr">
        <is>
          <t>14945287</t>
        </is>
      </c>
      <c r="B2534" t="inlineStr">
        <is>
          <t>713b8fae-26a3-4b7f-ab9c-80ab0608a779</t>
        </is>
      </c>
      <c r="D2534" t="inlineStr">
        <is>
          <t>30001087</t>
        </is>
      </c>
      <c r="E2534" t="inlineStr">
        <is>
          <t>ussd_funeral_leads_altitude_20260619</t>
        </is>
      </c>
      <c r="J2534" t="inlineStr">
        <is>
          <t>AE</t>
        </is>
      </c>
      <c r="K2534" t="inlineStr">
        <is>
          <t>Auto Engaged</t>
        </is>
      </c>
      <c r="L2534" t="n">
        <v>3</v>
      </c>
      <c r="M2534" t="inlineStr">
        <is>
          <t>2026-06-23 12:56:05</t>
        </is>
      </c>
      <c r="N2534" t="inlineStr">
        <is>
          <t>system</t>
        </is>
      </c>
      <c r="O2534" t="inlineStr">
        <is>
          <t>2026-06-19 07:10:32</t>
        </is>
      </c>
      <c r="P2534" t="inlineStr">
        <is>
          <t>2026-06-19 07:10:32</t>
        </is>
      </c>
      <c r="Y2534" t="inlineStr">
        <is>
          <t>27826763437</t>
        </is>
      </c>
    </row>
    <row r="2535">
      <c r="A2535" t="inlineStr">
        <is>
          <t>14945289</t>
        </is>
      </c>
      <c r="B2535" t="inlineStr">
        <is>
          <t>a21fe918-e6aa-428e-a3a6-eb73239fa23d</t>
        </is>
      </c>
      <c r="D2535" t="inlineStr">
        <is>
          <t>30001087</t>
        </is>
      </c>
      <c r="E2535" t="inlineStr">
        <is>
          <t>ussd_funeral_leads_altitude_20260619</t>
        </is>
      </c>
      <c r="J2535" t="inlineStr">
        <is>
          <t>AA</t>
        </is>
      </c>
      <c r="K2535" t="inlineStr">
        <is>
          <t>Answering Machine Autodial</t>
        </is>
      </c>
      <c r="L2535" t="n">
        <v>3</v>
      </c>
      <c r="M2535" t="inlineStr">
        <is>
          <t>2026-06-23 12:56:05</t>
        </is>
      </c>
      <c r="N2535" t="inlineStr">
        <is>
          <t>system</t>
        </is>
      </c>
      <c r="O2535" t="inlineStr">
        <is>
          <t>2026-06-19 07:10:32</t>
        </is>
      </c>
      <c r="P2535" t="inlineStr">
        <is>
          <t>2026-06-19 07:10:32</t>
        </is>
      </c>
      <c r="Y2535" t="inlineStr">
        <is>
          <t>27649452555</t>
        </is>
      </c>
    </row>
    <row r="2536">
      <c r="A2536" t="inlineStr">
        <is>
          <t>14945290</t>
        </is>
      </c>
      <c r="B2536" t="inlineStr">
        <is>
          <t>cf5608db-2884-4a0d-be9e-576ce73bd6e3</t>
        </is>
      </c>
      <c r="D2536" t="inlineStr">
        <is>
          <t>30001087</t>
        </is>
      </c>
      <c r="E2536" t="inlineStr">
        <is>
          <t>ussd_funeral_leads_altitude_20260619</t>
        </is>
      </c>
      <c r="J2536" t="inlineStr">
        <is>
          <t>NA</t>
        </is>
      </c>
      <c r="K2536" t="inlineStr">
        <is>
          <t>No Answer Autodial</t>
        </is>
      </c>
      <c r="L2536" t="n">
        <v>3</v>
      </c>
      <c r="M2536" t="inlineStr">
        <is>
          <t>2026-06-23 12:56:05</t>
        </is>
      </c>
      <c r="N2536" t="inlineStr">
        <is>
          <t>system</t>
        </is>
      </c>
      <c r="O2536" t="inlineStr">
        <is>
          <t>2026-06-19 07:10:32</t>
        </is>
      </c>
      <c r="P2536" t="inlineStr">
        <is>
          <t>2026-06-19 07:10:32</t>
        </is>
      </c>
      <c r="Y2536" t="inlineStr">
        <is>
          <t>27664539237</t>
        </is>
      </c>
    </row>
    <row r="2537">
      <c r="A2537" t="inlineStr">
        <is>
          <t>14945291</t>
        </is>
      </c>
      <c r="B2537" t="inlineStr">
        <is>
          <t>caa27adf-1e75-457f-8cb6-3b666fcd507d</t>
        </is>
      </c>
      <c r="D2537" t="inlineStr">
        <is>
          <t>30001087</t>
        </is>
      </c>
      <c r="E2537" t="inlineStr">
        <is>
          <t>ussd_funeral_leads_altitude_20260619</t>
        </is>
      </c>
      <c r="J2537" t="inlineStr">
        <is>
          <t>AA</t>
        </is>
      </c>
      <c r="K2537" t="inlineStr">
        <is>
          <t>Answering Machine Autodial</t>
        </is>
      </c>
      <c r="L2537" t="n">
        <v>3</v>
      </c>
      <c r="M2537" t="inlineStr">
        <is>
          <t>2026-06-23 12:56:05</t>
        </is>
      </c>
      <c r="N2537" t="inlineStr">
        <is>
          <t>system</t>
        </is>
      </c>
      <c r="O2537" t="inlineStr">
        <is>
          <t>2026-06-19 07:10:32</t>
        </is>
      </c>
      <c r="P2537" t="inlineStr">
        <is>
          <t>2026-06-19 07:10:32</t>
        </is>
      </c>
      <c r="Y2537" t="inlineStr">
        <is>
          <t>27637641200</t>
        </is>
      </c>
    </row>
    <row r="2538">
      <c r="A2538" t="inlineStr">
        <is>
          <t>14945292</t>
        </is>
      </c>
      <c r="B2538" t="inlineStr">
        <is>
          <t>818fdf46-bd67-4486-a170-fb2fa7d6ba8c</t>
        </is>
      </c>
      <c r="D2538" t="inlineStr">
        <is>
          <t>30001087</t>
        </is>
      </c>
      <c r="E2538" t="inlineStr">
        <is>
          <t>ussd_funeral_leads_altitude_20260619</t>
        </is>
      </c>
      <c r="J2538" t="inlineStr">
        <is>
          <t>ADC</t>
        </is>
      </c>
      <c r="K2538" t="inlineStr">
        <is>
          <t>Auto Dial Disconnected</t>
        </is>
      </c>
      <c r="L2538" t="n">
        <v>3</v>
      </c>
      <c r="M2538" t="inlineStr">
        <is>
          <t>2026-06-23 12:56:05</t>
        </is>
      </c>
      <c r="N2538" t="inlineStr">
        <is>
          <t>system</t>
        </is>
      </c>
      <c r="O2538" t="inlineStr">
        <is>
          <t>2026-06-19 07:10:32</t>
        </is>
      </c>
      <c r="P2538" t="inlineStr">
        <is>
          <t>2026-06-19 07:10:32</t>
        </is>
      </c>
      <c r="Y2538" t="inlineStr">
        <is>
          <t>27723649060</t>
        </is>
      </c>
    </row>
    <row r="2539">
      <c r="A2539" t="inlineStr">
        <is>
          <t>14945286</t>
        </is>
      </c>
      <c r="B2539" t="inlineStr">
        <is>
          <t>587fa3ae-c29f-46e8-aeac-b1244521b39b</t>
        </is>
      </c>
      <c r="D2539" t="inlineStr">
        <is>
          <t>30001087</t>
        </is>
      </c>
      <c r="E2539" t="inlineStr">
        <is>
          <t>ussd_funeral_leads_altitude_20260619</t>
        </is>
      </c>
      <c r="J2539" t="inlineStr">
        <is>
          <t>CU</t>
        </is>
      </c>
      <c r="K2539" t="inlineStr">
        <is>
          <t>Client Hung Up</t>
        </is>
      </c>
      <c r="L2539" t="n">
        <v>3</v>
      </c>
      <c r="M2539" t="inlineStr">
        <is>
          <t>2026-06-23 12:56:04</t>
        </is>
      </c>
      <c r="N2539" t="inlineStr">
        <is>
          <t>Gontse Monageng</t>
        </is>
      </c>
      <c r="O2539" t="inlineStr">
        <is>
          <t>2026-06-19 07:10:32</t>
        </is>
      </c>
      <c r="P2539" t="inlineStr">
        <is>
          <t>2026-06-19 07:10:32</t>
        </is>
      </c>
      <c r="Y2539" t="inlineStr">
        <is>
          <t>27674777997</t>
        </is>
      </c>
    </row>
    <row r="2540">
      <c r="A2540" t="inlineStr">
        <is>
          <t>14945284</t>
        </is>
      </c>
      <c r="B2540" t="inlineStr">
        <is>
          <t>60ca97f5-e840-465f-861d-b8c976b32734</t>
        </is>
      </c>
      <c r="D2540" t="inlineStr">
        <is>
          <t>30001087</t>
        </is>
      </c>
      <c r="E2540" t="inlineStr">
        <is>
          <t>ussd_funeral_leads_altitude_20260619</t>
        </is>
      </c>
      <c r="J2540" t="inlineStr">
        <is>
          <t>AA</t>
        </is>
      </c>
      <c r="K2540" t="inlineStr">
        <is>
          <t>Answering Machine Autodial</t>
        </is>
      </c>
      <c r="L2540" t="n">
        <v>3</v>
      </c>
      <c r="M2540" t="inlineStr">
        <is>
          <t>2026-06-23 12:56:01</t>
        </is>
      </c>
      <c r="N2540" t="inlineStr">
        <is>
          <t>system</t>
        </is>
      </c>
      <c r="O2540" t="inlineStr">
        <is>
          <t>2026-06-19 07:10:32</t>
        </is>
      </c>
      <c r="P2540" t="inlineStr">
        <is>
          <t>2026-06-19 07:10:32</t>
        </is>
      </c>
      <c r="Y2540" t="inlineStr">
        <is>
          <t>27727876305</t>
        </is>
      </c>
    </row>
    <row r="2541">
      <c r="A2541" t="inlineStr">
        <is>
          <t>14945285</t>
        </is>
      </c>
      <c r="B2541" t="inlineStr">
        <is>
          <t>301c5de8-31a9-49e3-ace0-50a09a122059</t>
        </is>
      </c>
      <c r="D2541" t="inlineStr">
        <is>
          <t>30001087</t>
        </is>
      </c>
      <c r="E2541" t="inlineStr">
        <is>
          <t>ussd_funeral_leads_altitude_20260619</t>
        </is>
      </c>
      <c r="J2541" t="inlineStr">
        <is>
          <t>AA</t>
        </is>
      </c>
      <c r="K2541" t="inlineStr">
        <is>
          <t>Answering Machine Autodial</t>
        </is>
      </c>
      <c r="L2541" t="n">
        <v>3</v>
      </c>
      <c r="M2541" t="inlineStr">
        <is>
          <t>2026-06-23 12:56:01</t>
        </is>
      </c>
      <c r="N2541" t="inlineStr">
        <is>
          <t>system</t>
        </is>
      </c>
      <c r="O2541" t="inlineStr">
        <is>
          <t>2026-06-19 07:10:32</t>
        </is>
      </c>
      <c r="P2541" t="inlineStr">
        <is>
          <t>2026-06-19 07:10:32</t>
        </is>
      </c>
      <c r="Y2541" t="inlineStr">
        <is>
          <t>27774773357</t>
        </is>
      </c>
    </row>
    <row r="2542">
      <c r="A2542" t="inlineStr">
        <is>
          <t>14945282</t>
        </is>
      </c>
      <c r="B2542" t="inlineStr">
        <is>
          <t>3f6310b0-001e-49b4-a9a5-6984ab6d60af</t>
        </is>
      </c>
      <c r="D2542" t="inlineStr">
        <is>
          <t>30001087</t>
        </is>
      </c>
      <c r="E2542" t="inlineStr">
        <is>
          <t>ussd_funeral_leads_altitude_20260619</t>
        </is>
      </c>
      <c r="H2542" t="inlineStr">
        <is>
          <t>27824243269</t>
        </is>
      </c>
      <c r="J2542" t="inlineStr">
        <is>
          <t>AA</t>
        </is>
      </c>
      <c r="K2542" t="inlineStr">
        <is>
          <t>Answering Machine Autodial</t>
        </is>
      </c>
      <c r="L2542" t="n">
        <v>3</v>
      </c>
      <c r="M2542" t="inlineStr">
        <is>
          <t>2026-06-23 12:56:00</t>
        </is>
      </c>
      <c r="N2542" t="inlineStr">
        <is>
          <t>system</t>
        </is>
      </c>
      <c r="O2542" t="inlineStr">
        <is>
          <t>2026-06-19 07:10:32</t>
        </is>
      </c>
      <c r="P2542" t="inlineStr">
        <is>
          <t>2026-06-19 07:10:32</t>
        </is>
      </c>
      <c r="Y2542" t="inlineStr">
        <is>
          <t>27824243269</t>
        </is>
      </c>
    </row>
    <row r="2543">
      <c r="A2543" t="inlineStr">
        <is>
          <t>14945283</t>
        </is>
      </c>
      <c r="B2543" t="inlineStr">
        <is>
          <t>ad6d7678-f9f5-40a4-959f-ea5353fe4c0c</t>
        </is>
      </c>
      <c r="D2543" t="inlineStr">
        <is>
          <t>30001087</t>
        </is>
      </c>
      <c r="E2543" t="inlineStr">
        <is>
          <t>ussd_funeral_leads_altitude_20260619</t>
        </is>
      </c>
      <c r="J2543" t="inlineStr">
        <is>
          <t>AA</t>
        </is>
      </c>
      <c r="K2543" t="inlineStr">
        <is>
          <t>Answering Machine Autodial</t>
        </is>
      </c>
      <c r="L2543" t="n">
        <v>3</v>
      </c>
      <c r="M2543" t="inlineStr">
        <is>
          <t>2026-06-23 12:56:00</t>
        </is>
      </c>
      <c r="N2543" t="inlineStr">
        <is>
          <t>system</t>
        </is>
      </c>
      <c r="O2543" t="inlineStr">
        <is>
          <t>2026-06-19 07:10:32</t>
        </is>
      </c>
      <c r="P2543" t="inlineStr">
        <is>
          <t>2026-06-19 07:10:32</t>
        </is>
      </c>
      <c r="Y2543" t="inlineStr">
        <is>
          <t>27664109819</t>
        </is>
      </c>
    </row>
    <row r="2544">
      <c r="A2544" t="inlineStr">
        <is>
          <t>14945280</t>
        </is>
      </c>
      <c r="B2544" t="inlineStr">
        <is>
          <t>3088c14b-dd20-4d5b-89ae-7da25046c217</t>
        </is>
      </c>
      <c r="D2544" t="inlineStr">
        <is>
          <t>30001087</t>
        </is>
      </c>
      <c r="E2544" t="inlineStr">
        <is>
          <t>ussd_funeral_leads_altitude_20260619</t>
        </is>
      </c>
      <c r="J2544" t="inlineStr">
        <is>
          <t>AA</t>
        </is>
      </c>
      <c r="K2544" t="inlineStr">
        <is>
          <t>Answering Machine Autodial</t>
        </is>
      </c>
      <c r="L2544" t="n">
        <v>3</v>
      </c>
      <c r="M2544" t="inlineStr">
        <is>
          <t>2026-06-23 12:55:59</t>
        </is>
      </c>
      <c r="N2544" t="inlineStr">
        <is>
          <t>system</t>
        </is>
      </c>
      <c r="O2544" t="inlineStr">
        <is>
          <t>2026-06-19 07:10:32</t>
        </is>
      </c>
      <c r="P2544" t="inlineStr">
        <is>
          <t>2026-06-19 07:10:32</t>
        </is>
      </c>
      <c r="Y2544" t="inlineStr">
        <is>
          <t>27608471319</t>
        </is>
      </c>
    </row>
    <row r="2545">
      <c r="A2545" t="inlineStr">
        <is>
          <t>14945281</t>
        </is>
      </c>
      <c r="B2545" t="inlineStr">
        <is>
          <t>e3a4797c-ccda-4d2d-b463-c4072b23b9ff</t>
        </is>
      </c>
      <c r="D2545" t="inlineStr">
        <is>
          <t>30001087</t>
        </is>
      </c>
      <c r="E2545" t="inlineStr">
        <is>
          <t>ussd_funeral_leads_altitude_20260619</t>
        </is>
      </c>
      <c r="J2545" t="inlineStr">
        <is>
          <t>AA</t>
        </is>
      </c>
      <c r="K2545" t="inlineStr">
        <is>
          <t>Answering Machine Autodial</t>
        </is>
      </c>
      <c r="L2545" t="n">
        <v>3</v>
      </c>
      <c r="M2545" t="inlineStr">
        <is>
          <t>2026-06-23 12:55:59</t>
        </is>
      </c>
      <c r="N2545" t="inlineStr">
        <is>
          <t>system</t>
        </is>
      </c>
      <c r="O2545" t="inlineStr">
        <is>
          <t>2026-06-19 07:10:32</t>
        </is>
      </c>
      <c r="P2545" t="inlineStr">
        <is>
          <t>2026-06-19 07:10:32</t>
        </is>
      </c>
      <c r="Y2545" t="inlineStr">
        <is>
          <t>27713665974</t>
        </is>
      </c>
    </row>
    <row r="2546">
      <c r="A2546" t="inlineStr">
        <is>
          <t>14945278</t>
        </is>
      </c>
      <c r="B2546" t="inlineStr">
        <is>
          <t>fbd8e347-f69e-48d8-9a23-63f81a0d5402</t>
        </is>
      </c>
      <c r="D2546" t="inlineStr">
        <is>
          <t>30001087</t>
        </is>
      </c>
      <c r="E2546" t="inlineStr">
        <is>
          <t>ussd_funeral_leads_altitude_20260619</t>
        </is>
      </c>
      <c r="J2546" t="inlineStr">
        <is>
          <t>AA</t>
        </is>
      </c>
      <c r="K2546" t="inlineStr">
        <is>
          <t>Answering Machine Autodial</t>
        </is>
      </c>
      <c r="L2546" t="n">
        <v>3</v>
      </c>
      <c r="M2546" t="inlineStr">
        <is>
          <t>2026-06-23 12:55:55</t>
        </is>
      </c>
      <c r="N2546" t="inlineStr">
        <is>
          <t>system</t>
        </is>
      </c>
      <c r="O2546" t="inlineStr">
        <is>
          <t>2026-06-19 07:10:32</t>
        </is>
      </c>
      <c r="P2546" t="inlineStr">
        <is>
          <t>2026-06-19 07:10:32</t>
        </is>
      </c>
      <c r="Y2546" t="inlineStr">
        <is>
          <t>27660739138</t>
        </is>
      </c>
    </row>
    <row r="2547">
      <c r="A2547" t="inlineStr">
        <is>
          <t>14945276</t>
        </is>
      </c>
      <c r="B2547" t="inlineStr">
        <is>
          <t>aca00d37-d75c-4aa1-8fbb-53e2c3a6e71d</t>
        </is>
      </c>
      <c r="D2547" t="inlineStr">
        <is>
          <t>30001087</t>
        </is>
      </c>
      <c r="E2547" t="inlineStr">
        <is>
          <t>ussd_funeral_leads_altitude_20260619</t>
        </is>
      </c>
      <c r="J2547" t="inlineStr">
        <is>
          <t>AA</t>
        </is>
      </c>
      <c r="K2547" t="inlineStr">
        <is>
          <t>Answering Machine Autodial</t>
        </is>
      </c>
      <c r="L2547" t="n">
        <v>3</v>
      </c>
      <c r="M2547" t="inlineStr">
        <is>
          <t>2026-06-23 12:55:54</t>
        </is>
      </c>
      <c r="N2547" t="inlineStr">
        <is>
          <t>system</t>
        </is>
      </c>
      <c r="O2547" t="inlineStr">
        <is>
          <t>2026-06-19 07:10:32</t>
        </is>
      </c>
      <c r="P2547" t="inlineStr">
        <is>
          <t>2026-06-19 07:10:32</t>
        </is>
      </c>
      <c r="Y2547" t="inlineStr">
        <is>
          <t>27606536318</t>
        </is>
      </c>
    </row>
    <row r="2548">
      <c r="A2548" t="inlineStr">
        <is>
          <t>14945270</t>
        </is>
      </c>
      <c r="B2548" t="inlineStr">
        <is>
          <t>3fed4e94-f0a5-43f5-b17e-9b8c1cb14ea9</t>
        </is>
      </c>
      <c r="D2548" t="inlineStr">
        <is>
          <t>30001087</t>
        </is>
      </c>
      <c r="E2548" t="inlineStr">
        <is>
          <t>ussd_funeral_leads_altitude_20260619</t>
        </is>
      </c>
      <c r="J2548" t="inlineStr">
        <is>
          <t>ADC</t>
        </is>
      </c>
      <c r="K2548" t="inlineStr">
        <is>
          <t>Auto Dial Disconnected</t>
        </is>
      </c>
      <c r="L2548" t="n">
        <v>3</v>
      </c>
      <c r="M2548" t="inlineStr">
        <is>
          <t>2026-06-23 12:55:53</t>
        </is>
      </c>
      <c r="N2548" t="inlineStr">
        <is>
          <t>system</t>
        </is>
      </c>
      <c r="O2548" t="inlineStr">
        <is>
          <t>2026-06-19 07:10:32</t>
        </is>
      </c>
      <c r="P2548" t="inlineStr">
        <is>
          <t>2026-06-19 07:10:32</t>
        </is>
      </c>
      <c r="Y2548" t="inlineStr">
        <is>
          <t>27791651307</t>
        </is>
      </c>
    </row>
    <row r="2549">
      <c r="A2549" t="inlineStr">
        <is>
          <t>14945272</t>
        </is>
      </c>
      <c r="B2549" t="inlineStr">
        <is>
          <t>c84f2b24-0f6e-4081-a38e-3965d8c297fb</t>
        </is>
      </c>
      <c r="D2549" t="inlineStr">
        <is>
          <t>30001087</t>
        </is>
      </c>
      <c r="E2549" t="inlineStr">
        <is>
          <t>ussd_funeral_leads_altitude_20260619</t>
        </is>
      </c>
      <c r="J2549" t="inlineStr">
        <is>
          <t>AA</t>
        </is>
      </c>
      <c r="K2549" t="inlineStr">
        <is>
          <t>Answering Machine Autodial</t>
        </is>
      </c>
      <c r="L2549" t="n">
        <v>3</v>
      </c>
      <c r="M2549" t="inlineStr">
        <is>
          <t>2026-06-23 12:55:53</t>
        </is>
      </c>
      <c r="N2549" t="inlineStr">
        <is>
          <t>system</t>
        </is>
      </c>
      <c r="O2549" t="inlineStr">
        <is>
          <t>2026-06-19 07:10:32</t>
        </is>
      </c>
      <c r="P2549" t="inlineStr">
        <is>
          <t>2026-06-19 07:10:32</t>
        </is>
      </c>
      <c r="Y2549" t="inlineStr">
        <is>
          <t>27763716271</t>
        </is>
      </c>
    </row>
    <row r="2550">
      <c r="A2550" t="inlineStr">
        <is>
          <t>14945273</t>
        </is>
      </c>
      <c r="B2550" t="inlineStr">
        <is>
          <t>36803ed7-f5d2-4041-959b-4f0266cf1442</t>
        </is>
      </c>
      <c r="D2550" t="inlineStr">
        <is>
          <t>30001087</t>
        </is>
      </c>
      <c r="E2550" t="inlineStr">
        <is>
          <t>ussd_funeral_leads_altitude_20260619</t>
        </is>
      </c>
      <c r="J2550" t="inlineStr">
        <is>
          <t>AA</t>
        </is>
      </c>
      <c r="K2550" t="inlineStr">
        <is>
          <t>Answering Machine Autodial</t>
        </is>
      </c>
      <c r="L2550" t="n">
        <v>3</v>
      </c>
      <c r="M2550" t="inlineStr">
        <is>
          <t>2026-06-23 12:55:53</t>
        </is>
      </c>
      <c r="N2550" t="inlineStr">
        <is>
          <t>system</t>
        </is>
      </c>
      <c r="O2550" t="inlineStr">
        <is>
          <t>2026-06-19 07:10:32</t>
        </is>
      </c>
      <c r="P2550" t="inlineStr">
        <is>
          <t>2026-06-19 07:10:32</t>
        </is>
      </c>
      <c r="Y2550" t="inlineStr">
        <is>
          <t>27673447876</t>
        </is>
      </c>
    </row>
    <row r="2551">
      <c r="A2551" t="inlineStr">
        <is>
          <t>14945274</t>
        </is>
      </c>
      <c r="B2551" t="inlineStr">
        <is>
          <t>b842fa27-64cc-4e6f-8b7f-58a6c33c2508</t>
        </is>
      </c>
      <c r="D2551" t="inlineStr">
        <is>
          <t>30001087</t>
        </is>
      </c>
      <c r="E2551" t="inlineStr">
        <is>
          <t>ussd_funeral_leads_altitude_20260619</t>
        </is>
      </c>
      <c r="H2551" t="inlineStr">
        <is>
          <t>27799995511</t>
        </is>
      </c>
      <c r="J2551" t="inlineStr">
        <is>
          <t>DROP</t>
        </is>
      </c>
      <c r="K2551" t="inlineStr">
        <is>
          <t>Dropped</t>
        </is>
      </c>
      <c r="L2551" t="n">
        <v>3</v>
      </c>
      <c r="M2551" t="inlineStr">
        <is>
          <t>2026-06-23 12:55:53</t>
        </is>
      </c>
      <c r="N2551" t="inlineStr">
        <is>
          <t>system</t>
        </is>
      </c>
      <c r="O2551" t="inlineStr">
        <is>
          <t>2026-06-19 07:10:32</t>
        </is>
      </c>
      <c r="P2551" t="inlineStr">
        <is>
          <t>2026-06-19 07:10:32</t>
        </is>
      </c>
      <c r="Y2551" t="inlineStr">
        <is>
          <t>27799995511</t>
        </is>
      </c>
    </row>
    <row r="2552">
      <c r="A2552" t="inlineStr">
        <is>
          <t>14945275</t>
        </is>
      </c>
      <c r="B2552" t="inlineStr">
        <is>
          <t>7bc29bc3-7b95-4490-aec7-4bb1c3ecae02</t>
        </is>
      </c>
      <c r="D2552" t="inlineStr">
        <is>
          <t>30001087</t>
        </is>
      </c>
      <c r="E2552" t="inlineStr">
        <is>
          <t>ussd_funeral_leads_altitude_20260619</t>
        </is>
      </c>
      <c r="J2552" t="inlineStr">
        <is>
          <t>AA</t>
        </is>
      </c>
      <c r="K2552" t="inlineStr">
        <is>
          <t>Answering Machine Autodial</t>
        </is>
      </c>
      <c r="L2552" t="n">
        <v>3</v>
      </c>
      <c r="M2552" t="inlineStr">
        <is>
          <t>2026-06-23 12:55:53</t>
        </is>
      </c>
      <c r="N2552" t="inlineStr">
        <is>
          <t>system</t>
        </is>
      </c>
      <c r="O2552" t="inlineStr">
        <is>
          <t>2026-06-19 07:10:32</t>
        </is>
      </c>
      <c r="P2552" t="inlineStr">
        <is>
          <t>2026-06-19 07:10:32</t>
        </is>
      </c>
      <c r="Y2552" t="inlineStr">
        <is>
          <t>27826325858</t>
        </is>
      </c>
    </row>
    <row r="2553">
      <c r="A2553" t="inlineStr">
        <is>
          <t>14945277</t>
        </is>
      </c>
      <c r="B2553" t="inlineStr">
        <is>
          <t>eeaf8ba1-0c8d-4cd7-b900-26bc2662bbab</t>
        </is>
      </c>
      <c r="D2553" t="inlineStr">
        <is>
          <t>30001087</t>
        </is>
      </c>
      <c r="E2553" t="inlineStr">
        <is>
          <t>ussd_funeral_leads_altitude_20260619</t>
        </is>
      </c>
      <c r="J2553" t="inlineStr">
        <is>
          <t>AA</t>
        </is>
      </c>
      <c r="K2553" t="inlineStr">
        <is>
          <t>Answering Machine Autodial</t>
        </is>
      </c>
      <c r="L2553" t="n">
        <v>3</v>
      </c>
      <c r="M2553" t="inlineStr">
        <is>
          <t>2026-06-23 12:55:53</t>
        </is>
      </c>
      <c r="N2553" t="inlineStr">
        <is>
          <t>system</t>
        </is>
      </c>
      <c r="O2553" t="inlineStr">
        <is>
          <t>2026-06-19 07:10:32</t>
        </is>
      </c>
      <c r="P2553" t="inlineStr">
        <is>
          <t>2026-06-19 07:10:32</t>
        </is>
      </c>
      <c r="Y2553" t="inlineStr">
        <is>
          <t>27662726732</t>
        </is>
      </c>
    </row>
    <row r="2554">
      <c r="A2554" t="inlineStr">
        <is>
          <t>14947728</t>
        </is>
      </c>
      <c r="B2554" t="inlineStr">
        <is>
          <t>af4ddda4-f07c-40fe-a381-028d759401c2</t>
        </is>
      </c>
      <c r="D2554" t="inlineStr">
        <is>
          <t>30001087</t>
        </is>
      </c>
      <c r="E2554" t="inlineStr">
        <is>
          <t>ussd_funeral_leads_altitude_20260619</t>
        </is>
      </c>
      <c r="J2554" t="inlineStr">
        <is>
          <t>AA</t>
        </is>
      </c>
      <c r="K2554" t="inlineStr">
        <is>
          <t>Answering Machine Autodial</t>
        </is>
      </c>
      <c r="L2554" t="n">
        <v>3</v>
      </c>
      <c r="M2554" t="inlineStr">
        <is>
          <t>2026-06-23 12:55:49</t>
        </is>
      </c>
      <c r="N2554" t="inlineStr">
        <is>
          <t>system</t>
        </is>
      </c>
      <c r="O2554" t="inlineStr">
        <is>
          <t>2026-06-19 07:10:32</t>
        </is>
      </c>
      <c r="P2554" t="inlineStr">
        <is>
          <t>2026-06-19 07:10:32</t>
        </is>
      </c>
      <c r="Y2554" t="inlineStr">
        <is>
          <t>27711536981</t>
        </is>
      </c>
    </row>
    <row r="2555">
      <c r="A2555" t="inlineStr">
        <is>
          <t>14945757</t>
        </is>
      </c>
      <c r="B2555" t="inlineStr">
        <is>
          <t>a469d3bb-1975-4fcc-91b0-e2030c90d2c8</t>
        </is>
      </c>
      <c r="D2555" t="inlineStr">
        <is>
          <t>30001087</t>
        </is>
      </c>
      <c r="E2555" t="inlineStr">
        <is>
          <t>ussd_funeral_leads_altitude_20260619</t>
        </is>
      </c>
      <c r="J2555" t="inlineStr">
        <is>
          <t>AA</t>
        </is>
      </c>
      <c r="K2555" t="inlineStr">
        <is>
          <t>Answering Machine Autodial</t>
        </is>
      </c>
      <c r="L2555" t="n">
        <v>3</v>
      </c>
      <c r="M2555" t="inlineStr">
        <is>
          <t>2026-06-23 12:55:10</t>
        </is>
      </c>
      <c r="N2555" t="inlineStr">
        <is>
          <t>system</t>
        </is>
      </c>
      <c r="O2555" t="inlineStr">
        <is>
          <t>2026-06-19 07:10:32</t>
        </is>
      </c>
      <c r="P2555" t="inlineStr">
        <is>
          <t>2026-06-19 07:10:32</t>
        </is>
      </c>
      <c r="Y2555" t="inlineStr">
        <is>
          <t>27793493679</t>
        </is>
      </c>
    </row>
    <row r="2556">
      <c r="A2556" t="inlineStr">
        <is>
          <t>14945753</t>
        </is>
      </c>
      <c r="B2556" t="inlineStr">
        <is>
          <t>68eacf50-2f05-460b-a0af-bd1cec9073eb</t>
        </is>
      </c>
      <c r="D2556" t="inlineStr">
        <is>
          <t>30001087</t>
        </is>
      </c>
      <c r="E2556" t="inlineStr">
        <is>
          <t>ussd_funeral_leads_altitude_20260619</t>
        </is>
      </c>
      <c r="J2556" t="inlineStr">
        <is>
          <t>TDN</t>
        </is>
      </c>
      <c r="K2556" t="inlineStr">
        <is>
          <t>Temporary Disconnected Number</t>
        </is>
      </c>
      <c r="L2556" t="n">
        <v>3</v>
      </c>
      <c r="M2556" t="inlineStr">
        <is>
          <t>2026-06-23 12:55:05</t>
        </is>
      </c>
      <c r="N2556" t="inlineStr">
        <is>
          <t>system</t>
        </is>
      </c>
      <c r="O2556" t="inlineStr">
        <is>
          <t>2026-06-19 07:10:32</t>
        </is>
      </c>
      <c r="P2556" t="inlineStr">
        <is>
          <t>2026-06-19 07:10:32</t>
        </is>
      </c>
      <c r="Y2556" t="inlineStr">
        <is>
          <t>27818835163</t>
        </is>
      </c>
    </row>
    <row r="2557">
      <c r="A2557" t="inlineStr">
        <is>
          <t>14945755</t>
        </is>
      </c>
      <c r="B2557" t="inlineStr">
        <is>
          <t>6d17d07a-4a46-45b9-af45-6c76fa0ff0a3</t>
        </is>
      </c>
      <c r="D2557" t="inlineStr">
        <is>
          <t>30001087</t>
        </is>
      </c>
      <c r="E2557" t="inlineStr">
        <is>
          <t>ussd_funeral_leads_altitude_20260619</t>
        </is>
      </c>
      <c r="J2557" t="inlineStr">
        <is>
          <t>AA</t>
        </is>
      </c>
      <c r="K2557" t="inlineStr">
        <is>
          <t>Answering Machine Autodial</t>
        </is>
      </c>
      <c r="L2557" t="n">
        <v>3</v>
      </c>
      <c r="M2557" t="inlineStr">
        <is>
          <t>2026-06-23 12:55:05</t>
        </is>
      </c>
      <c r="N2557" t="inlineStr">
        <is>
          <t>system</t>
        </is>
      </c>
      <c r="O2557" t="inlineStr">
        <is>
          <t>2026-06-19 07:10:32</t>
        </is>
      </c>
      <c r="P2557" t="inlineStr">
        <is>
          <t>2026-06-19 07:10:32</t>
        </is>
      </c>
      <c r="Y2557" t="inlineStr">
        <is>
          <t>27609588151</t>
        </is>
      </c>
    </row>
    <row r="2558">
      <c r="A2558" t="inlineStr">
        <is>
          <t>14945756</t>
        </is>
      </c>
      <c r="B2558" t="inlineStr">
        <is>
          <t>d3956f98-b773-4b68-ab30-8da07c91ca37</t>
        </is>
      </c>
      <c r="D2558" t="inlineStr">
        <is>
          <t>30001087</t>
        </is>
      </c>
      <c r="E2558" t="inlineStr">
        <is>
          <t>ussd_funeral_leads_altitude_20260619</t>
        </is>
      </c>
      <c r="J2558" t="inlineStr">
        <is>
          <t>TDN</t>
        </is>
      </c>
      <c r="K2558" t="inlineStr">
        <is>
          <t>Temporary Disconnected Number</t>
        </is>
      </c>
      <c r="L2558" t="n">
        <v>3</v>
      </c>
      <c r="M2558" t="inlineStr">
        <is>
          <t>2026-06-23 12:55:05</t>
        </is>
      </c>
      <c r="N2558" t="inlineStr">
        <is>
          <t>system</t>
        </is>
      </c>
      <c r="O2558" t="inlineStr">
        <is>
          <t>2026-06-19 07:10:32</t>
        </is>
      </c>
      <c r="P2558" t="inlineStr">
        <is>
          <t>2026-06-19 07:10:32</t>
        </is>
      </c>
      <c r="Y2558" t="inlineStr">
        <is>
          <t>27764966382</t>
        </is>
      </c>
    </row>
    <row r="2559">
      <c r="A2559" t="inlineStr">
        <is>
          <t>14945454</t>
        </is>
      </c>
      <c r="B2559" t="inlineStr">
        <is>
          <t>5106bbb9-ef4f-4065-9606-f2cf7fae5573</t>
        </is>
      </c>
      <c r="D2559" t="inlineStr">
        <is>
          <t>30001087</t>
        </is>
      </c>
      <c r="E2559" t="inlineStr">
        <is>
          <t>ussd_funeral_leads_altitude_20260619</t>
        </is>
      </c>
      <c r="J2559" t="inlineStr">
        <is>
          <t>AF</t>
        </is>
      </c>
      <c r="K2559" t="inlineStr">
        <is>
          <t>Cannot Afford</t>
        </is>
      </c>
      <c r="L2559" t="n">
        <v>3</v>
      </c>
      <c r="M2559" t="inlineStr">
        <is>
          <t>2026-06-23 12:55:03</t>
        </is>
      </c>
      <c r="N2559" t="inlineStr">
        <is>
          <t>Lebohang Mabotja</t>
        </is>
      </c>
      <c r="O2559" t="inlineStr">
        <is>
          <t>2026-06-19 07:10:32</t>
        </is>
      </c>
      <c r="P2559" t="inlineStr">
        <is>
          <t>2026-06-19 07:10:32</t>
        </is>
      </c>
      <c r="Y2559" t="inlineStr">
        <is>
          <t>27637875369</t>
        </is>
      </c>
    </row>
    <row r="2560">
      <c r="A2560" t="inlineStr">
        <is>
          <t>14945449</t>
        </is>
      </c>
      <c r="B2560" t="inlineStr">
        <is>
          <t>79a2d6d0-fb74-402a-b7f2-fac068616c60</t>
        </is>
      </c>
      <c r="D2560" t="inlineStr">
        <is>
          <t>30001087</t>
        </is>
      </c>
      <c r="E2560" t="inlineStr">
        <is>
          <t>ussd_funeral_leads_altitude_20260619</t>
        </is>
      </c>
      <c r="J2560" t="inlineStr">
        <is>
          <t>ADC</t>
        </is>
      </c>
      <c r="K2560" t="inlineStr">
        <is>
          <t>Auto Dial Disconnected</t>
        </is>
      </c>
      <c r="L2560" t="n">
        <v>3</v>
      </c>
      <c r="M2560" t="inlineStr">
        <is>
          <t>2026-06-23 12:54:59</t>
        </is>
      </c>
      <c r="N2560" t="inlineStr">
        <is>
          <t>system</t>
        </is>
      </c>
      <c r="O2560" t="inlineStr">
        <is>
          <t>2026-06-19 07:10:32</t>
        </is>
      </c>
      <c r="P2560" t="inlineStr">
        <is>
          <t>2026-06-19 07:10:32</t>
        </is>
      </c>
      <c r="Y2560" t="inlineStr">
        <is>
          <t>27713849605</t>
        </is>
      </c>
    </row>
    <row r="2561">
      <c r="A2561" t="inlineStr">
        <is>
          <t>14945320</t>
        </is>
      </c>
      <c r="B2561" t="inlineStr">
        <is>
          <t>3d3c8a72-5912-41f8-a405-ca3508a0322e</t>
        </is>
      </c>
      <c r="D2561" t="inlineStr">
        <is>
          <t>30001087</t>
        </is>
      </c>
      <c r="E2561" t="inlineStr">
        <is>
          <t>ussd_funeral_leads_altitude_20260619</t>
        </is>
      </c>
      <c r="J2561" t="inlineStr">
        <is>
          <t>AA</t>
        </is>
      </c>
      <c r="K2561" t="inlineStr">
        <is>
          <t>Answering Machine Autodial</t>
        </is>
      </c>
      <c r="L2561" t="n">
        <v>3</v>
      </c>
      <c r="M2561" t="inlineStr">
        <is>
          <t>2026-06-23 12:54:58</t>
        </is>
      </c>
      <c r="N2561" t="inlineStr">
        <is>
          <t>system</t>
        </is>
      </c>
      <c r="O2561" t="inlineStr">
        <is>
          <t>2026-06-19 07:10:32</t>
        </is>
      </c>
      <c r="P2561" t="inlineStr">
        <is>
          <t>2026-06-19 07:10:32</t>
        </is>
      </c>
      <c r="Y2561" t="inlineStr">
        <is>
          <t>27762629909</t>
        </is>
      </c>
    </row>
    <row r="2562">
      <c r="A2562" t="inlineStr">
        <is>
          <t>14945446</t>
        </is>
      </c>
      <c r="B2562" t="inlineStr">
        <is>
          <t>9e1bf99f-117a-4121-872a-20c12a19dfad</t>
        </is>
      </c>
      <c r="D2562" t="inlineStr">
        <is>
          <t>30001087</t>
        </is>
      </c>
      <c r="E2562" t="inlineStr">
        <is>
          <t>ussd_funeral_leads_altitude_20260619</t>
        </is>
      </c>
      <c r="J2562" t="inlineStr">
        <is>
          <t>AA</t>
        </is>
      </c>
      <c r="K2562" t="inlineStr">
        <is>
          <t>Answering Machine Autodial</t>
        </is>
      </c>
      <c r="L2562" t="n">
        <v>3</v>
      </c>
      <c r="M2562" t="inlineStr">
        <is>
          <t>2026-06-23 12:54:58</t>
        </is>
      </c>
      <c r="N2562" t="inlineStr">
        <is>
          <t>system</t>
        </is>
      </c>
      <c r="O2562" t="inlineStr">
        <is>
          <t>2026-06-19 07:10:32</t>
        </is>
      </c>
      <c r="P2562" t="inlineStr">
        <is>
          <t>2026-06-19 07:10:32</t>
        </is>
      </c>
      <c r="Y2562" t="inlineStr">
        <is>
          <t>27674360301</t>
        </is>
      </c>
    </row>
    <row r="2563">
      <c r="A2563" t="inlineStr">
        <is>
          <t>14945447</t>
        </is>
      </c>
      <c r="B2563" t="inlineStr">
        <is>
          <t>a923e0b2-be59-4b89-88b9-5d77a1a79adb</t>
        </is>
      </c>
      <c r="D2563" t="inlineStr">
        <is>
          <t>30001087</t>
        </is>
      </c>
      <c r="E2563" t="inlineStr">
        <is>
          <t>ussd_funeral_leads_altitude_20260619</t>
        </is>
      </c>
      <c r="J2563" t="inlineStr">
        <is>
          <t>NA</t>
        </is>
      </c>
      <c r="K2563" t="inlineStr">
        <is>
          <t>No Answer Autodial</t>
        </is>
      </c>
      <c r="L2563" t="n">
        <v>3</v>
      </c>
      <c r="M2563" t="inlineStr">
        <is>
          <t>2026-06-23 12:54:58</t>
        </is>
      </c>
      <c r="N2563" t="inlineStr">
        <is>
          <t>system</t>
        </is>
      </c>
      <c r="O2563" t="inlineStr">
        <is>
          <t>2026-06-19 07:10:32</t>
        </is>
      </c>
      <c r="P2563" t="inlineStr">
        <is>
          <t>2026-06-19 07:10:32</t>
        </is>
      </c>
      <c r="Y2563" t="inlineStr">
        <is>
          <t>27828566130</t>
        </is>
      </c>
    </row>
    <row r="2564">
      <c r="A2564" t="inlineStr">
        <is>
          <t>14945448</t>
        </is>
      </c>
      <c r="B2564" t="inlineStr">
        <is>
          <t>38095d81-b5f7-45d9-bb39-1f34d35ed7fa</t>
        </is>
      </c>
      <c r="D2564" t="inlineStr">
        <is>
          <t>30001087</t>
        </is>
      </c>
      <c r="E2564" t="inlineStr">
        <is>
          <t>ussd_funeral_leads_altitude_20260619</t>
        </is>
      </c>
      <c r="J2564" t="inlineStr">
        <is>
          <t>AA</t>
        </is>
      </c>
      <c r="K2564" t="inlineStr">
        <is>
          <t>Answering Machine Autodial</t>
        </is>
      </c>
      <c r="L2564" t="n">
        <v>3</v>
      </c>
      <c r="M2564" t="inlineStr">
        <is>
          <t>2026-06-23 12:54:58</t>
        </is>
      </c>
      <c r="N2564" t="inlineStr">
        <is>
          <t>system</t>
        </is>
      </c>
      <c r="O2564" t="inlineStr">
        <is>
          <t>2026-06-19 07:10:32</t>
        </is>
      </c>
      <c r="P2564" t="inlineStr">
        <is>
          <t>2026-06-19 07:10:32</t>
        </is>
      </c>
      <c r="Y2564" t="inlineStr">
        <is>
          <t>27664711042</t>
        </is>
      </c>
    </row>
    <row r="2565">
      <c r="A2565" t="inlineStr">
        <is>
          <t>14945452</t>
        </is>
      </c>
      <c r="B2565" t="inlineStr">
        <is>
          <t>2b9f1681-7232-4547-a894-b8320046ee7c</t>
        </is>
      </c>
      <c r="D2565" t="inlineStr">
        <is>
          <t>30001087</t>
        </is>
      </c>
      <c r="E2565" t="inlineStr">
        <is>
          <t>ussd_funeral_leads_altitude_20260619</t>
        </is>
      </c>
      <c r="J2565" t="inlineStr">
        <is>
          <t>NA</t>
        </is>
      </c>
      <c r="K2565" t="inlineStr">
        <is>
          <t>No Answer Autodial</t>
        </is>
      </c>
      <c r="L2565" t="n">
        <v>3</v>
      </c>
      <c r="M2565" t="inlineStr">
        <is>
          <t>2026-06-23 12:54:58</t>
        </is>
      </c>
      <c r="N2565" t="inlineStr">
        <is>
          <t>system</t>
        </is>
      </c>
      <c r="O2565" t="inlineStr">
        <is>
          <t>2026-06-19 07:10:32</t>
        </is>
      </c>
      <c r="P2565" t="inlineStr">
        <is>
          <t>2026-06-19 07:10:32</t>
        </is>
      </c>
      <c r="Y2565" t="inlineStr">
        <is>
          <t>27712219726</t>
        </is>
      </c>
    </row>
    <row r="2566">
      <c r="A2566" t="inlineStr">
        <is>
          <t>14945450</t>
        </is>
      </c>
      <c r="B2566" t="inlineStr">
        <is>
          <t>2730f1b9-c2f3-4673-9f02-6bb571ff87b4</t>
        </is>
      </c>
      <c r="D2566" t="inlineStr">
        <is>
          <t>30001087</t>
        </is>
      </c>
      <c r="E2566" t="inlineStr">
        <is>
          <t>ussd_funeral_leads_altitude_20260619</t>
        </is>
      </c>
      <c r="J2566" t="inlineStr">
        <is>
          <t>NA</t>
        </is>
      </c>
      <c r="K2566" t="inlineStr">
        <is>
          <t>No Answer Autodial</t>
        </is>
      </c>
      <c r="L2566" t="n">
        <v>3</v>
      </c>
      <c r="M2566" t="inlineStr">
        <is>
          <t>2026-06-23 12:54:57</t>
        </is>
      </c>
      <c r="N2566" t="inlineStr">
        <is>
          <t>system</t>
        </is>
      </c>
      <c r="O2566" t="inlineStr">
        <is>
          <t>2026-06-19 07:10:32</t>
        </is>
      </c>
      <c r="P2566" t="inlineStr">
        <is>
          <t>2026-06-19 07:10:32</t>
        </is>
      </c>
      <c r="Y2566" t="inlineStr">
        <is>
          <t>27723400677</t>
        </is>
      </c>
    </row>
    <row r="2567">
      <c r="A2567" t="inlineStr">
        <is>
          <t>14945451</t>
        </is>
      </c>
      <c r="B2567" t="inlineStr">
        <is>
          <t>0b18faaf-4d5b-4ff2-b64e-695341726ae7</t>
        </is>
      </c>
      <c r="D2567" t="inlineStr">
        <is>
          <t>30001087</t>
        </is>
      </c>
      <c r="E2567" t="inlineStr">
        <is>
          <t>ussd_funeral_leads_altitude_20260619</t>
        </is>
      </c>
      <c r="J2567" t="inlineStr">
        <is>
          <t>AA</t>
        </is>
      </c>
      <c r="K2567" t="inlineStr">
        <is>
          <t>Answering Machine Autodial</t>
        </is>
      </c>
      <c r="L2567" t="n">
        <v>3</v>
      </c>
      <c r="M2567" t="inlineStr">
        <is>
          <t>2026-06-23 12:54:57</t>
        </is>
      </c>
      <c r="N2567" t="inlineStr">
        <is>
          <t>system</t>
        </is>
      </c>
      <c r="O2567" t="inlineStr">
        <is>
          <t>2026-06-19 07:10:32</t>
        </is>
      </c>
      <c r="P2567" t="inlineStr">
        <is>
          <t>2026-06-19 07:10:32</t>
        </is>
      </c>
      <c r="Y2567" t="inlineStr">
        <is>
          <t>27774664698</t>
        </is>
      </c>
    </row>
    <row r="2568">
      <c r="A2568" t="inlineStr">
        <is>
          <t>14945318</t>
        </is>
      </c>
      <c r="B2568" t="inlineStr">
        <is>
          <t>4a21cb61-8f7c-4da8-bd0a-8db62ee76bc7</t>
        </is>
      </c>
      <c r="D2568" t="inlineStr">
        <is>
          <t>30001087</t>
        </is>
      </c>
      <c r="E2568" t="inlineStr">
        <is>
          <t>ussd_funeral_leads_altitude_20260619</t>
        </is>
      </c>
      <c r="J2568" t="inlineStr">
        <is>
          <t>AA</t>
        </is>
      </c>
      <c r="K2568" t="inlineStr">
        <is>
          <t>Answering Machine Autodial</t>
        </is>
      </c>
      <c r="L2568" t="n">
        <v>3</v>
      </c>
      <c r="M2568" t="inlineStr">
        <is>
          <t>2026-06-23 12:54:52</t>
        </is>
      </c>
      <c r="N2568" t="inlineStr">
        <is>
          <t>system</t>
        </is>
      </c>
      <c r="O2568" t="inlineStr">
        <is>
          <t>2026-06-19 07:10:32</t>
        </is>
      </c>
      <c r="P2568" t="inlineStr">
        <is>
          <t>2026-06-19 07:10:32</t>
        </is>
      </c>
      <c r="Y2568" t="inlineStr">
        <is>
          <t>27728315734</t>
        </is>
      </c>
    </row>
    <row r="2569">
      <c r="A2569" t="inlineStr">
        <is>
          <t>14945315</t>
        </is>
      </c>
      <c r="B2569" t="inlineStr">
        <is>
          <t>aa6d313b-304f-4daa-81ab-e7bfd445291d</t>
        </is>
      </c>
      <c r="D2569" t="inlineStr">
        <is>
          <t>30001087</t>
        </is>
      </c>
      <c r="E2569" t="inlineStr">
        <is>
          <t>ussd_funeral_leads_altitude_20260619</t>
        </is>
      </c>
      <c r="J2569" t="inlineStr">
        <is>
          <t>AA</t>
        </is>
      </c>
      <c r="K2569" t="inlineStr">
        <is>
          <t>Answering Machine Autodial</t>
        </is>
      </c>
      <c r="L2569" t="n">
        <v>3</v>
      </c>
      <c r="M2569" t="inlineStr">
        <is>
          <t>2026-06-23 12:54:51</t>
        </is>
      </c>
      <c r="N2569" t="inlineStr">
        <is>
          <t>system</t>
        </is>
      </c>
      <c r="O2569" t="inlineStr">
        <is>
          <t>2026-06-19 07:10:32</t>
        </is>
      </c>
      <c r="P2569" t="inlineStr">
        <is>
          <t>2026-06-19 07:10:32</t>
        </is>
      </c>
      <c r="Y2569" t="inlineStr">
        <is>
          <t>27767082337</t>
        </is>
      </c>
    </row>
    <row r="2570">
      <c r="A2570" t="inlineStr">
        <is>
          <t>14945316</t>
        </is>
      </c>
      <c r="B2570" t="inlineStr">
        <is>
          <t>afe70044-3388-4eb5-a7a1-21184572d87e</t>
        </is>
      </c>
      <c r="D2570" t="inlineStr">
        <is>
          <t>30001087</t>
        </is>
      </c>
      <c r="E2570" t="inlineStr">
        <is>
          <t>ussd_funeral_leads_altitude_20260619</t>
        </is>
      </c>
      <c r="J2570" t="inlineStr">
        <is>
          <t>AA</t>
        </is>
      </c>
      <c r="K2570" t="inlineStr">
        <is>
          <t>Answering Machine Autodial</t>
        </is>
      </c>
      <c r="L2570" t="n">
        <v>3</v>
      </c>
      <c r="M2570" t="inlineStr">
        <is>
          <t>2026-06-23 12:54:51</t>
        </is>
      </c>
      <c r="N2570" t="inlineStr">
        <is>
          <t>system</t>
        </is>
      </c>
      <c r="O2570" t="inlineStr">
        <is>
          <t>2026-06-19 07:10:32</t>
        </is>
      </c>
      <c r="P2570" t="inlineStr">
        <is>
          <t>2026-06-19 07:10:32</t>
        </is>
      </c>
      <c r="Y2570" t="inlineStr">
        <is>
          <t>27764197556</t>
        </is>
      </c>
    </row>
    <row r="2571">
      <c r="A2571" t="inlineStr">
        <is>
          <t>14945317</t>
        </is>
      </c>
      <c r="B2571" t="inlineStr">
        <is>
          <t>0326bbbd-d91a-4319-9040-28f9a5645ada</t>
        </is>
      </c>
      <c r="D2571" t="inlineStr">
        <is>
          <t>30001087</t>
        </is>
      </c>
      <c r="E2571" t="inlineStr">
        <is>
          <t>ussd_funeral_leads_altitude_20260619</t>
        </is>
      </c>
      <c r="J2571" t="inlineStr">
        <is>
          <t>AA</t>
        </is>
      </c>
      <c r="K2571" t="inlineStr">
        <is>
          <t>Answering Machine Autodial</t>
        </is>
      </c>
      <c r="L2571" t="n">
        <v>3</v>
      </c>
      <c r="M2571" t="inlineStr">
        <is>
          <t>2026-06-23 12:54:51</t>
        </is>
      </c>
      <c r="N2571" t="inlineStr">
        <is>
          <t>system</t>
        </is>
      </c>
      <c r="O2571" t="inlineStr">
        <is>
          <t>2026-06-19 07:10:32</t>
        </is>
      </c>
      <c r="P2571" t="inlineStr">
        <is>
          <t>2026-06-19 07:10:32</t>
        </is>
      </c>
      <c r="Y2571" t="inlineStr">
        <is>
          <t>27607135316</t>
        </is>
      </c>
    </row>
    <row r="2572">
      <c r="A2572" t="inlineStr">
        <is>
          <t>14945314</t>
        </is>
      </c>
      <c r="B2572" t="inlineStr">
        <is>
          <t>584f638c-9fe9-42e4-aaaf-80f9c243ce93</t>
        </is>
      </c>
      <c r="D2572" t="inlineStr">
        <is>
          <t>30001087</t>
        </is>
      </c>
      <c r="E2572" t="inlineStr">
        <is>
          <t>ussd_funeral_leads_altitude_20260619</t>
        </is>
      </c>
      <c r="J2572" t="inlineStr">
        <is>
          <t>AA</t>
        </is>
      </c>
      <c r="K2572" t="inlineStr">
        <is>
          <t>Answering Machine Autodial</t>
        </is>
      </c>
      <c r="L2572" t="n">
        <v>3</v>
      </c>
      <c r="M2572" t="inlineStr">
        <is>
          <t>2026-06-23 12:54:35</t>
        </is>
      </c>
      <c r="N2572" t="inlineStr">
        <is>
          <t>system</t>
        </is>
      </c>
      <c r="O2572" t="inlineStr">
        <is>
          <t>2026-06-19 07:10:32</t>
        </is>
      </c>
      <c r="P2572" t="inlineStr">
        <is>
          <t>2026-06-19 07:10:32</t>
        </is>
      </c>
      <c r="Y2572" t="inlineStr">
        <is>
          <t>27773727891</t>
        </is>
      </c>
    </row>
    <row r="2573">
      <c r="A2573" t="inlineStr">
        <is>
          <t>14945313</t>
        </is>
      </c>
      <c r="B2573" t="inlineStr">
        <is>
          <t>88adef89-e6f4-47ca-b800-88a18e9a82f7</t>
        </is>
      </c>
      <c r="D2573" t="inlineStr">
        <is>
          <t>30001087</t>
        </is>
      </c>
      <c r="E2573" t="inlineStr">
        <is>
          <t>ussd_funeral_leads_altitude_20260619</t>
        </is>
      </c>
      <c r="J2573" t="inlineStr">
        <is>
          <t>ADC</t>
        </is>
      </c>
      <c r="K2573" t="inlineStr">
        <is>
          <t>Auto Dial Disconnected</t>
        </is>
      </c>
      <c r="L2573" t="n">
        <v>3</v>
      </c>
      <c r="M2573" t="inlineStr">
        <is>
          <t>2026-06-23 12:54:34</t>
        </is>
      </c>
      <c r="N2573" t="inlineStr">
        <is>
          <t>system</t>
        </is>
      </c>
      <c r="O2573" t="inlineStr">
        <is>
          <t>2026-06-19 07:10:32</t>
        </is>
      </c>
      <c r="P2573" t="inlineStr">
        <is>
          <t>2026-06-19 07:10:32</t>
        </is>
      </c>
      <c r="Y2573" t="inlineStr">
        <is>
          <t>27764881970</t>
        </is>
      </c>
    </row>
    <row r="2574">
      <c r="A2574" t="inlineStr">
        <is>
          <t>14945312</t>
        </is>
      </c>
      <c r="B2574" t="inlineStr">
        <is>
          <t>f5cfa702-3ed0-4d16-8aa5-5d957e382fc5</t>
        </is>
      </c>
      <c r="D2574" t="inlineStr">
        <is>
          <t>30001087</t>
        </is>
      </c>
      <c r="E2574" t="inlineStr">
        <is>
          <t>ussd_funeral_leads_altitude_20260619</t>
        </is>
      </c>
      <c r="J2574" t="inlineStr">
        <is>
          <t>AA</t>
        </is>
      </c>
      <c r="K2574" t="inlineStr">
        <is>
          <t>Answering Machine Autodial</t>
        </is>
      </c>
      <c r="L2574" t="n">
        <v>3</v>
      </c>
      <c r="M2574" t="inlineStr">
        <is>
          <t>2026-06-23 12:54:18</t>
        </is>
      </c>
      <c r="N2574" t="inlineStr">
        <is>
          <t>system</t>
        </is>
      </c>
      <c r="O2574" t="inlineStr">
        <is>
          <t>2026-06-19 07:10:32</t>
        </is>
      </c>
      <c r="P2574" t="inlineStr">
        <is>
          <t>2026-06-19 07:10:32</t>
        </is>
      </c>
      <c r="Y2574" t="inlineStr">
        <is>
          <t>27824246906</t>
        </is>
      </c>
    </row>
    <row r="2575">
      <c r="A2575" t="inlineStr">
        <is>
          <t>14945310</t>
        </is>
      </c>
      <c r="B2575" t="inlineStr">
        <is>
          <t>72df44e9-1531-4c5f-b6f8-5549a4f72fd3</t>
        </is>
      </c>
      <c r="D2575" t="inlineStr">
        <is>
          <t>30001087</t>
        </is>
      </c>
      <c r="E2575" t="inlineStr">
        <is>
          <t>ussd_funeral_leads_altitude_20260619</t>
        </is>
      </c>
      <c r="J2575" t="inlineStr">
        <is>
          <t>TDN</t>
        </is>
      </c>
      <c r="K2575" t="inlineStr">
        <is>
          <t>Temporary Disconnected Number</t>
        </is>
      </c>
      <c r="L2575" t="n">
        <v>3</v>
      </c>
      <c r="M2575" t="inlineStr">
        <is>
          <t>2026-06-23 12:54:17</t>
        </is>
      </c>
      <c r="N2575" t="inlineStr">
        <is>
          <t>system</t>
        </is>
      </c>
      <c r="O2575" t="inlineStr">
        <is>
          <t>2026-06-19 07:10:32</t>
        </is>
      </c>
      <c r="P2575" t="inlineStr">
        <is>
          <t>2026-06-19 07:10:32</t>
        </is>
      </c>
      <c r="Y2575" t="inlineStr">
        <is>
          <t>27711059427</t>
        </is>
      </c>
    </row>
    <row r="2576">
      <c r="A2576" t="inlineStr">
        <is>
          <t>14945311</t>
        </is>
      </c>
      <c r="B2576" t="inlineStr">
        <is>
          <t>7f5d3f16-4dd8-4294-a4f8-0eacfbcfb20b</t>
        </is>
      </c>
      <c r="D2576" t="inlineStr">
        <is>
          <t>30001087</t>
        </is>
      </c>
      <c r="E2576" t="inlineStr">
        <is>
          <t>ussd_funeral_leads_altitude_20260619</t>
        </is>
      </c>
      <c r="J2576" t="inlineStr">
        <is>
          <t>AA</t>
        </is>
      </c>
      <c r="K2576" t="inlineStr">
        <is>
          <t>Answering Machine Autodial</t>
        </is>
      </c>
      <c r="L2576" t="n">
        <v>3</v>
      </c>
      <c r="M2576" t="inlineStr">
        <is>
          <t>2026-06-23 12:54:17</t>
        </is>
      </c>
      <c r="N2576" t="inlineStr">
        <is>
          <t>system</t>
        </is>
      </c>
      <c r="O2576" t="inlineStr">
        <is>
          <t>2026-06-19 07:10:32</t>
        </is>
      </c>
      <c r="P2576" t="inlineStr">
        <is>
          <t>2026-06-19 07:10:32</t>
        </is>
      </c>
      <c r="Y2576" t="inlineStr">
        <is>
          <t>27649022391</t>
        </is>
      </c>
    </row>
    <row r="2577">
      <c r="A2577" t="inlineStr">
        <is>
          <t>14945309</t>
        </is>
      </c>
      <c r="B2577" t="inlineStr">
        <is>
          <t>8a0a0f75-bcc7-4c5a-989b-0a130a04da06</t>
        </is>
      </c>
      <c r="D2577" t="inlineStr">
        <is>
          <t>30001087</t>
        </is>
      </c>
      <c r="E2577" t="inlineStr">
        <is>
          <t>ussd_funeral_leads_altitude_20260619</t>
        </is>
      </c>
      <c r="J2577" t="inlineStr">
        <is>
          <t>LANG</t>
        </is>
      </c>
      <c r="K2577" t="inlineStr">
        <is>
          <t>Language Barrier</t>
        </is>
      </c>
      <c r="L2577" t="n">
        <v>3</v>
      </c>
      <c r="M2577" t="inlineStr">
        <is>
          <t>2026-06-23 12:54:16</t>
        </is>
      </c>
      <c r="N2577" t="inlineStr">
        <is>
          <t>Dimakatso Nkomo</t>
        </is>
      </c>
      <c r="O2577" t="inlineStr">
        <is>
          <t>2026-06-19 07:10:32</t>
        </is>
      </c>
      <c r="P2577" t="inlineStr">
        <is>
          <t>2026-06-19 07:10:32</t>
        </is>
      </c>
      <c r="Y2577" t="inlineStr">
        <is>
          <t>27647008749</t>
        </is>
      </c>
    </row>
    <row r="2578">
      <c r="A2578" t="inlineStr">
        <is>
          <t>14945307</t>
        </is>
      </c>
      <c r="B2578" t="inlineStr">
        <is>
          <t>e7c44847-d7b9-4191-b866-8b51f0a24bed</t>
        </is>
      </c>
      <c r="D2578" t="inlineStr">
        <is>
          <t>30001087</t>
        </is>
      </c>
      <c r="E2578" t="inlineStr">
        <is>
          <t>ussd_funeral_leads_altitude_20260619</t>
        </is>
      </c>
      <c r="J2578" t="inlineStr">
        <is>
          <t>AA</t>
        </is>
      </c>
      <c r="K2578" t="inlineStr">
        <is>
          <t>Answering Machine Autodial</t>
        </is>
      </c>
      <c r="L2578" t="n">
        <v>3</v>
      </c>
      <c r="M2578" t="inlineStr">
        <is>
          <t>2026-06-23 12:54:11</t>
        </is>
      </c>
      <c r="N2578" t="inlineStr">
        <is>
          <t>system</t>
        </is>
      </c>
      <c r="O2578" t="inlineStr">
        <is>
          <t>2026-06-19 07:10:32</t>
        </is>
      </c>
      <c r="P2578" t="inlineStr">
        <is>
          <t>2026-06-19 07:10:32</t>
        </is>
      </c>
      <c r="Y2578" t="inlineStr">
        <is>
          <t>27714831216</t>
        </is>
      </c>
    </row>
    <row r="2579">
      <c r="A2579" t="inlineStr">
        <is>
          <t>14945308</t>
        </is>
      </c>
      <c r="B2579" t="inlineStr">
        <is>
          <t>469cb6d6-a5f8-4c17-b4f3-22d95e2572fa</t>
        </is>
      </c>
      <c r="D2579" t="inlineStr">
        <is>
          <t>30001087</t>
        </is>
      </c>
      <c r="E2579" t="inlineStr">
        <is>
          <t>ussd_funeral_leads_altitude_20260619</t>
        </is>
      </c>
      <c r="J2579" t="inlineStr">
        <is>
          <t>TDN</t>
        </is>
      </c>
      <c r="K2579" t="inlineStr">
        <is>
          <t>Temporary Disconnected Number</t>
        </is>
      </c>
      <c r="L2579" t="n">
        <v>3</v>
      </c>
      <c r="M2579" t="inlineStr">
        <is>
          <t>2026-06-23 12:54:11</t>
        </is>
      </c>
      <c r="N2579" t="inlineStr">
        <is>
          <t>system</t>
        </is>
      </c>
      <c r="O2579" t="inlineStr">
        <is>
          <t>2026-06-19 07:10:32</t>
        </is>
      </c>
      <c r="P2579" t="inlineStr">
        <is>
          <t>2026-06-19 07:10:32</t>
        </is>
      </c>
      <c r="Y2579" t="inlineStr">
        <is>
          <t>27715607681</t>
        </is>
      </c>
    </row>
    <row r="2580">
      <c r="A2580" t="inlineStr">
        <is>
          <t>14945300</t>
        </is>
      </c>
      <c r="B2580" t="inlineStr">
        <is>
          <t>734cf1c9-5aab-4238-a201-f8ec3a5172ab</t>
        </is>
      </c>
      <c r="D2580" t="inlineStr">
        <is>
          <t>30001087</t>
        </is>
      </c>
      <c r="E2580" t="inlineStr">
        <is>
          <t>ussd_funeral_leads_altitude_20260619</t>
        </is>
      </c>
      <c r="J2580" t="inlineStr">
        <is>
          <t>AA</t>
        </is>
      </c>
      <c r="K2580" t="inlineStr">
        <is>
          <t>Answering Machine Autodial</t>
        </is>
      </c>
      <c r="L2580" t="n">
        <v>3</v>
      </c>
      <c r="M2580" t="inlineStr">
        <is>
          <t>2026-06-23 12:54:10</t>
        </is>
      </c>
      <c r="N2580" t="inlineStr">
        <is>
          <t>system</t>
        </is>
      </c>
      <c r="O2580" t="inlineStr">
        <is>
          <t>2026-06-19 07:10:32</t>
        </is>
      </c>
      <c r="P2580" t="inlineStr">
        <is>
          <t>2026-06-19 07:10:32</t>
        </is>
      </c>
      <c r="Y2580" t="inlineStr">
        <is>
          <t>27795720876</t>
        </is>
      </c>
    </row>
    <row r="2581">
      <c r="A2581" t="inlineStr">
        <is>
          <t>14945303</t>
        </is>
      </c>
      <c r="B2581" t="inlineStr">
        <is>
          <t>36fc747b-db55-4ed4-9ee3-4c65a0307510</t>
        </is>
      </c>
      <c r="D2581" t="inlineStr">
        <is>
          <t>30001087</t>
        </is>
      </c>
      <c r="E2581" t="inlineStr">
        <is>
          <t>ussd_funeral_leads_altitude_20260619</t>
        </is>
      </c>
      <c r="J2581" t="inlineStr">
        <is>
          <t>AA</t>
        </is>
      </c>
      <c r="K2581" t="inlineStr">
        <is>
          <t>Answering Machine Autodial</t>
        </is>
      </c>
      <c r="L2581" t="n">
        <v>3</v>
      </c>
      <c r="M2581" t="inlineStr">
        <is>
          <t>2026-06-23 12:54:10</t>
        </is>
      </c>
      <c r="N2581" t="inlineStr">
        <is>
          <t>system</t>
        </is>
      </c>
      <c r="O2581" t="inlineStr">
        <is>
          <t>2026-06-19 07:10:32</t>
        </is>
      </c>
      <c r="P2581" t="inlineStr">
        <is>
          <t>2026-06-19 07:10:32</t>
        </is>
      </c>
      <c r="Y2581" t="inlineStr">
        <is>
          <t>27720410354</t>
        </is>
      </c>
    </row>
    <row r="2582">
      <c r="A2582" t="inlineStr">
        <is>
          <t>14945304</t>
        </is>
      </c>
      <c r="B2582" t="inlineStr">
        <is>
          <t>227c24fe-e5c7-4278-86ac-746276cb9406</t>
        </is>
      </c>
      <c r="D2582" t="inlineStr">
        <is>
          <t>30001087</t>
        </is>
      </c>
      <c r="E2582" t="inlineStr">
        <is>
          <t>ussd_funeral_leads_altitude_20260619</t>
        </is>
      </c>
      <c r="J2582" t="inlineStr">
        <is>
          <t>NA</t>
        </is>
      </c>
      <c r="K2582" t="inlineStr">
        <is>
          <t>No Answer Autodial</t>
        </is>
      </c>
      <c r="L2582" t="n">
        <v>3</v>
      </c>
      <c r="M2582" t="inlineStr">
        <is>
          <t>2026-06-23 12:54:10</t>
        </is>
      </c>
      <c r="N2582" t="inlineStr">
        <is>
          <t>system</t>
        </is>
      </c>
      <c r="O2582" t="inlineStr">
        <is>
          <t>2026-06-19 07:10:32</t>
        </is>
      </c>
      <c r="P2582" t="inlineStr">
        <is>
          <t>2026-06-19 07:10:32</t>
        </is>
      </c>
      <c r="Y2582" t="inlineStr">
        <is>
          <t>27725169252</t>
        </is>
      </c>
    </row>
    <row r="2583">
      <c r="A2583" t="inlineStr">
        <is>
          <t>14945306</t>
        </is>
      </c>
      <c r="B2583" t="inlineStr">
        <is>
          <t>c32f6da9-0a6f-48ff-b592-59a5de7af7cb</t>
        </is>
      </c>
      <c r="D2583" t="inlineStr">
        <is>
          <t>30001087</t>
        </is>
      </c>
      <c r="E2583" t="inlineStr">
        <is>
          <t>ussd_funeral_leads_altitude_20260619</t>
        </is>
      </c>
      <c r="J2583" t="inlineStr">
        <is>
          <t>ADC</t>
        </is>
      </c>
      <c r="K2583" t="inlineStr">
        <is>
          <t>Auto Dial Disconnected</t>
        </is>
      </c>
      <c r="L2583" t="n">
        <v>3</v>
      </c>
      <c r="M2583" t="inlineStr">
        <is>
          <t>2026-06-23 12:54:10</t>
        </is>
      </c>
      <c r="N2583" t="inlineStr">
        <is>
          <t>system</t>
        </is>
      </c>
      <c r="O2583" t="inlineStr">
        <is>
          <t>2026-06-19 07:10:32</t>
        </is>
      </c>
      <c r="P2583" t="inlineStr">
        <is>
          <t>2026-06-19 07:10:32</t>
        </is>
      </c>
      <c r="Y2583" t="inlineStr">
        <is>
          <t>27793234098</t>
        </is>
      </c>
    </row>
    <row r="2584">
      <c r="A2584" t="inlineStr">
        <is>
          <t>14945299</t>
        </is>
      </c>
      <c r="B2584" t="inlineStr">
        <is>
          <t>218b9216-b0db-4e3c-972b-1c8b4e31ef27</t>
        </is>
      </c>
      <c r="D2584" t="inlineStr">
        <is>
          <t>30001087</t>
        </is>
      </c>
      <c r="E2584" t="inlineStr">
        <is>
          <t>ussd_funeral_leads_altitude_20260619</t>
        </is>
      </c>
      <c r="J2584" t="inlineStr">
        <is>
          <t>TDN</t>
        </is>
      </c>
      <c r="K2584" t="inlineStr">
        <is>
          <t>Temporary Disconnected Number</t>
        </is>
      </c>
      <c r="L2584" t="n">
        <v>3</v>
      </c>
      <c r="M2584" t="inlineStr">
        <is>
          <t>2026-06-23 12:54:07</t>
        </is>
      </c>
      <c r="N2584" t="inlineStr">
        <is>
          <t>system</t>
        </is>
      </c>
      <c r="O2584" t="inlineStr">
        <is>
          <t>2026-06-19 07:10:32</t>
        </is>
      </c>
      <c r="P2584" t="inlineStr">
        <is>
          <t>2026-06-19 07:10:32</t>
        </is>
      </c>
      <c r="Y2584" t="inlineStr">
        <is>
          <t>27637198897</t>
        </is>
      </c>
    </row>
    <row r="2585">
      <c r="A2585" t="inlineStr">
        <is>
          <t>14945297</t>
        </is>
      </c>
      <c r="B2585" t="inlineStr">
        <is>
          <t>497506ca-ddd9-4b96-8da5-be0fb72379ec</t>
        </is>
      </c>
      <c r="D2585" t="inlineStr">
        <is>
          <t>30001087</t>
        </is>
      </c>
      <c r="E2585" t="inlineStr">
        <is>
          <t>ussd_funeral_leads_altitude_20260619</t>
        </is>
      </c>
      <c r="J2585" t="inlineStr">
        <is>
          <t>CU</t>
        </is>
      </c>
      <c r="K2585" t="inlineStr">
        <is>
          <t>Client Hung Up</t>
        </is>
      </c>
      <c r="L2585" t="n">
        <v>3</v>
      </c>
      <c r="M2585" t="inlineStr">
        <is>
          <t>2026-06-23 12:54:01</t>
        </is>
      </c>
      <c r="N2585" t="inlineStr">
        <is>
          <t>Lebohang Mabotja</t>
        </is>
      </c>
      <c r="O2585" t="inlineStr">
        <is>
          <t>2026-06-19 07:10:32</t>
        </is>
      </c>
      <c r="P2585" t="inlineStr">
        <is>
          <t>2026-06-19 07:10:32</t>
        </is>
      </c>
      <c r="Y2585" t="inlineStr">
        <is>
          <t>27798029503</t>
        </is>
      </c>
    </row>
    <row r="2586">
      <c r="A2586" t="inlineStr">
        <is>
          <t>14945296</t>
        </is>
      </c>
      <c r="B2586" t="inlineStr">
        <is>
          <t>19cf7252-de64-4fea-a5ff-ecda4b0f2e85</t>
        </is>
      </c>
      <c r="D2586" t="inlineStr">
        <is>
          <t>30001087</t>
        </is>
      </c>
      <c r="E2586" t="inlineStr">
        <is>
          <t>ussd_funeral_leads_altitude_20260619</t>
        </is>
      </c>
      <c r="J2586" t="inlineStr">
        <is>
          <t>TDN</t>
        </is>
      </c>
      <c r="K2586" t="inlineStr">
        <is>
          <t>Temporary Disconnected Number</t>
        </is>
      </c>
      <c r="L2586" t="n">
        <v>3</v>
      </c>
      <c r="M2586" t="inlineStr">
        <is>
          <t>2026-06-23 12:54:00</t>
        </is>
      </c>
      <c r="N2586" t="inlineStr">
        <is>
          <t>system</t>
        </is>
      </c>
      <c r="O2586" t="inlineStr">
        <is>
          <t>2026-06-19 07:10:32</t>
        </is>
      </c>
      <c r="P2586" t="inlineStr">
        <is>
          <t>2026-06-19 07:10:32</t>
        </is>
      </c>
      <c r="Y2586" t="inlineStr">
        <is>
          <t>27673153646</t>
        </is>
      </c>
    </row>
    <row r="2587">
      <c r="A2587" t="inlineStr">
        <is>
          <t>14900000</t>
        </is>
      </c>
      <c r="B2587" t="inlineStr">
        <is>
          <t>e82902b8-42a5-4a85-9c3c-85ebfd73ef09</t>
        </is>
      </c>
      <c r="D2587" t="inlineStr">
        <is>
          <t>30001087</t>
        </is>
      </c>
      <c r="E2587" t="inlineStr">
        <is>
          <t>ussd_funeral_leads_altitude_20260619</t>
        </is>
      </c>
      <c r="J2587" t="inlineStr">
        <is>
          <t>AA</t>
        </is>
      </c>
      <c r="K2587" t="inlineStr">
        <is>
          <t>Answering Machine Autodial</t>
        </is>
      </c>
      <c r="L2587" t="n">
        <v>3</v>
      </c>
      <c r="M2587" t="inlineStr">
        <is>
          <t>2026-06-23 12:53:58</t>
        </is>
      </c>
      <c r="N2587" t="inlineStr">
        <is>
          <t>system</t>
        </is>
      </c>
      <c r="O2587" t="inlineStr">
        <is>
          <t>2026-06-19 07:10:32</t>
        </is>
      </c>
      <c r="P2587" t="inlineStr">
        <is>
          <t>2026-06-19 07:10:32</t>
        </is>
      </c>
      <c r="Y2587" t="inlineStr">
        <is>
          <t>27661527421</t>
        </is>
      </c>
    </row>
    <row r="2588">
      <c r="A2588" t="inlineStr">
        <is>
          <t>14945294</t>
        </is>
      </c>
      <c r="B2588" t="inlineStr">
        <is>
          <t>be773ae7-ab34-45fb-b800-524a57085ad5</t>
        </is>
      </c>
      <c r="D2588" t="inlineStr">
        <is>
          <t>30001087</t>
        </is>
      </c>
      <c r="E2588" t="inlineStr">
        <is>
          <t>ussd_funeral_leads_altitude_20260619</t>
        </is>
      </c>
      <c r="J2588" t="inlineStr">
        <is>
          <t>AA</t>
        </is>
      </c>
      <c r="K2588" t="inlineStr">
        <is>
          <t>Answering Machine Autodial</t>
        </is>
      </c>
      <c r="L2588" t="n">
        <v>3</v>
      </c>
      <c r="M2588" t="inlineStr">
        <is>
          <t>2026-06-23 12:53:55</t>
        </is>
      </c>
      <c r="N2588" t="inlineStr">
        <is>
          <t>system</t>
        </is>
      </c>
      <c r="O2588" t="inlineStr">
        <is>
          <t>2026-06-19 07:10:32</t>
        </is>
      </c>
      <c r="P2588" t="inlineStr">
        <is>
          <t>2026-06-19 07:10:32</t>
        </is>
      </c>
      <c r="Y2588" t="inlineStr">
        <is>
          <t>27762383920</t>
        </is>
      </c>
    </row>
    <row r="2589">
      <c r="A2589" t="inlineStr">
        <is>
          <t>14947729</t>
        </is>
      </c>
      <c r="B2589" t="inlineStr">
        <is>
          <t>0767588f-7af8-4761-af9d-aa9bfd4be010</t>
        </is>
      </c>
      <c r="D2589" t="inlineStr">
        <is>
          <t>30001087</t>
        </is>
      </c>
      <c r="E2589" t="inlineStr">
        <is>
          <t>ussd_funeral_leads_altitude_20260619</t>
        </is>
      </c>
      <c r="J2589" t="inlineStr">
        <is>
          <t>AA</t>
        </is>
      </c>
      <c r="K2589" t="inlineStr">
        <is>
          <t>Answering Machine Autodial</t>
        </is>
      </c>
      <c r="L2589" t="n">
        <v>3</v>
      </c>
      <c r="M2589" t="inlineStr">
        <is>
          <t>2026-06-23 12:53:55</t>
        </is>
      </c>
      <c r="N2589" t="inlineStr">
        <is>
          <t>system</t>
        </is>
      </c>
      <c r="O2589" t="inlineStr">
        <is>
          <t>2026-06-19 07:10:32</t>
        </is>
      </c>
      <c r="P2589" t="inlineStr">
        <is>
          <t>2026-06-19 07:10:32</t>
        </is>
      </c>
      <c r="Y2589" t="inlineStr">
        <is>
          <t>27818368637</t>
        </is>
      </c>
    </row>
    <row r="2590">
      <c r="A2590" t="inlineStr">
        <is>
          <t>14945444</t>
        </is>
      </c>
      <c r="B2590" t="inlineStr">
        <is>
          <t>7f3ad489-0739-4184-8e4b-d58cb1ce3e6e</t>
        </is>
      </c>
      <c r="D2590" t="inlineStr">
        <is>
          <t>30001087</t>
        </is>
      </c>
      <c r="E2590" t="inlineStr">
        <is>
          <t>ussd_funeral_leads_altitude_20260619</t>
        </is>
      </c>
      <c r="J2590" t="inlineStr">
        <is>
          <t>NA</t>
        </is>
      </c>
      <c r="K2590" t="inlineStr">
        <is>
          <t>No Answer Autodial</t>
        </is>
      </c>
      <c r="L2590" t="n">
        <v>3</v>
      </c>
      <c r="M2590" t="inlineStr">
        <is>
          <t>2026-06-23 12:53:20</t>
        </is>
      </c>
      <c r="N2590" t="inlineStr">
        <is>
          <t>system</t>
        </is>
      </c>
      <c r="O2590" t="inlineStr">
        <is>
          <t>2026-06-19 07:10:32</t>
        </is>
      </c>
      <c r="P2590" t="inlineStr">
        <is>
          <t>2026-06-19 07:10:32</t>
        </is>
      </c>
      <c r="Y2590" t="inlineStr">
        <is>
          <t>27796455127</t>
        </is>
      </c>
    </row>
    <row r="2591">
      <c r="A2591" t="inlineStr">
        <is>
          <t>14945445</t>
        </is>
      </c>
      <c r="B2591" t="inlineStr">
        <is>
          <t>768959ef-bccc-4c39-9e6b-40e52ffbfd11</t>
        </is>
      </c>
      <c r="D2591" t="inlineStr">
        <is>
          <t>30001087</t>
        </is>
      </c>
      <c r="E2591" t="inlineStr">
        <is>
          <t>ussd_funeral_leads_altitude_20260619</t>
        </is>
      </c>
      <c r="J2591" t="inlineStr">
        <is>
          <t>AA</t>
        </is>
      </c>
      <c r="K2591" t="inlineStr">
        <is>
          <t>Answering Machine Autodial</t>
        </is>
      </c>
      <c r="L2591" t="n">
        <v>3</v>
      </c>
      <c r="M2591" t="inlineStr">
        <is>
          <t>2026-06-23 12:53:20</t>
        </is>
      </c>
      <c r="N2591" t="inlineStr">
        <is>
          <t>system</t>
        </is>
      </c>
      <c r="O2591" t="inlineStr">
        <is>
          <t>2026-06-19 07:10:32</t>
        </is>
      </c>
      <c r="P2591" t="inlineStr">
        <is>
          <t>2026-06-19 07:10:32</t>
        </is>
      </c>
      <c r="Y2591" t="inlineStr">
        <is>
          <t>27764240132</t>
        </is>
      </c>
    </row>
    <row r="2592">
      <c r="A2592" t="inlineStr">
        <is>
          <t>14945442</t>
        </is>
      </c>
      <c r="B2592" t="inlineStr">
        <is>
          <t>79af17eb-af22-49d6-a4e4-5c915a39bb6b</t>
        </is>
      </c>
      <c r="D2592" t="inlineStr">
        <is>
          <t>30001087</t>
        </is>
      </c>
      <c r="E2592" t="inlineStr">
        <is>
          <t>ussd_funeral_leads_altitude_20260619</t>
        </is>
      </c>
      <c r="J2592" t="inlineStr">
        <is>
          <t>TDN</t>
        </is>
      </c>
      <c r="K2592" t="inlineStr">
        <is>
          <t>Temporary Disconnected Number</t>
        </is>
      </c>
      <c r="L2592" t="n">
        <v>3</v>
      </c>
      <c r="M2592" t="inlineStr">
        <is>
          <t>2026-06-23 12:53:19</t>
        </is>
      </c>
      <c r="N2592" t="inlineStr">
        <is>
          <t>system</t>
        </is>
      </c>
      <c r="O2592" t="inlineStr">
        <is>
          <t>2026-06-19 07:10:32</t>
        </is>
      </c>
      <c r="P2592" t="inlineStr">
        <is>
          <t>2026-06-19 07:10:32</t>
        </is>
      </c>
      <c r="Y2592" t="inlineStr">
        <is>
          <t>27715627855</t>
        </is>
      </c>
    </row>
    <row r="2593">
      <c r="A2593" t="inlineStr">
        <is>
          <t>14945443</t>
        </is>
      </c>
      <c r="B2593" t="inlineStr">
        <is>
          <t>9049c6ba-960f-4026-8b4b-5331156e78f9</t>
        </is>
      </c>
      <c r="D2593" t="inlineStr">
        <is>
          <t>30001087</t>
        </is>
      </c>
      <c r="E2593" t="inlineStr">
        <is>
          <t>ussd_funeral_leads_altitude_20260619</t>
        </is>
      </c>
      <c r="J2593" t="inlineStr">
        <is>
          <t>TDN</t>
        </is>
      </c>
      <c r="K2593" t="inlineStr">
        <is>
          <t>Temporary Disconnected Number</t>
        </is>
      </c>
      <c r="L2593" t="n">
        <v>3</v>
      </c>
      <c r="M2593" t="inlineStr">
        <is>
          <t>2026-06-23 12:53:19</t>
        </is>
      </c>
      <c r="N2593" t="inlineStr">
        <is>
          <t>system</t>
        </is>
      </c>
      <c r="O2593" t="inlineStr">
        <is>
          <t>2026-06-19 07:10:32</t>
        </is>
      </c>
      <c r="P2593" t="inlineStr">
        <is>
          <t>2026-06-19 07:10:32</t>
        </is>
      </c>
      <c r="Y2593" t="inlineStr">
        <is>
          <t>27665895513</t>
        </is>
      </c>
    </row>
    <row r="2594">
      <c r="A2594" t="inlineStr">
        <is>
          <t>14945363</t>
        </is>
      </c>
      <c r="B2594" t="inlineStr">
        <is>
          <t>c907c456-af4a-451e-8aa6-447e49f151c5</t>
        </is>
      </c>
      <c r="D2594" t="inlineStr">
        <is>
          <t>30001087</t>
        </is>
      </c>
      <c r="E2594" t="inlineStr">
        <is>
          <t>ussd_funeral_leads_altitude_20260619</t>
        </is>
      </c>
      <c r="J2594" t="inlineStr">
        <is>
          <t>ADC</t>
        </is>
      </c>
      <c r="K2594" t="inlineStr">
        <is>
          <t>Auto Dial Disconnected</t>
        </is>
      </c>
      <c r="L2594" t="n">
        <v>3</v>
      </c>
      <c r="M2594" t="inlineStr">
        <is>
          <t>2026-06-23 12:53:18</t>
        </is>
      </c>
      <c r="N2594" t="inlineStr">
        <is>
          <t>system</t>
        </is>
      </c>
      <c r="O2594" t="inlineStr">
        <is>
          <t>2026-06-19 07:10:32</t>
        </is>
      </c>
      <c r="P2594" t="inlineStr">
        <is>
          <t>2026-06-19 07:10:32</t>
        </is>
      </c>
      <c r="Y2594" t="inlineStr">
        <is>
          <t>27791897185</t>
        </is>
      </c>
    </row>
    <row r="2595">
      <c r="A2595" t="inlineStr">
        <is>
          <t>14945441</t>
        </is>
      </c>
      <c r="B2595" t="inlineStr">
        <is>
          <t>401c1062-329b-416c-b3d4-a61f3c0f16d9</t>
        </is>
      </c>
      <c r="D2595" t="inlineStr">
        <is>
          <t>30001087</t>
        </is>
      </c>
      <c r="E2595" t="inlineStr">
        <is>
          <t>ussd_funeral_leads_altitude_20260619</t>
        </is>
      </c>
      <c r="J2595" t="inlineStr">
        <is>
          <t>DNQS</t>
        </is>
      </c>
      <c r="K2595" t="inlineStr">
        <is>
          <t>Does Not Qualify</t>
        </is>
      </c>
      <c r="L2595" t="n">
        <v>3</v>
      </c>
      <c r="M2595" t="inlineStr">
        <is>
          <t>2026-06-23 12:53:18</t>
        </is>
      </c>
      <c r="N2595" t="inlineStr">
        <is>
          <t>Bongiwe Precious Cele</t>
        </is>
      </c>
      <c r="O2595" t="inlineStr">
        <is>
          <t>2026-06-19 07:10:32</t>
        </is>
      </c>
      <c r="P2595" t="inlineStr">
        <is>
          <t>2026-06-19 07:10:32</t>
        </is>
      </c>
      <c r="Y2595" t="inlineStr">
        <is>
          <t>27767999962</t>
        </is>
      </c>
    </row>
    <row r="2596">
      <c r="A2596" t="inlineStr">
        <is>
          <t>14945362</t>
        </is>
      </c>
      <c r="B2596" t="inlineStr">
        <is>
          <t>f8336182-5a43-4da2-a0da-0fefbf187860</t>
        </is>
      </c>
      <c r="D2596" t="inlineStr">
        <is>
          <t>30001087</t>
        </is>
      </c>
      <c r="E2596" t="inlineStr">
        <is>
          <t>ussd_funeral_leads_altitude_20260619</t>
        </is>
      </c>
      <c r="J2596" t="inlineStr">
        <is>
          <t>TDN</t>
        </is>
      </c>
      <c r="K2596" t="inlineStr">
        <is>
          <t>Temporary Disconnected Number</t>
        </is>
      </c>
      <c r="L2596" t="n">
        <v>3</v>
      </c>
      <c r="M2596" t="inlineStr">
        <is>
          <t>2026-06-23 12:53:15</t>
        </is>
      </c>
      <c r="N2596" t="inlineStr">
        <is>
          <t>system</t>
        </is>
      </c>
      <c r="O2596" t="inlineStr">
        <is>
          <t>2026-06-19 07:10:32</t>
        </is>
      </c>
      <c r="P2596" t="inlineStr">
        <is>
          <t>2026-06-19 07:10:32</t>
        </is>
      </c>
      <c r="Y2596" t="inlineStr">
        <is>
          <t>27762714211</t>
        </is>
      </c>
    </row>
    <row r="2597">
      <c r="A2597" t="inlineStr">
        <is>
          <t>14945358</t>
        </is>
      </c>
      <c r="B2597" t="inlineStr">
        <is>
          <t>185ac8f1-88ef-4745-ad5e-eadc8a105d53</t>
        </is>
      </c>
      <c r="D2597" t="inlineStr">
        <is>
          <t>30001087</t>
        </is>
      </c>
      <c r="E2597" t="inlineStr">
        <is>
          <t>ussd_funeral_leads_altitude_20260619</t>
        </is>
      </c>
      <c r="J2597" t="inlineStr">
        <is>
          <t>AA</t>
        </is>
      </c>
      <c r="K2597" t="inlineStr">
        <is>
          <t>Answering Machine Autodial</t>
        </is>
      </c>
      <c r="L2597" t="n">
        <v>3</v>
      </c>
      <c r="M2597" t="inlineStr">
        <is>
          <t>2026-06-23 12:53:14</t>
        </is>
      </c>
      <c r="N2597" t="inlineStr">
        <is>
          <t>system</t>
        </is>
      </c>
      <c r="O2597" t="inlineStr">
        <is>
          <t>2026-06-19 07:10:32</t>
        </is>
      </c>
      <c r="P2597" t="inlineStr">
        <is>
          <t>2026-06-19 07:10:32</t>
        </is>
      </c>
      <c r="Y2597" t="inlineStr">
        <is>
          <t>27799178294</t>
        </is>
      </c>
    </row>
    <row r="2598">
      <c r="A2598" t="inlineStr">
        <is>
          <t>14945360</t>
        </is>
      </c>
      <c r="B2598" t="inlineStr">
        <is>
          <t>59177d44-cf6f-4bdf-a6ce-153a7713079c</t>
        </is>
      </c>
      <c r="D2598" t="inlineStr">
        <is>
          <t>30001087</t>
        </is>
      </c>
      <c r="E2598" t="inlineStr">
        <is>
          <t>ussd_funeral_leads_altitude_20260619</t>
        </is>
      </c>
      <c r="J2598" t="inlineStr">
        <is>
          <t>AA</t>
        </is>
      </c>
      <c r="K2598" t="inlineStr">
        <is>
          <t>Answering Machine Autodial</t>
        </is>
      </c>
      <c r="L2598" t="n">
        <v>3</v>
      </c>
      <c r="M2598" t="inlineStr">
        <is>
          <t>2026-06-23 12:53:14</t>
        </is>
      </c>
      <c r="N2598" t="inlineStr">
        <is>
          <t>system</t>
        </is>
      </c>
      <c r="O2598" t="inlineStr">
        <is>
          <t>2026-06-19 07:10:32</t>
        </is>
      </c>
      <c r="P2598" t="inlineStr">
        <is>
          <t>2026-06-19 07:10:32</t>
        </is>
      </c>
      <c r="Y2598" t="inlineStr">
        <is>
          <t>27714405215</t>
        </is>
      </c>
    </row>
    <row r="2599">
      <c r="A2599" t="inlineStr">
        <is>
          <t>14945361</t>
        </is>
      </c>
      <c r="B2599" t="inlineStr">
        <is>
          <t>048c3b9e-db7a-4653-8e6d-59b0331928d2</t>
        </is>
      </c>
      <c r="D2599" t="inlineStr">
        <is>
          <t>30001087</t>
        </is>
      </c>
      <c r="E2599" t="inlineStr">
        <is>
          <t>ussd_funeral_leads_altitude_20260619</t>
        </is>
      </c>
      <c r="J2599" t="inlineStr">
        <is>
          <t>AA</t>
        </is>
      </c>
      <c r="K2599" t="inlineStr">
        <is>
          <t>Answering Machine Autodial</t>
        </is>
      </c>
      <c r="L2599" t="n">
        <v>3</v>
      </c>
      <c r="M2599" t="inlineStr">
        <is>
          <t>2026-06-23 12:53:14</t>
        </is>
      </c>
      <c r="N2599" t="inlineStr">
        <is>
          <t>system</t>
        </is>
      </c>
      <c r="O2599" t="inlineStr">
        <is>
          <t>2026-06-19 07:10:32</t>
        </is>
      </c>
      <c r="P2599" t="inlineStr">
        <is>
          <t>2026-06-19 07:10:32</t>
        </is>
      </c>
      <c r="Y2599" t="inlineStr">
        <is>
          <t>27767987713</t>
        </is>
      </c>
    </row>
    <row r="2600">
      <c r="A2600" t="inlineStr">
        <is>
          <t>14945355</t>
        </is>
      </c>
      <c r="B2600" t="inlineStr">
        <is>
          <t>b95e3ac8-aa52-4569-b7c3-fdfdeb68c923</t>
        </is>
      </c>
      <c r="D2600" t="inlineStr">
        <is>
          <t>30001087</t>
        </is>
      </c>
      <c r="E2600" t="inlineStr">
        <is>
          <t>ussd_funeral_leads_altitude_20260619</t>
        </is>
      </c>
      <c r="J2600" t="inlineStr">
        <is>
          <t>AA</t>
        </is>
      </c>
      <c r="K2600" t="inlineStr">
        <is>
          <t>Answering Machine Autodial</t>
        </is>
      </c>
      <c r="L2600" t="n">
        <v>3</v>
      </c>
      <c r="M2600" t="inlineStr">
        <is>
          <t>2026-06-23 12:53:13</t>
        </is>
      </c>
      <c r="N2600" t="inlineStr">
        <is>
          <t>system</t>
        </is>
      </c>
      <c r="O2600" t="inlineStr">
        <is>
          <t>2026-06-19 07:10:32</t>
        </is>
      </c>
      <c r="P2600" t="inlineStr">
        <is>
          <t>2026-06-19 07:10:32</t>
        </is>
      </c>
      <c r="Y2600" t="inlineStr">
        <is>
          <t>27818184893</t>
        </is>
      </c>
    </row>
    <row r="2601">
      <c r="A2601" t="inlineStr">
        <is>
          <t>14900000</t>
        </is>
      </c>
      <c r="B2601" t="inlineStr">
        <is>
          <t>e0813a91-930a-4aed-804b-60f20c24e9e1</t>
        </is>
      </c>
      <c r="D2601" t="inlineStr">
        <is>
          <t>30001087</t>
        </is>
      </c>
      <c r="E2601" t="inlineStr">
        <is>
          <t>ussd_funeral_leads_altitude_20260619</t>
        </is>
      </c>
      <c r="J2601" t="inlineStr">
        <is>
          <t>AA</t>
        </is>
      </c>
      <c r="K2601" t="inlineStr">
        <is>
          <t>Answering Machine Autodial</t>
        </is>
      </c>
      <c r="L2601" t="n">
        <v>3</v>
      </c>
      <c r="M2601" t="inlineStr">
        <is>
          <t>2026-06-23 12:53:13</t>
        </is>
      </c>
      <c r="N2601" t="inlineStr">
        <is>
          <t>system</t>
        </is>
      </c>
      <c r="O2601" t="inlineStr">
        <is>
          <t>2026-06-19 07:10:32</t>
        </is>
      </c>
      <c r="P2601" t="inlineStr">
        <is>
          <t>2026-06-19 07:10:32</t>
        </is>
      </c>
      <c r="Y2601" t="inlineStr">
        <is>
          <t>27660208251</t>
        </is>
      </c>
    </row>
    <row r="2602">
      <c r="A2602" t="inlineStr">
        <is>
          <t>14945357</t>
        </is>
      </c>
      <c r="B2602" t="inlineStr">
        <is>
          <t>184efba6-701b-4582-b756-6fe21b3b0488</t>
        </is>
      </c>
      <c r="D2602" t="inlineStr">
        <is>
          <t>30001087</t>
        </is>
      </c>
      <c r="E2602" t="inlineStr">
        <is>
          <t>ussd_funeral_leads_altitude_20260619</t>
        </is>
      </c>
      <c r="J2602" t="inlineStr">
        <is>
          <t>AA</t>
        </is>
      </c>
      <c r="K2602" t="inlineStr">
        <is>
          <t>Answering Machine Autodial</t>
        </is>
      </c>
      <c r="L2602" t="n">
        <v>3</v>
      </c>
      <c r="M2602" t="inlineStr">
        <is>
          <t>2026-06-23 12:53:13</t>
        </is>
      </c>
      <c r="N2602" t="inlineStr">
        <is>
          <t>system</t>
        </is>
      </c>
      <c r="O2602" t="inlineStr">
        <is>
          <t>2026-06-19 07:10:32</t>
        </is>
      </c>
      <c r="P2602" t="inlineStr">
        <is>
          <t>2026-06-19 07:10:32</t>
        </is>
      </c>
      <c r="Y2602" t="inlineStr">
        <is>
          <t>27769118101</t>
        </is>
      </c>
    </row>
    <row r="2603">
      <c r="A2603" t="inlineStr">
        <is>
          <t>14945354</t>
        </is>
      </c>
      <c r="B2603" t="inlineStr">
        <is>
          <t>19d012d8-8039-4ffc-b0b3-4f300d4abf0a</t>
        </is>
      </c>
      <c r="D2603" t="inlineStr">
        <is>
          <t>30001087</t>
        </is>
      </c>
      <c r="E2603" t="inlineStr">
        <is>
          <t>ussd_funeral_leads_altitude_20260619</t>
        </is>
      </c>
      <c r="J2603" t="inlineStr">
        <is>
          <t>DROP</t>
        </is>
      </c>
      <c r="K2603" t="inlineStr">
        <is>
          <t>Dropped</t>
        </is>
      </c>
      <c r="L2603" t="n">
        <v>3</v>
      </c>
      <c r="M2603" t="inlineStr">
        <is>
          <t>2026-06-23 12:53:12</t>
        </is>
      </c>
      <c r="N2603" t="inlineStr">
        <is>
          <t>system</t>
        </is>
      </c>
      <c r="O2603" t="inlineStr">
        <is>
          <t>2026-06-19 07:10:32</t>
        </is>
      </c>
      <c r="P2603" t="inlineStr">
        <is>
          <t>2026-06-19 07:10:32</t>
        </is>
      </c>
      <c r="Y2603" t="inlineStr">
        <is>
          <t>27636070956</t>
        </is>
      </c>
    </row>
    <row r="2604">
      <c r="A2604" t="inlineStr">
        <is>
          <t>14945353</t>
        </is>
      </c>
      <c r="B2604" t="inlineStr">
        <is>
          <t>439bf602-3973-4461-8584-ae526174256d</t>
        </is>
      </c>
      <c r="D2604" t="inlineStr">
        <is>
          <t>30001087</t>
        </is>
      </c>
      <c r="E2604" t="inlineStr">
        <is>
          <t>ussd_funeral_leads_altitude_20260619</t>
        </is>
      </c>
      <c r="J2604" t="inlineStr">
        <is>
          <t>AA</t>
        </is>
      </c>
      <c r="K2604" t="inlineStr">
        <is>
          <t>Answering Machine Autodial</t>
        </is>
      </c>
      <c r="L2604" t="n">
        <v>3</v>
      </c>
      <c r="M2604" t="inlineStr">
        <is>
          <t>2026-06-23 12:53:09</t>
        </is>
      </c>
      <c r="N2604" t="inlineStr">
        <is>
          <t>system</t>
        </is>
      </c>
      <c r="O2604" t="inlineStr">
        <is>
          <t>2026-06-19 07:10:32</t>
        </is>
      </c>
      <c r="P2604" t="inlineStr">
        <is>
          <t>2026-06-19 07:10:32</t>
        </is>
      </c>
      <c r="Y2604" t="inlineStr">
        <is>
          <t>27795095749</t>
        </is>
      </c>
    </row>
    <row r="2605">
      <c r="A2605" t="inlineStr">
        <is>
          <t>14945351</t>
        </is>
      </c>
      <c r="B2605" t="inlineStr">
        <is>
          <t>0d12e1f6-964b-4dd4-be82-87fdc08b320f</t>
        </is>
      </c>
      <c r="D2605" t="inlineStr">
        <is>
          <t>30001087</t>
        </is>
      </c>
      <c r="E2605" t="inlineStr">
        <is>
          <t>ussd_funeral_leads_altitude_20260619</t>
        </is>
      </c>
      <c r="H2605" t="inlineStr">
        <is>
          <t>27675943678</t>
        </is>
      </c>
      <c r="J2605" t="inlineStr">
        <is>
          <t>AA</t>
        </is>
      </c>
      <c r="K2605" t="inlineStr">
        <is>
          <t>Answering Machine Autodial</t>
        </is>
      </c>
      <c r="L2605" t="n">
        <v>3</v>
      </c>
      <c r="M2605" t="inlineStr">
        <is>
          <t>2026-06-23 12:53:00</t>
        </is>
      </c>
      <c r="N2605" t="inlineStr">
        <is>
          <t>system</t>
        </is>
      </c>
      <c r="O2605" t="inlineStr">
        <is>
          <t>2026-06-19 07:10:32</t>
        </is>
      </c>
      <c r="P2605" t="inlineStr">
        <is>
          <t>2026-06-19 07:10:32</t>
        </is>
      </c>
      <c r="Y2605" t="inlineStr">
        <is>
          <t>27675943678</t>
        </is>
      </c>
    </row>
    <row r="2606">
      <c r="A2606" t="inlineStr">
        <is>
          <t>14945349</t>
        </is>
      </c>
      <c r="B2606" t="inlineStr">
        <is>
          <t>5c52e22a-daee-4e3f-8716-95cecabcd2ae</t>
        </is>
      </c>
      <c r="D2606" t="inlineStr">
        <is>
          <t>30001087</t>
        </is>
      </c>
      <c r="E2606" t="inlineStr">
        <is>
          <t>ussd_funeral_leads_altitude_20260619</t>
        </is>
      </c>
      <c r="J2606" t="inlineStr">
        <is>
          <t>CU</t>
        </is>
      </c>
      <c r="K2606" t="inlineStr">
        <is>
          <t>Client Hung Up</t>
        </is>
      </c>
      <c r="L2606" t="n">
        <v>3</v>
      </c>
      <c r="M2606" t="inlineStr">
        <is>
          <t>2026-06-23 12:52:56</t>
        </is>
      </c>
      <c r="N2606" t="inlineStr">
        <is>
          <t>Goitsimang Mogwasa</t>
        </is>
      </c>
      <c r="O2606" t="inlineStr">
        <is>
          <t>2026-06-19 07:10:32</t>
        </is>
      </c>
      <c r="P2606" t="inlineStr">
        <is>
          <t>2026-06-19 07:10:32</t>
        </is>
      </c>
      <c r="Y2606" t="inlineStr">
        <is>
          <t>27790531872</t>
        </is>
      </c>
    </row>
    <row r="2607">
      <c r="A2607" t="inlineStr">
        <is>
          <t>14945348</t>
        </is>
      </c>
      <c r="B2607" t="inlineStr">
        <is>
          <t>952b804c-a1ac-45f7-b213-6062a304ff9c</t>
        </is>
      </c>
      <c r="D2607" t="inlineStr">
        <is>
          <t>30001087</t>
        </is>
      </c>
      <c r="E2607" t="inlineStr">
        <is>
          <t>ussd_funeral_leads_altitude_20260619</t>
        </is>
      </c>
      <c r="J2607" t="inlineStr">
        <is>
          <t>AA</t>
        </is>
      </c>
      <c r="K2607" t="inlineStr">
        <is>
          <t>Answering Machine Autodial</t>
        </is>
      </c>
      <c r="L2607" t="n">
        <v>3</v>
      </c>
      <c r="M2607" t="inlineStr">
        <is>
          <t>2026-06-23 12:52:55</t>
        </is>
      </c>
      <c r="N2607" t="inlineStr">
        <is>
          <t>system</t>
        </is>
      </c>
      <c r="O2607" t="inlineStr">
        <is>
          <t>2026-06-19 07:10:32</t>
        </is>
      </c>
      <c r="P2607" t="inlineStr">
        <is>
          <t>2026-06-19 07:10:32</t>
        </is>
      </c>
      <c r="Y2607" t="inlineStr">
        <is>
          <t>27723188909</t>
        </is>
      </c>
    </row>
    <row r="2608">
      <c r="A2608" t="inlineStr">
        <is>
          <t>14945347</t>
        </is>
      </c>
      <c r="B2608" t="inlineStr">
        <is>
          <t>d5fe645f-305d-4774-bbce-9425b69e885c</t>
        </is>
      </c>
      <c r="D2608" t="inlineStr">
        <is>
          <t>30001087</t>
        </is>
      </c>
      <c r="E2608" t="inlineStr">
        <is>
          <t>ussd_funeral_leads_altitude_20260619</t>
        </is>
      </c>
      <c r="J2608" t="inlineStr">
        <is>
          <t>AA</t>
        </is>
      </c>
      <c r="K2608" t="inlineStr">
        <is>
          <t>Answering Machine Autodial</t>
        </is>
      </c>
      <c r="L2608" t="n">
        <v>3</v>
      </c>
      <c r="M2608" t="inlineStr">
        <is>
          <t>2026-06-23 12:52:54</t>
        </is>
      </c>
      <c r="N2608" t="inlineStr">
        <is>
          <t>system</t>
        </is>
      </c>
      <c r="O2608" t="inlineStr">
        <is>
          <t>2026-06-19 07:10:32</t>
        </is>
      </c>
      <c r="P2608" t="inlineStr">
        <is>
          <t>2026-06-19 07:10:32</t>
        </is>
      </c>
      <c r="Y2608" t="inlineStr">
        <is>
          <t>27649235757</t>
        </is>
      </c>
    </row>
    <row r="2609">
      <c r="A2609" t="inlineStr">
        <is>
          <t>14945342</t>
        </is>
      </c>
      <c r="B2609" t="inlineStr">
        <is>
          <t>51198baa-5d92-4dd1-9fc5-945374511ae2</t>
        </is>
      </c>
      <c r="D2609" t="inlineStr">
        <is>
          <t>30001087</t>
        </is>
      </c>
      <c r="E2609" t="inlineStr">
        <is>
          <t>ussd_funeral_leads_altitude_20260619</t>
        </is>
      </c>
      <c r="J2609" t="inlineStr">
        <is>
          <t>AA</t>
        </is>
      </c>
      <c r="K2609" t="inlineStr">
        <is>
          <t>Answering Machine Autodial</t>
        </is>
      </c>
      <c r="L2609" t="n">
        <v>3</v>
      </c>
      <c r="M2609" t="inlineStr">
        <is>
          <t>2026-06-23 12:52:50</t>
        </is>
      </c>
      <c r="N2609" t="inlineStr">
        <is>
          <t>system</t>
        </is>
      </c>
      <c r="O2609" t="inlineStr">
        <is>
          <t>2026-06-19 07:10:32</t>
        </is>
      </c>
      <c r="P2609" t="inlineStr">
        <is>
          <t>2026-06-19 07:10:32</t>
        </is>
      </c>
      <c r="Y2609" t="inlineStr">
        <is>
          <t>27609593878</t>
        </is>
      </c>
    </row>
    <row r="2610">
      <c r="A2610" t="inlineStr">
        <is>
          <t>14945343</t>
        </is>
      </c>
      <c r="B2610" t="inlineStr">
        <is>
          <t>1e4c9054-1754-4d00-bd5a-246976020027</t>
        </is>
      </c>
      <c r="D2610" t="inlineStr">
        <is>
          <t>30001087</t>
        </is>
      </c>
      <c r="E2610" t="inlineStr">
        <is>
          <t>ussd_funeral_leads_altitude_20260619</t>
        </is>
      </c>
      <c r="J2610" t="inlineStr">
        <is>
          <t>AA</t>
        </is>
      </c>
      <c r="K2610" t="inlineStr">
        <is>
          <t>Answering Machine Autodial</t>
        </is>
      </c>
      <c r="L2610" t="n">
        <v>3</v>
      </c>
      <c r="M2610" t="inlineStr">
        <is>
          <t>2026-06-23 12:52:50</t>
        </is>
      </c>
      <c r="N2610" t="inlineStr">
        <is>
          <t>system</t>
        </is>
      </c>
      <c r="O2610" t="inlineStr">
        <is>
          <t>2026-06-19 07:10:32</t>
        </is>
      </c>
      <c r="P2610" t="inlineStr">
        <is>
          <t>2026-06-19 07:10:32</t>
        </is>
      </c>
      <c r="Y2610" t="inlineStr">
        <is>
          <t>27797702854</t>
        </is>
      </c>
    </row>
    <row r="2611">
      <c r="A2611" t="inlineStr">
        <is>
          <t>14945344</t>
        </is>
      </c>
      <c r="B2611" t="inlineStr">
        <is>
          <t>820eb46e-7c90-4ca6-933a-a4c9b36a31de</t>
        </is>
      </c>
      <c r="D2611" t="inlineStr">
        <is>
          <t>30001087</t>
        </is>
      </c>
      <c r="E2611" t="inlineStr">
        <is>
          <t>ussd_funeral_leads_altitude_20260619</t>
        </is>
      </c>
      <c r="J2611" t="inlineStr">
        <is>
          <t>AA</t>
        </is>
      </c>
      <c r="K2611" t="inlineStr">
        <is>
          <t>Answering Machine Autodial</t>
        </is>
      </c>
      <c r="L2611" t="n">
        <v>3</v>
      </c>
      <c r="M2611" t="inlineStr">
        <is>
          <t>2026-06-23 12:52:50</t>
        </is>
      </c>
      <c r="N2611" t="inlineStr">
        <is>
          <t>system</t>
        </is>
      </c>
      <c r="O2611" t="inlineStr">
        <is>
          <t>2026-06-19 07:10:32</t>
        </is>
      </c>
      <c r="P2611" t="inlineStr">
        <is>
          <t>2026-06-19 07:10:32</t>
        </is>
      </c>
      <c r="Y2611" t="inlineStr">
        <is>
          <t>27768242502</t>
        </is>
      </c>
    </row>
    <row r="2612">
      <c r="A2612" t="inlineStr">
        <is>
          <t>14945345</t>
        </is>
      </c>
      <c r="B2612" t="inlineStr">
        <is>
          <t>bf28fee0-c85a-4057-958f-1a5c6151a926</t>
        </is>
      </c>
      <c r="D2612" t="inlineStr">
        <is>
          <t>30001087</t>
        </is>
      </c>
      <c r="E2612" t="inlineStr">
        <is>
          <t>ussd_funeral_leads_altitude_20260619</t>
        </is>
      </c>
      <c r="J2612" t="inlineStr">
        <is>
          <t>AA</t>
        </is>
      </c>
      <c r="K2612" t="inlineStr">
        <is>
          <t>Answering Machine Autodial</t>
        </is>
      </c>
      <c r="L2612" t="n">
        <v>3</v>
      </c>
      <c r="M2612" t="inlineStr">
        <is>
          <t>2026-06-23 12:52:50</t>
        </is>
      </c>
      <c r="N2612" t="inlineStr">
        <is>
          <t>system</t>
        </is>
      </c>
      <c r="O2612" t="inlineStr">
        <is>
          <t>2026-06-19 07:10:32</t>
        </is>
      </c>
      <c r="P2612" t="inlineStr">
        <is>
          <t>2026-06-19 07:10:32</t>
        </is>
      </c>
      <c r="Y2612" t="inlineStr">
        <is>
          <t>27791517839</t>
        </is>
      </c>
    </row>
    <row r="2613">
      <c r="A2613" t="inlineStr">
        <is>
          <t>14945346</t>
        </is>
      </c>
      <c r="B2613" t="inlineStr">
        <is>
          <t>9c4ea40d-61da-4f21-aa43-88764fdaeba1</t>
        </is>
      </c>
      <c r="D2613" t="inlineStr">
        <is>
          <t>30001087</t>
        </is>
      </c>
      <c r="E2613" t="inlineStr">
        <is>
          <t>ussd_funeral_leads_altitude_20260619</t>
        </is>
      </c>
      <c r="J2613" t="inlineStr">
        <is>
          <t>AA</t>
        </is>
      </c>
      <c r="K2613" t="inlineStr">
        <is>
          <t>Answering Machine Autodial</t>
        </is>
      </c>
      <c r="L2613" t="n">
        <v>3</v>
      </c>
      <c r="M2613" t="inlineStr">
        <is>
          <t>2026-06-23 12:52:50</t>
        </is>
      </c>
      <c r="N2613" t="inlineStr">
        <is>
          <t>system</t>
        </is>
      </c>
      <c r="O2613" t="inlineStr">
        <is>
          <t>2026-06-19 07:10:32</t>
        </is>
      </c>
      <c r="P2613" t="inlineStr">
        <is>
          <t>2026-06-19 07:10:32</t>
        </is>
      </c>
      <c r="Y2613" t="inlineStr">
        <is>
          <t>27661764192</t>
        </is>
      </c>
    </row>
    <row r="2614">
      <c r="A2614" t="inlineStr">
        <is>
          <t>14945340</t>
        </is>
      </c>
      <c r="B2614" t="inlineStr">
        <is>
          <t>da9c8a90-8370-4ef3-8842-a9080c4ed17a</t>
        </is>
      </c>
      <c r="D2614" t="inlineStr">
        <is>
          <t>30001087</t>
        </is>
      </c>
      <c r="E2614" t="inlineStr">
        <is>
          <t>ussd_funeral_leads_altitude_20260619</t>
        </is>
      </c>
      <c r="J2614" t="inlineStr">
        <is>
          <t>NA</t>
        </is>
      </c>
      <c r="K2614" t="inlineStr">
        <is>
          <t>No Answer Autodial</t>
        </is>
      </c>
      <c r="L2614" t="n">
        <v>3</v>
      </c>
      <c r="M2614" t="inlineStr">
        <is>
          <t>2026-06-23 12:52:31</t>
        </is>
      </c>
      <c r="N2614" t="inlineStr">
        <is>
          <t>system</t>
        </is>
      </c>
      <c r="O2614" t="inlineStr">
        <is>
          <t>2026-06-19 07:10:32</t>
        </is>
      </c>
      <c r="P2614" t="inlineStr">
        <is>
          <t>2026-06-19 07:10:32</t>
        </is>
      </c>
      <c r="Y2614" t="inlineStr">
        <is>
          <t>27723734845</t>
        </is>
      </c>
    </row>
    <row r="2615">
      <c r="A2615" t="inlineStr">
        <is>
          <t>14945341</t>
        </is>
      </c>
      <c r="B2615" t="inlineStr">
        <is>
          <t>9c0e270f-6204-40bf-98c1-76dcdb20eca0</t>
        </is>
      </c>
      <c r="D2615" t="inlineStr">
        <is>
          <t>30001087</t>
        </is>
      </c>
      <c r="E2615" t="inlineStr">
        <is>
          <t>ussd_funeral_leads_altitude_20260619</t>
        </is>
      </c>
      <c r="J2615" t="inlineStr">
        <is>
          <t>AA</t>
        </is>
      </c>
      <c r="K2615" t="inlineStr">
        <is>
          <t>Answering Machine Autodial</t>
        </is>
      </c>
      <c r="L2615" t="n">
        <v>3</v>
      </c>
      <c r="M2615" t="inlineStr">
        <is>
          <t>2026-06-23 12:52:31</t>
        </is>
      </c>
      <c r="N2615" t="inlineStr">
        <is>
          <t>system</t>
        </is>
      </c>
      <c r="O2615" t="inlineStr">
        <is>
          <t>2026-06-19 07:10:32</t>
        </is>
      </c>
      <c r="P2615" t="inlineStr">
        <is>
          <t>2026-06-19 07:10:32</t>
        </is>
      </c>
      <c r="Y2615" t="inlineStr">
        <is>
          <t>27818090877</t>
        </is>
      </c>
    </row>
    <row r="2616">
      <c r="A2616" t="inlineStr">
        <is>
          <t>14945339</t>
        </is>
      </c>
      <c r="B2616" t="inlineStr">
        <is>
          <t>2760683f-c9c5-446b-88ca-17a8b7d93f45</t>
        </is>
      </c>
      <c r="D2616" t="inlineStr">
        <is>
          <t>30001087</t>
        </is>
      </c>
      <c r="E2616" t="inlineStr">
        <is>
          <t>ussd_funeral_leads_altitude_20260619</t>
        </is>
      </c>
      <c r="J2616" t="inlineStr">
        <is>
          <t>TDN</t>
        </is>
      </c>
      <c r="K2616" t="inlineStr">
        <is>
          <t>Temporary Disconnected Number</t>
        </is>
      </c>
      <c r="L2616" t="n">
        <v>3</v>
      </c>
      <c r="M2616" t="inlineStr">
        <is>
          <t>2026-06-23 12:52:30</t>
        </is>
      </c>
      <c r="N2616" t="inlineStr">
        <is>
          <t>system</t>
        </is>
      </c>
      <c r="O2616" t="inlineStr">
        <is>
          <t>2026-06-19 07:10:32</t>
        </is>
      </c>
      <c r="P2616" t="inlineStr">
        <is>
          <t>2026-06-19 07:10:32</t>
        </is>
      </c>
      <c r="Y2616" t="inlineStr">
        <is>
          <t>27774614945</t>
        </is>
      </c>
    </row>
    <row r="2617">
      <c r="A2617" t="inlineStr">
        <is>
          <t>14945338</t>
        </is>
      </c>
      <c r="B2617" t="inlineStr">
        <is>
          <t>aff2bade-c044-45c1-bef9-b41de32578fe</t>
        </is>
      </c>
      <c r="D2617" t="inlineStr">
        <is>
          <t>30001087</t>
        </is>
      </c>
      <c r="E2617" t="inlineStr">
        <is>
          <t>ussd_funeral_leads_altitude_20260619</t>
        </is>
      </c>
      <c r="J2617" t="inlineStr">
        <is>
          <t>ADC</t>
        </is>
      </c>
      <c r="K2617" t="inlineStr">
        <is>
          <t>Auto Dial Disconnected</t>
        </is>
      </c>
      <c r="L2617" t="n">
        <v>3</v>
      </c>
      <c r="M2617" t="inlineStr">
        <is>
          <t>2026-06-23 12:52:27</t>
        </is>
      </c>
      <c r="N2617" t="inlineStr">
        <is>
          <t>system</t>
        </is>
      </c>
      <c r="O2617" t="inlineStr">
        <is>
          <t>2026-06-19 07:10:32</t>
        </is>
      </c>
      <c r="P2617" t="inlineStr">
        <is>
          <t>2026-06-19 07:10:32</t>
        </is>
      </c>
      <c r="Y2617" t="inlineStr">
        <is>
          <t>27674332435</t>
        </is>
      </c>
    </row>
    <row r="2618">
      <c r="A2618" t="inlineStr">
        <is>
          <t>14945336</t>
        </is>
      </c>
      <c r="B2618" t="inlineStr">
        <is>
          <t>6b2aae52-f20d-4845-bf78-2856c6048ebb</t>
        </is>
      </c>
      <c r="D2618" t="inlineStr">
        <is>
          <t>30001087</t>
        </is>
      </c>
      <c r="E2618" t="inlineStr">
        <is>
          <t>ussd_funeral_leads_altitude_20260619</t>
        </is>
      </c>
      <c r="J2618" t="inlineStr">
        <is>
          <t>LANG</t>
        </is>
      </c>
      <c r="K2618" t="inlineStr">
        <is>
          <t>Language Barrier</t>
        </is>
      </c>
      <c r="L2618" t="n">
        <v>3</v>
      </c>
      <c r="M2618" t="inlineStr">
        <is>
          <t>2026-06-23 12:52:21</t>
        </is>
      </c>
      <c r="N2618" t="inlineStr">
        <is>
          <t>Lebohang Mabotja</t>
        </is>
      </c>
      <c r="O2618" t="inlineStr">
        <is>
          <t>2026-06-19 07:10:32</t>
        </is>
      </c>
      <c r="P2618" t="inlineStr">
        <is>
          <t>2026-06-19 07:10:32</t>
        </is>
      </c>
      <c r="Y2618" t="inlineStr">
        <is>
          <t>27728064940</t>
        </is>
      </c>
    </row>
    <row r="2619">
      <c r="A2619" t="inlineStr">
        <is>
          <t>14945335</t>
        </is>
      </c>
      <c r="B2619" t="inlineStr">
        <is>
          <t>4d4a2250-3ed1-467e-8483-872e11770d91</t>
        </is>
      </c>
      <c r="D2619" t="inlineStr">
        <is>
          <t>30001087</t>
        </is>
      </c>
      <c r="E2619" t="inlineStr">
        <is>
          <t>ussd_funeral_leads_altitude_20260619</t>
        </is>
      </c>
      <c r="J2619" t="inlineStr">
        <is>
          <t>AA</t>
        </is>
      </c>
      <c r="K2619" t="inlineStr">
        <is>
          <t>Answering Machine Autodial</t>
        </is>
      </c>
      <c r="L2619" t="n">
        <v>3</v>
      </c>
      <c r="M2619" t="inlineStr">
        <is>
          <t>2026-06-23 12:52:20</t>
        </is>
      </c>
      <c r="N2619" t="inlineStr">
        <is>
          <t>system</t>
        </is>
      </c>
      <c r="O2619" t="inlineStr">
        <is>
          <t>2026-06-19 07:10:32</t>
        </is>
      </c>
      <c r="P2619" t="inlineStr">
        <is>
          <t>2026-06-19 07:10:32</t>
        </is>
      </c>
      <c r="Y2619" t="inlineStr">
        <is>
          <t>27637957808</t>
        </is>
      </c>
    </row>
    <row r="2620">
      <c r="A2620" t="inlineStr">
        <is>
          <t>14945334</t>
        </is>
      </c>
      <c r="B2620" t="inlineStr">
        <is>
          <t>7138f1e5-ce3f-4d6f-9e84-d2bc37c7dcf4</t>
        </is>
      </c>
      <c r="D2620" t="inlineStr">
        <is>
          <t>30001087</t>
        </is>
      </c>
      <c r="E2620" t="inlineStr">
        <is>
          <t>ussd_funeral_leads_altitude_20260619</t>
        </is>
      </c>
      <c r="J2620" t="inlineStr">
        <is>
          <t>AA</t>
        </is>
      </c>
      <c r="K2620" t="inlineStr">
        <is>
          <t>Answering Machine Autodial</t>
        </is>
      </c>
      <c r="L2620" t="n">
        <v>3</v>
      </c>
      <c r="M2620" t="inlineStr">
        <is>
          <t>2026-06-23 12:52:15</t>
        </is>
      </c>
      <c r="N2620" t="inlineStr">
        <is>
          <t>system</t>
        </is>
      </c>
      <c r="O2620" t="inlineStr">
        <is>
          <t>2026-06-19 07:10:32</t>
        </is>
      </c>
      <c r="P2620" t="inlineStr">
        <is>
          <t>2026-06-19 07:10:32</t>
        </is>
      </c>
      <c r="Y2620" t="inlineStr">
        <is>
          <t>27661835280</t>
        </is>
      </c>
    </row>
    <row r="2621">
      <c r="A2621" t="inlineStr">
        <is>
          <t>14945331</t>
        </is>
      </c>
      <c r="B2621" t="inlineStr">
        <is>
          <t>7711fb72-3878-4df9-addf-783c2b7ead2f</t>
        </is>
      </c>
      <c r="D2621" t="inlineStr">
        <is>
          <t>30001087</t>
        </is>
      </c>
      <c r="E2621" t="inlineStr">
        <is>
          <t>ussd_funeral_leads_altitude_20260619</t>
        </is>
      </c>
      <c r="J2621" t="inlineStr">
        <is>
          <t>ADC</t>
        </is>
      </c>
      <c r="K2621" t="inlineStr">
        <is>
          <t>Auto Dial Disconnected</t>
        </is>
      </c>
      <c r="L2621" t="n">
        <v>3</v>
      </c>
      <c r="M2621" t="inlineStr">
        <is>
          <t>2026-06-23 12:52:14</t>
        </is>
      </c>
      <c r="N2621" t="inlineStr">
        <is>
          <t>system</t>
        </is>
      </c>
      <c r="O2621" t="inlineStr">
        <is>
          <t>2026-06-19 07:10:32</t>
        </is>
      </c>
      <c r="P2621" t="inlineStr">
        <is>
          <t>2026-06-19 07:10:32</t>
        </is>
      </c>
      <c r="Y2621" t="inlineStr">
        <is>
          <t>27794935765</t>
        </is>
      </c>
    </row>
    <row r="2622">
      <c r="A2622" t="inlineStr">
        <is>
          <t>14945332</t>
        </is>
      </c>
      <c r="B2622" t="inlineStr">
        <is>
          <t>2c541cb7-93f9-470b-8f69-aa153fbb5557</t>
        </is>
      </c>
      <c r="D2622" t="inlineStr">
        <is>
          <t>30001087</t>
        </is>
      </c>
      <c r="E2622" t="inlineStr">
        <is>
          <t>ussd_funeral_leads_altitude_20260619</t>
        </is>
      </c>
      <c r="J2622" t="inlineStr">
        <is>
          <t>ADC</t>
        </is>
      </c>
      <c r="K2622" t="inlineStr">
        <is>
          <t>Auto Dial Disconnected</t>
        </is>
      </c>
      <c r="L2622" t="n">
        <v>3</v>
      </c>
      <c r="M2622" t="inlineStr">
        <is>
          <t>2026-06-23 12:52:14</t>
        </is>
      </c>
      <c r="N2622" t="inlineStr">
        <is>
          <t>system</t>
        </is>
      </c>
      <c r="O2622" t="inlineStr">
        <is>
          <t>2026-06-19 07:10:32</t>
        </is>
      </c>
      <c r="P2622" t="inlineStr">
        <is>
          <t>2026-06-19 07:10:32</t>
        </is>
      </c>
      <c r="Y2622" t="inlineStr">
        <is>
          <t>27663759472</t>
        </is>
      </c>
    </row>
    <row r="2623">
      <c r="A2623" t="inlineStr">
        <is>
          <t>14945333</t>
        </is>
      </c>
      <c r="B2623" t="inlineStr">
        <is>
          <t>356f2d44-0d34-4d1e-bcca-4f8a28c8a0d5</t>
        </is>
      </c>
      <c r="D2623" t="inlineStr">
        <is>
          <t>30001087</t>
        </is>
      </c>
      <c r="E2623" t="inlineStr">
        <is>
          <t>ussd_funeral_leads_altitude_20260619</t>
        </is>
      </c>
      <c r="J2623" t="inlineStr">
        <is>
          <t>AE</t>
        </is>
      </c>
      <c r="K2623" t="inlineStr">
        <is>
          <t>Auto Engaged</t>
        </is>
      </c>
      <c r="L2623" t="n">
        <v>3</v>
      </c>
      <c r="M2623" t="inlineStr">
        <is>
          <t>2026-06-23 12:52:14</t>
        </is>
      </c>
      <c r="N2623" t="inlineStr">
        <is>
          <t>system</t>
        </is>
      </c>
      <c r="O2623" t="inlineStr">
        <is>
          <t>2026-06-19 07:10:32</t>
        </is>
      </c>
      <c r="P2623" t="inlineStr">
        <is>
          <t>2026-06-19 07:10:32</t>
        </is>
      </c>
      <c r="Y2623" t="inlineStr">
        <is>
          <t>27716285991</t>
        </is>
      </c>
    </row>
    <row r="2624">
      <c r="A2624" t="inlineStr">
        <is>
          <t>14945325</t>
        </is>
      </c>
      <c r="B2624" t="inlineStr">
        <is>
          <t>ca2f45b1-4bdf-465e-8833-0bcff21d1782</t>
        </is>
      </c>
      <c r="D2624" t="inlineStr">
        <is>
          <t>30001087</t>
        </is>
      </c>
      <c r="E2624" t="inlineStr">
        <is>
          <t>ussd_funeral_leads_altitude_20260619</t>
        </is>
      </c>
      <c r="J2624" t="inlineStr">
        <is>
          <t>AA</t>
        </is>
      </c>
      <c r="K2624" t="inlineStr">
        <is>
          <t>Answering Machine Autodial</t>
        </is>
      </c>
      <c r="L2624" t="n">
        <v>3</v>
      </c>
      <c r="M2624" t="inlineStr">
        <is>
          <t>2026-06-23 12:52:13</t>
        </is>
      </c>
      <c r="N2624" t="inlineStr">
        <is>
          <t>system</t>
        </is>
      </c>
      <c r="O2624" t="inlineStr">
        <is>
          <t>2026-06-19 07:10:32</t>
        </is>
      </c>
      <c r="P2624" t="inlineStr">
        <is>
          <t>2026-06-19 07:10:32</t>
        </is>
      </c>
      <c r="Y2624" t="inlineStr">
        <is>
          <t>27795742855</t>
        </is>
      </c>
    </row>
    <row r="2625">
      <c r="A2625" t="inlineStr">
        <is>
          <t>14945326</t>
        </is>
      </c>
      <c r="B2625" t="inlineStr">
        <is>
          <t>f1aa1d1a-a27c-4639-bbc2-26c2870907d3</t>
        </is>
      </c>
      <c r="D2625" t="inlineStr">
        <is>
          <t>30001087</t>
        </is>
      </c>
      <c r="E2625" t="inlineStr">
        <is>
          <t>ussd_funeral_leads_altitude_20260619</t>
        </is>
      </c>
      <c r="J2625" t="inlineStr">
        <is>
          <t>ADC</t>
        </is>
      </c>
      <c r="K2625" t="inlineStr">
        <is>
          <t>Auto Dial Disconnected</t>
        </is>
      </c>
      <c r="L2625" t="n">
        <v>3</v>
      </c>
      <c r="M2625" t="inlineStr">
        <is>
          <t>2026-06-23 12:52:13</t>
        </is>
      </c>
      <c r="N2625" t="inlineStr">
        <is>
          <t>system</t>
        </is>
      </c>
      <c r="O2625" t="inlineStr">
        <is>
          <t>2026-06-19 07:10:32</t>
        </is>
      </c>
      <c r="P2625" t="inlineStr">
        <is>
          <t>2026-06-19 07:10:32</t>
        </is>
      </c>
      <c r="Y2625" t="inlineStr">
        <is>
          <t>27663300576</t>
        </is>
      </c>
    </row>
    <row r="2626">
      <c r="A2626" t="inlineStr">
        <is>
          <t>14945327</t>
        </is>
      </c>
      <c r="B2626" t="inlineStr">
        <is>
          <t>8ee60ce8-90dc-4e81-82a2-473054220b23</t>
        </is>
      </c>
      <c r="D2626" t="inlineStr">
        <is>
          <t>30001087</t>
        </is>
      </c>
      <c r="E2626" t="inlineStr">
        <is>
          <t>ussd_funeral_leads_altitude_20260619</t>
        </is>
      </c>
      <c r="J2626" t="inlineStr">
        <is>
          <t>AA</t>
        </is>
      </c>
      <c r="K2626" t="inlineStr">
        <is>
          <t>Answering Machine Autodial</t>
        </is>
      </c>
      <c r="L2626" t="n">
        <v>3</v>
      </c>
      <c r="M2626" t="inlineStr">
        <is>
          <t>2026-06-23 12:52:13</t>
        </is>
      </c>
      <c r="N2626" t="inlineStr">
        <is>
          <t>system</t>
        </is>
      </c>
      <c r="O2626" t="inlineStr">
        <is>
          <t>2026-06-19 07:10:32</t>
        </is>
      </c>
      <c r="P2626" t="inlineStr">
        <is>
          <t>2026-06-19 07:10:32</t>
        </is>
      </c>
      <c r="Y2626" t="inlineStr">
        <is>
          <t>27660408944</t>
        </is>
      </c>
    </row>
    <row r="2627">
      <c r="A2627" t="inlineStr">
        <is>
          <t>14945329</t>
        </is>
      </c>
      <c r="B2627" t="inlineStr">
        <is>
          <t>088a8e8c-1374-4125-bd41-b5e6bcf22ad3</t>
        </is>
      </c>
      <c r="D2627" t="inlineStr">
        <is>
          <t>30001087</t>
        </is>
      </c>
      <c r="E2627" t="inlineStr">
        <is>
          <t>ussd_funeral_leads_altitude_20260619</t>
        </is>
      </c>
      <c r="J2627" t="inlineStr">
        <is>
          <t>AA</t>
        </is>
      </c>
      <c r="K2627" t="inlineStr">
        <is>
          <t>Answering Machine Autodial</t>
        </is>
      </c>
      <c r="L2627" t="n">
        <v>3</v>
      </c>
      <c r="M2627" t="inlineStr">
        <is>
          <t>2026-06-23 12:52:13</t>
        </is>
      </c>
      <c r="N2627" t="inlineStr">
        <is>
          <t>system</t>
        </is>
      </c>
      <c r="O2627" t="inlineStr">
        <is>
          <t>2026-06-19 07:10:32</t>
        </is>
      </c>
      <c r="P2627" t="inlineStr">
        <is>
          <t>2026-06-19 07:10:32</t>
        </is>
      </c>
      <c r="Y2627" t="inlineStr">
        <is>
          <t>27799539378</t>
        </is>
      </c>
    </row>
    <row r="2628">
      <c r="A2628" t="inlineStr">
        <is>
          <t>14945330</t>
        </is>
      </c>
      <c r="B2628" t="inlineStr">
        <is>
          <t>7dc877cd-37b2-44c0-baae-c52b1060a047</t>
        </is>
      </c>
      <c r="D2628" t="inlineStr">
        <is>
          <t>30001087</t>
        </is>
      </c>
      <c r="E2628" t="inlineStr">
        <is>
          <t>ussd_funeral_leads_altitude_20260619</t>
        </is>
      </c>
      <c r="J2628" t="inlineStr">
        <is>
          <t>ADC</t>
        </is>
      </c>
      <c r="K2628" t="inlineStr">
        <is>
          <t>Auto Dial Disconnected</t>
        </is>
      </c>
      <c r="L2628" t="n">
        <v>3</v>
      </c>
      <c r="M2628" t="inlineStr">
        <is>
          <t>2026-06-23 12:52:13</t>
        </is>
      </c>
      <c r="N2628" t="inlineStr">
        <is>
          <t>system</t>
        </is>
      </c>
      <c r="O2628" t="inlineStr">
        <is>
          <t>2026-06-19 07:10:32</t>
        </is>
      </c>
      <c r="P2628" t="inlineStr">
        <is>
          <t>2026-06-19 07:10:32</t>
        </is>
      </c>
      <c r="Y2628" t="inlineStr">
        <is>
          <t>27607396772</t>
        </is>
      </c>
    </row>
    <row r="2629">
      <c r="A2629" t="inlineStr">
        <is>
          <t>14945323</t>
        </is>
      </c>
      <c r="B2629" t="inlineStr">
        <is>
          <t>c317ae29-3a48-41d2-91a1-39533f1d5e18</t>
        </is>
      </c>
      <c r="D2629" t="inlineStr">
        <is>
          <t>30001087</t>
        </is>
      </c>
      <c r="E2629" t="inlineStr">
        <is>
          <t>ussd_funeral_leads_altitude_20260619</t>
        </is>
      </c>
      <c r="J2629" t="inlineStr">
        <is>
          <t>AA</t>
        </is>
      </c>
      <c r="K2629" t="inlineStr">
        <is>
          <t>Answering Machine Autodial</t>
        </is>
      </c>
      <c r="L2629" t="n">
        <v>3</v>
      </c>
      <c r="M2629" t="inlineStr">
        <is>
          <t>2026-06-23 12:52:12</t>
        </is>
      </c>
      <c r="N2629" t="inlineStr">
        <is>
          <t>system</t>
        </is>
      </c>
      <c r="O2629" t="inlineStr">
        <is>
          <t>2026-06-19 07:10:32</t>
        </is>
      </c>
      <c r="P2629" t="inlineStr">
        <is>
          <t>2026-06-19 07:10:32</t>
        </is>
      </c>
      <c r="Y2629" t="inlineStr">
        <is>
          <t>27712245143</t>
        </is>
      </c>
    </row>
    <row r="2630">
      <c r="A2630" t="inlineStr">
        <is>
          <t>14945324</t>
        </is>
      </c>
      <c r="B2630" t="inlineStr">
        <is>
          <t>b9a2ade1-3014-4b9d-aeb1-3ff194d1db3a</t>
        </is>
      </c>
      <c r="D2630" t="inlineStr">
        <is>
          <t>30001087</t>
        </is>
      </c>
      <c r="E2630" t="inlineStr">
        <is>
          <t>ussd_funeral_leads_altitude_20260619</t>
        </is>
      </c>
      <c r="J2630" t="inlineStr">
        <is>
          <t>AA</t>
        </is>
      </c>
      <c r="K2630" t="inlineStr">
        <is>
          <t>Answering Machine Autodial</t>
        </is>
      </c>
      <c r="L2630" t="n">
        <v>3</v>
      </c>
      <c r="M2630" t="inlineStr">
        <is>
          <t>2026-06-23 12:52:12</t>
        </is>
      </c>
      <c r="N2630" t="inlineStr">
        <is>
          <t>system</t>
        </is>
      </c>
      <c r="O2630" t="inlineStr">
        <is>
          <t>2026-06-19 07:10:32</t>
        </is>
      </c>
      <c r="P2630" t="inlineStr">
        <is>
          <t>2026-06-19 07:10:32</t>
        </is>
      </c>
      <c r="Y2630" t="inlineStr">
        <is>
          <t>27646367884</t>
        </is>
      </c>
    </row>
    <row r="2631">
      <c r="A2631" t="inlineStr">
        <is>
          <t>14945322</t>
        </is>
      </c>
      <c r="B2631" t="inlineStr">
        <is>
          <t>3f5a50b5-312f-476d-8ebc-ccbb3a5ebfcb</t>
        </is>
      </c>
      <c r="D2631" t="inlineStr">
        <is>
          <t>30001087</t>
        </is>
      </c>
      <c r="E2631" t="inlineStr">
        <is>
          <t>ussd_funeral_leads_altitude_20260619</t>
        </is>
      </c>
      <c r="J2631" t="inlineStr">
        <is>
          <t>AA</t>
        </is>
      </c>
      <c r="K2631" t="inlineStr">
        <is>
          <t>Answering Machine Autodial</t>
        </is>
      </c>
      <c r="L2631" t="n">
        <v>3</v>
      </c>
      <c r="M2631" t="inlineStr">
        <is>
          <t>2026-06-23 12:51:40</t>
        </is>
      </c>
      <c r="N2631" t="inlineStr">
        <is>
          <t>system</t>
        </is>
      </c>
      <c r="O2631" t="inlineStr">
        <is>
          <t>2026-06-19 07:10:32</t>
        </is>
      </c>
      <c r="P2631" t="inlineStr">
        <is>
          <t>2026-06-19 07:10:32</t>
        </is>
      </c>
      <c r="Y2631" t="inlineStr">
        <is>
          <t>27665549399</t>
        </is>
      </c>
    </row>
    <row r="2632">
      <c r="A2632" t="inlineStr">
        <is>
          <t>14945321</t>
        </is>
      </c>
      <c r="B2632" t="inlineStr">
        <is>
          <t>01f4e356-9561-431b-9952-2a6b02ebf8b2</t>
        </is>
      </c>
      <c r="D2632" t="inlineStr">
        <is>
          <t>30001087</t>
        </is>
      </c>
      <c r="E2632" t="inlineStr">
        <is>
          <t>ussd_funeral_leads_altitude_20260619</t>
        </is>
      </c>
      <c r="J2632" t="inlineStr">
        <is>
          <t>AA</t>
        </is>
      </c>
      <c r="K2632" t="inlineStr">
        <is>
          <t>Answering Machine Autodial</t>
        </is>
      </c>
      <c r="L2632" t="n">
        <v>3</v>
      </c>
      <c r="M2632" t="inlineStr">
        <is>
          <t>2026-06-23 12:51:34</t>
        </is>
      </c>
      <c r="N2632" t="inlineStr">
        <is>
          <t>system</t>
        </is>
      </c>
      <c r="O2632" t="inlineStr">
        <is>
          <t>2026-06-19 07:10:32</t>
        </is>
      </c>
      <c r="P2632" t="inlineStr">
        <is>
          <t>2026-06-19 07:10:32</t>
        </is>
      </c>
      <c r="Y2632" t="inlineStr">
        <is>
          <t>27763145521</t>
        </is>
      </c>
    </row>
    <row r="2633">
      <c r="A2633" t="inlineStr">
        <is>
          <t>14947730</t>
        </is>
      </c>
      <c r="B2633" t="inlineStr">
        <is>
          <t>77edbb46-da5f-4770-bdd3-048e61e9195b</t>
        </is>
      </c>
      <c r="D2633" t="inlineStr">
        <is>
          <t>30001087</t>
        </is>
      </c>
      <c r="E2633" t="inlineStr">
        <is>
          <t>ussd_funeral_leads_altitude_20260619</t>
        </is>
      </c>
      <c r="J2633" t="inlineStr">
        <is>
          <t>AA</t>
        </is>
      </c>
      <c r="K2633" t="inlineStr">
        <is>
          <t>Answering Machine Autodial</t>
        </is>
      </c>
      <c r="L2633" t="n">
        <v>3</v>
      </c>
      <c r="M2633" t="inlineStr">
        <is>
          <t>2026-06-23 12:51:29</t>
        </is>
      </c>
      <c r="N2633" t="inlineStr">
        <is>
          <t>system</t>
        </is>
      </c>
      <c r="O2633" t="inlineStr">
        <is>
          <t>2026-06-19 07:10:32</t>
        </is>
      </c>
      <c r="P2633" t="inlineStr">
        <is>
          <t>2026-06-19 07:10:32</t>
        </is>
      </c>
      <c r="Y2633" t="inlineStr">
        <is>
          <t>27726887323</t>
        </is>
      </c>
    </row>
    <row r="2634">
      <c r="A2634" t="inlineStr">
        <is>
          <t>14945440</t>
        </is>
      </c>
      <c r="B2634" t="inlineStr">
        <is>
          <t>6d45d05e-c415-4c5e-b8b0-c507b675c9f0</t>
        </is>
      </c>
      <c r="D2634" t="inlineStr">
        <is>
          <t>30001087</t>
        </is>
      </c>
      <c r="E2634" t="inlineStr">
        <is>
          <t>ussd_funeral_leads_altitude_20260619</t>
        </is>
      </c>
      <c r="J2634" t="inlineStr">
        <is>
          <t>AA</t>
        </is>
      </c>
      <c r="K2634" t="inlineStr">
        <is>
          <t>Answering Machine Autodial</t>
        </is>
      </c>
      <c r="L2634" t="n">
        <v>3</v>
      </c>
      <c r="M2634" t="inlineStr">
        <is>
          <t>2026-06-23 12:51:21</t>
        </is>
      </c>
      <c r="N2634" t="inlineStr">
        <is>
          <t>system</t>
        </is>
      </c>
      <c r="O2634" t="inlineStr">
        <is>
          <t>2026-06-19 07:10:32</t>
        </is>
      </c>
      <c r="P2634" t="inlineStr">
        <is>
          <t>2026-06-19 07:10:32</t>
        </is>
      </c>
      <c r="Y2634" t="inlineStr">
        <is>
          <t>27792004057</t>
        </is>
      </c>
    </row>
    <row r="2635">
      <c r="A2635" t="inlineStr">
        <is>
          <t>14945438</t>
        </is>
      </c>
      <c r="B2635" t="inlineStr">
        <is>
          <t>dcdcf249-3aac-412b-99da-24701e6cbff6</t>
        </is>
      </c>
      <c r="D2635" t="inlineStr">
        <is>
          <t>30001087</t>
        </is>
      </c>
      <c r="E2635" t="inlineStr">
        <is>
          <t>ussd_funeral_leads_altitude_20260619</t>
        </is>
      </c>
      <c r="J2635" t="inlineStr">
        <is>
          <t>AA</t>
        </is>
      </c>
      <c r="K2635" t="inlineStr">
        <is>
          <t>Answering Machine Autodial</t>
        </is>
      </c>
      <c r="L2635" t="n">
        <v>3</v>
      </c>
      <c r="M2635" t="inlineStr">
        <is>
          <t>2026-06-23 12:51:21</t>
        </is>
      </c>
      <c r="N2635" t="inlineStr">
        <is>
          <t>system</t>
        </is>
      </c>
      <c r="O2635" t="inlineStr">
        <is>
          <t>2026-06-19 07:10:32</t>
        </is>
      </c>
      <c r="P2635" t="inlineStr">
        <is>
          <t>2026-06-19 07:10:32</t>
        </is>
      </c>
      <c r="Y2635" t="inlineStr">
        <is>
          <t>27796379204</t>
        </is>
      </c>
    </row>
    <row r="2636">
      <c r="A2636" t="inlineStr">
        <is>
          <t>14945437</t>
        </is>
      </c>
      <c r="B2636" t="inlineStr">
        <is>
          <t>e83e077d-2a5d-46bd-80dc-c702dd0afe3d</t>
        </is>
      </c>
      <c r="D2636" t="inlineStr">
        <is>
          <t>30001087</t>
        </is>
      </c>
      <c r="E2636" t="inlineStr">
        <is>
          <t>ussd_funeral_leads_altitude_20260619</t>
        </is>
      </c>
      <c r="J2636" t="inlineStr">
        <is>
          <t>AA</t>
        </is>
      </c>
      <c r="K2636" t="inlineStr">
        <is>
          <t>Answering Machine Autodial</t>
        </is>
      </c>
      <c r="L2636" t="n">
        <v>3</v>
      </c>
      <c r="M2636" t="inlineStr">
        <is>
          <t>2026-06-23 12:51:17</t>
        </is>
      </c>
      <c r="N2636" t="inlineStr">
        <is>
          <t>system</t>
        </is>
      </c>
      <c r="O2636" t="inlineStr">
        <is>
          <t>2026-06-19 07:10:32</t>
        </is>
      </c>
      <c r="P2636" t="inlineStr">
        <is>
          <t>2026-06-19 07:10:32</t>
        </is>
      </c>
      <c r="Y2636" t="inlineStr">
        <is>
          <t>27822003455</t>
        </is>
      </c>
    </row>
    <row r="2637">
      <c r="A2637" t="inlineStr">
        <is>
          <t>14945436</t>
        </is>
      </c>
      <c r="B2637" t="inlineStr">
        <is>
          <t>d4622070-9038-48d2-b96d-0c20f73f2cc7</t>
        </is>
      </c>
      <c r="D2637" t="inlineStr">
        <is>
          <t>30001087</t>
        </is>
      </c>
      <c r="E2637" t="inlineStr">
        <is>
          <t>ussd_funeral_leads_altitude_20260619</t>
        </is>
      </c>
      <c r="J2637" t="inlineStr">
        <is>
          <t>AA</t>
        </is>
      </c>
      <c r="K2637" t="inlineStr">
        <is>
          <t>Answering Machine Autodial</t>
        </is>
      </c>
      <c r="L2637" t="n">
        <v>3</v>
      </c>
      <c r="M2637" t="inlineStr">
        <is>
          <t>2026-06-23 12:51:16</t>
        </is>
      </c>
      <c r="N2637" t="inlineStr">
        <is>
          <t>system</t>
        </is>
      </c>
      <c r="O2637" t="inlineStr">
        <is>
          <t>2026-06-19 07:10:32</t>
        </is>
      </c>
      <c r="P2637" t="inlineStr">
        <is>
          <t>2026-06-19 07:10:32</t>
        </is>
      </c>
      <c r="Y2637" t="inlineStr">
        <is>
          <t>27798823910</t>
        </is>
      </c>
    </row>
    <row r="2638">
      <c r="A2638" t="inlineStr">
        <is>
          <t>14945435</t>
        </is>
      </c>
      <c r="B2638" t="inlineStr">
        <is>
          <t>b0cab551-57b0-4122-8fe6-95ae4962ad3a</t>
        </is>
      </c>
      <c r="D2638" t="inlineStr">
        <is>
          <t>30001087</t>
        </is>
      </c>
      <c r="E2638" t="inlineStr">
        <is>
          <t>ussd_funeral_leads_altitude_20260619</t>
        </is>
      </c>
      <c r="J2638" t="inlineStr">
        <is>
          <t>AA</t>
        </is>
      </c>
      <c r="K2638" t="inlineStr">
        <is>
          <t>Answering Machine Autodial</t>
        </is>
      </c>
      <c r="L2638" t="n">
        <v>3</v>
      </c>
      <c r="M2638" t="inlineStr">
        <is>
          <t>2026-06-23 12:51:15</t>
        </is>
      </c>
      <c r="N2638" t="inlineStr">
        <is>
          <t>system</t>
        </is>
      </c>
      <c r="O2638" t="inlineStr">
        <is>
          <t>2026-06-19 07:10:32</t>
        </is>
      </c>
      <c r="P2638" t="inlineStr">
        <is>
          <t>2026-06-19 07:10:32</t>
        </is>
      </c>
      <c r="Y2638" t="inlineStr">
        <is>
          <t>27726537829</t>
        </is>
      </c>
    </row>
    <row r="2639">
      <c r="A2639" t="inlineStr">
        <is>
          <t>14945434</t>
        </is>
      </c>
      <c r="B2639" t="inlineStr">
        <is>
          <t>3783a8b0-981d-439c-b805-87b20ac922aa</t>
        </is>
      </c>
      <c r="D2639" t="inlineStr">
        <is>
          <t>30001087</t>
        </is>
      </c>
      <c r="E2639" t="inlineStr">
        <is>
          <t>ussd_funeral_leads_altitude_20260619</t>
        </is>
      </c>
      <c r="J2639" t="inlineStr">
        <is>
          <t>NA</t>
        </is>
      </c>
      <c r="K2639" t="inlineStr">
        <is>
          <t>No Answer Autodial</t>
        </is>
      </c>
      <c r="L2639" t="n">
        <v>3</v>
      </c>
      <c r="M2639" t="inlineStr">
        <is>
          <t>2026-06-23 12:51:10</t>
        </is>
      </c>
      <c r="N2639" t="inlineStr">
        <is>
          <t>system</t>
        </is>
      </c>
      <c r="O2639" t="inlineStr">
        <is>
          <t>2026-06-19 07:10:32</t>
        </is>
      </c>
      <c r="P2639" t="inlineStr">
        <is>
          <t>2026-06-19 07:10:32</t>
        </is>
      </c>
      <c r="Y2639" t="inlineStr">
        <is>
          <t>27664178094</t>
        </is>
      </c>
    </row>
    <row r="2640">
      <c r="A2640" t="inlineStr">
        <is>
          <t>14945432</t>
        </is>
      </c>
      <c r="B2640" t="inlineStr">
        <is>
          <t>afd7bd76-220d-411e-b14a-011a24714252</t>
        </is>
      </c>
      <c r="D2640" t="inlineStr">
        <is>
          <t>30001087</t>
        </is>
      </c>
      <c r="E2640" t="inlineStr">
        <is>
          <t>ussd_funeral_leads_altitude_20260619</t>
        </is>
      </c>
      <c r="J2640" t="inlineStr">
        <is>
          <t>AA</t>
        </is>
      </c>
      <c r="K2640" t="inlineStr">
        <is>
          <t>Answering Machine Autodial</t>
        </is>
      </c>
      <c r="L2640" t="n">
        <v>3</v>
      </c>
      <c r="M2640" t="inlineStr">
        <is>
          <t>2026-06-23 12:51:09</t>
        </is>
      </c>
      <c r="N2640" t="inlineStr">
        <is>
          <t>system</t>
        </is>
      </c>
      <c r="O2640" t="inlineStr">
        <is>
          <t>2026-06-19 07:10:32</t>
        </is>
      </c>
      <c r="P2640" t="inlineStr">
        <is>
          <t>2026-06-19 07:10:32</t>
        </is>
      </c>
      <c r="Y2640" t="inlineStr">
        <is>
          <t>27637020702</t>
        </is>
      </c>
    </row>
    <row r="2641">
      <c r="A2641" t="inlineStr">
        <is>
          <t>14945433</t>
        </is>
      </c>
      <c r="B2641" t="inlineStr">
        <is>
          <t>fc5f7313-573d-4fa2-917f-a8ac0819cb5d</t>
        </is>
      </c>
      <c r="D2641" t="inlineStr">
        <is>
          <t>30001087</t>
        </is>
      </c>
      <c r="E2641" t="inlineStr">
        <is>
          <t>ussd_funeral_leads_altitude_20260619</t>
        </is>
      </c>
      <c r="J2641" t="inlineStr">
        <is>
          <t>ADC</t>
        </is>
      </c>
      <c r="K2641" t="inlineStr">
        <is>
          <t>Auto Dial Disconnected</t>
        </is>
      </c>
      <c r="L2641" t="n">
        <v>3</v>
      </c>
      <c r="M2641" t="inlineStr">
        <is>
          <t>2026-06-23 12:51:09</t>
        </is>
      </c>
      <c r="N2641" t="inlineStr">
        <is>
          <t>system</t>
        </is>
      </c>
      <c r="O2641" t="inlineStr">
        <is>
          <t>2026-06-19 07:10:32</t>
        </is>
      </c>
      <c r="P2641" t="inlineStr">
        <is>
          <t>2026-06-19 07:10:32</t>
        </is>
      </c>
      <c r="Y2641" t="inlineStr">
        <is>
          <t>27769071801</t>
        </is>
      </c>
    </row>
    <row r="2642">
      <c r="A2642" t="inlineStr">
        <is>
          <t>14945431</t>
        </is>
      </c>
      <c r="B2642" t="inlineStr">
        <is>
          <t>c5cdcf2b-2370-4f84-869f-889e7702de7f</t>
        </is>
      </c>
      <c r="D2642" t="inlineStr">
        <is>
          <t>30001087</t>
        </is>
      </c>
      <c r="E2642" t="inlineStr">
        <is>
          <t>ussd_funeral_leads_altitude_20260619</t>
        </is>
      </c>
      <c r="J2642" t="inlineStr">
        <is>
          <t>CU</t>
        </is>
      </c>
      <c r="K2642" t="inlineStr">
        <is>
          <t>Client Hung Up</t>
        </is>
      </c>
      <c r="L2642" t="n">
        <v>3</v>
      </c>
      <c r="M2642" t="inlineStr">
        <is>
          <t>2026-06-23 12:50:57</t>
        </is>
      </c>
      <c r="N2642" t="inlineStr">
        <is>
          <t>Lebohang Mabotja</t>
        </is>
      </c>
      <c r="O2642" t="inlineStr">
        <is>
          <t>2026-06-19 07:10:32</t>
        </is>
      </c>
      <c r="P2642" t="inlineStr">
        <is>
          <t>2026-06-19 07:10:32</t>
        </is>
      </c>
      <c r="Y2642" t="inlineStr">
        <is>
          <t>27799281536</t>
        </is>
      </c>
    </row>
    <row r="2643">
      <c r="A2643" t="inlineStr">
        <is>
          <t>14945430</t>
        </is>
      </c>
      <c r="B2643" t="inlineStr">
        <is>
          <t>1dc0f5a0-3c6f-4382-8ddd-ca728b0dedbd</t>
        </is>
      </c>
      <c r="D2643" t="inlineStr">
        <is>
          <t>30001087</t>
        </is>
      </c>
      <c r="E2643" t="inlineStr">
        <is>
          <t>ussd_funeral_leads_altitude_20260619</t>
        </is>
      </c>
      <c r="J2643" t="inlineStr">
        <is>
          <t>DROP</t>
        </is>
      </c>
      <c r="K2643" t="inlineStr">
        <is>
          <t>Dropped</t>
        </is>
      </c>
      <c r="L2643" t="n">
        <v>3</v>
      </c>
      <c r="M2643" t="inlineStr">
        <is>
          <t>2026-06-23 12:50:46</t>
        </is>
      </c>
      <c r="N2643" t="inlineStr">
        <is>
          <t>system</t>
        </is>
      </c>
      <c r="O2643" t="inlineStr">
        <is>
          <t>2026-06-19 07:10:32</t>
        </is>
      </c>
      <c r="P2643" t="inlineStr">
        <is>
          <t>2026-06-19 07:10:32</t>
        </is>
      </c>
      <c r="Y2643" t="inlineStr">
        <is>
          <t>27725600918</t>
        </is>
      </c>
    </row>
    <row r="2644">
      <c r="A2644" t="inlineStr">
        <is>
          <t>14945429</t>
        </is>
      </c>
      <c r="B2644" t="inlineStr">
        <is>
          <t>82142bfa-ccd0-42d6-aa03-7807da5f2435</t>
        </is>
      </c>
      <c r="D2644" t="inlineStr">
        <is>
          <t>30001087</t>
        </is>
      </c>
      <c r="E2644" t="inlineStr">
        <is>
          <t>ussd_funeral_leads_altitude_20260619</t>
        </is>
      </c>
      <c r="J2644" t="inlineStr">
        <is>
          <t>ADC</t>
        </is>
      </c>
      <c r="K2644" t="inlineStr">
        <is>
          <t>Auto Dial Disconnected</t>
        </is>
      </c>
      <c r="L2644" t="n">
        <v>3</v>
      </c>
      <c r="M2644" t="inlineStr">
        <is>
          <t>2026-06-23 12:50:45</t>
        </is>
      </c>
      <c r="N2644" t="inlineStr">
        <is>
          <t>system</t>
        </is>
      </c>
      <c r="O2644" t="inlineStr">
        <is>
          <t>2026-06-19 07:10:32</t>
        </is>
      </c>
      <c r="P2644" t="inlineStr">
        <is>
          <t>2026-06-19 07:10:32</t>
        </is>
      </c>
      <c r="Y2644" t="inlineStr">
        <is>
          <t>27760612950</t>
        </is>
      </c>
    </row>
    <row r="2645">
      <c r="A2645" t="inlineStr">
        <is>
          <t>14945428</t>
        </is>
      </c>
      <c r="B2645" t="inlineStr">
        <is>
          <t>ba89384c-a343-44c3-9bc0-403192dbfbec</t>
        </is>
      </c>
      <c r="D2645" t="inlineStr">
        <is>
          <t>30001087</t>
        </is>
      </c>
      <c r="E2645" t="inlineStr">
        <is>
          <t>ussd_funeral_leads_altitude_20260619</t>
        </is>
      </c>
      <c r="J2645" t="inlineStr">
        <is>
          <t>NA</t>
        </is>
      </c>
      <c r="K2645" t="inlineStr">
        <is>
          <t>No Answer Autodial</t>
        </is>
      </c>
      <c r="L2645" t="n">
        <v>3</v>
      </c>
      <c r="M2645" t="inlineStr">
        <is>
          <t>2026-06-23 12:50:42</t>
        </is>
      </c>
      <c r="N2645" t="inlineStr">
        <is>
          <t>system</t>
        </is>
      </c>
      <c r="O2645" t="inlineStr">
        <is>
          <t>2026-06-19 07:10:32</t>
        </is>
      </c>
      <c r="P2645" t="inlineStr">
        <is>
          <t>2026-06-19 07:10:32</t>
        </is>
      </c>
      <c r="Y2645" t="inlineStr">
        <is>
          <t>27797483306</t>
        </is>
      </c>
    </row>
    <row r="2646">
      <c r="A2646" t="inlineStr">
        <is>
          <t>14945427</t>
        </is>
      </c>
      <c r="B2646" t="inlineStr">
        <is>
          <t>8831d3c9-e6ed-4635-88f7-95a1cf9d5891</t>
        </is>
      </c>
      <c r="D2646" t="inlineStr">
        <is>
          <t>30001087</t>
        </is>
      </c>
      <c r="E2646" t="inlineStr">
        <is>
          <t>ussd_funeral_leads_altitude_20260619</t>
        </is>
      </c>
      <c r="J2646" t="inlineStr">
        <is>
          <t>DNQS</t>
        </is>
      </c>
      <c r="K2646" t="inlineStr">
        <is>
          <t>Does Not Qualify</t>
        </is>
      </c>
      <c r="L2646" t="n">
        <v>3</v>
      </c>
      <c r="M2646" t="inlineStr">
        <is>
          <t>2026-06-23 12:50:41</t>
        </is>
      </c>
      <c r="N2646" t="inlineStr">
        <is>
          <t>Gontse Monageng</t>
        </is>
      </c>
      <c r="O2646" t="inlineStr">
        <is>
          <t>2026-06-19 07:10:32</t>
        </is>
      </c>
      <c r="P2646" t="inlineStr">
        <is>
          <t>2026-06-19 07:10:32</t>
        </is>
      </c>
      <c r="Y2646" t="inlineStr">
        <is>
          <t>27797874757</t>
        </is>
      </c>
    </row>
    <row r="2647">
      <c r="A2647" t="inlineStr">
        <is>
          <t>14945426</t>
        </is>
      </c>
      <c r="B2647" t="inlineStr">
        <is>
          <t>9985dd29-98d1-451d-bd1f-1ed316460745</t>
        </is>
      </c>
      <c r="D2647" t="inlineStr">
        <is>
          <t>30001087</t>
        </is>
      </c>
      <c r="E2647" t="inlineStr">
        <is>
          <t>ussd_funeral_leads_altitude_20260619</t>
        </is>
      </c>
      <c r="J2647" t="inlineStr">
        <is>
          <t>AA</t>
        </is>
      </c>
      <c r="K2647" t="inlineStr">
        <is>
          <t>Answering Machine Autodial</t>
        </is>
      </c>
      <c r="L2647" t="n">
        <v>3</v>
      </c>
      <c r="M2647" t="inlineStr">
        <is>
          <t>2026-06-23 12:50:35</t>
        </is>
      </c>
      <c r="N2647" t="inlineStr">
        <is>
          <t>system</t>
        </is>
      </c>
      <c r="O2647" t="inlineStr">
        <is>
          <t>2026-06-19 07:10:32</t>
        </is>
      </c>
      <c r="P2647" t="inlineStr">
        <is>
          <t>2026-06-19 07:10:32</t>
        </is>
      </c>
      <c r="Y2647" t="inlineStr">
        <is>
          <t>27763815054</t>
        </is>
      </c>
    </row>
    <row r="2648">
      <c r="A2648" t="inlineStr">
        <is>
          <t>14945424</t>
        </is>
      </c>
      <c r="B2648" t="inlineStr">
        <is>
          <t>046f4683-a5c0-4efe-91b1-80edaa808a78</t>
        </is>
      </c>
      <c r="D2648" t="inlineStr">
        <is>
          <t>30001087</t>
        </is>
      </c>
      <c r="E2648" t="inlineStr">
        <is>
          <t>ussd_funeral_leads_altitude_20260619</t>
        </is>
      </c>
      <c r="J2648" t="inlineStr">
        <is>
          <t>AE</t>
        </is>
      </c>
      <c r="K2648" t="inlineStr">
        <is>
          <t>Auto Engaged</t>
        </is>
      </c>
      <c r="L2648" t="n">
        <v>3</v>
      </c>
      <c r="M2648" t="inlineStr">
        <is>
          <t>2026-06-23 12:50:33</t>
        </is>
      </c>
      <c r="N2648" t="inlineStr">
        <is>
          <t>system</t>
        </is>
      </c>
      <c r="O2648" t="inlineStr">
        <is>
          <t>2026-06-19 07:10:32</t>
        </is>
      </c>
      <c r="P2648" t="inlineStr">
        <is>
          <t>2026-06-19 07:10:32</t>
        </is>
      </c>
      <c r="Y2648" t="inlineStr">
        <is>
          <t>27768747714</t>
        </is>
      </c>
    </row>
    <row r="2649">
      <c r="A2649" t="inlineStr">
        <is>
          <t>14945382</t>
        </is>
      </c>
      <c r="B2649" t="inlineStr">
        <is>
          <t>85f3a9d6-ebcd-4c9e-a44b-18a8cac27792</t>
        </is>
      </c>
      <c r="D2649" t="inlineStr">
        <is>
          <t>30001087</t>
        </is>
      </c>
      <c r="E2649" t="inlineStr">
        <is>
          <t>ussd_funeral_leads_altitude_20260619</t>
        </is>
      </c>
      <c r="J2649" t="inlineStr">
        <is>
          <t>AA</t>
        </is>
      </c>
      <c r="K2649" t="inlineStr">
        <is>
          <t>Answering Machine Autodial</t>
        </is>
      </c>
      <c r="L2649" t="n">
        <v>3</v>
      </c>
      <c r="M2649" t="inlineStr">
        <is>
          <t>2026-06-23 12:50:29</t>
        </is>
      </c>
      <c r="N2649" t="inlineStr">
        <is>
          <t>system</t>
        </is>
      </c>
      <c r="O2649" t="inlineStr">
        <is>
          <t>2026-06-19 07:10:32</t>
        </is>
      </c>
      <c r="P2649" t="inlineStr">
        <is>
          <t>2026-06-19 07:10:32</t>
        </is>
      </c>
      <c r="Y2649" t="inlineStr">
        <is>
          <t>27665112562</t>
        </is>
      </c>
    </row>
    <row r="2650">
      <c r="A2650" t="inlineStr">
        <is>
          <t>14945379</t>
        </is>
      </c>
      <c r="B2650" t="inlineStr">
        <is>
          <t>4a4ca69a-5c70-41c5-9307-aafffcd1a69c</t>
        </is>
      </c>
      <c r="D2650" t="inlineStr">
        <is>
          <t>30001087</t>
        </is>
      </c>
      <c r="E2650" t="inlineStr">
        <is>
          <t>ussd_funeral_leads_altitude_20260619</t>
        </is>
      </c>
      <c r="J2650" t="inlineStr">
        <is>
          <t>AE</t>
        </is>
      </c>
      <c r="K2650" t="inlineStr">
        <is>
          <t>Auto Engaged</t>
        </is>
      </c>
      <c r="L2650" t="n">
        <v>3</v>
      </c>
      <c r="M2650" t="inlineStr">
        <is>
          <t>2026-06-23 12:50:28</t>
        </is>
      </c>
      <c r="N2650" t="inlineStr">
        <is>
          <t>system</t>
        </is>
      </c>
      <c r="O2650" t="inlineStr">
        <is>
          <t>2026-06-19 07:10:32</t>
        </is>
      </c>
      <c r="P2650" t="inlineStr">
        <is>
          <t>2026-06-19 07:10:32</t>
        </is>
      </c>
      <c r="Y2650" t="inlineStr">
        <is>
          <t>27660982692</t>
        </is>
      </c>
    </row>
    <row r="2651">
      <c r="A2651" t="inlineStr">
        <is>
          <t>14945380</t>
        </is>
      </c>
      <c r="B2651" t="inlineStr">
        <is>
          <t>5eb8e3ee-aad0-40b9-aee2-b501f983cffd</t>
        </is>
      </c>
      <c r="D2651" t="inlineStr">
        <is>
          <t>30001087</t>
        </is>
      </c>
      <c r="E2651" t="inlineStr">
        <is>
          <t>ussd_funeral_leads_altitude_20260619</t>
        </is>
      </c>
      <c r="J2651" t="inlineStr">
        <is>
          <t>ADC</t>
        </is>
      </c>
      <c r="K2651" t="inlineStr">
        <is>
          <t>Auto Dial Disconnected</t>
        </is>
      </c>
      <c r="L2651" t="n">
        <v>3</v>
      </c>
      <c r="M2651" t="inlineStr">
        <is>
          <t>2026-06-23 12:50:28</t>
        </is>
      </c>
      <c r="N2651" t="inlineStr">
        <is>
          <t>system</t>
        </is>
      </c>
      <c r="O2651" t="inlineStr">
        <is>
          <t>2026-06-19 07:10:32</t>
        </is>
      </c>
      <c r="P2651" t="inlineStr">
        <is>
          <t>2026-06-19 07:10:32</t>
        </is>
      </c>
      <c r="Y2651" t="inlineStr">
        <is>
          <t>27712558939</t>
        </is>
      </c>
    </row>
    <row r="2652">
      <c r="A2652" t="inlineStr">
        <is>
          <t>14945381</t>
        </is>
      </c>
      <c r="B2652" t="inlineStr">
        <is>
          <t>9437faf4-e615-4552-ac29-02415f4fbfcd</t>
        </is>
      </c>
      <c r="D2652" t="inlineStr">
        <is>
          <t>30001087</t>
        </is>
      </c>
      <c r="E2652" t="inlineStr">
        <is>
          <t>ussd_funeral_leads_altitude_20260619</t>
        </is>
      </c>
      <c r="J2652" t="inlineStr">
        <is>
          <t>AA</t>
        </is>
      </c>
      <c r="K2652" t="inlineStr">
        <is>
          <t>Answering Machine Autodial</t>
        </is>
      </c>
      <c r="L2652" t="n">
        <v>3</v>
      </c>
      <c r="M2652" t="inlineStr">
        <is>
          <t>2026-06-23 12:50:28</t>
        </is>
      </c>
      <c r="N2652" t="inlineStr">
        <is>
          <t>system</t>
        </is>
      </c>
      <c r="O2652" t="inlineStr">
        <is>
          <t>2026-06-19 07:10:32</t>
        </is>
      </c>
      <c r="P2652" t="inlineStr">
        <is>
          <t>2026-06-19 07:10:32</t>
        </is>
      </c>
      <c r="Y2652" t="inlineStr">
        <is>
          <t>27724124308</t>
        </is>
      </c>
    </row>
    <row r="2653">
      <c r="A2653" t="inlineStr">
        <is>
          <t>14945384</t>
        </is>
      </c>
      <c r="B2653" t="inlineStr">
        <is>
          <t>197486de-81d3-41d1-a389-4da30348b6d8</t>
        </is>
      </c>
      <c r="D2653" t="inlineStr">
        <is>
          <t>30001087</t>
        </is>
      </c>
      <c r="E2653" t="inlineStr">
        <is>
          <t>ussd_funeral_leads_altitude_20260619</t>
        </is>
      </c>
      <c r="J2653" t="inlineStr">
        <is>
          <t>AA</t>
        </is>
      </c>
      <c r="K2653" t="inlineStr">
        <is>
          <t>Answering Machine Autodial</t>
        </is>
      </c>
      <c r="L2653" t="n">
        <v>3</v>
      </c>
      <c r="M2653" t="inlineStr">
        <is>
          <t>2026-06-23 12:50:26</t>
        </is>
      </c>
      <c r="N2653" t="inlineStr">
        <is>
          <t>system</t>
        </is>
      </c>
      <c r="O2653" t="inlineStr">
        <is>
          <t>2026-06-19 07:10:32</t>
        </is>
      </c>
      <c r="P2653" t="inlineStr">
        <is>
          <t>2026-06-19 07:10:32</t>
        </is>
      </c>
      <c r="Y2653" t="inlineStr">
        <is>
          <t>27649907414</t>
        </is>
      </c>
    </row>
    <row r="2654">
      <c r="A2654" t="inlineStr">
        <is>
          <t>14945385</t>
        </is>
      </c>
      <c r="B2654" t="inlineStr">
        <is>
          <t>b26cfd65-2f1c-4a96-81b2-1fadd1bf9c2f</t>
        </is>
      </c>
      <c r="D2654" t="inlineStr">
        <is>
          <t>30001087</t>
        </is>
      </c>
      <c r="E2654" t="inlineStr">
        <is>
          <t>ussd_funeral_leads_altitude_20260619</t>
        </is>
      </c>
      <c r="J2654" t="inlineStr">
        <is>
          <t>AA</t>
        </is>
      </c>
      <c r="K2654" t="inlineStr">
        <is>
          <t>Answering Machine Autodial</t>
        </is>
      </c>
      <c r="L2654" t="n">
        <v>3</v>
      </c>
      <c r="M2654" t="inlineStr">
        <is>
          <t>2026-06-23 12:50:26</t>
        </is>
      </c>
      <c r="N2654" t="inlineStr">
        <is>
          <t>system</t>
        </is>
      </c>
      <c r="O2654" t="inlineStr">
        <is>
          <t>2026-06-19 07:10:32</t>
        </is>
      </c>
      <c r="P2654" t="inlineStr">
        <is>
          <t>2026-06-19 07:10:32</t>
        </is>
      </c>
      <c r="Y2654" t="inlineStr">
        <is>
          <t>27607162679</t>
        </is>
      </c>
    </row>
    <row r="2655">
      <c r="A2655" t="inlineStr">
        <is>
          <t>14945386</t>
        </is>
      </c>
      <c r="B2655" t="inlineStr">
        <is>
          <t>9996519e-a781-4cca-9342-292670de5dc1</t>
        </is>
      </c>
      <c r="D2655" t="inlineStr">
        <is>
          <t>30001087</t>
        </is>
      </c>
      <c r="E2655" t="inlineStr">
        <is>
          <t>ussd_funeral_leads_altitude_20260619</t>
        </is>
      </c>
      <c r="J2655" t="inlineStr">
        <is>
          <t>AA</t>
        </is>
      </c>
      <c r="K2655" t="inlineStr">
        <is>
          <t>Answering Machine Autodial</t>
        </is>
      </c>
      <c r="L2655" t="n">
        <v>3</v>
      </c>
      <c r="M2655" t="inlineStr">
        <is>
          <t>2026-06-23 12:50:26</t>
        </is>
      </c>
      <c r="N2655" t="inlineStr">
        <is>
          <t>system</t>
        </is>
      </c>
      <c r="O2655" t="inlineStr">
        <is>
          <t>2026-06-19 07:10:32</t>
        </is>
      </c>
      <c r="P2655" t="inlineStr">
        <is>
          <t>2026-06-19 07:10:32</t>
        </is>
      </c>
      <c r="Y2655" t="inlineStr">
        <is>
          <t>27712750860</t>
        </is>
      </c>
    </row>
    <row r="2656">
      <c r="A2656" t="inlineStr">
        <is>
          <t>14945387</t>
        </is>
      </c>
      <c r="B2656" t="inlineStr">
        <is>
          <t>94a4d415-6c14-4145-8ab0-1bd7b86737b5</t>
        </is>
      </c>
      <c r="D2656" t="inlineStr">
        <is>
          <t>30001087</t>
        </is>
      </c>
      <c r="E2656" t="inlineStr">
        <is>
          <t>ussd_funeral_leads_altitude_20260619</t>
        </is>
      </c>
      <c r="J2656" t="inlineStr">
        <is>
          <t>AA</t>
        </is>
      </c>
      <c r="K2656" t="inlineStr">
        <is>
          <t>Answering Machine Autodial</t>
        </is>
      </c>
      <c r="L2656" t="n">
        <v>3</v>
      </c>
      <c r="M2656" t="inlineStr">
        <is>
          <t>2026-06-23 12:50:26</t>
        </is>
      </c>
      <c r="N2656" t="inlineStr">
        <is>
          <t>system</t>
        </is>
      </c>
      <c r="O2656" t="inlineStr">
        <is>
          <t>2026-06-19 07:10:32</t>
        </is>
      </c>
      <c r="P2656" t="inlineStr">
        <is>
          <t>2026-06-19 07:10:32</t>
        </is>
      </c>
      <c r="Y2656" t="inlineStr">
        <is>
          <t>27660771448</t>
        </is>
      </c>
    </row>
    <row r="2657">
      <c r="A2657" t="inlineStr">
        <is>
          <t>14945388</t>
        </is>
      </c>
      <c r="B2657" t="inlineStr">
        <is>
          <t>68874402-fccf-4c66-bb79-fc47fb50b6a0</t>
        </is>
      </c>
      <c r="D2657" t="inlineStr">
        <is>
          <t>30001087</t>
        </is>
      </c>
      <c r="E2657" t="inlineStr">
        <is>
          <t>ussd_funeral_leads_altitude_20260619</t>
        </is>
      </c>
      <c r="J2657" t="inlineStr">
        <is>
          <t>ADC</t>
        </is>
      </c>
      <c r="K2657" t="inlineStr">
        <is>
          <t>Auto Dial Disconnected</t>
        </is>
      </c>
      <c r="L2657" t="n">
        <v>3</v>
      </c>
      <c r="M2657" t="inlineStr">
        <is>
          <t>2026-06-23 12:50:26</t>
        </is>
      </c>
      <c r="N2657" t="inlineStr">
        <is>
          <t>system</t>
        </is>
      </c>
      <c r="O2657" t="inlineStr">
        <is>
          <t>2026-06-19 07:10:32</t>
        </is>
      </c>
      <c r="P2657" t="inlineStr">
        <is>
          <t>2026-06-19 07:10:32</t>
        </is>
      </c>
      <c r="Y2657" t="inlineStr">
        <is>
          <t>27649867822</t>
        </is>
      </c>
    </row>
    <row r="2658">
      <c r="A2658" t="inlineStr">
        <is>
          <t>14945377</t>
        </is>
      </c>
      <c r="B2658" t="inlineStr">
        <is>
          <t>3c99555f-b52b-400e-baf2-95e8e0ff4d76</t>
        </is>
      </c>
      <c r="D2658" t="inlineStr">
        <is>
          <t>30001087</t>
        </is>
      </c>
      <c r="E2658" t="inlineStr">
        <is>
          <t>ussd_funeral_leads_altitude_20260619</t>
        </is>
      </c>
      <c r="J2658" t="inlineStr">
        <is>
          <t>A</t>
        </is>
      </c>
      <c r="K2658" t="inlineStr">
        <is>
          <t>Answering Machine</t>
        </is>
      </c>
      <c r="L2658" t="n">
        <v>3</v>
      </c>
      <c r="M2658" t="inlineStr">
        <is>
          <t>2026-06-23 12:50:05</t>
        </is>
      </c>
      <c r="N2658" t="inlineStr">
        <is>
          <t>Gontse Monageng</t>
        </is>
      </c>
      <c r="O2658" t="inlineStr">
        <is>
          <t>2026-06-19 07:10:32</t>
        </is>
      </c>
      <c r="P2658" t="inlineStr">
        <is>
          <t>2026-06-19 07:10:32</t>
        </is>
      </c>
      <c r="Y2658" t="inlineStr">
        <is>
          <t>27726474291</t>
        </is>
      </c>
    </row>
    <row r="2659">
      <c r="A2659" t="inlineStr">
        <is>
          <t>14945378</t>
        </is>
      </c>
      <c r="B2659" t="inlineStr">
        <is>
          <t>4417918e-c3c9-406b-ab3a-825c056b3f98</t>
        </is>
      </c>
      <c r="D2659" t="inlineStr">
        <is>
          <t>30001087</t>
        </is>
      </c>
      <c r="E2659" t="inlineStr">
        <is>
          <t>ussd_funeral_leads_altitude_20260619</t>
        </is>
      </c>
      <c r="J2659" t="inlineStr">
        <is>
          <t>AA</t>
        </is>
      </c>
      <c r="K2659" t="inlineStr">
        <is>
          <t>Answering Machine Autodial</t>
        </is>
      </c>
      <c r="L2659" t="n">
        <v>3</v>
      </c>
      <c r="M2659" t="inlineStr">
        <is>
          <t>2026-06-23 12:50:05</t>
        </is>
      </c>
      <c r="N2659" t="inlineStr">
        <is>
          <t>system</t>
        </is>
      </c>
      <c r="O2659" t="inlineStr">
        <is>
          <t>2026-06-19 07:10:32</t>
        </is>
      </c>
      <c r="P2659" t="inlineStr">
        <is>
          <t>2026-06-19 07:10:32</t>
        </is>
      </c>
      <c r="Y2659" t="inlineStr">
        <is>
          <t>27608790341</t>
        </is>
      </c>
    </row>
    <row r="2660">
      <c r="A2660" t="inlineStr">
        <is>
          <t>14945375</t>
        </is>
      </c>
      <c r="B2660" t="inlineStr">
        <is>
          <t>c62d8ce9-e4d9-4dbd-aca5-ea7845d4f3ad</t>
        </is>
      </c>
      <c r="D2660" t="inlineStr">
        <is>
          <t>30001087</t>
        </is>
      </c>
      <c r="E2660" t="inlineStr">
        <is>
          <t>ussd_funeral_leads_altitude_20260619</t>
        </is>
      </c>
      <c r="J2660" t="inlineStr">
        <is>
          <t>ADC</t>
        </is>
      </c>
      <c r="K2660" t="inlineStr">
        <is>
          <t>Auto Dial Disconnected</t>
        </is>
      </c>
      <c r="L2660" t="n">
        <v>3</v>
      </c>
      <c r="M2660" t="inlineStr">
        <is>
          <t>2026-06-23 12:50:01</t>
        </is>
      </c>
      <c r="N2660" t="inlineStr">
        <is>
          <t>system</t>
        </is>
      </c>
      <c r="O2660" t="inlineStr">
        <is>
          <t>2026-06-19 07:10:32</t>
        </is>
      </c>
      <c r="P2660" t="inlineStr">
        <is>
          <t>2026-06-19 07:10:32</t>
        </is>
      </c>
      <c r="Y2660" t="inlineStr">
        <is>
          <t>27646086790</t>
        </is>
      </c>
    </row>
    <row r="2661">
      <c r="A2661" t="inlineStr">
        <is>
          <t>14945376</t>
        </is>
      </c>
      <c r="B2661" t="inlineStr">
        <is>
          <t>4bec75c1-3068-405b-b6e8-177783a86d08</t>
        </is>
      </c>
      <c r="D2661" t="inlineStr">
        <is>
          <t>30001087</t>
        </is>
      </c>
      <c r="E2661" t="inlineStr">
        <is>
          <t>ussd_funeral_leads_altitude_20260619</t>
        </is>
      </c>
      <c r="J2661" t="inlineStr">
        <is>
          <t>NA</t>
        </is>
      </c>
      <c r="K2661" t="inlineStr">
        <is>
          <t>No Answer Autodial</t>
        </is>
      </c>
      <c r="L2661" t="n">
        <v>3</v>
      </c>
      <c r="M2661" t="inlineStr">
        <is>
          <t>2026-06-23 12:50:01</t>
        </is>
      </c>
      <c r="N2661" t="inlineStr">
        <is>
          <t>system</t>
        </is>
      </c>
      <c r="O2661" t="inlineStr">
        <is>
          <t>2026-06-19 07:10:32</t>
        </is>
      </c>
      <c r="P2661" t="inlineStr">
        <is>
          <t>2026-06-19 07:10:32</t>
        </is>
      </c>
      <c r="Y2661" t="inlineStr">
        <is>
          <t>27675645985</t>
        </is>
      </c>
    </row>
    <row r="2662">
      <c r="A2662" t="inlineStr">
        <is>
          <t>14945374</t>
        </is>
      </c>
      <c r="B2662" t="inlineStr">
        <is>
          <t>6cb9782a-f66f-4106-98dc-f9c5b667fb29</t>
        </is>
      </c>
      <c r="D2662" t="inlineStr">
        <is>
          <t>30001087</t>
        </is>
      </c>
      <c r="E2662" t="inlineStr">
        <is>
          <t>ussd_funeral_leads_altitude_20260619</t>
        </is>
      </c>
      <c r="J2662" t="inlineStr">
        <is>
          <t>AA</t>
        </is>
      </c>
      <c r="K2662" t="inlineStr">
        <is>
          <t>Answering Machine Autodial</t>
        </is>
      </c>
      <c r="L2662" t="n">
        <v>3</v>
      </c>
      <c r="M2662" t="inlineStr">
        <is>
          <t>2026-06-23 12:49:55</t>
        </is>
      </c>
      <c r="N2662" t="inlineStr">
        <is>
          <t>system</t>
        </is>
      </c>
      <c r="O2662" t="inlineStr">
        <is>
          <t>2026-06-19 07:10:32</t>
        </is>
      </c>
      <c r="P2662" t="inlineStr">
        <is>
          <t>2026-06-19 07:10:32</t>
        </is>
      </c>
      <c r="Y2662" t="inlineStr">
        <is>
          <t>27824873591</t>
        </is>
      </c>
    </row>
    <row r="2663">
      <c r="A2663" t="inlineStr">
        <is>
          <t>14945372</t>
        </is>
      </c>
      <c r="B2663" t="inlineStr">
        <is>
          <t>ece7d6a6-2f07-471f-9c13-775971b92cad</t>
        </is>
      </c>
      <c r="D2663" t="inlineStr">
        <is>
          <t>30001087</t>
        </is>
      </c>
      <c r="E2663" t="inlineStr">
        <is>
          <t>ussd_funeral_leads_altitude_20260619</t>
        </is>
      </c>
      <c r="J2663" t="inlineStr">
        <is>
          <t>AA</t>
        </is>
      </c>
      <c r="K2663" t="inlineStr">
        <is>
          <t>Answering Machine Autodial</t>
        </is>
      </c>
      <c r="L2663" t="n">
        <v>3</v>
      </c>
      <c r="M2663" t="inlineStr">
        <is>
          <t>2026-06-23 12:49:50</t>
        </is>
      </c>
      <c r="N2663" t="inlineStr">
        <is>
          <t>system</t>
        </is>
      </c>
      <c r="O2663" t="inlineStr">
        <is>
          <t>2026-06-19 07:10:32</t>
        </is>
      </c>
      <c r="P2663" t="inlineStr">
        <is>
          <t>2026-06-19 07:10:32</t>
        </is>
      </c>
      <c r="Y2663" t="inlineStr">
        <is>
          <t>27725371098</t>
        </is>
      </c>
    </row>
    <row r="2664">
      <c r="A2664" t="inlineStr">
        <is>
          <t>14945373</t>
        </is>
      </c>
      <c r="B2664" t="inlineStr">
        <is>
          <t>ba383989-3f41-47b3-8232-5bd960160892</t>
        </is>
      </c>
      <c r="D2664" t="inlineStr">
        <is>
          <t>30001087</t>
        </is>
      </c>
      <c r="E2664" t="inlineStr">
        <is>
          <t>ussd_funeral_leads_altitude_20260619</t>
        </is>
      </c>
      <c r="J2664" t="inlineStr">
        <is>
          <t>AA</t>
        </is>
      </c>
      <c r="K2664" t="inlineStr">
        <is>
          <t>Answering Machine Autodial</t>
        </is>
      </c>
      <c r="L2664" t="n">
        <v>3</v>
      </c>
      <c r="M2664" t="inlineStr">
        <is>
          <t>2026-06-23 12:49:50</t>
        </is>
      </c>
      <c r="N2664" t="inlineStr">
        <is>
          <t>system</t>
        </is>
      </c>
      <c r="O2664" t="inlineStr">
        <is>
          <t>2026-06-19 07:10:32</t>
        </is>
      </c>
      <c r="P2664" t="inlineStr">
        <is>
          <t>2026-06-19 07:10:32</t>
        </is>
      </c>
      <c r="Y2664" t="inlineStr">
        <is>
          <t>27769498513</t>
        </is>
      </c>
    </row>
    <row r="2665">
      <c r="A2665" t="inlineStr">
        <is>
          <t>14945370</t>
        </is>
      </c>
      <c r="B2665" t="inlineStr">
        <is>
          <t>0290a28f-4a2b-472d-a556-1f50b0d318bf</t>
        </is>
      </c>
      <c r="D2665" t="inlineStr">
        <is>
          <t>30001087</t>
        </is>
      </c>
      <c r="E2665" t="inlineStr">
        <is>
          <t>ussd_funeral_leads_altitude_20260619</t>
        </is>
      </c>
      <c r="J2665" t="inlineStr">
        <is>
          <t>AA</t>
        </is>
      </c>
      <c r="K2665" t="inlineStr">
        <is>
          <t>Answering Machine Autodial</t>
        </is>
      </c>
      <c r="L2665" t="n">
        <v>3</v>
      </c>
      <c r="M2665" t="inlineStr">
        <is>
          <t>2026-06-23 12:49:35</t>
        </is>
      </c>
      <c r="N2665" t="inlineStr">
        <is>
          <t>system</t>
        </is>
      </c>
      <c r="O2665" t="inlineStr">
        <is>
          <t>2026-06-19 07:10:32</t>
        </is>
      </c>
      <c r="P2665" t="inlineStr">
        <is>
          <t>2026-06-19 07:10:32</t>
        </is>
      </c>
      <c r="Y2665" t="inlineStr">
        <is>
          <t>27724714516</t>
        </is>
      </c>
    </row>
    <row r="2666">
      <c r="A2666" t="inlineStr">
        <is>
          <t>14945371</t>
        </is>
      </c>
      <c r="B2666" t="inlineStr">
        <is>
          <t>d4408bf6-8723-468f-b59e-7c982db7e549</t>
        </is>
      </c>
      <c r="D2666" t="inlineStr">
        <is>
          <t>30001087</t>
        </is>
      </c>
      <c r="E2666" t="inlineStr">
        <is>
          <t>ussd_funeral_leads_altitude_20260619</t>
        </is>
      </c>
      <c r="J2666" t="inlineStr">
        <is>
          <t>ADC</t>
        </is>
      </c>
      <c r="K2666" t="inlineStr">
        <is>
          <t>Auto Dial Disconnected</t>
        </is>
      </c>
      <c r="L2666" t="n">
        <v>3</v>
      </c>
      <c r="M2666" t="inlineStr">
        <is>
          <t>2026-06-23 12:49:35</t>
        </is>
      </c>
      <c r="N2666" t="inlineStr">
        <is>
          <t>system</t>
        </is>
      </c>
      <c r="O2666" t="inlineStr">
        <is>
          <t>2026-06-19 07:10:32</t>
        </is>
      </c>
      <c r="P2666" t="inlineStr">
        <is>
          <t>2026-06-19 07:10:32</t>
        </is>
      </c>
      <c r="Y2666" t="inlineStr">
        <is>
          <t>27664199859</t>
        </is>
      </c>
    </row>
    <row r="2667">
      <c r="A2667" t="inlineStr">
        <is>
          <t>14945368</t>
        </is>
      </c>
      <c r="B2667" t="inlineStr">
        <is>
          <t>11ba42f9-2e74-449d-90fb-1b89c7bdf2d3</t>
        </is>
      </c>
      <c r="D2667" t="inlineStr">
        <is>
          <t>30001087</t>
        </is>
      </c>
      <c r="E2667" t="inlineStr">
        <is>
          <t>ussd_funeral_leads_altitude_20260619</t>
        </is>
      </c>
      <c r="J2667" t="inlineStr">
        <is>
          <t>AE</t>
        </is>
      </c>
      <c r="K2667" t="inlineStr">
        <is>
          <t>Auto Engaged</t>
        </is>
      </c>
      <c r="L2667" t="n">
        <v>3</v>
      </c>
      <c r="M2667" t="inlineStr">
        <is>
          <t>2026-06-23 12:49:32</t>
        </is>
      </c>
      <c r="N2667" t="inlineStr">
        <is>
          <t>system</t>
        </is>
      </c>
      <c r="O2667" t="inlineStr">
        <is>
          <t>2026-06-19 07:10:32</t>
        </is>
      </c>
      <c r="P2667" t="inlineStr">
        <is>
          <t>2026-06-19 07:10:32</t>
        </is>
      </c>
      <c r="Y2667" t="inlineStr">
        <is>
          <t>27649795601</t>
        </is>
      </c>
    </row>
    <row r="2668">
      <c r="A2668" t="inlineStr">
        <is>
          <t>14945369</t>
        </is>
      </c>
      <c r="B2668" t="inlineStr">
        <is>
          <t>6ceff546-d383-4396-b10d-2ac07935a475</t>
        </is>
      </c>
      <c r="D2668" t="inlineStr">
        <is>
          <t>30001087</t>
        </is>
      </c>
      <c r="E2668" t="inlineStr">
        <is>
          <t>ussd_funeral_leads_altitude_20260619</t>
        </is>
      </c>
      <c r="J2668" t="inlineStr">
        <is>
          <t>AA</t>
        </is>
      </c>
      <c r="K2668" t="inlineStr">
        <is>
          <t>Answering Machine Autodial</t>
        </is>
      </c>
      <c r="L2668" t="n">
        <v>3</v>
      </c>
      <c r="M2668" t="inlineStr">
        <is>
          <t>2026-06-23 12:49:32</t>
        </is>
      </c>
      <c r="N2668" t="inlineStr">
        <is>
          <t>system</t>
        </is>
      </c>
      <c r="O2668" t="inlineStr">
        <is>
          <t>2026-06-19 07:10:32</t>
        </is>
      </c>
      <c r="P2668" t="inlineStr">
        <is>
          <t>2026-06-19 07:10:32</t>
        </is>
      </c>
      <c r="Y2668" t="inlineStr">
        <is>
          <t>27675746643</t>
        </is>
      </c>
    </row>
    <row r="2669">
      <c r="A2669" t="inlineStr">
        <is>
          <t>14945367</t>
        </is>
      </c>
      <c r="B2669" t="inlineStr">
        <is>
          <t>b78fec34-7927-4317-8f61-4b60f19b64f9</t>
        </is>
      </c>
      <c r="D2669" t="inlineStr">
        <is>
          <t>30001087</t>
        </is>
      </c>
      <c r="E2669" t="inlineStr">
        <is>
          <t>ussd_funeral_leads_altitude_20260619</t>
        </is>
      </c>
      <c r="J2669" t="inlineStr">
        <is>
          <t>AA</t>
        </is>
      </c>
      <c r="K2669" t="inlineStr">
        <is>
          <t>Answering Machine Autodial</t>
        </is>
      </c>
      <c r="L2669" t="n">
        <v>3</v>
      </c>
      <c r="M2669" t="inlineStr">
        <is>
          <t>2026-06-23 12:49:31</t>
        </is>
      </c>
      <c r="N2669" t="inlineStr">
        <is>
          <t>system</t>
        </is>
      </c>
      <c r="O2669" t="inlineStr">
        <is>
          <t>2026-06-19 07:10:32</t>
        </is>
      </c>
      <c r="P2669" t="inlineStr">
        <is>
          <t>2026-06-19 07:10:32</t>
        </is>
      </c>
      <c r="Y2669" t="inlineStr">
        <is>
          <t>27762147767</t>
        </is>
      </c>
    </row>
    <row r="2670">
      <c r="A2670" t="inlineStr">
        <is>
          <t>14945366</t>
        </is>
      </c>
      <c r="B2670" t="inlineStr">
        <is>
          <t>a5ac9dc5-d6d6-47ae-a6b2-5605999765c3</t>
        </is>
      </c>
      <c r="D2670" t="inlineStr">
        <is>
          <t>30001087</t>
        </is>
      </c>
      <c r="E2670" t="inlineStr">
        <is>
          <t>ussd_funeral_leads_altitude_20260619</t>
        </is>
      </c>
      <c r="J2670" t="inlineStr">
        <is>
          <t>ADC</t>
        </is>
      </c>
      <c r="K2670" t="inlineStr">
        <is>
          <t>Auto Dial Disconnected</t>
        </is>
      </c>
      <c r="L2670" t="n">
        <v>3</v>
      </c>
      <c r="M2670" t="inlineStr">
        <is>
          <t>2026-06-23 12:49:29</t>
        </is>
      </c>
      <c r="N2670" t="inlineStr">
        <is>
          <t>system</t>
        </is>
      </c>
      <c r="O2670" t="inlineStr">
        <is>
          <t>2026-06-19 07:10:32</t>
        </is>
      </c>
      <c r="P2670" t="inlineStr">
        <is>
          <t>2026-06-19 07:10:32</t>
        </is>
      </c>
      <c r="Y2670" t="inlineStr">
        <is>
          <t>27722375566</t>
        </is>
      </c>
    </row>
    <row r="2671">
      <c r="A2671" t="inlineStr">
        <is>
          <t>14945364</t>
        </is>
      </c>
      <c r="B2671" t="inlineStr">
        <is>
          <t>592a306e-cbf8-461c-92d5-ea69ef36ca20</t>
        </is>
      </c>
      <c r="D2671" t="inlineStr">
        <is>
          <t>30001087</t>
        </is>
      </c>
      <c r="E2671" t="inlineStr">
        <is>
          <t>ussd_funeral_leads_altitude_20260619</t>
        </is>
      </c>
      <c r="J2671" t="inlineStr">
        <is>
          <t>ADC</t>
        </is>
      </c>
      <c r="K2671" t="inlineStr">
        <is>
          <t>Auto Dial Disconnected</t>
        </is>
      </c>
      <c r="L2671" t="n">
        <v>3</v>
      </c>
      <c r="M2671" t="inlineStr">
        <is>
          <t>2026-06-23 12:49:24</t>
        </is>
      </c>
      <c r="N2671" t="inlineStr">
        <is>
          <t>system</t>
        </is>
      </c>
      <c r="O2671" t="inlineStr">
        <is>
          <t>2026-06-19 07:10:32</t>
        </is>
      </c>
      <c r="P2671" t="inlineStr">
        <is>
          <t>2026-06-19 07:10:32</t>
        </is>
      </c>
      <c r="Y2671" t="inlineStr">
        <is>
          <t>27791673066</t>
        </is>
      </c>
    </row>
    <row r="2672">
      <c r="A2672" t="inlineStr">
        <is>
          <t>14945365</t>
        </is>
      </c>
      <c r="B2672" t="inlineStr">
        <is>
          <t>41c4f02d-75e4-46fe-843f-70e4f8b8fc9b</t>
        </is>
      </c>
      <c r="D2672" t="inlineStr">
        <is>
          <t>30001087</t>
        </is>
      </c>
      <c r="E2672" t="inlineStr">
        <is>
          <t>ussd_funeral_leads_altitude_20260619</t>
        </is>
      </c>
      <c r="J2672" t="inlineStr">
        <is>
          <t>AA</t>
        </is>
      </c>
      <c r="K2672" t="inlineStr">
        <is>
          <t>Answering Machine Autodial</t>
        </is>
      </c>
      <c r="L2672" t="n">
        <v>3</v>
      </c>
      <c r="M2672" t="inlineStr">
        <is>
          <t>2026-06-23 12:49:24</t>
        </is>
      </c>
      <c r="N2672" t="inlineStr">
        <is>
          <t>system</t>
        </is>
      </c>
      <c r="O2672" t="inlineStr">
        <is>
          <t>2026-06-19 07:10:32</t>
        </is>
      </c>
      <c r="P2672" t="inlineStr">
        <is>
          <t>2026-06-19 07:10:32</t>
        </is>
      </c>
      <c r="Y2672" t="inlineStr">
        <is>
          <t>27649725381</t>
        </is>
      </c>
    </row>
    <row r="2673">
      <c r="A2673" t="inlineStr">
        <is>
          <t>14945423</t>
        </is>
      </c>
      <c r="B2673" t="inlineStr">
        <is>
          <t>72fe067f-7455-42f5-8d93-8eda265d4509</t>
        </is>
      </c>
      <c r="D2673" t="inlineStr">
        <is>
          <t>30001087</t>
        </is>
      </c>
      <c r="E2673" t="inlineStr">
        <is>
          <t>ussd_funeral_leads_altitude_20260619</t>
        </is>
      </c>
      <c r="J2673" t="inlineStr">
        <is>
          <t>AA</t>
        </is>
      </c>
      <c r="K2673" t="inlineStr">
        <is>
          <t>Answering Machine Autodial</t>
        </is>
      </c>
      <c r="L2673" t="n">
        <v>3</v>
      </c>
      <c r="M2673" t="inlineStr">
        <is>
          <t>2026-06-23 12:49:18</t>
        </is>
      </c>
      <c r="N2673" t="inlineStr">
        <is>
          <t>system</t>
        </is>
      </c>
      <c r="O2673" t="inlineStr">
        <is>
          <t>2026-06-19 07:10:32</t>
        </is>
      </c>
      <c r="P2673" t="inlineStr">
        <is>
          <t>2026-06-19 07:10:32</t>
        </is>
      </c>
      <c r="Y2673" t="inlineStr">
        <is>
          <t>27823329369</t>
        </is>
      </c>
    </row>
    <row r="2674">
      <c r="A2674" t="inlineStr">
        <is>
          <t>14900000</t>
        </is>
      </c>
      <c r="B2674" t="inlineStr">
        <is>
          <t>8444e395-dcdf-4293-a8e2-13a7cf40b894</t>
        </is>
      </c>
      <c r="D2674" t="inlineStr">
        <is>
          <t>30001087</t>
        </is>
      </c>
      <c r="E2674" t="inlineStr">
        <is>
          <t>ussd_funeral_leads_altitude_20260619</t>
        </is>
      </c>
      <c r="J2674" t="inlineStr">
        <is>
          <t>NA</t>
        </is>
      </c>
      <c r="K2674" t="inlineStr">
        <is>
          <t>No Answer Autodial</t>
        </is>
      </c>
      <c r="L2674" t="n">
        <v>3</v>
      </c>
      <c r="M2674" t="inlineStr">
        <is>
          <t>2026-06-23 12:49:15</t>
        </is>
      </c>
      <c r="N2674" t="inlineStr">
        <is>
          <t>system</t>
        </is>
      </c>
      <c r="O2674" t="inlineStr">
        <is>
          <t>2026-06-19 07:10:32</t>
        </is>
      </c>
      <c r="P2674" t="inlineStr">
        <is>
          <t>2026-06-19 07:10:32</t>
        </is>
      </c>
      <c r="Y2674" t="inlineStr">
        <is>
          <t>27606167895</t>
        </is>
      </c>
    </row>
    <row r="2675">
      <c r="A2675" t="inlineStr">
        <is>
          <t>14945421</t>
        </is>
      </c>
      <c r="B2675" t="inlineStr">
        <is>
          <t>b4570ef1-9e4c-4390-8842-f0155083851a</t>
        </is>
      </c>
      <c r="D2675" t="inlineStr">
        <is>
          <t>30001087</t>
        </is>
      </c>
      <c r="E2675" t="inlineStr">
        <is>
          <t>ussd_funeral_leads_altitude_20260619</t>
        </is>
      </c>
      <c r="J2675" t="inlineStr">
        <is>
          <t>AE</t>
        </is>
      </c>
      <c r="K2675" t="inlineStr">
        <is>
          <t>Auto Engaged</t>
        </is>
      </c>
      <c r="L2675" t="n">
        <v>3</v>
      </c>
      <c r="M2675" t="inlineStr">
        <is>
          <t>2026-06-23 12:49:15</t>
        </is>
      </c>
      <c r="N2675" t="inlineStr">
        <is>
          <t>system</t>
        </is>
      </c>
      <c r="O2675" t="inlineStr">
        <is>
          <t>2026-06-19 07:10:32</t>
        </is>
      </c>
      <c r="P2675" t="inlineStr">
        <is>
          <t>2026-06-19 07:10:32</t>
        </is>
      </c>
      <c r="Y2675" t="inlineStr">
        <is>
          <t>27725055696</t>
        </is>
      </c>
    </row>
    <row r="2676">
      <c r="A2676" t="inlineStr">
        <is>
          <t>14945422</t>
        </is>
      </c>
      <c r="B2676" t="inlineStr">
        <is>
          <t>97269b04-5b28-4d31-a340-79fe26ea8199</t>
        </is>
      </c>
      <c r="D2676" t="inlineStr">
        <is>
          <t>30001087</t>
        </is>
      </c>
      <c r="E2676" t="inlineStr">
        <is>
          <t>ussd_funeral_leads_altitude_20260619</t>
        </is>
      </c>
      <c r="J2676" t="inlineStr">
        <is>
          <t>AA</t>
        </is>
      </c>
      <c r="K2676" t="inlineStr">
        <is>
          <t>Answering Machine Autodial</t>
        </is>
      </c>
      <c r="L2676" t="n">
        <v>3</v>
      </c>
      <c r="M2676" t="inlineStr">
        <is>
          <t>2026-06-23 12:49:15</t>
        </is>
      </c>
      <c r="N2676" t="inlineStr">
        <is>
          <t>system</t>
        </is>
      </c>
      <c r="O2676" t="inlineStr">
        <is>
          <t>2026-06-19 07:10:32</t>
        </is>
      </c>
      <c r="P2676" t="inlineStr">
        <is>
          <t>2026-06-19 07:10:32</t>
        </is>
      </c>
      <c r="Y2676" t="inlineStr">
        <is>
          <t>27766253690</t>
        </is>
      </c>
    </row>
    <row r="2677">
      <c r="A2677" t="inlineStr">
        <is>
          <t>14945418</t>
        </is>
      </c>
      <c r="B2677" t="inlineStr">
        <is>
          <t>69588ae4-18e9-4216-84e2-7f3385c2fa5c</t>
        </is>
      </c>
      <c r="D2677" t="inlineStr">
        <is>
          <t>30001087</t>
        </is>
      </c>
      <c r="E2677" t="inlineStr">
        <is>
          <t>ussd_funeral_leads_altitude_20260619</t>
        </is>
      </c>
      <c r="J2677" t="inlineStr">
        <is>
          <t>ADC</t>
        </is>
      </c>
      <c r="K2677" t="inlineStr">
        <is>
          <t>Auto Dial Disconnected</t>
        </is>
      </c>
      <c r="L2677" t="n">
        <v>3</v>
      </c>
      <c r="M2677" t="inlineStr">
        <is>
          <t>2026-06-23 12:49:14</t>
        </is>
      </c>
      <c r="N2677" t="inlineStr">
        <is>
          <t>system</t>
        </is>
      </c>
      <c r="O2677" t="inlineStr">
        <is>
          <t>2026-06-19 07:10:32</t>
        </is>
      </c>
      <c r="P2677" t="inlineStr">
        <is>
          <t>2026-06-19 07:10:32</t>
        </is>
      </c>
      <c r="Y2677" t="inlineStr">
        <is>
          <t>27724831298</t>
        </is>
      </c>
    </row>
    <row r="2678">
      <c r="A2678" t="inlineStr">
        <is>
          <t>14945419</t>
        </is>
      </c>
      <c r="B2678" t="inlineStr">
        <is>
          <t>864ab35c-4702-48ca-9d2f-83ded89764a5</t>
        </is>
      </c>
      <c r="D2678" t="inlineStr">
        <is>
          <t>30001087</t>
        </is>
      </c>
      <c r="E2678" t="inlineStr">
        <is>
          <t>ussd_funeral_leads_altitude_20260619</t>
        </is>
      </c>
      <c r="J2678" t="inlineStr">
        <is>
          <t>U</t>
        </is>
      </c>
      <c r="K2678" t="inlineStr">
        <is>
          <t>Unemployed</t>
        </is>
      </c>
      <c r="L2678" t="n">
        <v>3</v>
      </c>
      <c r="M2678" t="inlineStr">
        <is>
          <t>2026-06-23 12:49:14</t>
        </is>
      </c>
      <c r="N2678" t="inlineStr">
        <is>
          <t>Lebohang Mabotja</t>
        </is>
      </c>
      <c r="O2678" t="inlineStr">
        <is>
          <t>2026-06-19 07:10:32</t>
        </is>
      </c>
      <c r="P2678" t="inlineStr">
        <is>
          <t>2026-06-19 07:10:32</t>
        </is>
      </c>
      <c r="Y2678" t="inlineStr">
        <is>
          <t>27792381523</t>
        </is>
      </c>
    </row>
    <row r="2679">
      <c r="A2679" t="inlineStr">
        <is>
          <t>14946921</t>
        </is>
      </c>
      <c r="B2679" t="inlineStr">
        <is>
          <t>52d1617f-e1bd-4636-b247-22c7193adc2c</t>
        </is>
      </c>
      <c r="D2679" t="inlineStr">
        <is>
          <t>30001087</t>
        </is>
      </c>
      <c r="E2679" t="inlineStr">
        <is>
          <t>ussd_funeral_leads_altitude_20260619</t>
        </is>
      </c>
      <c r="J2679" t="inlineStr">
        <is>
          <t>A</t>
        </is>
      </c>
      <c r="K2679" t="inlineStr">
        <is>
          <t>Answering Machine</t>
        </is>
      </c>
      <c r="L2679" t="n">
        <v>4</v>
      </c>
      <c r="M2679" t="inlineStr">
        <is>
          <t>2026-06-23 12:48:49</t>
        </is>
      </c>
      <c r="N2679" t="inlineStr">
        <is>
          <t>Gontse Monageng</t>
        </is>
      </c>
      <c r="O2679" t="inlineStr">
        <is>
          <t>2026-06-19 07:10:32</t>
        </is>
      </c>
      <c r="P2679" t="inlineStr">
        <is>
          <t>2026-06-19 07:10:32</t>
        </is>
      </c>
      <c r="Y2679" t="inlineStr">
        <is>
          <t>27661180379</t>
        </is>
      </c>
    </row>
    <row r="2680">
      <c r="A2680" t="inlineStr">
        <is>
          <t>14945415</t>
        </is>
      </c>
      <c r="B2680" t="inlineStr">
        <is>
          <t>7f431b3b-2d6e-45f4-bf83-849cb4d4becf</t>
        </is>
      </c>
      <c r="D2680" t="inlineStr">
        <is>
          <t>30001087</t>
        </is>
      </c>
      <c r="E2680" t="inlineStr">
        <is>
          <t>ussd_funeral_leads_altitude_20260619</t>
        </is>
      </c>
      <c r="J2680" t="inlineStr">
        <is>
          <t>DROP</t>
        </is>
      </c>
      <c r="K2680" t="inlineStr">
        <is>
          <t>Dropped</t>
        </is>
      </c>
      <c r="L2680" t="n">
        <v>3</v>
      </c>
      <c r="M2680" t="inlineStr">
        <is>
          <t>2026-06-23 12:48:47</t>
        </is>
      </c>
      <c r="N2680" t="inlineStr">
        <is>
          <t>system</t>
        </is>
      </c>
      <c r="O2680" t="inlineStr">
        <is>
          <t>2026-06-19 07:10:32</t>
        </is>
      </c>
      <c r="P2680" t="inlineStr">
        <is>
          <t>2026-06-19 07:10:32</t>
        </is>
      </c>
      <c r="Y2680" t="inlineStr">
        <is>
          <t>27768052396</t>
        </is>
      </c>
    </row>
    <row r="2681">
      <c r="A2681" t="inlineStr">
        <is>
          <t>14945416</t>
        </is>
      </c>
      <c r="B2681" t="inlineStr">
        <is>
          <t>1d6a9f5c-8cb0-49a6-a497-723bf490b0e2</t>
        </is>
      </c>
      <c r="D2681" t="inlineStr">
        <is>
          <t>30001087</t>
        </is>
      </c>
      <c r="E2681" t="inlineStr">
        <is>
          <t>ussd_funeral_leads_altitude_20260619</t>
        </is>
      </c>
      <c r="J2681" t="inlineStr">
        <is>
          <t>NA</t>
        </is>
      </c>
      <c r="K2681" t="inlineStr">
        <is>
          <t>No Answer Autodial</t>
        </is>
      </c>
      <c r="L2681" t="n">
        <v>3</v>
      </c>
      <c r="M2681" t="inlineStr">
        <is>
          <t>2026-06-23 12:48:47</t>
        </is>
      </c>
      <c r="N2681" t="inlineStr">
        <is>
          <t>system</t>
        </is>
      </c>
      <c r="O2681" t="inlineStr">
        <is>
          <t>2026-06-19 07:10:32</t>
        </is>
      </c>
      <c r="P2681" t="inlineStr">
        <is>
          <t>2026-06-19 07:10:32</t>
        </is>
      </c>
      <c r="Y2681" t="inlineStr">
        <is>
          <t>27646128705</t>
        </is>
      </c>
    </row>
    <row r="2682">
      <c r="A2682" t="inlineStr">
        <is>
          <t>14945417</t>
        </is>
      </c>
      <c r="B2682" t="inlineStr">
        <is>
          <t>95fcb793-7ebb-438f-8405-244380f3b37d</t>
        </is>
      </c>
      <c r="D2682" t="inlineStr">
        <is>
          <t>30001087</t>
        </is>
      </c>
      <c r="E2682" t="inlineStr">
        <is>
          <t>ussd_funeral_leads_altitude_20260619</t>
        </is>
      </c>
      <c r="J2682" t="inlineStr">
        <is>
          <t>AA</t>
        </is>
      </c>
      <c r="K2682" t="inlineStr">
        <is>
          <t>Answering Machine Autodial</t>
        </is>
      </c>
      <c r="L2682" t="n">
        <v>3</v>
      </c>
      <c r="M2682" t="inlineStr">
        <is>
          <t>2026-06-23 12:48:47</t>
        </is>
      </c>
      <c r="N2682" t="inlineStr">
        <is>
          <t>system</t>
        </is>
      </c>
      <c r="O2682" t="inlineStr">
        <is>
          <t>2026-06-19 07:10:32</t>
        </is>
      </c>
      <c r="P2682" t="inlineStr">
        <is>
          <t>2026-06-19 07:10:32</t>
        </is>
      </c>
      <c r="Y2682" t="inlineStr">
        <is>
          <t>27606825967</t>
        </is>
      </c>
    </row>
    <row r="2683">
      <c r="A2683" t="inlineStr">
        <is>
          <t>14945413</t>
        </is>
      </c>
      <c r="B2683" t="inlineStr">
        <is>
          <t>ae34eb61-56f0-4a1e-8f56-74ac4ff0ba47</t>
        </is>
      </c>
      <c r="D2683" t="inlineStr">
        <is>
          <t>30001087</t>
        </is>
      </c>
      <c r="E2683" t="inlineStr">
        <is>
          <t>ussd_funeral_leads_altitude_20260619</t>
        </is>
      </c>
      <c r="J2683" t="inlineStr">
        <is>
          <t>CU</t>
        </is>
      </c>
      <c r="K2683" t="inlineStr">
        <is>
          <t>Client Hung Up</t>
        </is>
      </c>
      <c r="L2683" t="n">
        <v>3</v>
      </c>
      <c r="M2683" t="inlineStr">
        <is>
          <t>2026-06-23 12:48:45</t>
        </is>
      </c>
      <c r="N2683" t="inlineStr">
        <is>
          <t>Gontse Monageng</t>
        </is>
      </c>
      <c r="O2683" t="inlineStr">
        <is>
          <t>2026-06-19 07:10:32</t>
        </is>
      </c>
      <c r="P2683" t="inlineStr">
        <is>
          <t>2026-06-19 07:10:32</t>
        </is>
      </c>
      <c r="Y2683" t="inlineStr">
        <is>
          <t>27790722511</t>
        </is>
      </c>
    </row>
    <row r="2684">
      <c r="A2684" t="inlineStr">
        <is>
          <t>14945414</t>
        </is>
      </c>
      <c r="B2684" t="inlineStr">
        <is>
          <t>4a748920-56e5-40ea-8396-9cf2c7e87cd0</t>
        </is>
      </c>
      <c r="D2684" t="inlineStr">
        <is>
          <t>30001087</t>
        </is>
      </c>
      <c r="E2684" t="inlineStr">
        <is>
          <t>ussd_funeral_leads_altitude_20260619</t>
        </is>
      </c>
      <c r="J2684" t="inlineStr">
        <is>
          <t>AA</t>
        </is>
      </c>
      <c r="K2684" t="inlineStr">
        <is>
          <t>Answering Machine Autodial</t>
        </is>
      </c>
      <c r="L2684" t="n">
        <v>3</v>
      </c>
      <c r="M2684" t="inlineStr">
        <is>
          <t>2026-06-23 12:48:45</t>
        </is>
      </c>
      <c r="N2684" t="inlineStr">
        <is>
          <t>system</t>
        </is>
      </c>
      <c r="O2684" t="inlineStr">
        <is>
          <t>2026-06-19 07:10:32</t>
        </is>
      </c>
      <c r="P2684" t="inlineStr">
        <is>
          <t>2026-06-19 07:10:32</t>
        </is>
      </c>
      <c r="Y2684" t="inlineStr">
        <is>
          <t>27818837556</t>
        </is>
      </c>
    </row>
    <row r="2685">
      <c r="A2685" t="inlineStr">
        <is>
          <t>14945412</t>
        </is>
      </c>
      <c r="B2685" t="inlineStr">
        <is>
          <t>1604e8cc-89fa-47bc-b926-2a8ecfbeff7c</t>
        </is>
      </c>
      <c r="D2685" t="inlineStr">
        <is>
          <t>30001087</t>
        </is>
      </c>
      <c r="E2685" t="inlineStr">
        <is>
          <t>ussd_funeral_leads_altitude_20260619</t>
        </is>
      </c>
      <c r="J2685" t="inlineStr">
        <is>
          <t>NA</t>
        </is>
      </c>
      <c r="K2685" t="inlineStr">
        <is>
          <t>No Answer Autodial</t>
        </is>
      </c>
      <c r="L2685" t="n">
        <v>3</v>
      </c>
      <c r="M2685" t="inlineStr">
        <is>
          <t>2026-06-23 12:48:37</t>
        </is>
      </c>
      <c r="N2685" t="inlineStr">
        <is>
          <t>system</t>
        </is>
      </c>
      <c r="O2685" t="inlineStr">
        <is>
          <t>2026-06-19 07:10:32</t>
        </is>
      </c>
      <c r="P2685" t="inlineStr">
        <is>
          <t>2026-06-19 07:10:32</t>
        </is>
      </c>
      <c r="Y2685" t="inlineStr">
        <is>
          <t>27822956021</t>
        </is>
      </c>
    </row>
    <row r="2686">
      <c r="A2686" t="inlineStr">
        <is>
          <t>14945411</t>
        </is>
      </c>
      <c r="B2686" t="inlineStr">
        <is>
          <t>e45ad4cc-450b-4d15-986f-56ef348e6209</t>
        </is>
      </c>
      <c r="D2686" t="inlineStr">
        <is>
          <t>30001087</t>
        </is>
      </c>
      <c r="E2686" t="inlineStr">
        <is>
          <t>ussd_funeral_leads_altitude_20260619</t>
        </is>
      </c>
      <c r="J2686" t="inlineStr">
        <is>
          <t>NA</t>
        </is>
      </c>
      <c r="K2686" t="inlineStr">
        <is>
          <t>No Answer Autodial</t>
        </is>
      </c>
      <c r="L2686" t="n">
        <v>3</v>
      </c>
      <c r="M2686" t="inlineStr">
        <is>
          <t>2026-06-23 12:48:33</t>
        </is>
      </c>
      <c r="N2686" t="inlineStr">
        <is>
          <t>system</t>
        </is>
      </c>
      <c r="O2686" t="inlineStr">
        <is>
          <t>2026-06-19 07:10:32</t>
        </is>
      </c>
      <c r="P2686" t="inlineStr">
        <is>
          <t>2026-06-19 07:10:32</t>
        </is>
      </c>
      <c r="Y2686" t="inlineStr">
        <is>
          <t>27799684556</t>
        </is>
      </c>
    </row>
    <row r="2687">
      <c r="A2687" t="inlineStr">
        <is>
          <t>14945410</t>
        </is>
      </c>
      <c r="B2687" t="inlineStr">
        <is>
          <t>5186b74d-1a74-4845-be4d-c11625d61b01</t>
        </is>
      </c>
      <c r="D2687" t="inlineStr">
        <is>
          <t>30001087</t>
        </is>
      </c>
      <c r="E2687" t="inlineStr">
        <is>
          <t>ussd_funeral_leads_altitude_20260619</t>
        </is>
      </c>
      <c r="J2687" t="inlineStr">
        <is>
          <t>AA</t>
        </is>
      </c>
      <c r="K2687" t="inlineStr">
        <is>
          <t>Answering Machine Autodial</t>
        </is>
      </c>
      <c r="L2687" t="n">
        <v>3</v>
      </c>
      <c r="M2687" t="inlineStr">
        <is>
          <t>2026-06-23 12:48:32</t>
        </is>
      </c>
      <c r="N2687" t="inlineStr">
        <is>
          <t>system</t>
        </is>
      </c>
      <c r="O2687" t="inlineStr">
        <is>
          <t>2026-06-19 07:10:32</t>
        </is>
      </c>
      <c r="P2687" t="inlineStr">
        <is>
          <t>2026-06-19 07:10:32</t>
        </is>
      </c>
      <c r="Y2687" t="inlineStr">
        <is>
          <t>27826883536</t>
        </is>
      </c>
    </row>
    <row r="2688">
      <c r="A2688" t="inlineStr">
        <is>
          <t>14945409</t>
        </is>
      </c>
      <c r="B2688" t="inlineStr">
        <is>
          <t>9a3cb7a0-612e-45a9-abc9-902681c65c0a</t>
        </is>
      </c>
      <c r="D2688" t="inlineStr">
        <is>
          <t>30001087</t>
        </is>
      </c>
      <c r="E2688" t="inlineStr">
        <is>
          <t>ussd_funeral_leads_altitude_20260619</t>
        </is>
      </c>
      <c r="J2688" t="inlineStr">
        <is>
          <t>ADC</t>
        </is>
      </c>
      <c r="K2688" t="inlineStr">
        <is>
          <t>Auto Dial Disconnected</t>
        </is>
      </c>
      <c r="L2688" t="n">
        <v>3</v>
      </c>
      <c r="M2688" t="inlineStr">
        <is>
          <t>2026-06-23 12:48:29</t>
        </is>
      </c>
      <c r="N2688" t="inlineStr">
        <is>
          <t>system</t>
        </is>
      </c>
      <c r="O2688" t="inlineStr">
        <is>
          <t>2026-06-19 07:10:32</t>
        </is>
      </c>
      <c r="P2688" t="inlineStr">
        <is>
          <t>2026-06-19 07:10:32</t>
        </is>
      </c>
      <c r="Y2688" t="inlineStr">
        <is>
          <t>27725541699</t>
        </is>
      </c>
    </row>
    <row r="2689">
      <c r="A2689" t="inlineStr">
        <is>
          <t>14945404</t>
        </is>
      </c>
      <c r="B2689" t="inlineStr">
        <is>
          <t>4fa33502-b786-4e82-afae-9c572c8006d6</t>
        </is>
      </c>
      <c r="D2689" t="inlineStr">
        <is>
          <t>30001087</t>
        </is>
      </c>
      <c r="E2689" t="inlineStr">
        <is>
          <t>ussd_funeral_leads_altitude_20260619</t>
        </is>
      </c>
      <c r="J2689" t="inlineStr">
        <is>
          <t>AA</t>
        </is>
      </c>
      <c r="K2689" t="inlineStr">
        <is>
          <t>Answering Machine Autodial</t>
        </is>
      </c>
      <c r="L2689" t="n">
        <v>3</v>
      </c>
      <c r="M2689" t="inlineStr">
        <is>
          <t>2026-06-23 12:48:27</t>
        </is>
      </c>
      <c r="N2689" t="inlineStr">
        <is>
          <t>system</t>
        </is>
      </c>
      <c r="O2689" t="inlineStr">
        <is>
          <t>2026-06-19 07:10:32</t>
        </is>
      </c>
      <c r="P2689" t="inlineStr">
        <is>
          <t>2026-06-19 07:10:32</t>
        </is>
      </c>
      <c r="Y2689" t="inlineStr">
        <is>
          <t>27664668482</t>
        </is>
      </c>
    </row>
    <row r="2690">
      <c r="A2690" t="inlineStr">
        <is>
          <t>14945405</t>
        </is>
      </c>
      <c r="B2690" t="inlineStr">
        <is>
          <t>e65c1694-3bde-4f04-a163-7ccc9c6fe8e4</t>
        </is>
      </c>
      <c r="D2690" t="inlineStr">
        <is>
          <t>30001087</t>
        </is>
      </c>
      <c r="E2690" t="inlineStr">
        <is>
          <t>ussd_funeral_leads_altitude_20260619</t>
        </is>
      </c>
      <c r="J2690" t="inlineStr">
        <is>
          <t>ADC</t>
        </is>
      </c>
      <c r="K2690" t="inlineStr">
        <is>
          <t>Auto Dial Disconnected</t>
        </is>
      </c>
      <c r="L2690" t="n">
        <v>3</v>
      </c>
      <c r="M2690" t="inlineStr">
        <is>
          <t>2026-06-23 12:48:27</t>
        </is>
      </c>
      <c r="N2690" t="inlineStr">
        <is>
          <t>system</t>
        </is>
      </c>
      <c r="O2690" t="inlineStr">
        <is>
          <t>2026-06-19 07:10:32</t>
        </is>
      </c>
      <c r="P2690" t="inlineStr">
        <is>
          <t>2026-06-19 07:10:32</t>
        </is>
      </c>
      <c r="Y2690" t="inlineStr">
        <is>
          <t>27713804152</t>
        </is>
      </c>
    </row>
    <row r="2691">
      <c r="A2691" t="inlineStr">
        <is>
          <t>14945406</t>
        </is>
      </c>
      <c r="B2691" t="inlineStr">
        <is>
          <t>fbd1a0d3-0108-438d-86b1-7fb39f786578</t>
        </is>
      </c>
      <c r="D2691" t="inlineStr">
        <is>
          <t>30001087</t>
        </is>
      </c>
      <c r="E2691" t="inlineStr">
        <is>
          <t>ussd_funeral_leads_altitude_20260619</t>
        </is>
      </c>
      <c r="J2691" t="inlineStr">
        <is>
          <t>CU</t>
        </is>
      </c>
      <c r="K2691" t="inlineStr">
        <is>
          <t>Client Hung Up</t>
        </is>
      </c>
      <c r="L2691" t="n">
        <v>3</v>
      </c>
      <c r="M2691" t="inlineStr">
        <is>
          <t>2026-06-23 12:48:27</t>
        </is>
      </c>
      <c r="N2691" t="inlineStr">
        <is>
          <t>Lebohang Mabotja</t>
        </is>
      </c>
      <c r="O2691" t="inlineStr">
        <is>
          <t>2026-06-19 07:10:32</t>
        </is>
      </c>
      <c r="P2691" t="inlineStr">
        <is>
          <t>2026-06-19 07:10:32</t>
        </is>
      </c>
      <c r="Y2691" t="inlineStr">
        <is>
          <t>27773784407</t>
        </is>
      </c>
    </row>
    <row r="2692">
      <c r="A2692" t="inlineStr">
        <is>
          <t>14945407</t>
        </is>
      </c>
      <c r="B2692" t="inlineStr">
        <is>
          <t>de18386c-e27d-4f12-b1a9-6e82eee3daa8</t>
        </is>
      </c>
      <c r="D2692" t="inlineStr">
        <is>
          <t>30001087</t>
        </is>
      </c>
      <c r="E2692" t="inlineStr">
        <is>
          <t>ussd_funeral_leads_altitude_20260619</t>
        </is>
      </c>
      <c r="J2692" t="inlineStr">
        <is>
          <t>U</t>
        </is>
      </c>
      <c r="K2692" t="inlineStr">
        <is>
          <t>Unemployed</t>
        </is>
      </c>
      <c r="L2692" t="n">
        <v>3</v>
      </c>
      <c r="M2692" t="inlineStr">
        <is>
          <t>2026-06-23 12:48:27</t>
        </is>
      </c>
      <c r="N2692" t="inlineStr">
        <is>
          <t>Goitsimang Mogwasa</t>
        </is>
      </c>
      <c r="O2692" t="inlineStr">
        <is>
          <t>2026-06-19 07:10:32</t>
        </is>
      </c>
      <c r="P2692" t="inlineStr">
        <is>
          <t>2026-06-19 07:10:32</t>
        </is>
      </c>
      <c r="Y2692" t="inlineStr">
        <is>
          <t>27791587691</t>
        </is>
      </c>
    </row>
    <row r="2693">
      <c r="A2693" t="inlineStr">
        <is>
          <t>14945403</t>
        </is>
      </c>
      <c r="B2693" t="inlineStr">
        <is>
          <t>ba0f3164-1b1c-4968-9f63-e082428c602f</t>
        </is>
      </c>
      <c r="D2693" t="inlineStr">
        <is>
          <t>30001087</t>
        </is>
      </c>
      <c r="E2693" t="inlineStr">
        <is>
          <t>ussd_funeral_leads_altitude_20260619</t>
        </is>
      </c>
      <c r="J2693" t="inlineStr">
        <is>
          <t>NA</t>
        </is>
      </c>
      <c r="K2693" t="inlineStr">
        <is>
          <t>No Answer Autodial</t>
        </is>
      </c>
      <c r="L2693" t="n">
        <v>3</v>
      </c>
      <c r="M2693" t="inlineStr">
        <is>
          <t>2026-06-23 12:48:18</t>
        </is>
      </c>
      <c r="N2693" t="inlineStr">
        <is>
          <t>system</t>
        </is>
      </c>
      <c r="O2693" t="inlineStr">
        <is>
          <t>2026-06-19 07:10:32</t>
        </is>
      </c>
      <c r="P2693" t="inlineStr">
        <is>
          <t>2026-06-19 07:10:32</t>
        </is>
      </c>
      <c r="Y2693" t="inlineStr">
        <is>
          <t>27762450371</t>
        </is>
      </c>
    </row>
    <row r="2694">
      <c r="A2694" t="inlineStr">
        <is>
          <t>14945402</t>
        </is>
      </c>
      <c r="B2694" t="inlineStr">
        <is>
          <t>7b8ca24a-ec50-4e8f-8a1b-558580981bab</t>
        </is>
      </c>
      <c r="D2694" t="inlineStr">
        <is>
          <t>30001087</t>
        </is>
      </c>
      <c r="E2694" t="inlineStr">
        <is>
          <t>ussd_funeral_leads_altitude_20260619</t>
        </is>
      </c>
      <c r="J2694" t="inlineStr">
        <is>
          <t>TDN</t>
        </is>
      </c>
      <c r="K2694" t="inlineStr">
        <is>
          <t>Temporary Disconnected Number</t>
        </is>
      </c>
      <c r="L2694" t="n">
        <v>3</v>
      </c>
      <c r="M2694" t="inlineStr">
        <is>
          <t>2026-06-23 12:48:16</t>
        </is>
      </c>
      <c r="N2694" t="inlineStr">
        <is>
          <t>system</t>
        </is>
      </c>
      <c r="O2694" t="inlineStr">
        <is>
          <t>2026-06-19 07:10:32</t>
        </is>
      </c>
      <c r="P2694" t="inlineStr">
        <is>
          <t>2026-06-19 07:10:32</t>
        </is>
      </c>
      <c r="Y2694" t="inlineStr">
        <is>
          <t>27606933585</t>
        </is>
      </c>
    </row>
    <row r="2695">
      <c r="A2695" t="inlineStr">
        <is>
          <t>14945401</t>
        </is>
      </c>
      <c r="B2695" t="inlineStr">
        <is>
          <t>0d617f18-01a8-439a-9fb1-a8553c691d14</t>
        </is>
      </c>
      <c r="D2695" t="inlineStr">
        <is>
          <t>30001087</t>
        </is>
      </c>
      <c r="E2695" t="inlineStr">
        <is>
          <t>ussd_funeral_leads_altitude_20260619</t>
        </is>
      </c>
      <c r="J2695" t="inlineStr">
        <is>
          <t>NA</t>
        </is>
      </c>
      <c r="K2695" t="inlineStr">
        <is>
          <t>No Answer Autodial</t>
        </is>
      </c>
      <c r="L2695" t="n">
        <v>3</v>
      </c>
      <c r="M2695" t="inlineStr">
        <is>
          <t>2026-06-23 12:48:15</t>
        </is>
      </c>
      <c r="N2695" t="inlineStr">
        <is>
          <t>system</t>
        </is>
      </c>
      <c r="O2695" t="inlineStr">
        <is>
          <t>2026-06-19 07:10:32</t>
        </is>
      </c>
      <c r="P2695" t="inlineStr">
        <is>
          <t>2026-06-19 07:10:32</t>
        </is>
      </c>
      <c r="Y2695" t="inlineStr">
        <is>
          <t>27828640743</t>
        </is>
      </c>
    </row>
    <row r="2696">
      <c r="A2696" t="inlineStr">
        <is>
          <t>14945400</t>
        </is>
      </c>
      <c r="B2696" t="inlineStr">
        <is>
          <t>3c212653-9428-4618-9b7b-ca3dc512e3af</t>
        </is>
      </c>
      <c r="D2696" t="inlineStr">
        <is>
          <t>30001087</t>
        </is>
      </c>
      <c r="E2696" t="inlineStr">
        <is>
          <t>ussd_funeral_leads_altitude_20260619</t>
        </is>
      </c>
      <c r="J2696" t="inlineStr">
        <is>
          <t>AA</t>
        </is>
      </c>
      <c r="K2696" t="inlineStr">
        <is>
          <t>Answering Machine Autodial</t>
        </is>
      </c>
      <c r="L2696" t="n">
        <v>3</v>
      </c>
      <c r="M2696" t="inlineStr">
        <is>
          <t>2026-06-23 12:48:12</t>
        </is>
      </c>
      <c r="N2696" t="inlineStr">
        <is>
          <t>system</t>
        </is>
      </c>
      <c r="O2696" t="inlineStr">
        <is>
          <t>2026-06-19 07:10:32</t>
        </is>
      </c>
      <c r="P2696" t="inlineStr">
        <is>
          <t>2026-06-19 07:10:32</t>
        </is>
      </c>
      <c r="Y2696" t="inlineStr">
        <is>
          <t>27720258026</t>
        </is>
      </c>
    </row>
    <row r="2697">
      <c r="A2697" t="inlineStr">
        <is>
          <t>14945397</t>
        </is>
      </c>
      <c r="B2697" t="inlineStr">
        <is>
          <t>39817681-3f39-4947-9956-3f27770e478e</t>
        </is>
      </c>
      <c r="D2697" t="inlineStr">
        <is>
          <t>30001087</t>
        </is>
      </c>
      <c r="E2697" t="inlineStr">
        <is>
          <t>ussd_funeral_leads_altitude_20260619</t>
        </is>
      </c>
      <c r="J2697" t="inlineStr">
        <is>
          <t>AA</t>
        </is>
      </c>
      <c r="K2697" t="inlineStr">
        <is>
          <t>Answering Machine Autodial</t>
        </is>
      </c>
      <c r="L2697" t="n">
        <v>3</v>
      </c>
      <c r="M2697" t="inlineStr">
        <is>
          <t>2026-06-23 12:48:10</t>
        </is>
      </c>
      <c r="N2697" t="inlineStr">
        <is>
          <t>system</t>
        </is>
      </c>
      <c r="O2697" t="inlineStr">
        <is>
          <t>2026-06-19 07:10:32</t>
        </is>
      </c>
      <c r="P2697" t="inlineStr">
        <is>
          <t>2026-06-19 07:10:32</t>
        </is>
      </c>
      <c r="Y2697" t="inlineStr">
        <is>
          <t>27827859840</t>
        </is>
      </c>
    </row>
    <row r="2698">
      <c r="A2698" t="inlineStr">
        <is>
          <t>14945398</t>
        </is>
      </c>
      <c r="B2698" t="inlineStr">
        <is>
          <t>b67f8553-796e-4992-aa8a-7baac94e2b26</t>
        </is>
      </c>
      <c r="D2698" t="inlineStr">
        <is>
          <t>30001087</t>
        </is>
      </c>
      <c r="E2698" t="inlineStr">
        <is>
          <t>ussd_funeral_leads_altitude_20260619</t>
        </is>
      </c>
      <c r="J2698" t="inlineStr">
        <is>
          <t>AA</t>
        </is>
      </c>
      <c r="K2698" t="inlineStr">
        <is>
          <t>Answering Machine Autodial</t>
        </is>
      </c>
      <c r="L2698" t="n">
        <v>3</v>
      </c>
      <c r="M2698" t="inlineStr">
        <is>
          <t>2026-06-23 12:48:10</t>
        </is>
      </c>
      <c r="N2698" t="inlineStr">
        <is>
          <t>system</t>
        </is>
      </c>
      <c r="O2698" t="inlineStr">
        <is>
          <t>2026-06-19 07:10:32</t>
        </is>
      </c>
      <c r="P2698" t="inlineStr">
        <is>
          <t>2026-06-19 07:10:32</t>
        </is>
      </c>
      <c r="Y2698" t="inlineStr">
        <is>
          <t>27826209610</t>
        </is>
      </c>
    </row>
    <row r="2699">
      <c r="A2699" t="inlineStr">
        <is>
          <t>14945399</t>
        </is>
      </c>
      <c r="B2699" t="inlineStr">
        <is>
          <t>a328e86d-a6e5-4a34-8a8c-afe6bef222e3</t>
        </is>
      </c>
      <c r="D2699" t="inlineStr">
        <is>
          <t>30001087</t>
        </is>
      </c>
      <c r="E2699" t="inlineStr">
        <is>
          <t>ussd_funeral_leads_altitude_20260619</t>
        </is>
      </c>
      <c r="J2699" t="inlineStr">
        <is>
          <t>AA</t>
        </is>
      </c>
      <c r="K2699" t="inlineStr">
        <is>
          <t>Answering Machine Autodial</t>
        </is>
      </c>
      <c r="L2699" t="n">
        <v>3</v>
      </c>
      <c r="M2699" t="inlineStr">
        <is>
          <t>2026-06-23 12:48:10</t>
        </is>
      </c>
      <c r="N2699" t="inlineStr">
        <is>
          <t>system</t>
        </is>
      </c>
      <c r="O2699" t="inlineStr">
        <is>
          <t>2026-06-19 07:10:32</t>
        </is>
      </c>
      <c r="P2699" t="inlineStr">
        <is>
          <t>2026-06-19 07:10:32</t>
        </is>
      </c>
      <c r="Y2699" t="inlineStr">
        <is>
          <t>27713138161</t>
        </is>
      </c>
    </row>
    <row r="2700">
      <c r="A2700" t="inlineStr">
        <is>
          <t>14945508</t>
        </is>
      </c>
      <c r="B2700" t="inlineStr">
        <is>
          <t>a968e819-0bf5-452e-bb5f-ced0f25180dd</t>
        </is>
      </c>
      <c r="D2700" t="inlineStr">
        <is>
          <t>30001087</t>
        </is>
      </c>
      <c r="E2700" t="inlineStr">
        <is>
          <t>ussd_funeral_leads_altitude_20260619</t>
        </is>
      </c>
      <c r="H2700" t="inlineStr">
        <is>
          <t>27828412066</t>
        </is>
      </c>
      <c r="J2700" t="inlineStr">
        <is>
          <t>CU</t>
        </is>
      </c>
      <c r="K2700" t="inlineStr">
        <is>
          <t>Client Hung Up</t>
        </is>
      </c>
      <c r="L2700" t="n">
        <v>3</v>
      </c>
      <c r="M2700" t="inlineStr">
        <is>
          <t>2026-06-23 12:48:06</t>
        </is>
      </c>
      <c r="N2700" t="inlineStr">
        <is>
          <t>Vuyiswa Nxumalo</t>
        </is>
      </c>
      <c r="O2700" t="inlineStr">
        <is>
          <t>2026-06-19 07:10:32</t>
        </is>
      </c>
      <c r="P2700" t="inlineStr">
        <is>
          <t>2026-06-19 07:10:32</t>
        </is>
      </c>
      <c r="Y2700" t="inlineStr">
        <is>
          <t>27828412066</t>
        </is>
      </c>
    </row>
    <row r="2701">
      <c r="A2701" t="inlineStr">
        <is>
          <t>14945391</t>
        </is>
      </c>
      <c r="B2701" t="inlineStr">
        <is>
          <t>afef70d7-fde4-4df7-ada7-a23db615623e</t>
        </is>
      </c>
      <c r="D2701" t="inlineStr">
        <is>
          <t>30001087</t>
        </is>
      </c>
      <c r="E2701" t="inlineStr">
        <is>
          <t>ussd_funeral_leads_altitude_20260619</t>
        </is>
      </c>
      <c r="J2701" t="inlineStr">
        <is>
          <t>NA</t>
        </is>
      </c>
      <c r="K2701" t="inlineStr">
        <is>
          <t>No Answer Autodial</t>
        </is>
      </c>
      <c r="L2701" t="n">
        <v>3</v>
      </c>
      <c r="M2701" t="inlineStr">
        <is>
          <t>2026-06-23 12:48:03</t>
        </is>
      </c>
      <c r="N2701" t="inlineStr">
        <is>
          <t>system</t>
        </is>
      </c>
      <c r="O2701" t="inlineStr">
        <is>
          <t>2026-06-19 07:10:32</t>
        </is>
      </c>
      <c r="P2701" t="inlineStr">
        <is>
          <t>2026-06-19 07:10:32</t>
        </is>
      </c>
      <c r="Y2701" t="inlineStr">
        <is>
          <t>27647017349</t>
        </is>
      </c>
    </row>
    <row r="2702">
      <c r="A2702" t="inlineStr">
        <is>
          <t>14945393</t>
        </is>
      </c>
      <c r="B2702" t="inlineStr">
        <is>
          <t>b616f473-a086-44e4-b8cb-35420fe0c4fa</t>
        </is>
      </c>
      <c r="D2702" t="inlineStr">
        <is>
          <t>30001087</t>
        </is>
      </c>
      <c r="E2702" t="inlineStr">
        <is>
          <t>ussd_funeral_leads_altitude_20260619</t>
        </is>
      </c>
      <c r="J2702" t="inlineStr">
        <is>
          <t>AA</t>
        </is>
      </c>
      <c r="K2702" t="inlineStr">
        <is>
          <t>Answering Machine Autodial</t>
        </is>
      </c>
      <c r="L2702" t="n">
        <v>3</v>
      </c>
      <c r="M2702" t="inlineStr">
        <is>
          <t>2026-06-23 12:48:03</t>
        </is>
      </c>
      <c r="N2702" t="inlineStr">
        <is>
          <t>system</t>
        </is>
      </c>
      <c r="O2702" t="inlineStr">
        <is>
          <t>2026-06-19 07:10:32</t>
        </is>
      </c>
      <c r="P2702" t="inlineStr">
        <is>
          <t>2026-06-19 07:10:32</t>
        </is>
      </c>
      <c r="Y2702" t="inlineStr">
        <is>
          <t>27661094896</t>
        </is>
      </c>
    </row>
    <row r="2703">
      <c r="A2703" t="inlineStr">
        <is>
          <t>14945394</t>
        </is>
      </c>
      <c r="B2703" t="inlineStr">
        <is>
          <t>e26c4b69-fa4b-4c92-85d0-c4584c7ae1db</t>
        </is>
      </c>
      <c r="D2703" t="inlineStr">
        <is>
          <t>30001087</t>
        </is>
      </c>
      <c r="E2703" t="inlineStr">
        <is>
          <t>ussd_funeral_leads_altitude_20260619</t>
        </is>
      </c>
      <c r="J2703" t="inlineStr">
        <is>
          <t>AA</t>
        </is>
      </c>
      <c r="K2703" t="inlineStr">
        <is>
          <t>Answering Machine Autodial</t>
        </is>
      </c>
      <c r="L2703" t="n">
        <v>3</v>
      </c>
      <c r="M2703" t="inlineStr">
        <is>
          <t>2026-06-23 12:48:03</t>
        </is>
      </c>
      <c r="N2703" t="inlineStr">
        <is>
          <t>system</t>
        </is>
      </c>
      <c r="O2703" t="inlineStr">
        <is>
          <t>2026-06-19 07:10:32</t>
        </is>
      </c>
      <c r="P2703" t="inlineStr">
        <is>
          <t>2026-06-19 07:10:32</t>
        </is>
      </c>
      <c r="Y2703" t="inlineStr">
        <is>
          <t>27649532553</t>
        </is>
      </c>
    </row>
    <row r="2704">
      <c r="A2704" t="inlineStr">
        <is>
          <t>14945395</t>
        </is>
      </c>
      <c r="B2704" t="inlineStr">
        <is>
          <t>84432592-80c4-47e8-b7bb-fab04774a63a</t>
        </is>
      </c>
      <c r="D2704" t="inlineStr">
        <is>
          <t>30001087</t>
        </is>
      </c>
      <c r="E2704" t="inlineStr">
        <is>
          <t>ussd_funeral_leads_altitude_20260619</t>
        </is>
      </c>
      <c r="J2704" t="inlineStr">
        <is>
          <t>ADC</t>
        </is>
      </c>
      <c r="K2704" t="inlineStr">
        <is>
          <t>Auto Dial Disconnected</t>
        </is>
      </c>
      <c r="L2704" t="n">
        <v>3</v>
      </c>
      <c r="M2704" t="inlineStr">
        <is>
          <t>2026-06-23 12:48:03</t>
        </is>
      </c>
      <c r="N2704" t="inlineStr">
        <is>
          <t>system</t>
        </is>
      </c>
      <c r="O2704" t="inlineStr">
        <is>
          <t>2026-06-19 07:10:32</t>
        </is>
      </c>
      <c r="P2704" t="inlineStr">
        <is>
          <t>2026-06-19 07:10:32</t>
        </is>
      </c>
      <c r="Y2704" t="inlineStr">
        <is>
          <t>27722192118</t>
        </is>
      </c>
    </row>
    <row r="2705">
      <c r="A2705" t="inlineStr">
        <is>
          <t>14945396</t>
        </is>
      </c>
      <c r="B2705" t="inlineStr">
        <is>
          <t>802f3697-0122-4ee9-8390-c377e2e01197</t>
        </is>
      </c>
      <c r="D2705" t="inlineStr">
        <is>
          <t>30001087</t>
        </is>
      </c>
      <c r="E2705" t="inlineStr">
        <is>
          <t>ussd_funeral_leads_altitude_20260619</t>
        </is>
      </c>
      <c r="J2705" t="inlineStr">
        <is>
          <t>AA</t>
        </is>
      </c>
      <c r="K2705" t="inlineStr">
        <is>
          <t>Answering Machine Autodial</t>
        </is>
      </c>
      <c r="L2705" t="n">
        <v>3</v>
      </c>
      <c r="M2705" t="inlineStr">
        <is>
          <t>2026-06-23 12:48:03</t>
        </is>
      </c>
      <c r="N2705" t="inlineStr">
        <is>
          <t>system</t>
        </is>
      </c>
      <c r="O2705" t="inlineStr">
        <is>
          <t>2026-06-19 07:10:32</t>
        </is>
      </c>
      <c r="P2705" t="inlineStr">
        <is>
          <t>2026-06-19 07:10:32</t>
        </is>
      </c>
      <c r="Y2705" t="inlineStr">
        <is>
          <t>27723176469</t>
        </is>
      </c>
    </row>
    <row r="2706">
      <c r="A2706" t="inlineStr">
        <is>
          <t>14945390</t>
        </is>
      </c>
      <c r="B2706" t="inlineStr">
        <is>
          <t>a99c76b4-82eb-4449-af74-f0467c66e725</t>
        </is>
      </c>
      <c r="D2706" t="inlineStr">
        <is>
          <t>30001087</t>
        </is>
      </c>
      <c r="E2706" t="inlineStr">
        <is>
          <t>ussd_funeral_leads_altitude_20260619</t>
        </is>
      </c>
      <c r="J2706" t="inlineStr">
        <is>
          <t>AA</t>
        </is>
      </c>
      <c r="K2706" t="inlineStr">
        <is>
          <t>Answering Machine Autodial</t>
        </is>
      </c>
      <c r="L2706" t="n">
        <v>3</v>
      </c>
      <c r="M2706" t="inlineStr">
        <is>
          <t>2026-06-23 12:47:20</t>
        </is>
      </c>
      <c r="N2706" t="inlineStr">
        <is>
          <t>system</t>
        </is>
      </c>
      <c r="O2706" t="inlineStr">
        <is>
          <t>2026-06-19 07:10:32</t>
        </is>
      </c>
      <c r="P2706" t="inlineStr">
        <is>
          <t>2026-06-19 07:10:32</t>
        </is>
      </c>
      <c r="Y2706" t="inlineStr">
        <is>
          <t>27798055490</t>
        </is>
      </c>
    </row>
    <row r="2707">
      <c r="A2707" t="inlineStr">
        <is>
          <t>14945389</t>
        </is>
      </c>
      <c r="B2707" t="inlineStr">
        <is>
          <t>eb834298-b41a-4f8c-83b8-d5555261e886</t>
        </is>
      </c>
      <c r="D2707" t="inlineStr">
        <is>
          <t>30001087</t>
        </is>
      </c>
      <c r="E2707" t="inlineStr">
        <is>
          <t>ussd_funeral_leads_altitude_20260619</t>
        </is>
      </c>
      <c r="J2707" t="inlineStr">
        <is>
          <t>NA</t>
        </is>
      </c>
      <c r="K2707" t="inlineStr">
        <is>
          <t>No Answer Autodial</t>
        </is>
      </c>
      <c r="L2707" t="n">
        <v>3</v>
      </c>
      <c r="M2707" t="inlineStr">
        <is>
          <t>2026-06-23 12:47:19</t>
        </is>
      </c>
      <c r="N2707" t="inlineStr">
        <is>
          <t>system</t>
        </is>
      </c>
      <c r="O2707" t="inlineStr">
        <is>
          <t>2026-06-19 07:10:32</t>
        </is>
      </c>
      <c r="P2707" t="inlineStr">
        <is>
          <t>2026-06-19 07:10:32</t>
        </is>
      </c>
      <c r="Y2707" t="inlineStr">
        <is>
          <t>27661200124</t>
        </is>
      </c>
    </row>
    <row r="2708">
      <c r="A2708" t="inlineStr">
        <is>
          <t>14900000</t>
        </is>
      </c>
      <c r="B2708" t="inlineStr">
        <is>
          <t>6e18350d-f6e0-4220-91a8-b9629ceec3ce</t>
        </is>
      </c>
      <c r="D2708" t="inlineStr">
        <is>
          <t>30001087</t>
        </is>
      </c>
      <c r="E2708" t="inlineStr">
        <is>
          <t>ussd_funeral_leads_altitude_20260619</t>
        </is>
      </c>
      <c r="J2708" t="inlineStr">
        <is>
          <t>AA</t>
        </is>
      </c>
      <c r="K2708" t="inlineStr">
        <is>
          <t>Answering Machine Autodial</t>
        </is>
      </c>
      <c r="L2708" t="n">
        <v>3</v>
      </c>
      <c r="M2708" t="inlineStr">
        <is>
          <t>2026-06-23 12:47:19</t>
        </is>
      </c>
      <c r="N2708" t="inlineStr">
        <is>
          <t>system</t>
        </is>
      </c>
      <c r="O2708" t="inlineStr">
        <is>
          <t>2026-06-19 07:10:32</t>
        </is>
      </c>
      <c r="P2708" t="inlineStr">
        <is>
          <t>2026-06-19 07:10:32</t>
        </is>
      </c>
      <c r="Y2708" t="inlineStr">
        <is>
          <t>27827574055</t>
        </is>
      </c>
    </row>
    <row r="2709">
      <c r="A2709" t="inlineStr">
        <is>
          <t>14947732</t>
        </is>
      </c>
      <c r="B2709" t="inlineStr">
        <is>
          <t>f136fe3f-0332-4ab5-97d5-02bfdad59ce6</t>
        </is>
      </c>
      <c r="D2709" t="inlineStr">
        <is>
          <t>30001087</t>
        </is>
      </c>
      <c r="E2709" t="inlineStr">
        <is>
          <t>ussd_funeral_leads_altitude_20260619</t>
        </is>
      </c>
      <c r="J2709" t="inlineStr">
        <is>
          <t>NA</t>
        </is>
      </c>
      <c r="K2709" t="inlineStr">
        <is>
          <t>No Answer Autodial</t>
        </is>
      </c>
      <c r="L2709" t="n">
        <v>3</v>
      </c>
      <c r="M2709" t="inlineStr">
        <is>
          <t>2026-06-23 12:47:19</t>
        </is>
      </c>
      <c r="N2709" t="inlineStr">
        <is>
          <t>system</t>
        </is>
      </c>
      <c r="O2709" t="inlineStr">
        <is>
          <t>2026-06-19 07:10:32</t>
        </is>
      </c>
      <c r="P2709" t="inlineStr">
        <is>
          <t>2026-06-19 07:10:32</t>
        </is>
      </c>
      <c r="Y2709" t="inlineStr">
        <is>
          <t>27764575290</t>
        </is>
      </c>
    </row>
    <row r="2710">
      <c r="A2710" t="inlineStr">
        <is>
          <t>14945746</t>
        </is>
      </c>
      <c r="B2710" t="inlineStr">
        <is>
          <t>92620941-ca1c-49a9-b3a8-678656ef343f</t>
        </is>
      </c>
      <c r="D2710" t="inlineStr">
        <is>
          <t>30001087</t>
        </is>
      </c>
      <c r="E2710" t="inlineStr">
        <is>
          <t>ussd_funeral_leads_altitude_20260619</t>
        </is>
      </c>
      <c r="J2710" t="inlineStr">
        <is>
          <t>NA</t>
        </is>
      </c>
      <c r="K2710" t="inlineStr">
        <is>
          <t>No Answer Autodial</t>
        </is>
      </c>
      <c r="L2710" t="n">
        <v>3</v>
      </c>
      <c r="M2710" t="inlineStr">
        <is>
          <t>2026-06-23 12:47:18</t>
        </is>
      </c>
      <c r="N2710" t="inlineStr">
        <is>
          <t>system</t>
        </is>
      </c>
      <c r="O2710" t="inlineStr">
        <is>
          <t>2026-06-19 07:10:32</t>
        </is>
      </c>
      <c r="P2710" t="inlineStr">
        <is>
          <t>2026-06-19 07:10:32</t>
        </is>
      </c>
      <c r="Y2710" t="inlineStr">
        <is>
          <t>27637757228</t>
        </is>
      </c>
    </row>
    <row r="2711">
      <c r="A2711" t="inlineStr">
        <is>
          <t>14945747</t>
        </is>
      </c>
      <c r="B2711" t="inlineStr">
        <is>
          <t>54f6cc44-808b-420c-9582-efa15aaac34c</t>
        </is>
      </c>
      <c r="D2711" t="inlineStr">
        <is>
          <t>30001087</t>
        </is>
      </c>
      <c r="E2711" t="inlineStr">
        <is>
          <t>ussd_funeral_leads_altitude_20260619</t>
        </is>
      </c>
      <c r="J2711" t="inlineStr">
        <is>
          <t>ADC</t>
        </is>
      </c>
      <c r="K2711" t="inlineStr">
        <is>
          <t>Auto Dial Disconnected</t>
        </is>
      </c>
      <c r="L2711" t="n">
        <v>3</v>
      </c>
      <c r="M2711" t="inlineStr">
        <is>
          <t>2026-06-23 12:47:18</t>
        </is>
      </c>
      <c r="N2711" t="inlineStr">
        <is>
          <t>system</t>
        </is>
      </c>
      <c r="O2711" t="inlineStr">
        <is>
          <t>2026-06-19 07:10:32</t>
        </is>
      </c>
      <c r="P2711" t="inlineStr">
        <is>
          <t>2026-06-19 07:10:32</t>
        </is>
      </c>
      <c r="Y2711" t="inlineStr">
        <is>
          <t>27790994863</t>
        </is>
      </c>
    </row>
    <row r="2712">
      <c r="A2712" t="inlineStr">
        <is>
          <t>14945748</t>
        </is>
      </c>
      <c r="B2712" t="inlineStr">
        <is>
          <t>8d1a470a-119b-4bd6-b356-6a7bad24e989</t>
        </is>
      </c>
      <c r="D2712" t="inlineStr">
        <is>
          <t>30001087</t>
        </is>
      </c>
      <c r="E2712" t="inlineStr">
        <is>
          <t>ussd_funeral_leads_altitude_20260619</t>
        </is>
      </c>
      <c r="J2712" t="inlineStr">
        <is>
          <t>ADC</t>
        </is>
      </c>
      <c r="K2712" t="inlineStr">
        <is>
          <t>Auto Dial Disconnected</t>
        </is>
      </c>
      <c r="L2712" t="n">
        <v>3</v>
      </c>
      <c r="M2712" t="inlineStr">
        <is>
          <t>2026-06-23 12:47:18</t>
        </is>
      </c>
      <c r="N2712" t="inlineStr">
        <is>
          <t>system</t>
        </is>
      </c>
      <c r="O2712" t="inlineStr">
        <is>
          <t>2026-06-19 07:10:32</t>
        </is>
      </c>
      <c r="P2712" t="inlineStr">
        <is>
          <t>2026-06-19 07:10:32</t>
        </is>
      </c>
      <c r="Y2712" t="inlineStr">
        <is>
          <t>27663669471</t>
        </is>
      </c>
    </row>
    <row r="2713">
      <c r="A2713" t="inlineStr">
        <is>
          <t>14945749</t>
        </is>
      </c>
      <c r="B2713" t="inlineStr">
        <is>
          <t>64d5e552-e5b9-41b6-bd7c-905e7a59c402</t>
        </is>
      </c>
      <c r="D2713" t="inlineStr">
        <is>
          <t>30001087</t>
        </is>
      </c>
      <c r="E2713" t="inlineStr">
        <is>
          <t>ussd_funeral_leads_altitude_20260619</t>
        </is>
      </c>
      <c r="J2713" t="inlineStr">
        <is>
          <t>AA</t>
        </is>
      </c>
      <c r="K2713" t="inlineStr">
        <is>
          <t>Answering Machine Autodial</t>
        </is>
      </c>
      <c r="L2713" t="n">
        <v>3</v>
      </c>
      <c r="M2713" t="inlineStr">
        <is>
          <t>2026-06-23 12:47:18</t>
        </is>
      </c>
      <c r="N2713" t="inlineStr">
        <is>
          <t>system</t>
        </is>
      </c>
      <c r="O2713" t="inlineStr">
        <is>
          <t>2026-06-19 07:10:32</t>
        </is>
      </c>
      <c r="P2713" t="inlineStr">
        <is>
          <t>2026-06-19 07:10:32</t>
        </is>
      </c>
      <c r="Y2713" t="inlineStr">
        <is>
          <t>27660420209</t>
        </is>
      </c>
    </row>
    <row r="2714">
      <c r="A2714" t="inlineStr">
        <is>
          <t>14945750</t>
        </is>
      </c>
      <c r="B2714" t="inlineStr">
        <is>
          <t>a5c513f2-5fb2-410f-a662-2bb06b8678fc</t>
        </is>
      </c>
      <c r="D2714" t="inlineStr">
        <is>
          <t>30001087</t>
        </is>
      </c>
      <c r="E2714" t="inlineStr">
        <is>
          <t>ussd_funeral_leads_altitude_20260619</t>
        </is>
      </c>
      <c r="J2714" t="inlineStr">
        <is>
          <t>ADC</t>
        </is>
      </c>
      <c r="K2714" t="inlineStr">
        <is>
          <t>Auto Dial Disconnected</t>
        </is>
      </c>
      <c r="L2714" t="n">
        <v>3</v>
      </c>
      <c r="M2714" t="inlineStr">
        <is>
          <t>2026-06-23 12:47:18</t>
        </is>
      </c>
      <c r="N2714" t="inlineStr">
        <is>
          <t>system</t>
        </is>
      </c>
      <c r="O2714" t="inlineStr">
        <is>
          <t>2026-06-19 07:10:32</t>
        </is>
      </c>
      <c r="P2714" t="inlineStr">
        <is>
          <t>2026-06-19 07:10:32</t>
        </is>
      </c>
      <c r="Y2714" t="inlineStr">
        <is>
          <t>27714155522</t>
        </is>
      </c>
    </row>
    <row r="2715">
      <c r="A2715" t="inlineStr">
        <is>
          <t>14945752</t>
        </is>
      </c>
      <c r="B2715" t="inlineStr">
        <is>
          <t>d0bbb2d8-04bf-4e4b-8434-02ab68cc5b5e</t>
        </is>
      </c>
      <c r="D2715" t="inlineStr">
        <is>
          <t>30001087</t>
        </is>
      </c>
      <c r="E2715" t="inlineStr">
        <is>
          <t>ussd_funeral_leads_altitude_20260619</t>
        </is>
      </c>
      <c r="J2715" t="inlineStr">
        <is>
          <t>ADC</t>
        </is>
      </c>
      <c r="K2715" t="inlineStr">
        <is>
          <t>Auto Dial Disconnected</t>
        </is>
      </c>
      <c r="L2715" t="n">
        <v>3</v>
      </c>
      <c r="M2715" t="inlineStr">
        <is>
          <t>2026-06-23 12:47:16</t>
        </is>
      </c>
      <c r="N2715" t="inlineStr">
        <is>
          <t>system</t>
        </is>
      </c>
      <c r="O2715" t="inlineStr">
        <is>
          <t>2026-06-19 07:10:32</t>
        </is>
      </c>
      <c r="P2715" t="inlineStr">
        <is>
          <t>2026-06-19 07:10:32</t>
        </is>
      </c>
      <c r="Y2715" t="inlineStr">
        <is>
          <t>27795471015</t>
        </is>
      </c>
    </row>
    <row r="2716">
      <c r="A2716" t="inlineStr">
        <is>
          <t>14945745</t>
        </is>
      </c>
      <c r="B2716" t="inlineStr">
        <is>
          <t>47bdb0e9-7f4c-4434-81cb-251ec65a17c9</t>
        </is>
      </c>
      <c r="D2716" t="inlineStr">
        <is>
          <t>30001087</t>
        </is>
      </c>
      <c r="E2716" t="inlineStr">
        <is>
          <t>ussd_funeral_leads_altitude_20260619</t>
        </is>
      </c>
      <c r="J2716" t="inlineStr">
        <is>
          <t>TDN</t>
        </is>
      </c>
      <c r="K2716" t="inlineStr">
        <is>
          <t>Temporary Disconnected Number</t>
        </is>
      </c>
      <c r="L2716" t="n">
        <v>3</v>
      </c>
      <c r="M2716" t="inlineStr">
        <is>
          <t>2026-06-23 12:47:09</t>
        </is>
      </c>
      <c r="N2716" t="inlineStr">
        <is>
          <t>system</t>
        </is>
      </c>
      <c r="O2716" t="inlineStr">
        <is>
          <t>2026-06-19 07:10:32</t>
        </is>
      </c>
      <c r="P2716" t="inlineStr">
        <is>
          <t>2026-06-19 07:10:32</t>
        </is>
      </c>
      <c r="Y2716" t="inlineStr">
        <is>
          <t>27664307498</t>
        </is>
      </c>
    </row>
    <row r="2717">
      <c r="A2717" t="inlineStr">
        <is>
          <t>14945744</t>
        </is>
      </c>
      <c r="B2717" t="inlineStr">
        <is>
          <t>ed51daac-db5c-43f7-b698-e03b2db66873</t>
        </is>
      </c>
      <c r="D2717" t="inlineStr">
        <is>
          <t>30001087</t>
        </is>
      </c>
      <c r="E2717" t="inlineStr">
        <is>
          <t>ussd_funeral_leads_altitude_20260619</t>
        </is>
      </c>
      <c r="J2717" t="inlineStr">
        <is>
          <t>CU</t>
        </is>
      </c>
      <c r="K2717" t="inlineStr">
        <is>
          <t>Client Hung Up</t>
        </is>
      </c>
      <c r="L2717" t="n">
        <v>3</v>
      </c>
      <c r="M2717" t="inlineStr">
        <is>
          <t>2026-06-23 12:47:07</t>
        </is>
      </c>
      <c r="N2717" t="inlineStr">
        <is>
          <t>Lebohang Mabotja</t>
        </is>
      </c>
      <c r="O2717" t="inlineStr">
        <is>
          <t>2026-06-19 07:10:32</t>
        </is>
      </c>
      <c r="P2717" t="inlineStr">
        <is>
          <t>2026-06-19 07:10:32</t>
        </is>
      </c>
      <c r="Y2717" t="inlineStr">
        <is>
          <t>27727169003</t>
        </is>
      </c>
    </row>
    <row r="2718">
      <c r="A2718" t="inlineStr">
        <is>
          <t>14945743</t>
        </is>
      </c>
      <c r="B2718" t="inlineStr">
        <is>
          <t>68567e23-17b8-450c-94f5-b8614714d99d</t>
        </is>
      </c>
      <c r="D2718" t="inlineStr">
        <is>
          <t>30001087</t>
        </is>
      </c>
      <c r="E2718" t="inlineStr">
        <is>
          <t>ussd_funeral_leads_altitude_20260619</t>
        </is>
      </c>
      <c r="J2718" t="inlineStr">
        <is>
          <t>ADC</t>
        </is>
      </c>
      <c r="K2718" t="inlineStr">
        <is>
          <t>Auto Dial Disconnected</t>
        </is>
      </c>
      <c r="L2718" t="n">
        <v>3</v>
      </c>
      <c r="M2718" t="inlineStr">
        <is>
          <t>2026-06-23 12:47:06</t>
        </is>
      </c>
      <c r="N2718" t="inlineStr">
        <is>
          <t>system</t>
        </is>
      </c>
      <c r="O2718" t="inlineStr">
        <is>
          <t>2026-06-19 07:10:32</t>
        </is>
      </c>
      <c r="P2718" t="inlineStr">
        <is>
          <t>2026-06-19 07:10:32</t>
        </is>
      </c>
      <c r="Y2718" t="inlineStr">
        <is>
          <t>27606046528</t>
        </is>
      </c>
    </row>
    <row r="2719">
      <c r="A2719" t="inlineStr">
        <is>
          <t>14945742</t>
        </is>
      </c>
      <c r="B2719" t="inlineStr">
        <is>
          <t>e83b9d0e-f770-40fa-90f5-d12ff602b412</t>
        </is>
      </c>
      <c r="D2719" t="inlineStr">
        <is>
          <t>30001087</t>
        </is>
      </c>
      <c r="E2719" t="inlineStr">
        <is>
          <t>ussd_funeral_leads_altitude_20260619</t>
        </is>
      </c>
      <c r="J2719" t="inlineStr">
        <is>
          <t>TDN</t>
        </is>
      </c>
      <c r="K2719" t="inlineStr">
        <is>
          <t>Temporary Disconnected Number</t>
        </is>
      </c>
      <c r="L2719" t="n">
        <v>3</v>
      </c>
      <c r="M2719" t="inlineStr">
        <is>
          <t>2026-06-23 12:47:02</t>
        </is>
      </c>
      <c r="N2719" t="inlineStr">
        <is>
          <t>system</t>
        </is>
      </c>
      <c r="O2719" t="inlineStr">
        <is>
          <t>2026-06-19 07:10:32</t>
        </is>
      </c>
      <c r="P2719" t="inlineStr">
        <is>
          <t>2026-06-19 07:10:32</t>
        </is>
      </c>
      <c r="Y2719" t="inlineStr">
        <is>
          <t>27714891566</t>
        </is>
      </c>
    </row>
    <row r="2720">
      <c r="A2720" t="inlineStr">
        <is>
          <t>14945741</t>
        </is>
      </c>
      <c r="B2720" t="inlineStr">
        <is>
          <t>69ccc4d2-db4c-4a98-91ce-f8b8da60287c</t>
        </is>
      </c>
      <c r="D2720" t="inlineStr">
        <is>
          <t>30001087</t>
        </is>
      </c>
      <c r="E2720" t="inlineStr">
        <is>
          <t>ussd_funeral_leads_altitude_20260619</t>
        </is>
      </c>
      <c r="J2720" t="inlineStr">
        <is>
          <t>AA</t>
        </is>
      </c>
      <c r="K2720" t="inlineStr">
        <is>
          <t>Answering Machine Autodial</t>
        </is>
      </c>
      <c r="L2720" t="n">
        <v>3</v>
      </c>
      <c r="M2720" t="inlineStr">
        <is>
          <t>2026-06-23 12:47:01</t>
        </is>
      </c>
      <c r="N2720" t="inlineStr">
        <is>
          <t>system</t>
        </is>
      </c>
      <c r="O2720" t="inlineStr">
        <is>
          <t>2026-06-19 07:10:32</t>
        </is>
      </c>
      <c r="P2720" t="inlineStr">
        <is>
          <t>2026-06-19 07:10:32</t>
        </is>
      </c>
      <c r="Y2720" t="inlineStr">
        <is>
          <t>27715824409</t>
        </is>
      </c>
    </row>
    <row r="2721">
      <c r="A2721" t="inlineStr">
        <is>
          <t>14945684</t>
        </is>
      </c>
      <c r="B2721" t="inlineStr">
        <is>
          <t>182663c8-f1be-4ca6-863a-a28479e9e66f</t>
        </is>
      </c>
      <c r="D2721" t="inlineStr">
        <is>
          <t>30001087</t>
        </is>
      </c>
      <c r="E2721" t="inlineStr">
        <is>
          <t>ussd_funeral_leads_altitude_20260619</t>
        </is>
      </c>
      <c r="J2721" t="inlineStr">
        <is>
          <t>NA</t>
        </is>
      </c>
      <c r="K2721" t="inlineStr">
        <is>
          <t>No Answer Autodial</t>
        </is>
      </c>
      <c r="L2721" t="n">
        <v>3</v>
      </c>
      <c r="M2721" t="inlineStr">
        <is>
          <t>2026-06-23 12:47:00</t>
        </is>
      </c>
      <c r="N2721" t="inlineStr">
        <is>
          <t>system</t>
        </is>
      </c>
      <c r="O2721" t="inlineStr">
        <is>
          <t>2026-06-19 07:10:32</t>
        </is>
      </c>
      <c r="P2721" t="inlineStr">
        <is>
          <t>2026-06-19 07:10:32</t>
        </is>
      </c>
      <c r="Y2721" t="inlineStr">
        <is>
          <t>27665079663</t>
        </is>
      </c>
    </row>
    <row r="2722">
      <c r="A2722" t="inlineStr">
        <is>
          <t>14945688</t>
        </is>
      </c>
      <c r="B2722" t="inlineStr">
        <is>
          <t>4f01b8c8-e0d8-48ba-a4cc-f65d62142ba9</t>
        </is>
      </c>
      <c r="D2722" t="inlineStr">
        <is>
          <t>30001087</t>
        </is>
      </c>
      <c r="E2722" t="inlineStr">
        <is>
          <t>ussd_funeral_leads_altitude_20260619</t>
        </is>
      </c>
      <c r="J2722" t="inlineStr">
        <is>
          <t>AA</t>
        </is>
      </c>
      <c r="K2722" t="inlineStr">
        <is>
          <t>Answering Machine Autodial</t>
        </is>
      </c>
      <c r="L2722" t="n">
        <v>3</v>
      </c>
      <c r="M2722" t="inlineStr">
        <is>
          <t>2026-06-23 12:47:00</t>
        </is>
      </c>
      <c r="N2722" t="inlineStr">
        <is>
          <t>system</t>
        </is>
      </c>
      <c r="O2722" t="inlineStr">
        <is>
          <t>2026-06-19 07:10:32</t>
        </is>
      </c>
      <c r="P2722" t="inlineStr">
        <is>
          <t>2026-06-19 07:10:32</t>
        </is>
      </c>
      <c r="Y2722" t="inlineStr">
        <is>
          <t>27794135859</t>
        </is>
      </c>
    </row>
    <row r="2723">
      <c r="A2723" t="inlineStr">
        <is>
          <t>14945683</t>
        </is>
      </c>
      <c r="B2723" t="inlineStr">
        <is>
          <t>ab8ee594-ab09-467f-8879-4f66dc255586</t>
        </is>
      </c>
      <c r="D2723" t="inlineStr">
        <is>
          <t>30001087</t>
        </is>
      </c>
      <c r="E2723" t="inlineStr">
        <is>
          <t>ussd_funeral_leads_altitude_20260619</t>
        </is>
      </c>
      <c r="J2723" t="inlineStr">
        <is>
          <t>AA</t>
        </is>
      </c>
      <c r="K2723" t="inlineStr">
        <is>
          <t>Answering Machine Autodial</t>
        </is>
      </c>
      <c r="L2723" t="n">
        <v>3</v>
      </c>
      <c r="M2723" t="inlineStr">
        <is>
          <t>2026-06-23 12:46:59</t>
        </is>
      </c>
      <c r="N2723" t="inlineStr">
        <is>
          <t>system</t>
        </is>
      </c>
      <c r="O2723" t="inlineStr">
        <is>
          <t>2026-06-19 07:10:32</t>
        </is>
      </c>
      <c r="P2723" t="inlineStr">
        <is>
          <t>2026-06-19 07:10:32</t>
        </is>
      </c>
      <c r="Y2723" t="inlineStr">
        <is>
          <t>27761378286</t>
        </is>
      </c>
    </row>
    <row r="2724">
      <c r="A2724" t="inlineStr">
        <is>
          <t>14945682</t>
        </is>
      </c>
      <c r="B2724" t="inlineStr">
        <is>
          <t>3c1a965c-c5b0-4214-a7d9-e3e91889c72b</t>
        </is>
      </c>
      <c r="D2724" t="inlineStr">
        <is>
          <t>30001087</t>
        </is>
      </c>
      <c r="E2724" t="inlineStr">
        <is>
          <t>ussd_funeral_leads_altitude_20260619</t>
        </is>
      </c>
      <c r="J2724" t="inlineStr">
        <is>
          <t>AA</t>
        </is>
      </c>
      <c r="K2724" t="inlineStr">
        <is>
          <t>Answering Machine Autodial</t>
        </is>
      </c>
      <c r="L2724" t="n">
        <v>3</v>
      </c>
      <c r="M2724" t="inlineStr">
        <is>
          <t>2026-06-23 12:46:55</t>
        </is>
      </c>
      <c r="N2724" t="inlineStr">
        <is>
          <t>system</t>
        </is>
      </c>
      <c r="O2724" t="inlineStr">
        <is>
          <t>2026-06-19 07:10:32</t>
        </is>
      </c>
      <c r="P2724" t="inlineStr">
        <is>
          <t>2026-06-19 07:10:32</t>
        </is>
      </c>
      <c r="Y2724" t="inlineStr">
        <is>
          <t>27763024771</t>
        </is>
      </c>
    </row>
    <row r="2725">
      <c r="A2725" t="inlineStr">
        <is>
          <t>14945677</t>
        </is>
      </c>
      <c r="B2725" t="inlineStr">
        <is>
          <t>dfa3b65f-9119-4b3e-ae8f-6650ad2a7535</t>
        </is>
      </c>
      <c r="D2725" t="inlineStr">
        <is>
          <t>30001087</t>
        </is>
      </c>
      <c r="E2725" t="inlineStr">
        <is>
          <t>ussd_funeral_leads_altitude_20260619</t>
        </is>
      </c>
      <c r="J2725" t="inlineStr">
        <is>
          <t>AA</t>
        </is>
      </c>
      <c r="K2725" t="inlineStr">
        <is>
          <t>Answering Machine Autodial</t>
        </is>
      </c>
      <c r="L2725" t="n">
        <v>3</v>
      </c>
      <c r="M2725" t="inlineStr">
        <is>
          <t>2026-06-23 12:46:54</t>
        </is>
      </c>
      <c r="N2725" t="inlineStr">
        <is>
          <t>system</t>
        </is>
      </c>
      <c r="O2725" t="inlineStr">
        <is>
          <t>2026-06-19 07:10:32</t>
        </is>
      </c>
      <c r="P2725" t="inlineStr">
        <is>
          <t>2026-06-19 07:10:32</t>
        </is>
      </c>
      <c r="Y2725" t="inlineStr">
        <is>
          <t>27793973167</t>
        </is>
      </c>
    </row>
    <row r="2726">
      <c r="A2726" t="inlineStr">
        <is>
          <t>14945678</t>
        </is>
      </c>
      <c r="B2726" t="inlineStr">
        <is>
          <t>76bfb8ff-7bcd-4f8b-b086-07055b1a3738</t>
        </is>
      </c>
      <c r="D2726" t="inlineStr">
        <is>
          <t>30001087</t>
        </is>
      </c>
      <c r="E2726" t="inlineStr">
        <is>
          <t>ussd_funeral_leads_altitude_20260619</t>
        </is>
      </c>
      <c r="J2726" t="inlineStr">
        <is>
          <t>NA</t>
        </is>
      </c>
      <c r="K2726" t="inlineStr">
        <is>
          <t>No Answer Autodial</t>
        </is>
      </c>
      <c r="L2726" t="n">
        <v>3</v>
      </c>
      <c r="M2726" t="inlineStr">
        <is>
          <t>2026-06-23 12:46:54</t>
        </is>
      </c>
      <c r="N2726" t="inlineStr">
        <is>
          <t>system</t>
        </is>
      </c>
      <c r="O2726" t="inlineStr">
        <is>
          <t>2026-06-19 07:10:32</t>
        </is>
      </c>
      <c r="P2726" t="inlineStr">
        <is>
          <t>2026-06-19 07:10:32</t>
        </is>
      </c>
      <c r="Y2726" t="inlineStr">
        <is>
          <t>27646672238</t>
        </is>
      </c>
    </row>
    <row r="2727">
      <c r="A2727" t="inlineStr">
        <is>
          <t>14945679</t>
        </is>
      </c>
      <c r="B2727" t="inlineStr">
        <is>
          <t>3555d25f-dfc0-4c74-940f-2e80d5288255</t>
        </is>
      </c>
      <c r="D2727" t="inlineStr">
        <is>
          <t>30001087</t>
        </is>
      </c>
      <c r="E2727" t="inlineStr">
        <is>
          <t>ussd_funeral_leads_altitude_20260619</t>
        </is>
      </c>
      <c r="J2727" t="inlineStr">
        <is>
          <t>ADC</t>
        </is>
      </c>
      <c r="K2727" t="inlineStr">
        <is>
          <t>Auto Dial Disconnected</t>
        </is>
      </c>
      <c r="L2727" t="n">
        <v>3</v>
      </c>
      <c r="M2727" t="inlineStr">
        <is>
          <t>2026-06-23 12:46:54</t>
        </is>
      </c>
      <c r="N2727" t="inlineStr">
        <is>
          <t>system</t>
        </is>
      </c>
      <c r="O2727" t="inlineStr">
        <is>
          <t>2026-06-19 07:10:32</t>
        </is>
      </c>
      <c r="P2727" t="inlineStr">
        <is>
          <t>2026-06-19 07:10:32</t>
        </is>
      </c>
      <c r="Y2727" t="inlineStr">
        <is>
          <t>27822639120</t>
        </is>
      </c>
    </row>
    <row r="2728">
      <c r="A2728" t="inlineStr">
        <is>
          <t>14945681</t>
        </is>
      </c>
      <c r="B2728" t="inlineStr">
        <is>
          <t>78541db6-b06f-4d76-a01b-9d3ec934e3d1</t>
        </is>
      </c>
      <c r="D2728" t="inlineStr">
        <is>
          <t>30001087</t>
        </is>
      </c>
      <c r="E2728" t="inlineStr">
        <is>
          <t>ussd_funeral_leads_altitude_20260619</t>
        </is>
      </c>
      <c r="J2728" t="inlineStr">
        <is>
          <t>NA</t>
        </is>
      </c>
      <c r="K2728" t="inlineStr">
        <is>
          <t>No Answer Autodial</t>
        </is>
      </c>
      <c r="L2728" t="n">
        <v>3</v>
      </c>
      <c r="M2728" t="inlineStr">
        <is>
          <t>2026-06-23 12:46:54</t>
        </is>
      </c>
      <c r="N2728" t="inlineStr">
        <is>
          <t>system</t>
        </is>
      </c>
      <c r="O2728" t="inlineStr">
        <is>
          <t>2026-06-19 07:10:32</t>
        </is>
      </c>
      <c r="P2728" t="inlineStr">
        <is>
          <t>2026-06-19 07:10:32</t>
        </is>
      </c>
      <c r="Y2728" t="inlineStr">
        <is>
          <t>27767057444</t>
        </is>
      </c>
    </row>
    <row r="2729">
      <c r="A2729" t="inlineStr">
        <is>
          <t>14945673</t>
        </is>
      </c>
      <c r="B2729" t="inlineStr">
        <is>
          <t>5f307a6b-fefb-4bed-be24-92c937b6c28c</t>
        </is>
      </c>
      <c r="D2729" t="inlineStr">
        <is>
          <t>30001087</t>
        </is>
      </c>
      <c r="E2729" t="inlineStr">
        <is>
          <t>ussd_funeral_leads_altitude_20260619</t>
        </is>
      </c>
      <c r="J2729" t="inlineStr">
        <is>
          <t>ADC</t>
        </is>
      </c>
      <c r="K2729" t="inlineStr">
        <is>
          <t>Auto Dial Disconnected</t>
        </is>
      </c>
      <c r="L2729" t="n">
        <v>3</v>
      </c>
      <c r="M2729" t="inlineStr">
        <is>
          <t>2026-06-23 12:46:42</t>
        </is>
      </c>
      <c r="N2729" t="inlineStr">
        <is>
          <t>system</t>
        </is>
      </c>
      <c r="O2729" t="inlineStr">
        <is>
          <t>2026-06-19 07:10:32</t>
        </is>
      </c>
      <c r="P2729" t="inlineStr">
        <is>
          <t>2026-06-19 07:10:32</t>
        </is>
      </c>
      <c r="Y2729" t="inlineStr">
        <is>
          <t>27607503934</t>
        </is>
      </c>
    </row>
    <row r="2730">
      <c r="A2730" t="inlineStr">
        <is>
          <t>14945674</t>
        </is>
      </c>
      <c r="B2730" t="inlineStr">
        <is>
          <t>280fc0cb-7eff-4e58-98df-d1ebf669089b</t>
        </is>
      </c>
      <c r="D2730" t="inlineStr">
        <is>
          <t>30001087</t>
        </is>
      </c>
      <c r="E2730" t="inlineStr">
        <is>
          <t>ussd_funeral_leads_altitude_20260619</t>
        </is>
      </c>
      <c r="J2730" t="inlineStr">
        <is>
          <t>ADC</t>
        </is>
      </c>
      <c r="K2730" t="inlineStr">
        <is>
          <t>Auto Dial Disconnected</t>
        </is>
      </c>
      <c r="L2730" t="n">
        <v>3</v>
      </c>
      <c r="M2730" t="inlineStr">
        <is>
          <t>2026-06-23 12:46:42</t>
        </is>
      </c>
      <c r="N2730" t="inlineStr">
        <is>
          <t>system</t>
        </is>
      </c>
      <c r="O2730" t="inlineStr">
        <is>
          <t>2026-06-19 07:10:32</t>
        </is>
      </c>
      <c r="P2730" t="inlineStr">
        <is>
          <t>2026-06-19 07:10:32</t>
        </is>
      </c>
      <c r="Y2730" t="inlineStr">
        <is>
          <t>27648131810</t>
        </is>
      </c>
    </row>
    <row r="2731">
      <c r="A2731" t="inlineStr">
        <is>
          <t>14945675</t>
        </is>
      </c>
      <c r="B2731" t="inlineStr">
        <is>
          <t>15b6dd5e-6d37-4aea-a243-baebf3093328</t>
        </is>
      </c>
      <c r="D2731" t="inlineStr">
        <is>
          <t>30001087</t>
        </is>
      </c>
      <c r="E2731" t="inlineStr">
        <is>
          <t>ussd_funeral_leads_altitude_20260619</t>
        </is>
      </c>
      <c r="J2731" t="inlineStr">
        <is>
          <t>AA</t>
        </is>
      </c>
      <c r="K2731" t="inlineStr">
        <is>
          <t>Answering Machine Autodial</t>
        </is>
      </c>
      <c r="L2731" t="n">
        <v>3</v>
      </c>
      <c r="M2731" t="inlineStr">
        <is>
          <t>2026-06-23 12:46:42</t>
        </is>
      </c>
      <c r="N2731" t="inlineStr">
        <is>
          <t>system</t>
        </is>
      </c>
      <c r="O2731" t="inlineStr">
        <is>
          <t>2026-06-19 07:10:32</t>
        </is>
      </c>
      <c r="P2731" t="inlineStr">
        <is>
          <t>2026-06-19 07:10:32</t>
        </is>
      </c>
      <c r="Y2731" t="inlineStr">
        <is>
          <t>27766143655</t>
        </is>
      </c>
    </row>
    <row r="2732">
      <c r="A2732" t="inlineStr">
        <is>
          <t>14945676</t>
        </is>
      </c>
      <c r="B2732" t="inlineStr">
        <is>
          <t>a050359b-f822-4006-8c00-11efb846ea64</t>
        </is>
      </c>
      <c r="D2732" t="inlineStr">
        <is>
          <t>30001087</t>
        </is>
      </c>
      <c r="E2732" t="inlineStr">
        <is>
          <t>ussd_funeral_leads_altitude_20260619</t>
        </is>
      </c>
      <c r="J2732" t="inlineStr">
        <is>
          <t>AA</t>
        </is>
      </c>
      <c r="K2732" t="inlineStr">
        <is>
          <t>Answering Machine Autodial</t>
        </is>
      </c>
      <c r="L2732" t="n">
        <v>3</v>
      </c>
      <c r="M2732" t="inlineStr">
        <is>
          <t>2026-06-23 12:46:42</t>
        </is>
      </c>
      <c r="N2732" t="inlineStr">
        <is>
          <t>system</t>
        </is>
      </c>
      <c r="O2732" t="inlineStr">
        <is>
          <t>2026-06-19 07:10:32</t>
        </is>
      </c>
      <c r="P2732" t="inlineStr">
        <is>
          <t>2026-06-19 07:10:32</t>
        </is>
      </c>
      <c r="Y2732" t="inlineStr">
        <is>
          <t>27799764061</t>
        </is>
      </c>
    </row>
    <row r="2733">
      <c r="A2733" t="inlineStr">
        <is>
          <t>14945672</t>
        </is>
      </c>
      <c r="B2733" t="inlineStr">
        <is>
          <t>2334fde0-1a8b-45e0-83c9-29d1ccb305c6</t>
        </is>
      </c>
      <c r="D2733" t="inlineStr">
        <is>
          <t>30001087</t>
        </is>
      </c>
      <c r="E2733" t="inlineStr">
        <is>
          <t>ussd_funeral_leads_altitude_20260619</t>
        </is>
      </c>
      <c r="J2733" t="inlineStr">
        <is>
          <t>AE</t>
        </is>
      </c>
      <c r="K2733" t="inlineStr">
        <is>
          <t>Auto Engaged</t>
        </is>
      </c>
      <c r="L2733" t="n">
        <v>3</v>
      </c>
      <c r="M2733" t="inlineStr">
        <is>
          <t>2026-06-23 12:46:41</t>
        </is>
      </c>
      <c r="N2733" t="inlineStr">
        <is>
          <t>system</t>
        </is>
      </c>
      <c r="O2733" t="inlineStr">
        <is>
          <t>2026-06-19 07:10:32</t>
        </is>
      </c>
      <c r="P2733" t="inlineStr">
        <is>
          <t>2026-06-19 07:10:32</t>
        </is>
      </c>
      <c r="Y2733" t="inlineStr">
        <is>
          <t>27722738053</t>
        </is>
      </c>
    </row>
    <row r="2734">
      <c r="A2734" t="inlineStr">
        <is>
          <t>14945667</t>
        </is>
      </c>
      <c r="B2734" t="inlineStr">
        <is>
          <t>ee64198e-19eb-4621-9a0a-8d86159006dd</t>
        </is>
      </c>
      <c r="D2734" t="inlineStr">
        <is>
          <t>30001087</t>
        </is>
      </c>
      <c r="E2734" t="inlineStr">
        <is>
          <t>ussd_funeral_leads_altitude_20260619</t>
        </is>
      </c>
      <c r="J2734" t="inlineStr">
        <is>
          <t>AA</t>
        </is>
      </c>
      <c r="K2734" t="inlineStr">
        <is>
          <t>Answering Machine Autodial</t>
        </is>
      </c>
      <c r="L2734" t="n">
        <v>3</v>
      </c>
      <c r="M2734" t="inlineStr">
        <is>
          <t>2026-06-23 12:46:08</t>
        </is>
      </c>
      <c r="N2734" t="inlineStr">
        <is>
          <t>system</t>
        </is>
      </c>
      <c r="O2734" t="inlineStr">
        <is>
          <t>2026-06-19 07:10:32</t>
        </is>
      </c>
      <c r="P2734" t="inlineStr">
        <is>
          <t>2026-06-19 07:10:32</t>
        </is>
      </c>
      <c r="Y2734" t="inlineStr">
        <is>
          <t>27713061649</t>
        </is>
      </c>
    </row>
    <row r="2735">
      <c r="A2735" t="inlineStr">
        <is>
          <t>14945669</t>
        </is>
      </c>
      <c r="B2735" t="inlineStr">
        <is>
          <t>90ca5f65-30d1-45f7-a49f-3d6ca192db9f</t>
        </is>
      </c>
      <c r="D2735" t="inlineStr">
        <is>
          <t>30001087</t>
        </is>
      </c>
      <c r="E2735" t="inlineStr">
        <is>
          <t>ussd_funeral_leads_altitude_20260619</t>
        </is>
      </c>
      <c r="J2735" t="inlineStr">
        <is>
          <t>AA</t>
        </is>
      </c>
      <c r="K2735" t="inlineStr">
        <is>
          <t>Answering Machine Autodial</t>
        </is>
      </c>
      <c r="L2735" t="n">
        <v>3</v>
      </c>
      <c r="M2735" t="inlineStr">
        <is>
          <t>2026-06-23 12:46:08</t>
        </is>
      </c>
      <c r="N2735" t="inlineStr">
        <is>
          <t>system</t>
        </is>
      </c>
      <c r="O2735" t="inlineStr">
        <is>
          <t>2026-06-19 07:10:32</t>
        </is>
      </c>
      <c r="P2735" t="inlineStr">
        <is>
          <t>2026-06-19 07:10:32</t>
        </is>
      </c>
      <c r="Y2735" t="inlineStr">
        <is>
          <t>27796169267</t>
        </is>
      </c>
    </row>
    <row r="2736">
      <c r="A2736" t="inlineStr">
        <is>
          <t>14945671</t>
        </is>
      </c>
      <c r="B2736" t="inlineStr">
        <is>
          <t>c1722e18-5900-4930-9a2a-6e53e9801321</t>
        </is>
      </c>
      <c r="D2736" t="inlineStr">
        <is>
          <t>30001087</t>
        </is>
      </c>
      <c r="E2736" t="inlineStr">
        <is>
          <t>ussd_funeral_leads_altitude_20260619</t>
        </is>
      </c>
      <c r="J2736" t="inlineStr">
        <is>
          <t>AA</t>
        </is>
      </c>
      <c r="K2736" t="inlineStr">
        <is>
          <t>Answering Machine Autodial</t>
        </is>
      </c>
      <c r="L2736" t="n">
        <v>3</v>
      </c>
      <c r="M2736" t="inlineStr">
        <is>
          <t>2026-06-23 12:46:08</t>
        </is>
      </c>
      <c r="N2736" t="inlineStr">
        <is>
          <t>system</t>
        </is>
      </c>
      <c r="O2736" t="inlineStr">
        <is>
          <t>2026-06-19 07:10:32</t>
        </is>
      </c>
      <c r="P2736" t="inlineStr">
        <is>
          <t>2026-06-19 07:10:32</t>
        </is>
      </c>
      <c r="Y2736" t="inlineStr">
        <is>
          <t>27606307671</t>
        </is>
      </c>
    </row>
    <row r="2737">
      <c r="A2737" t="inlineStr">
        <is>
          <t>14945668</t>
        </is>
      </c>
      <c r="B2737" t="inlineStr">
        <is>
          <t>7d8e59b4-3cd4-448c-9c27-a49511a7f8ab</t>
        </is>
      </c>
      <c r="D2737" t="inlineStr">
        <is>
          <t>30001087</t>
        </is>
      </c>
      <c r="E2737" t="inlineStr">
        <is>
          <t>ussd_funeral_leads_altitude_20260619</t>
        </is>
      </c>
      <c r="J2737" t="inlineStr">
        <is>
          <t>NA</t>
        </is>
      </c>
      <c r="K2737" t="inlineStr">
        <is>
          <t>No Answer Autodial</t>
        </is>
      </c>
      <c r="L2737" t="n">
        <v>3</v>
      </c>
      <c r="M2737" t="inlineStr">
        <is>
          <t>2026-06-23 12:46:07</t>
        </is>
      </c>
      <c r="N2737" t="inlineStr">
        <is>
          <t>system</t>
        </is>
      </c>
      <c r="O2737" t="inlineStr">
        <is>
          <t>2026-06-19 07:10:32</t>
        </is>
      </c>
      <c r="P2737" t="inlineStr">
        <is>
          <t>2026-06-19 07:10:32</t>
        </is>
      </c>
      <c r="Y2737" t="inlineStr">
        <is>
          <t>27723108824</t>
        </is>
      </c>
    </row>
    <row r="2738">
      <c r="A2738" t="inlineStr">
        <is>
          <t>14945670</t>
        </is>
      </c>
      <c r="B2738" t="inlineStr">
        <is>
          <t>9041ad13-83b0-4570-9250-d5faddb43fcb</t>
        </is>
      </c>
      <c r="D2738" t="inlineStr">
        <is>
          <t>30001087</t>
        </is>
      </c>
      <c r="E2738" t="inlineStr">
        <is>
          <t>ussd_funeral_leads_altitude_20260619</t>
        </is>
      </c>
      <c r="J2738" t="inlineStr">
        <is>
          <t>ADC</t>
        </is>
      </c>
      <c r="K2738" t="inlineStr">
        <is>
          <t>Auto Dial Disconnected</t>
        </is>
      </c>
      <c r="L2738" t="n">
        <v>3</v>
      </c>
      <c r="M2738" t="inlineStr">
        <is>
          <t>2026-06-23 12:46:07</t>
        </is>
      </c>
      <c r="N2738" t="inlineStr">
        <is>
          <t>system</t>
        </is>
      </c>
      <c r="O2738" t="inlineStr">
        <is>
          <t>2026-06-19 07:10:32</t>
        </is>
      </c>
      <c r="P2738" t="inlineStr">
        <is>
          <t>2026-06-19 07:10:32</t>
        </is>
      </c>
      <c r="Y2738" t="inlineStr">
        <is>
          <t>27716121910</t>
        </is>
      </c>
    </row>
    <row r="2739">
      <c r="A2739" t="inlineStr">
        <is>
          <t>14945666</t>
        </is>
      </c>
      <c r="B2739" t="inlineStr">
        <is>
          <t>0964fa71-7618-4eed-aaff-2e4d7bc1c9a8</t>
        </is>
      </c>
      <c r="D2739" t="inlineStr">
        <is>
          <t>30001087</t>
        </is>
      </c>
      <c r="E2739" t="inlineStr">
        <is>
          <t>ussd_funeral_leads_altitude_20260619</t>
        </is>
      </c>
      <c r="J2739" t="inlineStr">
        <is>
          <t>TDN</t>
        </is>
      </c>
      <c r="K2739" t="inlineStr">
        <is>
          <t>Temporary Disconnected Number</t>
        </is>
      </c>
      <c r="L2739" t="n">
        <v>3</v>
      </c>
      <c r="M2739" t="inlineStr">
        <is>
          <t>2026-06-23 12:45:59</t>
        </is>
      </c>
      <c r="N2739" t="inlineStr">
        <is>
          <t>system</t>
        </is>
      </c>
      <c r="O2739" t="inlineStr">
        <is>
          <t>2026-06-19 07:10:32</t>
        </is>
      </c>
      <c r="P2739" t="inlineStr">
        <is>
          <t>2026-06-19 07:10:32</t>
        </is>
      </c>
      <c r="Y2739" t="inlineStr">
        <is>
          <t>27773623331</t>
        </is>
      </c>
    </row>
    <row r="2740">
      <c r="A2740" t="inlineStr">
        <is>
          <t>14945665</t>
        </is>
      </c>
      <c r="B2740" t="inlineStr">
        <is>
          <t>bdb1cb4c-7db4-4e12-aa77-f6d7d503c64f</t>
        </is>
      </c>
      <c r="D2740" t="inlineStr">
        <is>
          <t>30001087</t>
        </is>
      </c>
      <c r="E2740" t="inlineStr">
        <is>
          <t>ussd_funeral_leads_altitude_20260619</t>
        </is>
      </c>
      <c r="J2740" t="inlineStr">
        <is>
          <t>TDN</t>
        </is>
      </c>
      <c r="K2740" t="inlineStr">
        <is>
          <t>Temporary Disconnected Number</t>
        </is>
      </c>
      <c r="L2740" t="n">
        <v>3</v>
      </c>
      <c r="M2740" t="inlineStr">
        <is>
          <t>2026-06-23 12:45:56</t>
        </is>
      </c>
      <c r="N2740" t="inlineStr">
        <is>
          <t>system</t>
        </is>
      </c>
      <c r="O2740" t="inlineStr">
        <is>
          <t>2026-06-19 07:10:32</t>
        </is>
      </c>
      <c r="P2740" t="inlineStr">
        <is>
          <t>2026-06-19 07:10:32</t>
        </is>
      </c>
      <c r="Y2740" t="inlineStr">
        <is>
          <t>27725004516</t>
        </is>
      </c>
    </row>
    <row r="2741">
      <c r="A2741" t="inlineStr">
        <is>
          <t>14945663</t>
        </is>
      </c>
      <c r="B2741" t="inlineStr">
        <is>
          <t>96ead54e-3112-4e33-9351-8c5b3df29655</t>
        </is>
      </c>
      <c r="D2741" t="inlineStr">
        <is>
          <t>30001087</t>
        </is>
      </c>
      <c r="E2741" t="inlineStr">
        <is>
          <t>ussd_funeral_leads_altitude_20260619</t>
        </is>
      </c>
      <c r="J2741" t="inlineStr">
        <is>
          <t>AE</t>
        </is>
      </c>
      <c r="K2741" t="inlineStr">
        <is>
          <t>Auto Engaged</t>
        </is>
      </c>
      <c r="L2741" t="n">
        <v>3</v>
      </c>
      <c r="M2741" t="inlineStr">
        <is>
          <t>2026-06-23 12:45:54</t>
        </is>
      </c>
      <c r="N2741" t="inlineStr">
        <is>
          <t>system</t>
        </is>
      </c>
      <c r="O2741" t="inlineStr">
        <is>
          <t>2026-06-19 07:10:32</t>
        </is>
      </c>
      <c r="P2741" t="inlineStr">
        <is>
          <t>2026-06-19 07:10:32</t>
        </is>
      </c>
      <c r="Y2741" t="inlineStr">
        <is>
          <t>27825306148</t>
        </is>
      </c>
    </row>
    <row r="2742">
      <c r="A2742" t="inlineStr">
        <is>
          <t>14945664</t>
        </is>
      </c>
      <c r="B2742" t="inlineStr">
        <is>
          <t>36a96f4a-f4af-4912-bc0c-bd22d1dcc169</t>
        </is>
      </c>
      <c r="D2742" t="inlineStr">
        <is>
          <t>30001087</t>
        </is>
      </c>
      <c r="E2742" t="inlineStr">
        <is>
          <t>ussd_funeral_leads_altitude_20260619</t>
        </is>
      </c>
      <c r="J2742" t="inlineStr">
        <is>
          <t>ADC</t>
        </is>
      </c>
      <c r="K2742" t="inlineStr">
        <is>
          <t>Auto Dial Disconnected</t>
        </is>
      </c>
      <c r="L2742" t="n">
        <v>3</v>
      </c>
      <c r="M2742" t="inlineStr">
        <is>
          <t>2026-06-23 12:45:54</t>
        </is>
      </c>
      <c r="N2742" t="inlineStr">
        <is>
          <t>system</t>
        </is>
      </c>
      <c r="O2742" t="inlineStr">
        <is>
          <t>2026-06-19 07:10:32</t>
        </is>
      </c>
      <c r="P2742" t="inlineStr">
        <is>
          <t>2026-06-19 07:10:32</t>
        </is>
      </c>
      <c r="Y2742" t="inlineStr">
        <is>
          <t>27607952302</t>
        </is>
      </c>
    </row>
    <row r="2743">
      <c r="A2743" t="inlineStr">
        <is>
          <t>14945662</t>
        </is>
      </c>
      <c r="B2743" t="inlineStr">
        <is>
          <t>cea6cc76-0ba0-4391-a0ea-63a6ae56af20</t>
        </is>
      </c>
      <c r="D2743" t="inlineStr">
        <is>
          <t>30001087</t>
        </is>
      </c>
      <c r="E2743" t="inlineStr">
        <is>
          <t>ussd_funeral_leads_altitude_20260619</t>
        </is>
      </c>
      <c r="J2743" t="inlineStr">
        <is>
          <t>AA</t>
        </is>
      </c>
      <c r="K2743" t="inlineStr">
        <is>
          <t>Answering Machine Autodial</t>
        </is>
      </c>
      <c r="L2743" t="n">
        <v>3</v>
      </c>
      <c r="M2743" t="inlineStr">
        <is>
          <t>2026-06-23 12:45:54</t>
        </is>
      </c>
      <c r="N2743" t="inlineStr">
        <is>
          <t>system</t>
        </is>
      </c>
      <c r="O2743" t="inlineStr">
        <is>
          <t>2026-06-19 07:10:32</t>
        </is>
      </c>
      <c r="P2743" t="inlineStr">
        <is>
          <t>2026-06-19 07:10:32</t>
        </is>
      </c>
      <c r="Y2743" t="inlineStr">
        <is>
          <t>27767190053</t>
        </is>
      </c>
    </row>
    <row r="2744">
      <c r="A2744" t="inlineStr">
        <is>
          <t>14945660</t>
        </is>
      </c>
      <c r="B2744" t="inlineStr">
        <is>
          <t>97ef29db-cfb0-497a-befd-10365314cdf0</t>
        </is>
      </c>
      <c r="D2744" t="inlineStr">
        <is>
          <t>30001087</t>
        </is>
      </c>
      <c r="E2744" t="inlineStr">
        <is>
          <t>ussd_funeral_leads_altitude_20260619</t>
        </is>
      </c>
      <c r="J2744" t="inlineStr">
        <is>
          <t>AA</t>
        </is>
      </c>
      <c r="K2744" t="inlineStr">
        <is>
          <t>Answering Machine Autodial</t>
        </is>
      </c>
      <c r="L2744" t="n">
        <v>3</v>
      </c>
      <c r="M2744" t="inlineStr">
        <is>
          <t>2026-06-23 12:45:53</t>
        </is>
      </c>
      <c r="N2744" t="inlineStr">
        <is>
          <t>system</t>
        </is>
      </c>
      <c r="O2744" t="inlineStr">
        <is>
          <t>2026-06-19 07:10:32</t>
        </is>
      </c>
      <c r="P2744" t="inlineStr">
        <is>
          <t>2026-06-19 07:10:32</t>
        </is>
      </c>
      <c r="Y2744" t="inlineStr">
        <is>
          <t>27728945588</t>
        </is>
      </c>
    </row>
    <row r="2745">
      <c r="A2745" t="inlineStr">
        <is>
          <t>14945661</t>
        </is>
      </c>
      <c r="B2745" t="inlineStr">
        <is>
          <t>47c7e66a-4ddb-4ed4-9a67-e5597c51d35a</t>
        </is>
      </c>
      <c r="D2745" t="inlineStr">
        <is>
          <t>30001087</t>
        </is>
      </c>
      <c r="E2745" t="inlineStr">
        <is>
          <t>ussd_funeral_leads_altitude_20260619</t>
        </is>
      </c>
      <c r="J2745" t="inlineStr">
        <is>
          <t>NA</t>
        </is>
      </c>
      <c r="K2745" t="inlineStr">
        <is>
          <t>No Answer Autodial</t>
        </is>
      </c>
      <c r="L2745" t="n">
        <v>3</v>
      </c>
      <c r="M2745" t="inlineStr">
        <is>
          <t>2026-06-23 12:45:53</t>
        </is>
      </c>
      <c r="N2745" t="inlineStr">
        <is>
          <t>system</t>
        </is>
      </c>
      <c r="O2745" t="inlineStr">
        <is>
          <t>2026-06-19 07:10:32</t>
        </is>
      </c>
      <c r="P2745" t="inlineStr">
        <is>
          <t>2026-06-19 07:10:32</t>
        </is>
      </c>
      <c r="Y2745" t="inlineStr">
        <is>
          <t>27764733945</t>
        </is>
      </c>
    </row>
    <row r="2746">
      <c r="A2746" t="inlineStr">
        <is>
          <t>14945659</t>
        </is>
      </c>
      <c r="B2746" t="inlineStr">
        <is>
          <t>fe2ccf5e-bba9-4803-8008-d17c32fc863b</t>
        </is>
      </c>
      <c r="D2746" t="inlineStr">
        <is>
          <t>30001087</t>
        </is>
      </c>
      <c r="E2746" t="inlineStr">
        <is>
          <t>ussd_funeral_leads_altitude_20260619</t>
        </is>
      </c>
      <c r="J2746" t="inlineStr">
        <is>
          <t>A</t>
        </is>
      </c>
      <c r="K2746" t="inlineStr">
        <is>
          <t>Answering Machine</t>
        </is>
      </c>
      <c r="L2746" t="n">
        <v>3</v>
      </c>
      <c r="M2746" t="inlineStr">
        <is>
          <t>2026-06-23 12:45:51</t>
        </is>
      </c>
      <c r="N2746" t="inlineStr">
        <is>
          <t>Lebohang Mabotja</t>
        </is>
      </c>
      <c r="O2746" t="inlineStr">
        <is>
          <t>2026-06-19 07:10:32</t>
        </is>
      </c>
      <c r="P2746" t="inlineStr">
        <is>
          <t>2026-06-19 07:10:32</t>
        </is>
      </c>
      <c r="Y2746" t="inlineStr">
        <is>
          <t>27774821973</t>
        </is>
      </c>
    </row>
    <row r="2747">
      <c r="A2747" t="inlineStr">
        <is>
          <t>14945653</t>
        </is>
      </c>
      <c r="B2747" t="inlineStr">
        <is>
          <t>c274d906-4d15-4fc8-8d4f-0196ce9f7be1</t>
        </is>
      </c>
      <c r="D2747" t="inlineStr">
        <is>
          <t>30001087</t>
        </is>
      </c>
      <c r="E2747" t="inlineStr">
        <is>
          <t>ussd_funeral_leads_altitude_20260619</t>
        </is>
      </c>
      <c r="J2747" t="inlineStr">
        <is>
          <t>AA</t>
        </is>
      </c>
      <c r="K2747" t="inlineStr">
        <is>
          <t>Answering Machine Autodial</t>
        </is>
      </c>
      <c r="L2747" t="n">
        <v>3</v>
      </c>
      <c r="M2747" t="inlineStr">
        <is>
          <t>2026-06-23 12:45:50</t>
        </is>
      </c>
      <c r="N2747" t="inlineStr">
        <is>
          <t>system</t>
        </is>
      </c>
      <c r="O2747" t="inlineStr">
        <is>
          <t>2026-06-19 07:10:32</t>
        </is>
      </c>
      <c r="P2747" t="inlineStr">
        <is>
          <t>2026-06-19 07:10:32</t>
        </is>
      </c>
      <c r="Y2747" t="inlineStr">
        <is>
          <t>27607881682</t>
        </is>
      </c>
    </row>
    <row r="2748">
      <c r="A2748" t="inlineStr">
        <is>
          <t>14945655</t>
        </is>
      </c>
      <c r="B2748" t="inlineStr">
        <is>
          <t>cd6e44fc-4937-4c13-a963-97c0c1580d1b</t>
        </is>
      </c>
      <c r="D2748" t="inlineStr">
        <is>
          <t>30001087</t>
        </is>
      </c>
      <c r="E2748" t="inlineStr">
        <is>
          <t>ussd_funeral_leads_altitude_20260619</t>
        </is>
      </c>
      <c r="J2748" t="inlineStr">
        <is>
          <t>AA</t>
        </is>
      </c>
      <c r="K2748" t="inlineStr">
        <is>
          <t>Answering Machine Autodial</t>
        </is>
      </c>
      <c r="L2748" t="n">
        <v>3</v>
      </c>
      <c r="M2748" t="inlineStr">
        <is>
          <t>2026-06-23 12:45:50</t>
        </is>
      </c>
      <c r="N2748" t="inlineStr">
        <is>
          <t>system</t>
        </is>
      </c>
      <c r="O2748" t="inlineStr">
        <is>
          <t>2026-06-19 07:10:32</t>
        </is>
      </c>
      <c r="P2748" t="inlineStr">
        <is>
          <t>2026-06-19 07:10:32</t>
        </is>
      </c>
      <c r="Y2748" t="inlineStr">
        <is>
          <t>27713774598</t>
        </is>
      </c>
    </row>
    <row r="2749">
      <c r="A2749" t="inlineStr">
        <is>
          <t>14945656</t>
        </is>
      </c>
      <c r="B2749" t="inlineStr">
        <is>
          <t>b4edc985-a038-4055-aa22-0b5747d80008</t>
        </is>
      </c>
      <c r="D2749" t="inlineStr">
        <is>
          <t>30001087</t>
        </is>
      </c>
      <c r="E2749" t="inlineStr">
        <is>
          <t>ussd_funeral_leads_altitude_20260619</t>
        </is>
      </c>
      <c r="J2749" t="inlineStr">
        <is>
          <t>AA</t>
        </is>
      </c>
      <c r="K2749" t="inlineStr">
        <is>
          <t>Answering Machine Autodial</t>
        </is>
      </c>
      <c r="L2749" t="n">
        <v>3</v>
      </c>
      <c r="M2749" t="inlineStr">
        <is>
          <t>2026-06-23 12:45:50</t>
        </is>
      </c>
      <c r="N2749" t="inlineStr">
        <is>
          <t>system</t>
        </is>
      </c>
      <c r="O2749" t="inlineStr">
        <is>
          <t>2026-06-19 07:10:32</t>
        </is>
      </c>
      <c r="P2749" t="inlineStr">
        <is>
          <t>2026-06-19 07:10:32</t>
        </is>
      </c>
      <c r="Y2749" t="inlineStr">
        <is>
          <t>27791534676</t>
        </is>
      </c>
    </row>
    <row r="2750">
      <c r="A2750" t="inlineStr">
        <is>
          <t>14945657</t>
        </is>
      </c>
      <c r="B2750" t="inlineStr">
        <is>
          <t>c33a54e3-f12f-4894-b93b-d628ab4686a2</t>
        </is>
      </c>
      <c r="D2750" t="inlineStr">
        <is>
          <t>30001087</t>
        </is>
      </c>
      <c r="E2750" t="inlineStr">
        <is>
          <t>ussd_funeral_leads_altitude_20260619</t>
        </is>
      </c>
      <c r="J2750" t="inlineStr">
        <is>
          <t>AA</t>
        </is>
      </c>
      <c r="K2750" t="inlineStr">
        <is>
          <t>Answering Machine Autodial</t>
        </is>
      </c>
      <c r="L2750" t="n">
        <v>3</v>
      </c>
      <c r="M2750" t="inlineStr">
        <is>
          <t>2026-06-23 12:45:50</t>
        </is>
      </c>
      <c r="N2750" t="inlineStr">
        <is>
          <t>system</t>
        </is>
      </c>
      <c r="O2750" t="inlineStr">
        <is>
          <t>2026-06-19 07:10:32</t>
        </is>
      </c>
      <c r="P2750" t="inlineStr">
        <is>
          <t>2026-06-19 07:10:32</t>
        </is>
      </c>
      <c r="Y2750" t="inlineStr">
        <is>
          <t>27609488999</t>
        </is>
      </c>
    </row>
    <row r="2751">
      <c r="A2751" t="inlineStr">
        <is>
          <t>14900000</t>
        </is>
      </c>
      <c r="B2751" t="inlineStr">
        <is>
          <t>e420723a-8743-48be-8e9b-b3f3bb320edf</t>
        </is>
      </c>
      <c r="D2751" t="inlineStr">
        <is>
          <t>30001087</t>
        </is>
      </c>
      <c r="E2751" t="inlineStr">
        <is>
          <t>ussd_funeral_leads_altitude_20260619</t>
        </is>
      </c>
      <c r="J2751" t="inlineStr">
        <is>
          <t>ADC</t>
        </is>
      </c>
      <c r="K2751" t="inlineStr">
        <is>
          <t>Auto Dial Disconnected</t>
        </is>
      </c>
      <c r="L2751" t="n">
        <v>3</v>
      </c>
      <c r="M2751" t="inlineStr">
        <is>
          <t>2026-06-23 12:45:50</t>
        </is>
      </c>
      <c r="N2751" t="inlineStr">
        <is>
          <t>system</t>
        </is>
      </c>
      <c r="O2751" t="inlineStr">
        <is>
          <t>2026-06-19 07:10:32</t>
        </is>
      </c>
      <c r="P2751" t="inlineStr">
        <is>
          <t>2026-06-19 07:10:32</t>
        </is>
      </c>
      <c r="Y2751" t="inlineStr">
        <is>
          <t>27790244144</t>
        </is>
      </c>
    </row>
    <row r="2752">
      <c r="A2752" t="inlineStr">
        <is>
          <t>14945467</t>
        </is>
      </c>
      <c r="B2752" t="inlineStr">
        <is>
          <t>d9ba43f3-93f3-44a9-95be-ffba92a21674</t>
        </is>
      </c>
      <c r="D2752" t="inlineStr">
        <is>
          <t>30001087</t>
        </is>
      </c>
      <c r="E2752" t="inlineStr">
        <is>
          <t>ussd_funeral_leads_altitude_20260619</t>
        </is>
      </c>
      <c r="J2752" t="inlineStr">
        <is>
          <t>NA</t>
        </is>
      </c>
      <c r="K2752" t="inlineStr">
        <is>
          <t>No Answer Autodial</t>
        </is>
      </c>
      <c r="L2752" t="n">
        <v>3</v>
      </c>
      <c r="M2752" t="inlineStr">
        <is>
          <t>2026-06-23 12:45:49</t>
        </is>
      </c>
      <c r="N2752" t="inlineStr">
        <is>
          <t>system</t>
        </is>
      </c>
      <c r="O2752" t="inlineStr">
        <is>
          <t>2026-06-19 07:10:32</t>
        </is>
      </c>
      <c r="P2752" t="inlineStr">
        <is>
          <t>2026-06-19 07:10:32</t>
        </is>
      </c>
      <c r="Y2752" t="inlineStr">
        <is>
          <t>27609871056</t>
        </is>
      </c>
    </row>
    <row r="2753">
      <c r="A2753" t="inlineStr">
        <is>
          <t>14945468</t>
        </is>
      </c>
      <c r="B2753" t="inlineStr">
        <is>
          <t>b4678bde-7feb-4fcc-a23e-c10b27383b3e</t>
        </is>
      </c>
      <c r="D2753" t="inlineStr">
        <is>
          <t>30001087</t>
        </is>
      </c>
      <c r="E2753" t="inlineStr">
        <is>
          <t>ussd_funeral_leads_altitude_20260619</t>
        </is>
      </c>
      <c r="J2753" t="inlineStr">
        <is>
          <t>AA</t>
        </is>
      </c>
      <c r="K2753" t="inlineStr">
        <is>
          <t>Answering Machine Autodial</t>
        </is>
      </c>
      <c r="L2753" t="n">
        <v>3</v>
      </c>
      <c r="M2753" t="inlineStr">
        <is>
          <t>2026-06-23 12:45:49</t>
        </is>
      </c>
      <c r="N2753" t="inlineStr">
        <is>
          <t>system</t>
        </is>
      </c>
      <c r="O2753" t="inlineStr">
        <is>
          <t>2026-06-19 07:10:32</t>
        </is>
      </c>
      <c r="P2753" t="inlineStr">
        <is>
          <t>2026-06-19 07:10:32</t>
        </is>
      </c>
      <c r="Y2753" t="inlineStr">
        <is>
          <t>27773954303</t>
        </is>
      </c>
    </row>
    <row r="2754">
      <c r="A2754" t="inlineStr">
        <is>
          <t>14945469</t>
        </is>
      </c>
      <c r="B2754" t="inlineStr">
        <is>
          <t>c18b1465-2bcc-4a69-96d1-c561aeb3b92a</t>
        </is>
      </c>
      <c r="D2754" t="inlineStr">
        <is>
          <t>30001087</t>
        </is>
      </c>
      <c r="E2754" t="inlineStr">
        <is>
          <t>ussd_funeral_leads_altitude_20260619</t>
        </is>
      </c>
      <c r="J2754" t="inlineStr">
        <is>
          <t>AA</t>
        </is>
      </c>
      <c r="K2754" t="inlineStr">
        <is>
          <t>Answering Machine Autodial</t>
        </is>
      </c>
      <c r="L2754" t="n">
        <v>3</v>
      </c>
      <c r="M2754" t="inlineStr">
        <is>
          <t>2026-06-23 12:45:49</t>
        </is>
      </c>
      <c r="N2754" t="inlineStr">
        <is>
          <t>system</t>
        </is>
      </c>
      <c r="O2754" t="inlineStr">
        <is>
          <t>2026-06-19 07:10:32</t>
        </is>
      </c>
      <c r="P2754" t="inlineStr">
        <is>
          <t>2026-06-19 07:10:32</t>
        </is>
      </c>
      <c r="Y2754" t="inlineStr">
        <is>
          <t>27636034570</t>
        </is>
      </c>
    </row>
    <row r="2755">
      <c r="A2755" t="inlineStr">
        <is>
          <t>14945651</t>
        </is>
      </c>
      <c r="B2755" t="inlineStr">
        <is>
          <t>01f68413-8fca-4a1a-88d3-58faa4e4eb6e</t>
        </is>
      </c>
      <c r="D2755" t="inlineStr">
        <is>
          <t>30001087</t>
        </is>
      </c>
      <c r="E2755" t="inlineStr">
        <is>
          <t>ussd_funeral_leads_altitude_20260619</t>
        </is>
      </c>
      <c r="J2755" t="inlineStr">
        <is>
          <t>AA</t>
        </is>
      </c>
      <c r="K2755" t="inlineStr">
        <is>
          <t>Answering Machine Autodial</t>
        </is>
      </c>
      <c r="L2755" t="n">
        <v>3</v>
      </c>
      <c r="M2755" t="inlineStr">
        <is>
          <t>2026-06-23 12:45:49</t>
        </is>
      </c>
      <c r="N2755" t="inlineStr">
        <is>
          <t>system</t>
        </is>
      </c>
      <c r="O2755" t="inlineStr">
        <is>
          <t>2026-06-19 07:10:32</t>
        </is>
      </c>
      <c r="P2755" t="inlineStr">
        <is>
          <t>2026-06-19 07:10:32</t>
        </is>
      </c>
      <c r="Y2755" t="inlineStr">
        <is>
          <t>27799581876</t>
        </is>
      </c>
    </row>
    <row r="2756">
      <c r="A2756" t="inlineStr">
        <is>
          <t>14945652</t>
        </is>
      </c>
      <c r="B2756" t="inlineStr">
        <is>
          <t>3c62048a-887e-48c6-9c41-597bcfe4eb80</t>
        </is>
      </c>
      <c r="D2756" t="inlineStr">
        <is>
          <t>30001087</t>
        </is>
      </c>
      <c r="E2756" t="inlineStr">
        <is>
          <t>ussd_funeral_leads_altitude_20260619</t>
        </is>
      </c>
      <c r="J2756" t="inlineStr">
        <is>
          <t>ADC</t>
        </is>
      </c>
      <c r="K2756" t="inlineStr">
        <is>
          <t>Auto Dial Disconnected</t>
        </is>
      </c>
      <c r="L2756" t="n">
        <v>3</v>
      </c>
      <c r="M2756" t="inlineStr">
        <is>
          <t>2026-06-23 12:45:49</t>
        </is>
      </c>
      <c r="N2756" t="inlineStr">
        <is>
          <t>system</t>
        </is>
      </c>
      <c r="O2756" t="inlineStr">
        <is>
          <t>2026-06-19 07:10:32</t>
        </is>
      </c>
      <c r="P2756" t="inlineStr">
        <is>
          <t>2026-06-19 07:10:32</t>
        </is>
      </c>
      <c r="Y2756" t="inlineStr">
        <is>
          <t>27609762203</t>
        </is>
      </c>
    </row>
    <row r="2757">
      <c r="A2757" t="inlineStr">
        <is>
          <t>14945462</t>
        </is>
      </c>
      <c r="B2757" t="inlineStr">
        <is>
          <t>0cdf2b68-4906-4fda-85dc-01805b007eea</t>
        </is>
      </c>
      <c r="D2757" t="inlineStr">
        <is>
          <t>30001087</t>
        </is>
      </c>
      <c r="E2757" t="inlineStr">
        <is>
          <t>ussd_funeral_leads_altitude_20260619</t>
        </is>
      </c>
      <c r="J2757" t="inlineStr">
        <is>
          <t>AA</t>
        </is>
      </c>
      <c r="K2757" t="inlineStr">
        <is>
          <t>Answering Machine Autodial</t>
        </is>
      </c>
      <c r="L2757" t="n">
        <v>3</v>
      </c>
      <c r="M2757" t="inlineStr">
        <is>
          <t>2026-06-23 12:45:48</t>
        </is>
      </c>
      <c r="N2757" t="inlineStr">
        <is>
          <t>system</t>
        </is>
      </c>
      <c r="O2757" t="inlineStr">
        <is>
          <t>2026-06-19 07:10:32</t>
        </is>
      </c>
      <c r="P2757" t="inlineStr">
        <is>
          <t>2026-06-19 07:10:32</t>
        </is>
      </c>
      <c r="Y2757" t="inlineStr">
        <is>
          <t>27793373350</t>
        </is>
      </c>
    </row>
    <row r="2758">
      <c r="A2758" t="inlineStr">
        <is>
          <t>14945463</t>
        </is>
      </c>
      <c r="B2758" t="inlineStr">
        <is>
          <t>508c4378-e230-4915-a8e1-b0785e84a8ab</t>
        </is>
      </c>
      <c r="D2758" t="inlineStr">
        <is>
          <t>30001087</t>
        </is>
      </c>
      <c r="E2758" t="inlineStr">
        <is>
          <t>ussd_funeral_leads_altitude_20260619</t>
        </is>
      </c>
      <c r="J2758" t="inlineStr">
        <is>
          <t>AA</t>
        </is>
      </c>
      <c r="K2758" t="inlineStr">
        <is>
          <t>Answering Machine Autodial</t>
        </is>
      </c>
      <c r="L2758" t="n">
        <v>3</v>
      </c>
      <c r="M2758" t="inlineStr">
        <is>
          <t>2026-06-23 12:45:48</t>
        </is>
      </c>
      <c r="N2758" t="inlineStr">
        <is>
          <t>system</t>
        </is>
      </c>
      <c r="O2758" t="inlineStr">
        <is>
          <t>2026-06-19 07:10:32</t>
        </is>
      </c>
      <c r="P2758" t="inlineStr">
        <is>
          <t>2026-06-19 07:10:32</t>
        </is>
      </c>
      <c r="Y2758" t="inlineStr">
        <is>
          <t>27768559608</t>
        </is>
      </c>
    </row>
    <row r="2759">
      <c r="A2759" t="inlineStr">
        <is>
          <t>14945464</t>
        </is>
      </c>
      <c r="B2759" t="inlineStr">
        <is>
          <t>42e207bd-2d13-46f1-8949-e7e7684fb3dc</t>
        </is>
      </c>
      <c r="D2759" t="inlineStr">
        <is>
          <t>30001087</t>
        </is>
      </c>
      <c r="E2759" t="inlineStr">
        <is>
          <t>ussd_funeral_leads_altitude_20260619</t>
        </is>
      </c>
      <c r="J2759" t="inlineStr">
        <is>
          <t>CU</t>
        </is>
      </c>
      <c r="K2759" t="inlineStr">
        <is>
          <t>Client Hung Up</t>
        </is>
      </c>
      <c r="L2759" t="n">
        <v>3</v>
      </c>
      <c r="M2759" t="inlineStr">
        <is>
          <t>2026-06-23 12:45:48</t>
        </is>
      </c>
      <c r="N2759" t="inlineStr">
        <is>
          <t>Goitsimang Mogwasa</t>
        </is>
      </c>
      <c r="O2759" t="inlineStr">
        <is>
          <t>2026-06-19 07:10:32</t>
        </is>
      </c>
      <c r="P2759" t="inlineStr">
        <is>
          <t>2026-06-19 07:10:32</t>
        </is>
      </c>
      <c r="Y2759" t="inlineStr">
        <is>
          <t>27764694321</t>
        </is>
      </c>
    </row>
    <row r="2760">
      <c r="A2760" t="inlineStr">
        <is>
          <t>14945465</t>
        </is>
      </c>
      <c r="B2760" t="inlineStr">
        <is>
          <t>cac081aa-91f3-4163-be6b-bc01287b1ef7</t>
        </is>
      </c>
      <c r="D2760" t="inlineStr">
        <is>
          <t>30001087</t>
        </is>
      </c>
      <c r="E2760" t="inlineStr">
        <is>
          <t>ussd_funeral_leads_altitude_20260619</t>
        </is>
      </c>
      <c r="J2760" t="inlineStr">
        <is>
          <t>CU</t>
        </is>
      </c>
      <c r="K2760" t="inlineStr">
        <is>
          <t>Client Hung Up</t>
        </is>
      </c>
      <c r="L2760" t="n">
        <v>3</v>
      </c>
      <c r="M2760" t="inlineStr">
        <is>
          <t>2026-06-23 12:45:48</t>
        </is>
      </c>
      <c r="N2760" t="inlineStr">
        <is>
          <t>Vuyiswa Nxumalo</t>
        </is>
      </c>
      <c r="O2760" t="inlineStr">
        <is>
          <t>2026-06-19 07:10:32</t>
        </is>
      </c>
      <c r="P2760" t="inlineStr">
        <is>
          <t>2026-06-19 07:10:32</t>
        </is>
      </c>
      <c r="Y2760" t="inlineStr">
        <is>
          <t>27673454762</t>
        </is>
      </c>
    </row>
    <row r="2761">
      <c r="A2761" t="inlineStr">
        <is>
          <t>14945466</t>
        </is>
      </c>
      <c r="B2761" t="inlineStr">
        <is>
          <t>154c76e1-a114-4bdc-b8b9-ec81cc1f9186</t>
        </is>
      </c>
      <c r="D2761" t="inlineStr">
        <is>
          <t>30001087</t>
        </is>
      </c>
      <c r="E2761" t="inlineStr">
        <is>
          <t>ussd_funeral_leads_altitude_20260619</t>
        </is>
      </c>
      <c r="J2761" t="inlineStr">
        <is>
          <t>AA</t>
        </is>
      </c>
      <c r="K2761" t="inlineStr">
        <is>
          <t>Answering Machine Autodial</t>
        </is>
      </c>
      <c r="L2761" t="n">
        <v>3</v>
      </c>
      <c r="M2761" t="inlineStr">
        <is>
          <t>2026-06-23 12:45:48</t>
        </is>
      </c>
      <c r="N2761" t="inlineStr">
        <is>
          <t>system</t>
        </is>
      </c>
      <c r="O2761" t="inlineStr">
        <is>
          <t>2026-06-19 07:10:32</t>
        </is>
      </c>
      <c r="P2761" t="inlineStr">
        <is>
          <t>2026-06-19 07:10:32</t>
        </is>
      </c>
      <c r="Y2761" t="inlineStr">
        <is>
          <t>27664023340</t>
        </is>
      </c>
    </row>
    <row r="2762">
      <c r="A2762" t="inlineStr">
        <is>
          <t>14945461</t>
        </is>
      </c>
      <c r="B2762" t="inlineStr">
        <is>
          <t>aaed466e-64e5-4df4-800f-9cd7f310a767</t>
        </is>
      </c>
      <c r="D2762" t="inlineStr">
        <is>
          <t>30001087</t>
        </is>
      </c>
      <c r="E2762" t="inlineStr">
        <is>
          <t>ussd_funeral_leads_altitude_20260619</t>
        </is>
      </c>
      <c r="J2762" t="inlineStr">
        <is>
          <t>AA</t>
        </is>
      </c>
      <c r="K2762" t="inlineStr">
        <is>
          <t>Answering Machine Autodial</t>
        </is>
      </c>
      <c r="L2762" t="n">
        <v>3</v>
      </c>
      <c r="M2762" t="inlineStr">
        <is>
          <t>2026-06-23 12:45:46</t>
        </is>
      </c>
      <c r="N2762" t="inlineStr">
        <is>
          <t>system</t>
        </is>
      </c>
      <c r="O2762" t="inlineStr">
        <is>
          <t>2026-06-19 07:10:32</t>
        </is>
      </c>
      <c r="P2762" t="inlineStr">
        <is>
          <t>2026-06-19 07:10:32</t>
        </is>
      </c>
      <c r="Y2762" t="inlineStr">
        <is>
          <t>27795489619</t>
        </is>
      </c>
    </row>
    <row r="2763">
      <c r="A2763" t="inlineStr">
        <is>
          <t>14945459</t>
        </is>
      </c>
      <c r="B2763" t="inlineStr">
        <is>
          <t>3292e9fc-b394-40f8-a8aa-0ac5af431651</t>
        </is>
      </c>
      <c r="D2763" t="inlineStr">
        <is>
          <t>30001087</t>
        </is>
      </c>
      <c r="E2763" t="inlineStr">
        <is>
          <t>ussd_funeral_leads_altitude_20260619</t>
        </is>
      </c>
      <c r="J2763" t="inlineStr">
        <is>
          <t>ADC</t>
        </is>
      </c>
      <c r="K2763" t="inlineStr">
        <is>
          <t>Auto Dial Disconnected</t>
        </is>
      </c>
      <c r="L2763" t="n">
        <v>3</v>
      </c>
      <c r="M2763" t="inlineStr">
        <is>
          <t>2026-06-23 12:45:45</t>
        </is>
      </c>
      <c r="N2763" t="inlineStr">
        <is>
          <t>system</t>
        </is>
      </c>
      <c r="O2763" t="inlineStr">
        <is>
          <t>2026-06-19 07:10:32</t>
        </is>
      </c>
      <c r="P2763" t="inlineStr">
        <is>
          <t>2026-06-19 07:10:32</t>
        </is>
      </c>
      <c r="Y2763" t="inlineStr">
        <is>
          <t>27774683952</t>
        </is>
      </c>
    </row>
    <row r="2764">
      <c r="A2764" t="inlineStr">
        <is>
          <t>14945460</t>
        </is>
      </c>
      <c r="B2764" t="inlineStr">
        <is>
          <t>f430d724-6667-424a-9077-b6337ac83b00</t>
        </is>
      </c>
      <c r="D2764" t="inlineStr">
        <is>
          <t>30001087</t>
        </is>
      </c>
      <c r="E2764" t="inlineStr">
        <is>
          <t>ussd_funeral_leads_altitude_20260619</t>
        </is>
      </c>
      <c r="J2764" t="inlineStr">
        <is>
          <t>AA</t>
        </is>
      </c>
      <c r="K2764" t="inlineStr">
        <is>
          <t>Answering Machine Autodial</t>
        </is>
      </c>
      <c r="L2764" t="n">
        <v>3</v>
      </c>
      <c r="M2764" t="inlineStr">
        <is>
          <t>2026-06-23 12:45:45</t>
        </is>
      </c>
      <c r="N2764" t="inlineStr">
        <is>
          <t>system</t>
        </is>
      </c>
      <c r="O2764" t="inlineStr">
        <is>
          <t>2026-06-19 07:10:32</t>
        </is>
      </c>
      <c r="P2764" t="inlineStr">
        <is>
          <t>2026-06-19 07:10:32</t>
        </is>
      </c>
      <c r="Y2764" t="inlineStr">
        <is>
          <t>27760401704</t>
        </is>
      </c>
    </row>
    <row r="2765">
      <c r="A2765" t="inlineStr">
        <is>
          <t>14945457</t>
        </is>
      </c>
      <c r="B2765" t="inlineStr">
        <is>
          <t>44ba6616-3170-40d3-9044-260a9babd031</t>
        </is>
      </c>
      <c r="D2765" t="inlineStr">
        <is>
          <t>30001087</t>
        </is>
      </c>
      <c r="E2765" t="inlineStr">
        <is>
          <t>ussd_funeral_leads_altitude_20260619</t>
        </is>
      </c>
      <c r="J2765" t="inlineStr">
        <is>
          <t>AA</t>
        </is>
      </c>
      <c r="K2765" t="inlineStr">
        <is>
          <t>Answering Machine Autodial</t>
        </is>
      </c>
      <c r="L2765" t="n">
        <v>3</v>
      </c>
      <c r="M2765" t="inlineStr">
        <is>
          <t>2026-06-23 12:45:44</t>
        </is>
      </c>
      <c r="N2765" t="inlineStr">
        <is>
          <t>system</t>
        </is>
      </c>
      <c r="O2765" t="inlineStr">
        <is>
          <t>2026-06-19 07:10:32</t>
        </is>
      </c>
      <c r="P2765" t="inlineStr">
        <is>
          <t>2026-06-19 07:10:32</t>
        </is>
      </c>
      <c r="Y2765" t="inlineStr">
        <is>
          <t>27791068548</t>
        </is>
      </c>
    </row>
    <row r="2766">
      <c r="A2766" t="inlineStr">
        <is>
          <t>14945458</t>
        </is>
      </c>
      <c r="B2766" t="inlineStr">
        <is>
          <t>8140c642-ea74-494b-91a5-228af0a11cdf</t>
        </is>
      </c>
      <c r="D2766" t="inlineStr">
        <is>
          <t>30001087</t>
        </is>
      </c>
      <c r="E2766" t="inlineStr">
        <is>
          <t>ussd_funeral_leads_altitude_20260619</t>
        </is>
      </c>
      <c r="J2766" t="inlineStr">
        <is>
          <t>AA</t>
        </is>
      </c>
      <c r="K2766" t="inlineStr">
        <is>
          <t>Answering Machine Autodial</t>
        </is>
      </c>
      <c r="L2766" t="n">
        <v>3</v>
      </c>
      <c r="M2766" t="inlineStr">
        <is>
          <t>2026-06-23 12:45:44</t>
        </is>
      </c>
      <c r="N2766" t="inlineStr">
        <is>
          <t>system</t>
        </is>
      </c>
      <c r="O2766" t="inlineStr">
        <is>
          <t>2026-06-19 07:10:32</t>
        </is>
      </c>
      <c r="P2766" t="inlineStr">
        <is>
          <t>2026-06-19 07:10:32</t>
        </is>
      </c>
      <c r="Y2766" t="inlineStr">
        <is>
          <t>27794277412</t>
        </is>
      </c>
    </row>
    <row r="2767">
      <c r="A2767" t="inlineStr">
        <is>
          <t>14945455</t>
        </is>
      </c>
      <c r="B2767" t="inlineStr">
        <is>
          <t>987dfb54-103e-47a2-bfa7-1c8c27c3119e</t>
        </is>
      </c>
      <c r="D2767" t="inlineStr">
        <is>
          <t>30001087</t>
        </is>
      </c>
      <c r="E2767" t="inlineStr">
        <is>
          <t>ussd_funeral_leads_altitude_20260619</t>
        </is>
      </c>
      <c r="J2767" t="inlineStr">
        <is>
          <t>AA</t>
        </is>
      </c>
      <c r="K2767" t="inlineStr">
        <is>
          <t>Answering Machine Autodial</t>
        </is>
      </c>
      <c r="L2767" t="n">
        <v>3</v>
      </c>
      <c r="M2767" t="inlineStr">
        <is>
          <t>2026-06-23 12:45:41</t>
        </is>
      </c>
      <c r="N2767" t="inlineStr">
        <is>
          <t>system</t>
        </is>
      </c>
      <c r="O2767" t="inlineStr">
        <is>
          <t>2026-06-19 07:10:32</t>
        </is>
      </c>
      <c r="P2767" t="inlineStr">
        <is>
          <t>2026-06-19 07:10:32</t>
        </is>
      </c>
      <c r="Y2767" t="inlineStr">
        <is>
          <t>27763284782</t>
        </is>
      </c>
    </row>
    <row r="2768">
      <c r="A2768" t="inlineStr">
        <is>
          <t>14947733</t>
        </is>
      </c>
      <c r="B2768" t="inlineStr">
        <is>
          <t>d430f2b6-7670-495d-a1c1-03be0697db8f</t>
        </is>
      </c>
      <c r="D2768" t="inlineStr">
        <is>
          <t>30001087</t>
        </is>
      </c>
      <c r="E2768" t="inlineStr">
        <is>
          <t>ussd_funeral_leads_altitude_20260619</t>
        </is>
      </c>
      <c r="J2768" t="inlineStr">
        <is>
          <t>NA</t>
        </is>
      </c>
      <c r="K2768" t="inlineStr">
        <is>
          <t>No Answer Autodial</t>
        </is>
      </c>
      <c r="L2768" t="n">
        <v>3</v>
      </c>
      <c r="M2768" t="inlineStr">
        <is>
          <t>2026-06-23 12:45:38</t>
        </is>
      </c>
      <c r="N2768" t="inlineStr">
        <is>
          <t>system</t>
        </is>
      </c>
      <c r="O2768" t="inlineStr">
        <is>
          <t>2026-06-19 07:10:32</t>
        </is>
      </c>
      <c r="P2768" t="inlineStr">
        <is>
          <t>2026-06-19 07:10:32</t>
        </is>
      </c>
      <c r="Y2768" t="inlineStr">
        <is>
          <t>27609810728</t>
        </is>
      </c>
    </row>
    <row r="2769">
      <c r="A2769" t="inlineStr">
        <is>
          <t>14945740</t>
        </is>
      </c>
      <c r="B2769" t="inlineStr">
        <is>
          <t>ef935c8a-5672-47c0-8361-b6e549d4b875</t>
        </is>
      </c>
      <c r="D2769" t="inlineStr">
        <is>
          <t>30001087</t>
        </is>
      </c>
      <c r="E2769" t="inlineStr">
        <is>
          <t>ussd_funeral_leads_altitude_20260619</t>
        </is>
      </c>
      <c r="J2769" t="inlineStr">
        <is>
          <t>NA</t>
        </is>
      </c>
      <c r="K2769" t="inlineStr">
        <is>
          <t>No Answer Autodial</t>
        </is>
      </c>
      <c r="L2769" t="n">
        <v>3</v>
      </c>
      <c r="M2769" t="inlineStr">
        <is>
          <t>2026-06-23 12:45:28</t>
        </is>
      </c>
      <c r="N2769" t="inlineStr">
        <is>
          <t>system</t>
        </is>
      </c>
      <c r="O2769" t="inlineStr">
        <is>
          <t>2026-06-19 07:10:32</t>
        </is>
      </c>
      <c r="P2769" t="inlineStr">
        <is>
          <t>2026-06-19 07:10:32</t>
        </is>
      </c>
      <c r="Y2769" t="inlineStr">
        <is>
          <t>27765186059</t>
        </is>
      </c>
    </row>
    <row r="2770">
      <c r="A2770" t="inlineStr">
        <is>
          <t>14900000</t>
        </is>
      </c>
      <c r="B2770" t="inlineStr">
        <is>
          <t>e961ec64-5125-4d42-8f27-37b443fb4aa3</t>
        </is>
      </c>
      <c r="D2770" t="inlineStr">
        <is>
          <t>30001087</t>
        </is>
      </c>
      <c r="E2770" t="inlineStr">
        <is>
          <t>ussd_funeral_leads_altitude_20260619</t>
        </is>
      </c>
      <c r="H2770" t="inlineStr">
        <is>
          <t>27767230929</t>
        </is>
      </c>
      <c r="J2770" t="inlineStr">
        <is>
          <t>NA</t>
        </is>
      </c>
      <c r="K2770" t="inlineStr">
        <is>
          <t>No Answer Autodial</t>
        </is>
      </c>
      <c r="L2770" t="n">
        <v>3</v>
      </c>
      <c r="M2770" t="inlineStr">
        <is>
          <t>2026-06-23 12:45:22</t>
        </is>
      </c>
      <c r="N2770" t="inlineStr">
        <is>
          <t>system</t>
        </is>
      </c>
      <c r="O2770" t="inlineStr">
        <is>
          <t>2026-06-19 07:10:32</t>
        </is>
      </c>
      <c r="P2770" t="inlineStr">
        <is>
          <t>2026-06-19 07:10:32</t>
        </is>
      </c>
      <c r="Y2770" t="inlineStr">
        <is>
          <t>27767230929</t>
        </is>
      </c>
    </row>
    <row r="2771">
      <c r="A2771" t="inlineStr">
        <is>
          <t>14945738</t>
        </is>
      </c>
      <c r="B2771" t="inlineStr">
        <is>
          <t>d9eea2a7-3c8e-4cb0-a68b-d5d22c66311e</t>
        </is>
      </c>
      <c r="D2771" t="inlineStr">
        <is>
          <t>30001087</t>
        </is>
      </c>
      <c r="E2771" t="inlineStr">
        <is>
          <t>ussd_funeral_leads_altitude_20260619</t>
        </is>
      </c>
      <c r="J2771" t="inlineStr">
        <is>
          <t>AA</t>
        </is>
      </c>
      <c r="K2771" t="inlineStr">
        <is>
          <t>Answering Machine Autodial</t>
        </is>
      </c>
      <c r="L2771" t="n">
        <v>3</v>
      </c>
      <c r="M2771" t="inlineStr">
        <is>
          <t>2026-06-23 12:45:19</t>
        </is>
      </c>
      <c r="N2771" t="inlineStr">
        <is>
          <t>system</t>
        </is>
      </c>
      <c r="O2771" t="inlineStr">
        <is>
          <t>2026-06-19 07:10:32</t>
        </is>
      </c>
      <c r="P2771" t="inlineStr">
        <is>
          <t>2026-06-19 07:10:32</t>
        </is>
      </c>
      <c r="Y2771" t="inlineStr">
        <is>
          <t>27721439016</t>
        </is>
      </c>
    </row>
    <row r="2772">
      <c r="A2772" t="inlineStr">
        <is>
          <t>14945737</t>
        </is>
      </c>
      <c r="B2772" t="inlineStr">
        <is>
          <t>959afc2c-f8a8-45b3-9914-5290fcf5fff6</t>
        </is>
      </c>
      <c r="D2772" t="inlineStr">
        <is>
          <t>30001087</t>
        </is>
      </c>
      <c r="E2772" t="inlineStr">
        <is>
          <t>ussd_funeral_leads_altitude_20260619</t>
        </is>
      </c>
      <c r="J2772" t="inlineStr">
        <is>
          <t>AA</t>
        </is>
      </c>
      <c r="K2772" t="inlineStr">
        <is>
          <t>Answering Machine Autodial</t>
        </is>
      </c>
      <c r="L2772" t="n">
        <v>3</v>
      </c>
      <c r="M2772" t="inlineStr">
        <is>
          <t>2026-06-23 12:45:14</t>
        </is>
      </c>
      <c r="N2772" t="inlineStr">
        <is>
          <t>system</t>
        </is>
      </c>
      <c r="O2772" t="inlineStr">
        <is>
          <t>2026-06-19 07:10:32</t>
        </is>
      </c>
      <c r="P2772" t="inlineStr">
        <is>
          <t>2026-06-19 07:10:32</t>
        </is>
      </c>
      <c r="Y2772" t="inlineStr">
        <is>
          <t>27763694993</t>
        </is>
      </c>
    </row>
    <row r="2773">
      <c r="A2773" t="inlineStr">
        <is>
          <t>14945736</t>
        </is>
      </c>
      <c r="B2773" t="inlineStr">
        <is>
          <t>9941fc69-3483-45ce-98aa-f9a5fd91b655</t>
        </is>
      </c>
      <c r="D2773" t="inlineStr">
        <is>
          <t>30001087</t>
        </is>
      </c>
      <c r="E2773" t="inlineStr">
        <is>
          <t>ussd_funeral_leads_altitude_20260619</t>
        </is>
      </c>
      <c r="J2773" t="inlineStr">
        <is>
          <t>ADC</t>
        </is>
      </c>
      <c r="K2773" t="inlineStr">
        <is>
          <t>Auto Dial Disconnected</t>
        </is>
      </c>
      <c r="L2773" t="n">
        <v>3</v>
      </c>
      <c r="M2773" t="inlineStr">
        <is>
          <t>2026-06-23 12:45:13</t>
        </is>
      </c>
      <c r="N2773" t="inlineStr">
        <is>
          <t>system</t>
        </is>
      </c>
      <c r="O2773" t="inlineStr">
        <is>
          <t>2026-06-19 07:10:32</t>
        </is>
      </c>
      <c r="P2773" t="inlineStr">
        <is>
          <t>2026-06-19 07:10:32</t>
        </is>
      </c>
      <c r="Y2773" t="inlineStr">
        <is>
          <t>27795890435</t>
        </is>
      </c>
    </row>
    <row r="2774">
      <c r="A2774" t="inlineStr">
        <is>
          <t>14945734</t>
        </is>
      </c>
      <c r="B2774" t="inlineStr">
        <is>
          <t>ed53666c-057a-4006-99ed-215dcb73fffb</t>
        </is>
      </c>
      <c r="D2774" t="inlineStr">
        <is>
          <t>30001087</t>
        </is>
      </c>
      <c r="E2774" t="inlineStr">
        <is>
          <t>ussd_funeral_leads_altitude_20260619</t>
        </is>
      </c>
      <c r="J2774" t="inlineStr">
        <is>
          <t>AA</t>
        </is>
      </c>
      <c r="K2774" t="inlineStr">
        <is>
          <t>Answering Machine Autodial</t>
        </is>
      </c>
      <c r="L2774" t="n">
        <v>3</v>
      </c>
      <c r="M2774" t="inlineStr">
        <is>
          <t>2026-06-23 12:44:31</t>
        </is>
      </c>
      <c r="N2774" t="inlineStr">
        <is>
          <t>system</t>
        </is>
      </c>
      <c r="O2774" t="inlineStr">
        <is>
          <t>2026-06-19 07:10:32</t>
        </is>
      </c>
      <c r="P2774" t="inlineStr">
        <is>
          <t>2026-06-19 07:10:32</t>
        </is>
      </c>
      <c r="Y2774" t="inlineStr">
        <is>
          <t>27761974605</t>
        </is>
      </c>
    </row>
    <row r="2775">
      <c r="A2775" t="inlineStr">
        <is>
          <t>14945732</t>
        </is>
      </c>
      <c r="B2775" t="inlineStr">
        <is>
          <t>43ec32b3-c75d-4f22-a59a-564ee083a6f5</t>
        </is>
      </c>
      <c r="D2775" t="inlineStr">
        <is>
          <t>30001087</t>
        </is>
      </c>
      <c r="E2775" t="inlineStr">
        <is>
          <t>ussd_funeral_leads_altitude_20260619</t>
        </is>
      </c>
      <c r="J2775" t="inlineStr">
        <is>
          <t>AA</t>
        </is>
      </c>
      <c r="K2775" t="inlineStr">
        <is>
          <t>Answering Machine Autodial</t>
        </is>
      </c>
      <c r="L2775" t="n">
        <v>3</v>
      </c>
      <c r="M2775" t="inlineStr">
        <is>
          <t>2026-06-23 12:44:28</t>
        </is>
      </c>
      <c r="N2775" t="inlineStr">
        <is>
          <t>system</t>
        </is>
      </c>
      <c r="O2775" t="inlineStr">
        <is>
          <t>2026-06-19 07:10:32</t>
        </is>
      </c>
      <c r="P2775" t="inlineStr">
        <is>
          <t>2026-06-19 07:10:32</t>
        </is>
      </c>
      <c r="Y2775" t="inlineStr">
        <is>
          <t>27827164670</t>
        </is>
      </c>
    </row>
    <row r="2776">
      <c r="A2776" t="inlineStr">
        <is>
          <t>14945733</t>
        </is>
      </c>
      <c r="B2776" t="inlineStr">
        <is>
          <t>8c4d6ae8-6776-4ac1-b32d-8be4f1b147d6</t>
        </is>
      </c>
      <c r="D2776" t="inlineStr">
        <is>
          <t>30001087</t>
        </is>
      </c>
      <c r="E2776" t="inlineStr">
        <is>
          <t>ussd_funeral_leads_altitude_20260619</t>
        </is>
      </c>
      <c r="J2776" t="inlineStr">
        <is>
          <t>NA</t>
        </is>
      </c>
      <c r="K2776" t="inlineStr">
        <is>
          <t>No Answer Autodial</t>
        </is>
      </c>
      <c r="L2776" t="n">
        <v>3</v>
      </c>
      <c r="M2776" t="inlineStr">
        <is>
          <t>2026-06-23 12:44:28</t>
        </is>
      </c>
      <c r="N2776" t="inlineStr">
        <is>
          <t>system</t>
        </is>
      </c>
      <c r="O2776" t="inlineStr">
        <is>
          <t>2026-06-19 07:10:32</t>
        </is>
      </c>
      <c r="P2776" t="inlineStr">
        <is>
          <t>2026-06-19 07:10:32</t>
        </is>
      </c>
      <c r="Y2776" t="inlineStr">
        <is>
          <t>27768007057</t>
        </is>
      </c>
    </row>
    <row r="2777">
      <c r="A2777" t="inlineStr">
        <is>
          <t>14945731</t>
        </is>
      </c>
      <c r="B2777" t="inlineStr">
        <is>
          <t>54b9bd10-91d7-46b3-aabc-c932eccec5b6</t>
        </is>
      </c>
      <c r="D2777" t="inlineStr">
        <is>
          <t>30001087</t>
        </is>
      </c>
      <c r="E2777" t="inlineStr">
        <is>
          <t>ussd_funeral_leads_altitude_20260619</t>
        </is>
      </c>
      <c r="J2777" t="inlineStr">
        <is>
          <t>ADC</t>
        </is>
      </c>
      <c r="K2777" t="inlineStr">
        <is>
          <t>Auto Dial Disconnected</t>
        </is>
      </c>
      <c r="L2777" t="n">
        <v>3</v>
      </c>
      <c r="M2777" t="inlineStr">
        <is>
          <t>2026-06-23 12:44:26</t>
        </is>
      </c>
      <c r="N2777" t="inlineStr">
        <is>
          <t>system</t>
        </is>
      </c>
      <c r="O2777" t="inlineStr">
        <is>
          <t>2026-06-19 07:10:32</t>
        </is>
      </c>
      <c r="P2777" t="inlineStr">
        <is>
          <t>2026-06-19 07:10:32</t>
        </is>
      </c>
      <c r="Y2777" t="inlineStr">
        <is>
          <t>27637523999</t>
        </is>
      </c>
    </row>
    <row r="2778">
      <c r="A2778" t="inlineStr">
        <is>
          <t>14945725</t>
        </is>
      </c>
      <c r="B2778" t="inlineStr">
        <is>
          <t>d9ae7c2d-31bf-4eaa-b9a4-a3e2c6edef0a</t>
        </is>
      </c>
      <c r="D2778" t="inlineStr">
        <is>
          <t>30001087</t>
        </is>
      </c>
      <c r="E2778" t="inlineStr">
        <is>
          <t>ussd_funeral_leads_altitude_20260619</t>
        </is>
      </c>
      <c r="J2778" t="inlineStr">
        <is>
          <t>AA</t>
        </is>
      </c>
      <c r="K2778" t="inlineStr">
        <is>
          <t>Answering Machine Autodial</t>
        </is>
      </c>
      <c r="L2778" t="n">
        <v>3</v>
      </c>
      <c r="M2778" t="inlineStr">
        <is>
          <t>2026-06-23 12:44:21</t>
        </is>
      </c>
      <c r="N2778" t="inlineStr">
        <is>
          <t>system</t>
        </is>
      </c>
      <c r="O2778" t="inlineStr">
        <is>
          <t>2026-06-19 07:10:32</t>
        </is>
      </c>
      <c r="P2778" t="inlineStr">
        <is>
          <t>2026-06-19 07:10:32</t>
        </is>
      </c>
      <c r="Y2778" t="inlineStr">
        <is>
          <t>27769853860</t>
        </is>
      </c>
    </row>
    <row r="2779">
      <c r="A2779" t="inlineStr">
        <is>
          <t>14945727</t>
        </is>
      </c>
      <c r="B2779" t="inlineStr">
        <is>
          <t>80519f05-d170-47e2-9b50-9fce6819eedd</t>
        </is>
      </c>
      <c r="D2779" t="inlineStr">
        <is>
          <t>30001087</t>
        </is>
      </c>
      <c r="E2779" t="inlineStr">
        <is>
          <t>ussd_funeral_leads_altitude_20260619</t>
        </is>
      </c>
      <c r="J2779" t="inlineStr">
        <is>
          <t>AA</t>
        </is>
      </c>
      <c r="K2779" t="inlineStr">
        <is>
          <t>Answering Machine Autodial</t>
        </is>
      </c>
      <c r="L2779" t="n">
        <v>3</v>
      </c>
      <c r="M2779" t="inlineStr">
        <is>
          <t>2026-06-23 12:44:21</t>
        </is>
      </c>
      <c r="N2779" t="inlineStr">
        <is>
          <t>system</t>
        </is>
      </c>
      <c r="O2779" t="inlineStr">
        <is>
          <t>2026-06-19 07:10:32</t>
        </is>
      </c>
      <c r="P2779" t="inlineStr">
        <is>
          <t>2026-06-19 07:10:32</t>
        </is>
      </c>
      <c r="Y2779" t="inlineStr">
        <is>
          <t>27796033193</t>
        </is>
      </c>
    </row>
    <row r="2780">
      <c r="A2780" t="inlineStr">
        <is>
          <t>14945728</t>
        </is>
      </c>
      <c r="B2780" t="inlineStr">
        <is>
          <t>26a7b0cb-de14-4921-a71e-fff13e56080e</t>
        </is>
      </c>
      <c r="D2780" t="inlineStr">
        <is>
          <t>30001087</t>
        </is>
      </c>
      <c r="E2780" t="inlineStr">
        <is>
          <t>ussd_funeral_leads_altitude_20260619</t>
        </is>
      </c>
      <c r="J2780" t="inlineStr">
        <is>
          <t>AA</t>
        </is>
      </c>
      <c r="K2780" t="inlineStr">
        <is>
          <t>Answering Machine Autodial</t>
        </is>
      </c>
      <c r="L2780" t="n">
        <v>3</v>
      </c>
      <c r="M2780" t="inlineStr">
        <is>
          <t>2026-06-23 12:44:21</t>
        </is>
      </c>
      <c r="N2780" t="inlineStr">
        <is>
          <t>system</t>
        </is>
      </c>
      <c r="O2780" t="inlineStr">
        <is>
          <t>2026-06-19 07:10:32</t>
        </is>
      </c>
      <c r="P2780" t="inlineStr">
        <is>
          <t>2026-06-19 07:10:32</t>
        </is>
      </c>
      <c r="Y2780" t="inlineStr">
        <is>
          <t>27649532490</t>
        </is>
      </c>
    </row>
    <row r="2781">
      <c r="A2781" t="inlineStr">
        <is>
          <t>14945729</t>
        </is>
      </c>
      <c r="B2781" t="inlineStr">
        <is>
          <t>dcb634fa-ce79-4ee8-a4c8-d12e790f390d</t>
        </is>
      </c>
      <c r="D2781" t="inlineStr">
        <is>
          <t>30001087</t>
        </is>
      </c>
      <c r="E2781" t="inlineStr">
        <is>
          <t>ussd_funeral_leads_altitude_20260619</t>
        </is>
      </c>
      <c r="J2781" t="inlineStr">
        <is>
          <t>TDN</t>
        </is>
      </c>
      <c r="K2781" t="inlineStr">
        <is>
          <t>Temporary Disconnected Number</t>
        </is>
      </c>
      <c r="L2781" t="n">
        <v>3</v>
      </c>
      <c r="M2781" t="inlineStr">
        <is>
          <t>2026-06-23 12:44:21</t>
        </is>
      </c>
      <c r="N2781" t="inlineStr">
        <is>
          <t>system</t>
        </is>
      </c>
      <c r="O2781" t="inlineStr">
        <is>
          <t>2026-06-19 07:10:32</t>
        </is>
      </c>
      <c r="P2781" t="inlineStr">
        <is>
          <t>2026-06-19 07:10:32</t>
        </is>
      </c>
      <c r="Y2781" t="inlineStr">
        <is>
          <t>27798664417</t>
        </is>
      </c>
    </row>
    <row r="2782">
      <c r="A2782" t="inlineStr">
        <is>
          <t>14945723</t>
        </is>
      </c>
      <c r="B2782" t="inlineStr">
        <is>
          <t>6344aee5-2fc7-45e1-8999-6edb193f78e1</t>
        </is>
      </c>
      <c r="D2782" t="inlineStr">
        <is>
          <t>30001087</t>
        </is>
      </c>
      <c r="E2782" t="inlineStr">
        <is>
          <t>ussd_funeral_leads_altitude_20260619</t>
        </is>
      </c>
      <c r="J2782" t="inlineStr">
        <is>
          <t>BLQ</t>
        </is>
      </c>
      <c r="K2782" t="inlineStr">
        <is>
          <t>Bad Line Quality</t>
        </is>
      </c>
      <c r="L2782" t="n">
        <v>3</v>
      </c>
      <c r="M2782" t="inlineStr">
        <is>
          <t>2026-06-23 12:44:20</t>
        </is>
      </c>
      <c r="N2782" t="inlineStr">
        <is>
          <t>Bongiwe Precious Cele</t>
        </is>
      </c>
      <c r="O2782" t="inlineStr">
        <is>
          <t>2026-06-19 07:10:32</t>
        </is>
      </c>
      <c r="P2782" t="inlineStr">
        <is>
          <t>2026-06-19 07:10:32</t>
        </is>
      </c>
      <c r="Y2782" t="inlineStr">
        <is>
          <t>27664225950</t>
        </is>
      </c>
    </row>
    <row r="2783">
      <c r="A2783" t="inlineStr">
        <is>
          <t>14945724</t>
        </is>
      </c>
      <c r="B2783" t="inlineStr">
        <is>
          <t>78c667e6-8290-47a6-b81b-21fe3e53dee9</t>
        </is>
      </c>
      <c r="D2783" t="inlineStr">
        <is>
          <t>30001087</t>
        </is>
      </c>
      <c r="E2783" t="inlineStr">
        <is>
          <t>ussd_funeral_leads_altitude_20260619</t>
        </is>
      </c>
      <c r="J2783" t="inlineStr">
        <is>
          <t>AA</t>
        </is>
      </c>
      <c r="K2783" t="inlineStr">
        <is>
          <t>Answering Machine Autodial</t>
        </is>
      </c>
      <c r="L2783" t="n">
        <v>3</v>
      </c>
      <c r="M2783" t="inlineStr">
        <is>
          <t>2026-06-23 12:44:20</t>
        </is>
      </c>
      <c r="N2783" t="inlineStr">
        <is>
          <t>system</t>
        </is>
      </c>
      <c r="O2783" t="inlineStr">
        <is>
          <t>2026-06-19 07:10:32</t>
        </is>
      </c>
      <c r="P2783" t="inlineStr">
        <is>
          <t>2026-06-19 07:10:32</t>
        </is>
      </c>
      <c r="Y2783" t="inlineStr">
        <is>
          <t>27794441756</t>
        </is>
      </c>
    </row>
    <row r="2784">
      <c r="A2784" t="inlineStr">
        <is>
          <t>14945722</t>
        </is>
      </c>
      <c r="B2784" t="inlineStr">
        <is>
          <t>94bf4b74-f190-4d9f-9cee-80cb1fd91bf0</t>
        </is>
      </c>
      <c r="D2784" t="inlineStr">
        <is>
          <t>30001087</t>
        </is>
      </c>
      <c r="E2784" t="inlineStr">
        <is>
          <t>ussd_funeral_leads_altitude_20260619</t>
        </is>
      </c>
      <c r="J2784" t="inlineStr">
        <is>
          <t>AA</t>
        </is>
      </c>
      <c r="K2784" t="inlineStr">
        <is>
          <t>Answering Machine Autodial</t>
        </is>
      </c>
      <c r="L2784" t="n">
        <v>3</v>
      </c>
      <c r="M2784" t="inlineStr">
        <is>
          <t>2026-06-23 12:44:18</t>
        </is>
      </c>
      <c r="N2784" t="inlineStr">
        <is>
          <t>system</t>
        </is>
      </c>
      <c r="O2784" t="inlineStr">
        <is>
          <t>2026-06-19 07:10:32</t>
        </is>
      </c>
      <c r="P2784" t="inlineStr">
        <is>
          <t>2026-06-19 07:10:32</t>
        </is>
      </c>
      <c r="Y2784" t="inlineStr">
        <is>
          <t>27728257308</t>
        </is>
      </c>
    </row>
    <row r="2785">
      <c r="A2785" t="inlineStr">
        <is>
          <t>14945721</t>
        </is>
      </c>
      <c r="B2785" t="inlineStr">
        <is>
          <t>2521c0b6-c0ec-47d3-90bc-09ee6d5f5c01</t>
        </is>
      </c>
      <c r="D2785" t="inlineStr">
        <is>
          <t>30001087</t>
        </is>
      </c>
      <c r="E2785" t="inlineStr">
        <is>
          <t>ussd_funeral_leads_altitude_20260619</t>
        </is>
      </c>
      <c r="J2785" t="inlineStr">
        <is>
          <t>NA</t>
        </is>
      </c>
      <c r="K2785" t="inlineStr">
        <is>
          <t>No Answer Autodial</t>
        </is>
      </c>
      <c r="L2785" t="n">
        <v>3</v>
      </c>
      <c r="M2785" t="inlineStr">
        <is>
          <t>2026-06-23 12:44:17</t>
        </is>
      </c>
      <c r="N2785" t="inlineStr">
        <is>
          <t>system</t>
        </is>
      </c>
      <c r="O2785" t="inlineStr">
        <is>
          <t>2026-06-19 07:10:32</t>
        </is>
      </c>
      <c r="P2785" t="inlineStr">
        <is>
          <t>2026-06-19 07:10:32</t>
        </is>
      </c>
      <c r="Y2785" t="inlineStr">
        <is>
          <t>27725878155</t>
        </is>
      </c>
    </row>
    <row r="2786">
      <c r="A2786" t="inlineStr">
        <is>
          <t>14945719</t>
        </is>
      </c>
      <c r="B2786" t="inlineStr">
        <is>
          <t>90f2af0f-47f8-459b-900a-6aa52701035a</t>
        </is>
      </c>
      <c r="D2786" t="inlineStr">
        <is>
          <t>30001087</t>
        </is>
      </c>
      <c r="E2786" t="inlineStr">
        <is>
          <t>ussd_funeral_leads_altitude_20260619</t>
        </is>
      </c>
      <c r="J2786" t="inlineStr">
        <is>
          <t>AA</t>
        </is>
      </c>
      <c r="K2786" t="inlineStr">
        <is>
          <t>Answering Machine Autodial</t>
        </is>
      </c>
      <c r="L2786" t="n">
        <v>3</v>
      </c>
      <c r="M2786" t="inlineStr">
        <is>
          <t>2026-06-23 12:44:16</t>
        </is>
      </c>
      <c r="N2786" t="inlineStr">
        <is>
          <t>system</t>
        </is>
      </c>
      <c r="O2786" t="inlineStr">
        <is>
          <t>2026-06-19 07:10:32</t>
        </is>
      </c>
      <c r="P2786" t="inlineStr">
        <is>
          <t>2026-06-19 07:10:32</t>
        </is>
      </c>
      <c r="Y2786" t="inlineStr">
        <is>
          <t>27724944413</t>
        </is>
      </c>
    </row>
    <row r="2787">
      <c r="A2787" t="inlineStr">
        <is>
          <t>14945720</t>
        </is>
      </c>
      <c r="B2787" t="inlineStr">
        <is>
          <t>c3ed390e-35d8-4fe6-871c-e36b3a529a44</t>
        </is>
      </c>
      <c r="D2787" t="inlineStr">
        <is>
          <t>30001087</t>
        </is>
      </c>
      <c r="E2787" t="inlineStr">
        <is>
          <t>ussd_funeral_leads_altitude_20260619</t>
        </is>
      </c>
      <c r="J2787" t="inlineStr">
        <is>
          <t>AA</t>
        </is>
      </c>
      <c r="K2787" t="inlineStr">
        <is>
          <t>Answering Machine Autodial</t>
        </is>
      </c>
      <c r="L2787" t="n">
        <v>3</v>
      </c>
      <c r="M2787" t="inlineStr">
        <is>
          <t>2026-06-23 12:44:16</t>
        </is>
      </c>
      <c r="N2787" t="inlineStr">
        <is>
          <t>system</t>
        </is>
      </c>
      <c r="O2787" t="inlineStr">
        <is>
          <t>2026-06-19 07:10:32</t>
        </is>
      </c>
      <c r="P2787" t="inlineStr">
        <is>
          <t>2026-06-19 07:10:32</t>
        </is>
      </c>
      <c r="Y2787" t="inlineStr">
        <is>
          <t>27762313497</t>
        </is>
      </c>
    </row>
    <row r="2788">
      <c r="A2788" t="inlineStr">
        <is>
          <t>14945713</t>
        </is>
      </c>
      <c r="B2788" t="inlineStr">
        <is>
          <t>a8633fbe-1c8e-40c0-b4fa-fec18e35ce56</t>
        </is>
      </c>
      <c r="D2788" t="inlineStr">
        <is>
          <t>30001087</t>
        </is>
      </c>
      <c r="E2788" t="inlineStr">
        <is>
          <t>ussd_funeral_leads_altitude_20260619</t>
        </is>
      </c>
      <c r="J2788" t="inlineStr">
        <is>
          <t>AA</t>
        </is>
      </c>
      <c r="K2788" t="inlineStr">
        <is>
          <t>Answering Machine Autodial</t>
        </is>
      </c>
      <c r="L2788" t="n">
        <v>3</v>
      </c>
      <c r="M2788" t="inlineStr">
        <is>
          <t>2026-06-23 12:44:15</t>
        </is>
      </c>
      <c r="N2788" t="inlineStr">
        <is>
          <t>system</t>
        </is>
      </c>
      <c r="O2788" t="inlineStr">
        <is>
          <t>2026-06-19 07:10:32</t>
        </is>
      </c>
      <c r="P2788" t="inlineStr">
        <is>
          <t>2026-06-19 07:10:32</t>
        </is>
      </c>
      <c r="Y2788" t="inlineStr">
        <is>
          <t>27792425221</t>
        </is>
      </c>
    </row>
    <row r="2789">
      <c r="A2789" t="inlineStr">
        <is>
          <t>14945714</t>
        </is>
      </c>
      <c r="B2789" t="inlineStr">
        <is>
          <t>c1c47d50-0d7f-40b2-ad50-a4aa4073c63b</t>
        </is>
      </c>
      <c r="D2789" t="inlineStr">
        <is>
          <t>30001087</t>
        </is>
      </c>
      <c r="E2789" t="inlineStr">
        <is>
          <t>ussd_funeral_leads_altitude_20260619</t>
        </is>
      </c>
      <c r="J2789" t="inlineStr">
        <is>
          <t>AE</t>
        </is>
      </c>
      <c r="K2789" t="inlineStr">
        <is>
          <t>Auto Engaged</t>
        </is>
      </c>
      <c r="L2789" t="n">
        <v>3</v>
      </c>
      <c r="M2789" t="inlineStr">
        <is>
          <t>2026-06-23 12:44:15</t>
        </is>
      </c>
      <c r="N2789" t="inlineStr">
        <is>
          <t>system</t>
        </is>
      </c>
      <c r="O2789" t="inlineStr">
        <is>
          <t>2026-06-19 07:10:32</t>
        </is>
      </c>
      <c r="P2789" t="inlineStr">
        <is>
          <t>2026-06-19 07:10:32</t>
        </is>
      </c>
      <c r="Y2789" t="inlineStr">
        <is>
          <t>27824467261</t>
        </is>
      </c>
    </row>
    <row r="2790">
      <c r="A2790" t="inlineStr">
        <is>
          <t>14945715</t>
        </is>
      </c>
      <c r="B2790" t="inlineStr">
        <is>
          <t>2c757acd-9b13-4340-9198-16d6cf4697ec</t>
        </is>
      </c>
      <c r="D2790" t="inlineStr">
        <is>
          <t>30001087</t>
        </is>
      </c>
      <c r="E2790" t="inlineStr">
        <is>
          <t>ussd_funeral_leads_altitude_20260619</t>
        </is>
      </c>
      <c r="J2790" t="inlineStr">
        <is>
          <t>NA</t>
        </is>
      </c>
      <c r="K2790" t="inlineStr">
        <is>
          <t>No Answer Autodial</t>
        </is>
      </c>
      <c r="L2790" t="n">
        <v>3</v>
      </c>
      <c r="M2790" t="inlineStr">
        <is>
          <t>2026-06-23 12:44:15</t>
        </is>
      </c>
      <c r="N2790" t="inlineStr">
        <is>
          <t>system</t>
        </is>
      </c>
      <c r="O2790" t="inlineStr">
        <is>
          <t>2026-06-19 07:10:32</t>
        </is>
      </c>
      <c r="P2790" t="inlineStr">
        <is>
          <t>2026-06-19 07:10:32</t>
        </is>
      </c>
      <c r="Y2790" t="inlineStr">
        <is>
          <t>27794866744</t>
        </is>
      </c>
    </row>
    <row r="2791">
      <c r="A2791" t="inlineStr">
        <is>
          <t>14945716</t>
        </is>
      </c>
      <c r="B2791" t="inlineStr">
        <is>
          <t>81f7746d-a9b6-4e9e-9486-52bee0e058d4</t>
        </is>
      </c>
      <c r="D2791" t="inlineStr">
        <is>
          <t>30001087</t>
        </is>
      </c>
      <c r="E2791" t="inlineStr">
        <is>
          <t>ussd_funeral_leads_altitude_20260619</t>
        </is>
      </c>
      <c r="J2791" t="inlineStr">
        <is>
          <t>AA</t>
        </is>
      </c>
      <c r="K2791" t="inlineStr">
        <is>
          <t>Answering Machine Autodial</t>
        </is>
      </c>
      <c r="L2791" t="n">
        <v>3</v>
      </c>
      <c r="M2791" t="inlineStr">
        <is>
          <t>2026-06-23 12:44:15</t>
        </is>
      </c>
      <c r="N2791" t="inlineStr">
        <is>
          <t>system</t>
        </is>
      </c>
      <c r="O2791" t="inlineStr">
        <is>
          <t>2026-06-19 07:10:32</t>
        </is>
      </c>
      <c r="P2791" t="inlineStr">
        <is>
          <t>2026-06-19 07:10:32</t>
        </is>
      </c>
      <c r="Y2791" t="inlineStr">
        <is>
          <t>27636180851</t>
        </is>
      </c>
    </row>
    <row r="2792">
      <c r="A2792" t="inlineStr">
        <is>
          <t>14945717</t>
        </is>
      </c>
      <c r="B2792" t="inlineStr">
        <is>
          <t>f940e010-c49a-4610-bdd0-4f73a3f2ddb7</t>
        </is>
      </c>
      <c r="D2792" t="inlineStr">
        <is>
          <t>30001087</t>
        </is>
      </c>
      <c r="E2792" t="inlineStr">
        <is>
          <t>ussd_funeral_leads_altitude_20260619</t>
        </is>
      </c>
      <c r="J2792" t="inlineStr">
        <is>
          <t>AA</t>
        </is>
      </c>
      <c r="K2792" t="inlineStr">
        <is>
          <t>Answering Machine Autodial</t>
        </is>
      </c>
      <c r="L2792" t="n">
        <v>3</v>
      </c>
      <c r="M2792" t="inlineStr">
        <is>
          <t>2026-06-23 12:44:15</t>
        </is>
      </c>
      <c r="N2792" t="inlineStr">
        <is>
          <t>system</t>
        </is>
      </c>
      <c r="O2792" t="inlineStr">
        <is>
          <t>2026-06-19 07:10:32</t>
        </is>
      </c>
      <c r="P2792" t="inlineStr">
        <is>
          <t>2026-06-19 07:10:32</t>
        </is>
      </c>
      <c r="Y2792" t="inlineStr">
        <is>
          <t>27793078735</t>
        </is>
      </c>
    </row>
    <row r="2793">
      <c r="A2793" t="inlineStr">
        <is>
          <t>14945718</t>
        </is>
      </c>
      <c r="B2793" t="inlineStr">
        <is>
          <t>c8d3522d-9ab7-4c5e-a437-ca1bd11f85c3</t>
        </is>
      </c>
      <c r="D2793" t="inlineStr">
        <is>
          <t>30001087</t>
        </is>
      </c>
      <c r="E2793" t="inlineStr">
        <is>
          <t>ussd_funeral_leads_altitude_20260619</t>
        </is>
      </c>
      <c r="J2793" t="inlineStr">
        <is>
          <t>AA</t>
        </is>
      </c>
      <c r="K2793" t="inlineStr">
        <is>
          <t>Answering Machine Autodial</t>
        </is>
      </c>
      <c r="L2793" t="n">
        <v>3</v>
      </c>
      <c r="M2793" t="inlineStr">
        <is>
          <t>2026-06-23 12:44:15</t>
        </is>
      </c>
      <c r="N2793" t="inlineStr">
        <is>
          <t>system</t>
        </is>
      </c>
      <c r="O2793" t="inlineStr">
        <is>
          <t>2026-06-19 07:10:32</t>
        </is>
      </c>
      <c r="P2793" t="inlineStr">
        <is>
          <t>2026-06-19 07:10:32</t>
        </is>
      </c>
      <c r="Y2793" t="inlineStr">
        <is>
          <t>27796535465</t>
        </is>
      </c>
    </row>
    <row r="2794">
      <c r="A2794" t="inlineStr">
        <is>
          <t>14945706</t>
        </is>
      </c>
      <c r="B2794" t="inlineStr">
        <is>
          <t>d4fc1f0d-17a0-4e7a-b2e3-a348f1aa1dd5</t>
        </is>
      </c>
      <c r="D2794" t="inlineStr">
        <is>
          <t>30001087</t>
        </is>
      </c>
      <c r="E2794" t="inlineStr">
        <is>
          <t>ussd_funeral_leads_altitude_20260619</t>
        </is>
      </c>
      <c r="J2794" t="inlineStr">
        <is>
          <t>AA</t>
        </is>
      </c>
      <c r="K2794" t="inlineStr">
        <is>
          <t>Answering Machine Autodial</t>
        </is>
      </c>
      <c r="L2794" t="n">
        <v>3</v>
      </c>
      <c r="M2794" t="inlineStr">
        <is>
          <t>2026-06-23 12:44:14</t>
        </is>
      </c>
      <c r="N2794" t="inlineStr">
        <is>
          <t>system</t>
        </is>
      </c>
      <c r="O2794" t="inlineStr">
        <is>
          <t>2026-06-19 07:10:32</t>
        </is>
      </c>
      <c r="P2794" t="inlineStr">
        <is>
          <t>2026-06-19 07:10:32</t>
        </is>
      </c>
      <c r="Y2794" t="inlineStr">
        <is>
          <t>27727705405</t>
        </is>
      </c>
    </row>
    <row r="2795">
      <c r="A2795" t="inlineStr">
        <is>
          <t>14945707</t>
        </is>
      </c>
      <c r="B2795" t="inlineStr">
        <is>
          <t>a45d6cb2-fd86-4576-9e1e-bbf3d49fa5c3</t>
        </is>
      </c>
      <c r="D2795" t="inlineStr">
        <is>
          <t>30001087</t>
        </is>
      </c>
      <c r="E2795" t="inlineStr">
        <is>
          <t>ussd_funeral_leads_altitude_20260619</t>
        </is>
      </c>
      <c r="J2795" t="inlineStr">
        <is>
          <t>AA</t>
        </is>
      </c>
      <c r="K2795" t="inlineStr">
        <is>
          <t>Answering Machine Autodial</t>
        </is>
      </c>
      <c r="L2795" t="n">
        <v>3</v>
      </c>
      <c r="M2795" t="inlineStr">
        <is>
          <t>2026-06-23 12:44:14</t>
        </is>
      </c>
      <c r="N2795" t="inlineStr">
        <is>
          <t>system</t>
        </is>
      </c>
      <c r="O2795" t="inlineStr">
        <is>
          <t>2026-06-19 07:10:32</t>
        </is>
      </c>
      <c r="P2795" t="inlineStr">
        <is>
          <t>2026-06-19 07:10:32</t>
        </is>
      </c>
      <c r="Y2795" t="inlineStr">
        <is>
          <t>27675419290</t>
        </is>
      </c>
    </row>
    <row r="2796">
      <c r="A2796" t="inlineStr">
        <is>
          <t>14945710</t>
        </is>
      </c>
      <c r="B2796" t="inlineStr">
        <is>
          <t>33526c8e-c93e-470c-ab0f-cf6676285d35</t>
        </is>
      </c>
      <c r="D2796" t="inlineStr">
        <is>
          <t>30001087</t>
        </is>
      </c>
      <c r="E2796" t="inlineStr">
        <is>
          <t>ussd_funeral_leads_altitude_20260619</t>
        </is>
      </c>
      <c r="J2796" t="inlineStr">
        <is>
          <t>AA</t>
        </is>
      </c>
      <c r="K2796" t="inlineStr">
        <is>
          <t>Answering Machine Autodial</t>
        </is>
      </c>
      <c r="L2796" t="n">
        <v>3</v>
      </c>
      <c r="M2796" t="inlineStr">
        <is>
          <t>2026-06-23 12:44:14</t>
        </is>
      </c>
      <c r="N2796" t="inlineStr">
        <is>
          <t>system</t>
        </is>
      </c>
      <c r="O2796" t="inlineStr">
        <is>
          <t>2026-06-19 07:10:32</t>
        </is>
      </c>
      <c r="P2796" t="inlineStr">
        <is>
          <t>2026-06-19 07:10:32</t>
        </is>
      </c>
      <c r="Y2796" t="inlineStr">
        <is>
          <t>27647248212</t>
        </is>
      </c>
    </row>
    <row r="2797">
      <c r="A2797" t="inlineStr">
        <is>
          <t>14945711</t>
        </is>
      </c>
      <c r="B2797" t="inlineStr">
        <is>
          <t>24182480-b745-42e8-b326-cd188918592c</t>
        </is>
      </c>
      <c r="D2797" t="inlineStr">
        <is>
          <t>30001087</t>
        </is>
      </c>
      <c r="E2797" t="inlineStr">
        <is>
          <t>ussd_funeral_leads_altitude_20260619</t>
        </is>
      </c>
      <c r="J2797" t="inlineStr">
        <is>
          <t>ADC</t>
        </is>
      </c>
      <c r="K2797" t="inlineStr">
        <is>
          <t>Auto Dial Disconnected</t>
        </is>
      </c>
      <c r="L2797" t="n">
        <v>3</v>
      </c>
      <c r="M2797" t="inlineStr">
        <is>
          <t>2026-06-23 12:44:14</t>
        </is>
      </c>
      <c r="N2797" t="inlineStr">
        <is>
          <t>system</t>
        </is>
      </c>
      <c r="O2797" t="inlineStr">
        <is>
          <t>2026-06-19 07:10:32</t>
        </is>
      </c>
      <c r="P2797" t="inlineStr">
        <is>
          <t>2026-06-19 07:10:32</t>
        </is>
      </c>
      <c r="Y2797" t="inlineStr">
        <is>
          <t>27827052559</t>
        </is>
      </c>
    </row>
    <row r="2798">
      <c r="A2798" t="inlineStr">
        <is>
          <t>14945699</t>
        </is>
      </c>
      <c r="B2798" t="inlineStr">
        <is>
          <t>94fcf5f0-b1cd-42a4-87ab-8d5954e23652</t>
        </is>
      </c>
      <c r="D2798" t="inlineStr">
        <is>
          <t>30001087</t>
        </is>
      </c>
      <c r="E2798" t="inlineStr">
        <is>
          <t>ussd_funeral_leads_altitude_20260619</t>
        </is>
      </c>
      <c r="J2798" t="inlineStr">
        <is>
          <t>AA</t>
        </is>
      </c>
      <c r="K2798" t="inlineStr">
        <is>
          <t>Answering Machine Autodial</t>
        </is>
      </c>
      <c r="L2798" t="n">
        <v>3</v>
      </c>
      <c r="M2798" t="inlineStr">
        <is>
          <t>2026-06-23 12:44:10</t>
        </is>
      </c>
      <c r="N2798" t="inlineStr">
        <is>
          <t>system</t>
        </is>
      </c>
      <c r="O2798" t="inlineStr">
        <is>
          <t>2026-06-19 07:10:32</t>
        </is>
      </c>
      <c r="P2798" t="inlineStr">
        <is>
          <t>2026-06-19 07:10:32</t>
        </is>
      </c>
      <c r="Y2798" t="inlineStr">
        <is>
          <t>27729452311</t>
        </is>
      </c>
    </row>
    <row r="2799">
      <c r="A2799" t="inlineStr">
        <is>
          <t>14945705</t>
        </is>
      </c>
      <c r="B2799" t="inlineStr">
        <is>
          <t>0adc73c8-0b1f-4530-9031-0ae54856dac1</t>
        </is>
      </c>
      <c r="D2799" t="inlineStr">
        <is>
          <t>30001087</t>
        </is>
      </c>
      <c r="E2799" t="inlineStr">
        <is>
          <t>ussd_funeral_leads_altitude_20260619</t>
        </is>
      </c>
      <c r="J2799" t="inlineStr">
        <is>
          <t>AA</t>
        </is>
      </c>
      <c r="K2799" t="inlineStr">
        <is>
          <t>Answering Machine Autodial</t>
        </is>
      </c>
      <c r="L2799" t="n">
        <v>3</v>
      </c>
      <c r="M2799" t="inlineStr">
        <is>
          <t>2026-06-23 12:44:10</t>
        </is>
      </c>
      <c r="N2799" t="inlineStr">
        <is>
          <t>system</t>
        </is>
      </c>
      <c r="O2799" t="inlineStr">
        <is>
          <t>2026-06-19 07:10:32</t>
        </is>
      </c>
      <c r="P2799" t="inlineStr">
        <is>
          <t>2026-06-19 07:10:32</t>
        </is>
      </c>
      <c r="Y2799" t="inlineStr">
        <is>
          <t>27606086973</t>
        </is>
      </c>
    </row>
    <row r="2800">
      <c r="A2800" t="inlineStr">
        <is>
          <t>14945696</t>
        </is>
      </c>
      <c r="B2800" t="inlineStr">
        <is>
          <t>ede38284-cf87-432b-8f1f-88529f4ef2af</t>
        </is>
      </c>
      <c r="D2800" t="inlineStr">
        <is>
          <t>30001087</t>
        </is>
      </c>
      <c r="E2800" t="inlineStr">
        <is>
          <t>ussd_funeral_leads_altitude_20260619</t>
        </is>
      </c>
      <c r="J2800" t="inlineStr">
        <is>
          <t>AA</t>
        </is>
      </c>
      <c r="K2800" t="inlineStr">
        <is>
          <t>Answering Machine Autodial</t>
        </is>
      </c>
      <c r="L2800" t="n">
        <v>3</v>
      </c>
      <c r="M2800" t="inlineStr">
        <is>
          <t>2026-06-23 12:44:03</t>
        </is>
      </c>
      <c r="N2800" t="inlineStr">
        <is>
          <t>system</t>
        </is>
      </c>
      <c r="O2800" t="inlineStr">
        <is>
          <t>2026-06-19 07:10:32</t>
        </is>
      </c>
      <c r="P2800" t="inlineStr">
        <is>
          <t>2026-06-19 07:10:32</t>
        </is>
      </c>
      <c r="Y2800" t="inlineStr">
        <is>
          <t>27711930239</t>
        </is>
      </c>
    </row>
    <row r="2801">
      <c r="A2801" t="inlineStr">
        <is>
          <t>14945693</t>
        </is>
      </c>
      <c r="B2801" t="inlineStr">
        <is>
          <t>ee4eb4a7-bdc4-4aa5-b5d6-861d9d0d073e</t>
        </is>
      </c>
      <c r="D2801" t="inlineStr">
        <is>
          <t>30001087</t>
        </is>
      </c>
      <c r="E2801" t="inlineStr">
        <is>
          <t>ussd_funeral_leads_altitude_20260619</t>
        </is>
      </c>
      <c r="J2801" t="inlineStr">
        <is>
          <t>NA</t>
        </is>
      </c>
      <c r="K2801" t="inlineStr">
        <is>
          <t>No Answer Autodial</t>
        </is>
      </c>
      <c r="L2801" t="n">
        <v>3</v>
      </c>
      <c r="M2801" t="inlineStr">
        <is>
          <t>2026-06-23 12:44:01</t>
        </is>
      </c>
      <c r="N2801" t="inlineStr">
        <is>
          <t>system</t>
        </is>
      </c>
      <c r="O2801" t="inlineStr">
        <is>
          <t>2026-06-19 07:10:32</t>
        </is>
      </c>
      <c r="P2801" t="inlineStr">
        <is>
          <t>2026-06-19 07:10:32</t>
        </is>
      </c>
      <c r="Y2801" t="inlineStr">
        <is>
          <t>27723943377</t>
        </is>
      </c>
    </row>
    <row r="2802">
      <c r="A2802" t="inlineStr">
        <is>
          <t>14945694</t>
        </is>
      </c>
      <c r="B2802" t="inlineStr">
        <is>
          <t>9d516adb-a3d3-4c0d-aa69-e44f02edd82d</t>
        </is>
      </c>
      <c r="D2802" t="inlineStr">
        <is>
          <t>30001087</t>
        </is>
      </c>
      <c r="E2802" t="inlineStr">
        <is>
          <t>ussd_funeral_leads_altitude_20260619</t>
        </is>
      </c>
      <c r="J2802" t="inlineStr">
        <is>
          <t>TDN</t>
        </is>
      </c>
      <c r="K2802" t="inlineStr">
        <is>
          <t>Temporary Disconnected Number</t>
        </is>
      </c>
      <c r="L2802" t="n">
        <v>3</v>
      </c>
      <c r="M2802" t="inlineStr">
        <is>
          <t>2026-06-23 12:44:01</t>
        </is>
      </c>
      <c r="N2802" t="inlineStr">
        <is>
          <t>system</t>
        </is>
      </c>
      <c r="O2802" t="inlineStr">
        <is>
          <t>2026-06-19 07:10:32</t>
        </is>
      </c>
      <c r="P2802" t="inlineStr">
        <is>
          <t>2026-06-19 07:10:32</t>
        </is>
      </c>
      <c r="Y2802" t="inlineStr">
        <is>
          <t>27774156019</t>
        </is>
      </c>
    </row>
    <row r="2803">
      <c r="A2803" t="inlineStr">
        <is>
          <t>14945692</t>
        </is>
      </c>
      <c r="B2803" t="inlineStr">
        <is>
          <t>d1a935fa-1c2a-4b72-a018-71bf1dc2ec64</t>
        </is>
      </c>
      <c r="D2803" t="inlineStr">
        <is>
          <t>30001087</t>
        </is>
      </c>
      <c r="E2803" t="inlineStr">
        <is>
          <t>ussd_funeral_leads_altitude_20260619</t>
        </is>
      </c>
      <c r="J2803" t="inlineStr">
        <is>
          <t>AA</t>
        </is>
      </c>
      <c r="K2803" t="inlineStr">
        <is>
          <t>Answering Machine Autodial</t>
        </is>
      </c>
      <c r="L2803" t="n">
        <v>3</v>
      </c>
      <c r="M2803" t="inlineStr">
        <is>
          <t>2026-06-23 12:43:45</t>
        </is>
      </c>
      <c r="N2803" t="inlineStr">
        <is>
          <t>system</t>
        </is>
      </c>
      <c r="O2803" t="inlineStr">
        <is>
          <t>2026-06-19 07:10:32</t>
        </is>
      </c>
      <c r="P2803" t="inlineStr">
        <is>
          <t>2026-06-19 07:10:32</t>
        </is>
      </c>
      <c r="Y2803" t="inlineStr">
        <is>
          <t>27637425489</t>
        </is>
      </c>
    </row>
    <row r="2804">
      <c r="A2804" t="inlineStr">
        <is>
          <t>14945689</t>
        </is>
      </c>
      <c r="B2804" t="inlineStr">
        <is>
          <t>144a3958-79a4-4d89-9f98-551b53ea999e</t>
        </is>
      </c>
      <c r="D2804" t="inlineStr">
        <is>
          <t>30001087</t>
        </is>
      </c>
      <c r="E2804" t="inlineStr">
        <is>
          <t>ussd_funeral_leads_altitude_20260619</t>
        </is>
      </c>
      <c r="J2804" t="inlineStr">
        <is>
          <t>AA</t>
        </is>
      </c>
      <c r="K2804" t="inlineStr">
        <is>
          <t>Answering Machine Autodial</t>
        </is>
      </c>
      <c r="L2804" t="n">
        <v>3</v>
      </c>
      <c r="M2804" t="inlineStr">
        <is>
          <t>2026-06-23 12:43:43</t>
        </is>
      </c>
      <c r="N2804" t="inlineStr">
        <is>
          <t>system</t>
        </is>
      </c>
      <c r="O2804" t="inlineStr">
        <is>
          <t>2026-06-19 07:10:32</t>
        </is>
      </c>
      <c r="P2804" t="inlineStr">
        <is>
          <t>2026-06-19 07:10:32</t>
        </is>
      </c>
      <c r="Y2804" t="inlineStr">
        <is>
          <t>27715240732</t>
        </is>
      </c>
    </row>
    <row r="2805">
      <c r="A2805" t="inlineStr">
        <is>
          <t>14945700</t>
        </is>
      </c>
      <c r="B2805" t="inlineStr">
        <is>
          <t>6aad1a1b-f8f3-48fc-a1ea-11381213b44c</t>
        </is>
      </c>
      <c r="D2805" t="inlineStr">
        <is>
          <t>30001087</t>
        </is>
      </c>
      <c r="E2805" t="inlineStr">
        <is>
          <t>ussd_funeral_leads_altitude_20260619</t>
        </is>
      </c>
      <c r="J2805" t="inlineStr">
        <is>
          <t>ADC</t>
        </is>
      </c>
      <c r="K2805" t="inlineStr">
        <is>
          <t>Auto Dial Disconnected</t>
        </is>
      </c>
      <c r="L2805" t="n">
        <v>3</v>
      </c>
      <c r="M2805" t="inlineStr">
        <is>
          <t>2026-06-23 12:43:24</t>
        </is>
      </c>
      <c r="N2805" t="inlineStr">
        <is>
          <t>system</t>
        </is>
      </c>
      <c r="O2805" t="inlineStr">
        <is>
          <t>2026-06-19 07:10:32</t>
        </is>
      </c>
      <c r="P2805" t="inlineStr">
        <is>
          <t>2026-06-19 07:10:32</t>
        </is>
      </c>
      <c r="Y2805" t="inlineStr">
        <is>
          <t>27762850977</t>
        </is>
      </c>
    </row>
    <row r="2806">
      <c r="A2806" t="inlineStr">
        <is>
          <t>14945701</t>
        </is>
      </c>
      <c r="B2806" t="inlineStr">
        <is>
          <t>58ac2464-e630-4b12-b69d-fd0a7c75e8fb</t>
        </is>
      </c>
      <c r="D2806" t="inlineStr">
        <is>
          <t>30001087</t>
        </is>
      </c>
      <c r="E2806" t="inlineStr">
        <is>
          <t>ussd_funeral_leads_altitude_20260619</t>
        </is>
      </c>
      <c r="J2806" t="inlineStr">
        <is>
          <t>AA</t>
        </is>
      </c>
      <c r="K2806" t="inlineStr">
        <is>
          <t>Answering Machine Autodial</t>
        </is>
      </c>
      <c r="L2806" t="n">
        <v>3</v>
      </c>
      <c r="M2806" t="inlineStr">
        <is>
          <t>2026-06-23 12:43:24</t>
        </is>
      </c>
      <c r="N2806" t="inlineStr">
        <is>
          <t>system</t>
        </is>
      </c>
      <c r="O2806" t="inlineStr">
        <is>
          <t>2026-06-19 07:10:32</t>
        </is>
      </c>
      <c r="P2806" t="inlineStr">
        <is>
          <t>2026-06-19 07:10:32</t>
        </is>
      </c>
      <c r="Y2806" t="inlineStr">
        <is>
          <t>27649502316</t>
        </is>
      </c>
    </row>
    <row r="2807">
      <c r="A2807" t="inlineStr">
        <is>
          <t>14945703</t>
        </is>
      </c>
      <c r="B2807" t="inlineStr">
        <is>
          <t>a9c09162-0112-4567-af8c-781032284641</t>
        </is>
      </c>
      <c r="D2807" t="inlineStr">
        <is>
          <t>30001087</t>
        </is>
      </c>
      <c r="E2807" t="inlineStr">
        <is>
          <t>ussd_funeral_leads_altitude_20260619</t>
        </is>
      </c>
      <c r="J2807" t="inlineStr">
        <is>
          <t>AA</t>
        </is>
      </c>
      <c r="K2807" t="inlineStr">
        <is>
          <t>Answering Machine Autodial</t>
        </is>
      </c>
      <c r="L2807" t="n">
        <v>3</v>
      </c>
      <c r="M2807" t="inlineStr">
        <is>
          <t>2026-06-23 12:43:24</t>
        </is>
      </c>
      <c r="N2807" t="inlineStr">
        <is>
          <t>system</t>
        </is>
      </c>
      <c r="O2807" t="inlineStr">
        <is>
          <t>2026-06-19 07:10:32</t>
        </is>
      </c>
      <c r="P2807" t="inlineStr">
        <is>
          <t>2026-06-19 07:10:32</t>
        </is>
      </c>
      <c r="Y2807" t="inlineStr">
        <is>
          <t>27823591610</t>
        </is>
      </c>
    </row>
    <row r="2808">
      <c r="A2808" t="inlineStr">
        <is>
          <t>14945704</t>
        </is>
      </c>
      <c r="B2808" t="inlineStr">
        <is>
          <t>86dcb23a-80a0-4a45-9c4a-b4d7c71beb16</t>
        </is>
      </c>
      <c r="D2808" t="inlineStr">
        <is>
          <t>30001087</t>
        </is>
      </c>
      <c r="E2808" t="inlineStr">
        <is>
          <t>ussd_funeral_leads_altitude_20260619</t>
        </is>
      </c>
      <c r="J2808" t="inlineStr">
        <is>
          <t>NI</t>
        </is>
      </c>
      <c r="K2808" t="inlineStr">
        <is>
          <t>Not Interested</t>
        </is>
      </c>
      <c r="L2808" t="n">
        <v>3</v>
      </c>
      <c r="M2808" t="inlineStr">
        <is>
          <t>2026-06-23 12:43:24</t>
        </is>
      </c>
      <c r="N2808" t="inlineStr">
        <is>
          <t>Goitsimang Mogwasa</t>
        </is>
      </c>
      <c r="O2808" t="inlineStr">
        <is>
          <t>2026-06-19 07:10:32</t>
        </is>
      </c>
      <c r="P2808" t="inlineStr">
        <is>
          <t>2026-06-19 07:10:32</t>
        </is>
      </c>
      <c r="Y2808" t="inlineStr">
        <is>
          <t>27665257118</t>
        </is>
      </c>
    </row>
    <row r="2809">
      <c r="A2809" t="inlineStr">
        <is>
          <t>14947734</t>
        </is>
      </c>
      <c r="B2809" t="inlineStr">
        <is>
          <t>9d763f48-0331-42d1-a06d-74daccfc91ac</t>
        </is>
      </c>
      <c r="D2809" t="inlineStr">
        <is>
          <t>30001087</t>
        </is>
      </c>
      <c r="E2809" t="inlineStr">
        <is>
          <t>ussd_funeral_leads_altitude_20260619</t>
        </is>
      </c>
      <c r="J2809" t="inlineStr">
        <is>
          <t>AA</t>
        </is>
      </c>
      <c r="K2809" t="inlineStr">
        <is>
          <t>Answering Machine Autodial</t>
        </is>
      </c>
      <c r="L2809" t="n">
        <v>3</v>
      </c>
      <c r="M2809" t="inlineStr">
        <is>
          <t>2026-06-23 12:43:23</t>
        </is>
      </c>
      <c r="N2809" t="inlineStr">
        <is>
          <t>system</t>
        </is>
      </c>
      <c r="O2809" t="inlineStr">
        <is>
          <t>2026-06-19 07:10:32</t>
        </is>
      </c>
      <c r="P2809" t="inlineStr">
        <is>
          <t>2026-06-19 07:10:32</t>
        </is>
      </c>
      <c r="Y2809" t="inlineStr">
        <is>
          <t>27799254127</t>
        </is>
      </c>
    </row>
    <row r="2810">
      <c r="A2810" t="inlineStr">
        <is>
          <t>14945650</t>
        </is>
      </c>
      <c r="B2810" t="inlineStr">
        <is>
          <t>58f16f62-28d5-4e0c-ab38-7fcfcd307ad6</t>
        </is>
      </c>
      <c r="D2810" t="inlineStr">
        <is>
          <t>30001087</t>
        </is>
      </c>
      <c r="E2810" t="inlineStr">
        <is>
          <t>ussd_funeral_leads_altitude_20260619</t>
        </is>
      </c>
      <c r="J2810" t="inlineStr">
        <is>
          <t>ADC</t>
        </is>
      </c>
      <c r="K2810" t="inlineStr">
        <is>
          <t>Auto Dial Disconnected</t>
        </is>
      </c>
      <c r="L2810" t="n">
        <v>3</v>
      </c>
      <c r="M2810" t="inlineStr">
        <is>
          <t>2026-06-23 12:42:05</t>
        </is>
      </c>
      <c r="N2810" t="inlineStr">
        <is>
          <t>system</t>
        </is>
      </c>
      <c r="O2810" t="inlineStr">
        <is>
          <t>2026-06-19 07:10:32</t>
        </is>
      </c>
      <c r="P2810" t="inlineStr">
        <is>
          <t>2026-06-19 07:10:32</t>
        </is>
      </c>
      <c r="Y2810" t="inlineStr">
        <is>
          <t>27716809128</t>
        </is>
      </c>
    </row>
    <row r="2811">
      <c r="A2811" t="inlineStr">
        <is>
          <t>14945279</t>
        </is>
      </c>
      <c r="B2811" t="inlineStr">
        <is>
          <t>af37672e-125d-44b3-8e41-a6aa62f1e8ec</t>
        </is>
      </c>
      <c r="D2811" t="inlineStr">
        <is>
          <t>30001087</t>
        </is>
      </c>
      <c r="E2811" t="inlineStr">
        <is>
          <t>ussd_funeral_leads_altitude_20260619</t>
        </is>
      </c>
      <c r="J2811" t="inlineStr">
        <is>
          <t>ADC</t>
        </is>
      </c>
      <c r="K2811" t="inlineStr">
        <is>
          <t>Auto Dial Disconnected</t>
        </is>
      </c>
      <c r="L2811" t="n">
        <v>3</v>
      </c>
      <c r="M2811" t="inlineStr">
        <is>
          <t>2026-06-23 12:42:04</t>
        </is>
      </c>
      <c r="N2811" t="inlineStr">
        <is>
          <t>system</t>
        </is>
      </c>
      <c r="O2811" t="inlineStr">
        <is>
          <t>2026-06-19 07:10:32</t>
        </is>
      </c>
      <c r="P2811" t="inlineStr">
        <is>
          <t>2026-06-19 07:10:32</t>
        </is>
      </c>
      <c r="Y2811" t="inlineStr">
        <is>
          <t>27766310713</t>
        </is>
      </c>
    </row>
    <row r="2812">
      <c r="A2812" t="inlineStr">
        <is>
          <t>14945649</t>
        </is>
      </c>
      <c r="B2812" t="inlineStr">
        <is>
          <t>3b060831-4d01-43ca-b51f-cdbfd3105b6e</t>
        </is>
      </c>
      <c r="D2812" t="inlineStr">
        <is>
          <t>30001087</t>
        </is>
      </c>
      <c r="E2812" t="inlineStr">
        <is>
          <t>ussd_funeral_leads_altitude_20260619</t>
        </is>
      </c>
      <c r="J2812" t="inlineStr">
        <is>
          <t>NA</t>
        </is>
      </c>
      <c r="K2812" t="inlineStr">
        <is>
          <t>No Answer Autodial</t>
        </is>
      </c>
      <c r="L2812" t="n">
        <v>3</v>
      </c>
      <c r="M2812" t="inlineStr">
        <is>
          <t>2026-06-23 12:42:04</t>
        </is>
      </c>
      <c r="N2812" t="inlineStr">
        <is>
          <t>system</t>
        </is>
      </c>
      <c r="O2812" t="inlineStr">
        <is>
          <t>2026-06-19 07:10:32</t>
        </is>
      </c>
      <c r="P2812" t="inlineStr">
        <is>
          <t>2026-06-19 07:10:32</t>
        </is>
      </c>
      <c r="Y2812" t="inlineStr">
        <is>
          <t>27824825225</t>
        </is>
      </c>
    </row>
    <row r="2813">
      <c r="A2813" t="inlineStr">
        <is>
          <t>14945863</t>
        </is>
      </c>
      <c r="B2813" t="inlineStr">
        <is>
          <t>d3c47b89-9e0b-4720-8680-f746f7b93162</t>
        </is>
      </c>
      <c r="D2813" t="inlineStr">
        <is>
          <t>30001087</t>
        </is>
      </c>
      <c r="E2813" t="inlineStr">
        <is>
          <t>ussd_funeral_leads_altitude_20260619</t>
        </is>
      </c>
      <c r="J2813" t="inlineStr">
        <is>
          <t>BLQ</t>
        </is>
      </c>
      <c r="K2813" t="inlineStr">
        <is>
          <t>Bad Line Quality</t>
        </is>
      </c>
      <c r="L2813" t="n">
        <v>3</v>
      </c>
      <c r="M2813" t="inlineStr">
        <is>
          <t>2026-06-23 12:42:04</t>
        </is>
      </c>
      <c r="N2813" t="inlineStr">
        <is>
          <t>Goitsimang Mogwasa</t>
        </is>
      </c>
      <c r="O2813" t="inlineStr">
        <is>
          <t>2026-06-19 07:10:32</t>
        </is>
      </c>
      <c r="P2813" t="inlineStr">
        <is>
          <t>2026-06-19 07:10:32</t>
        </is>
      </c>
      <c r="Y2813" t="inlineStr">
        <is>
          <t>27774998439</t>
        </is>
      </c>
    </row>
    <row r="2814">
      <c r="A2814" t="inlineStr">
        <is>
          <t>14945645</t>
        </is>
      </c>
      <c r="B2814" t="inlineStr">
        <is>
          <t>5390549a-08fa-47f5-bae3-f7307262c745</t>
        </is>
      </c>
      <c r="D2814" t="inlineStr">
        <is>
          <t>30001087</t>
        </is>
      </c>
      <c r="E2814" t="inlineStr">
        <is>
          <t>ussd_funeral_leads_altitude_20260619</t>
        </is>
      </c>
      <c r="J2814" t="inlineStr">
        <is>
          <t>AA</t>
        </is>
      </c>
      <c r="K2814" t="inlineStr">
        <is>
          <t>Answering Machine Autodial</t>
        </is>
      </c>
      <c r="L2814" t="n">
        <v>3</v>
      </c>
      <c r="M2814" t="inlineStr">
        <is>
          <t>2026-06-23 12:42:03</t>
        </is>
      </c>
      <c r="N2814" t="inlineStr">
        <is>
          <t>system</t>
        </is>
      </c>
      <c r="O2814" t="inlineStr">
        <is>
          <t>2026-06-19 07:10:32</t>
        </is>
      </c>
      <c r="P2814" t="inlineStr">
        <is>
          <t>2026-06-19 07:10:32</t>
        </is>
      </c>
      <c r="Y2814" t="inlineStr">
        <is>
          <t>27722792683</t>
        </is>
      </c>
    </row>
    <row r="2815">
      <c r="A2815" t="inlineStr">
        <is>
          <t>14945646</t>
        </is>
      </c>
      <c r="B2815" t="inlineStr">
        <is>
          <t>9c7047ee-f2a3-41e7-a3ce-e8e836d89362</t>
        </is>
      </c>
      <c r="D2815" t="inlineStr">
        <is>
          <t>30001087</t>
        </is>
      </c>
      <c r="E2815" t="inlineStr">
        <is>
          <t>ussd_funeral_leads_altitude_20260619</t>
        </is>
      </c>
      <c r="J2815" t="inlineStr">
        <is>
          <t>AA</t>
        </is>
      </c>
      <c r="K2815" t="inlineStr">
        <is>
          <t>Answering Machine Autodial</t>
        </is>
      </c>
      <c r="L2815" t="n">
        <v>3</v>
      </c>
      <c r="M2815" t="inlineStr">
        <is>
          <t>2026-06-23 12:42:03</t>
        </is>
      </c>
      <c r="N2815" t="inlineStr">
        <is>
          <t>system</t>
        </is>
      </c>
      <c r="O2815" t="inlineStr">
        <is>
          <t>2026-06-19 07:10:32</t>
        </is>
      </c>
      <c r="P2815" t="inlineStr">
        <is>
          <t>2026-06-19 07:10:32</t>
        </is>
      </c>
      <c r="Y2815" t="inlineStr">
        <is>
          <t>27793536180</t>
        </is>
      </c>
    </row>
    <row r="2816">
      <c r="A2816" t="inlineStr">
        <is>
          <t>14945648</t>
        </is>
      </c>
      <c r="B2816" t="inlineStr">
        <is>
          <t>1471088f-ad0f-4854-ab86-7d077149fb23</t>
        </is>
      </c>
      <c r="D2816" t="inlineStr">
        <is>
          <t>30001087</t>
        </is>
      </c>
      <c r="E2816" t="inlineStr">
        <is>
          <t>ussd_funeral_leads_altitude_20260619</t>
        </is>
      </c>
      <c r="J2816" t="inlineStr">
        <is>
          <t>AA</t>
        </is>
      </c>
      <c r="K2816" t="inlineStr">
        <is>
          <t>Answering Machine Autodial</t>
        </is>
      </c>
      <c r="L2816" t="n">
        <v>3</v>
      </c>
      <c r="M2816" t="inlineStr">
        <is>
          <t>2026-06-23 12:42:03</t>
        </is>
      </c>
      <c r="N2816" t="inlineStr">
        <is>
          <t>system</t>
        </is>
      </c>
      <c r="O2816" t="inlineStr">
        <is>
          <t>2026-06-19 07:10:32</t>
        </is>
      </c>
      <c r="P2816" t="inlineStr">
        <is>
          <t>2026-06-19 07:10:32</t>
        </is>
      </c>
      <c r="Y2816" t="inlineStr">
        <is>
          <t>27664594413</t>
        </is>
      </c>
    </row>
    <row r="2817">
      <c r="A2817" t="inlineStr">
        <is>
          <t>14945860</t>
        </is>
      </c>
      <c r="B2817" t="inlineStr">
        <is>
          <t>5b8b9b2e-d6b2-45a8-8d62-b34108e11c11</t>
        </is>
      </c>
      <c r="D2817" t="inlineStr">
        <is>
          <t>30001087</t>
        </is>
      </c>
      <c r="E2817" t="inlineStr">
        <is>
          <t>ussd_funeral_leads_altitude_20260619</t>
        </is>
      </c>
      <c r="J2817" t="inlineStr">
        <is>
          <t>AA</t>
        </is>
      </c>
      <c r="K2817" t="inlineStr">
        <is>
          <t>Answering Machine Autodial</t>
        </is>
      </c>
      <c r="L2817" t="n">
        <v>3</v>
      </c>
      <c r="M2817" t="inlineStr">
        <is>
          <t>2026-06-23 12:42:03</t>
        </is>
      </c>
      <c r="N2817" t="inlineStr">
        <is>
          <t>system</t>
        </is>
      </c>
      <c r="O2817" t="inlineStr">
        <is>
          <t>2026-06-19 07:10:32</t>
        </is>
      </c>
      <c r="P2817" t="inlineStr">
        <is>
          <t>2026-06-19 07:10:32</t>
        </is>
      </c>
      <c r="Y2817" t="inlineStr">
        <is>
          <t>27760722418</t>
        </is>
      </c>
    </row>
    <row r="2818">
      <c r="A2818" t="inlineStr">
        <is>
          <t>14945861</t>
        </is>
      </c>
      <c r="B2818" t="inlineStr">
        <is>
          <t>36372702-1286-40b9-a98b-ed5c9d7fa933</t>
        </is>
      </c>
      <c r="D2818" t="inlineStr">
        <is>
          <t>30001087</t>
        </is>
      </c>
      <c r="E2818" t="inlineStr">
        <is>
          <t>ussd_funeral_leads_altitude_20260619</t>
        </is>
      </c>
      <c r="J2818" t="inlineStr">
        <is>
          <t>AA</t>
        </is>
      </c>
      <c r="K2818" t="inlineStr">
        <is>
          <t>Answering Machine Autodial</t>
        </is>
      </c>
      <c r="L2818" t="n">
        <v>3</v>
      </c>
      <c r="M2818" t="inlineStr">
        <is>
          <t>2026-06-23 12:42:03</t>
        </is>
      </c>
      <c r="N2818" t="inlineStr">
        <is>
          <t>system</t>
        </is>
      </c>
      <c r="O2818" t="inlineStr">
        <is>
          <t>2026-06-19 07:10:32</t>
        </is>
      </c>
      <c r="P2818" t="inlineStr">
        <is>
          <t>2026-06-19 07:10:32</t>
        </is>
      </c>
      <c r="Y2818" t="inlineStr">
        <is>
          <t>27716681153</t>
        </is>
      </c>
    </row>
    <row r="2819">
      <c r="A2819" t="inlineStr">
        <is>
          <t>14945862</t>
        </is>
      </c>
      <c r="B2819" t="inlineStr">
        <is>
          <t>1ff4d8ad-b244-4570-9736-f387964fbc9b</t>
        </is>
      </c>
      <c r="D2819" t="inlineStr">
        <is>
          <t>30001087</t>
        </is>
      </c>
      <c r="E2819" t="inlineStr">
        <is>
          <t>ussd_funeral_leads_altitude_20260619</t>
        </is>
      </c>
      <c r="J2819" t="inlineStr">
        <is>
          <t>AA</t>
        </is>
      </c>
      <c r="K2819" t="inlineStr">
        <is>
          <t>Answering Machine Autodial</t>
        </is>
      </c>
      <c r="L2819" t="n">
        <v>3</v>
      </c>
      <c r="M2819" t="inlineStr">
        <is>
          <t>2026-06-23 12:42:03</t>
        </is>
      </c>
      <c r="N2819" t="inlineStr">
        <is>
          <t>system</t>
        </is>
      </c>
      <c r="O2819" t="inlineStr">
        <is>
          <t>2026-06-19 07:10:32</t>
        </is>
      </c>
      <c r="P2819" t="inlineStr">
        <is>
          <t>2026-06-19 07:10:32</t>
        </is>
      </c>
      <c r="Y2819" t="inlineStr">
        <is>
          <t>27665584358</t>
        </is>
      </c>
    </row>
    <row r="2820">
      <c r="A2820" t="inlineStr">
        <is>
          <t>14945425</t>
        </is>
      </c>
      <c r="B2820" t="inlineStr">
        <is>
          <t>8a16a73c-7efb-498c-8ad5-6994401c502d</t>
        </is>
      </c>
      <c r="D2820" t="inlineStr">
        <is>
          <t>30001087</t>
        </is>
      </c>
      <c r="E2820" t="inlineStr">
        <is>
          <t>ussd_funeral_leads_altitude_20260619</t>
        </is>
      </c>
      <c r="J2820" t="inlineStr">
        <is>
          <t>DROP</t>
        </is>
      </c>
      <c r="K2820" t="inlineStr">
        <is>
          <t>Dropped</t>
        </is>
      </c>
      <c r="L2820" t="n">
        <v>3</v>
      </c>
      <c r="M2820" t="inlineStr">
        <is>
          <t>2026-06-23 12:42:02</t>
        </is>
      </c>
      <c r="N2820" t="inlineStr">
        <is>
          <t>system</t>
        </is>
      </c>
      <c r="O2820" t="inlineStr">
        <is>
          <t>2026-06-19 07:10:32</t>
        </is>
      </c>
      <c r="P2820" t="inlineStr">
        <is>
          <t>2026-06-19 07:10:32</t>
        </is>
      </c>
      <c r="Y2820" t="inlineStr">
        <is>
          <t>27769307478</t>
        </is>
      </c>
    </row>
    <row r="2821">
      <c r="A2821" t="inlineStr">
        <is>
          <t>14945643</t>
        </is>
      </c>
      <c r="B2821" t="inlineStr">
        <is>
          <t>278a93c8-e14e-4426-8f40-b6befba1117d</t>
        </is>
      </c>
      <c r="D2821" t="inlineStr">
        <is>
          <t>30001087</t>
        </is>
      </c>
      <c r="E2821" t="inlineStr">
        <is>
          <t>ussd_funeral_leads_altitude_20260619</t>
        </is>
      </c>
      <c r="H2821" t="inlineStr">
        <is>
          <t>27763848112</t>
        </is>
      </c>
      <c r="J2821" t="inlineStr">
        <is>
          <t>NA</t>
        </is>
      </c>
      <c r="K2821" t="inlineStr">
        <is>
          <t>No Answer Autodial</t>
        </is>
      </c>
      <c r="L2821" t="n">
        <v>3</v>
      </c>
      <c r="M2821" t="inlineStr">
        <is>
          <t>2026-06-23 12:42:02</t>
        </is>
      </c>
      <c r="N2821" t="inlineStr">
        <is>
          <t>system</t>
        </is>
      </c>
      <c r="O2821" t="inlineStr">
        <is>
          <t>2026-06-19 07:10:32</t>
        </is>
      </c>
      <c r="P2821" t="inlineStr">
        <is>
          <t>2026-06-19 07:10:32</t>
        </is>
      </c>
      <c r="Y2821" t="inlineStr">
        <is>
          <t>27763848112</t>
        </is>
      </c>
    </row>
    <row r="2822">
      <c r="A2822" t="inlineStr">
        <is>
          <t>14945644</t>
        </is>
      </c>
      <c r="B2822" t="inlineStr">
        <is>
          <t>4997b821-a8c9-4b89-aaf2-d3e87b27147b</t>
        </is>
      </c>
      <c r="D2822" t="inlineStr">
        <is>
          <t>30001087</t>
        </is>
      </c>
      <c r="E2822" t="inlineStr">
        <is>
          <t>ussd_funeral_leads_altitude_20260619</t>
        </is>
      </c>
      <c r="J2822" t="inlineStr">
        <is>
          <t>AA</t>
        </is>
      </c>
      <c r="K2822" t="inlineStr">
        <is>
          <t>Answering Machine Autodial</t>
        </is>
      </c>
      <c r="L2822" t="n">
        <v>3</v>
      </c>
      <c r="M2822" t="inlineStr">
        <is>
          <t>2026-06-23 12:42:02</t>
        </is>
      </c>
      <c r="N2822" t="inlineStr">
        <is>
          <t>system</t>
        </is>
      </c>
      <c r="O2822" t="inlineStr">
        <is>
          <t>2026-06-19 07:10:32</t>
        </is>
      </c>
      <c r="P2822" t="inlineStr">
        <is>
          <t>2026-06-19 07:10:32</t>
        </is>
      </c>
      <c r="Y2822" t="inlineStr">
        <is>
          <t>27792372768</t>
        </is>
      </c>
    </row>
    <row r="2823">
      <c r="A2823" t="inlineStr">
        <is>
          <t>14945858</t>
        </is>
      </c>
      <c r="B2823" t="inlineStr">
        <is>
          <t>cf29cba2-f0d6-401e-9b59-a547864b2abd</t>
        </is>
      </c>
      <c r="D2823" t="inlineStr">
        <is>
          <t>30001087</t>
        </is>
      </c>
      <c r="E2823" t="inlineStr">
        <is>
          <t>ussd_funeral_leads_altitude_20260619</t>
        </is>
      </c>
      <c r="J2823" t="inlineStr">
        <is>
          <t>AA</t>
        </is>
      </c>
      <c r="K2823" t="inlineStr">
        <is>
          <t>Answering Machine Autodial</t>
        </is>
      </c>
      <c r="L2823" t="n">
        <v>3</v>
      </c>
      <c r="M2823" t="inlineStr">
        <is>
          <t>2026-06-23 12:42:02</t>
        </is>
      </c>
      <c r="N2823" t="inlineStr">
        <is>
          <t>system</t>
        </is>
      </c>
      <c r="O2823" t="inlineStr">
        <is>
          <t>2026-06-19 07:10:32</t>
        </is>
      </c>
      <c r="P2823" t="inlineStr">
        <is>
          <t>2026-06-19 07:10:32</t>
        </is>
      </c>
      <c r="Y2823" t="inlineStr">
        <is>
          <t>27728871260</t>
        </is>
      </c>
    </row>
    <row r="2824">
      <c r="A2824" t="inlineStr">
        <is>
          <t>14945855</t>
        </is>
      </c>
      <c r="B2824" t="inlineStr">
        <is>
          <t>6432d9cd-e89b-4a94-aa53-200100df4032</t>
        </is>
      </c>
      <c r="D2824" t="inlineStr">
        <is>
          <t>30001087</t>
        </is>
      </c>
      <c r="E2824" t="inlineStr">
        <is>
          <t>ussd_funeral_leads_altitude_20260619</t>
        </is>
      </c>
      <c r="J2824" t="inlineStr">
        <is>
          <t>AA</t>
        </is>
      </c>
      <c r="K2824" t="inlineStr">
        <is>
          <t>Answering Machine Autodial</t>
        </is>
      </c>
      <c r="L2824" t="n">
        <v>3</v>
      </c>
      <c r="M2824" t="inlineStr">
        <is>
          <t>2026-06-23 12:42:01</t>
        </is>
      </c>
      <c r="N2824" t="inlineStr">
        <is>
          <t>system</t>
        </is>
      </c>
      <c r="O2824" t="inlineStr">
        <is>
          <t>2026-06-19 07:10:32</t>
        </is>
      </c>
      <c r="P2824" t="inlineStr">
        <is>
          <t>2026-06-19 07:10:32</t>
        </is>
      </c>
      <c r="Y2824" t="inlineStr">
        <is>
          <t>27791056633</t>
        </is>
      </c>
    </row>
    <row r="2825">
      <c r="A2825" t="inlineStr">
        <is>
          <t>14945856</t>
        </is>
      </c>
      <c r="B2825" t="inlineStr">
        <is>
          <t>c9d0c815-af54-4ad5-a48a-788b1d69d56b</t>
        </is>
      </c>
      <c r="D2825" t="inlineStr">
        <is>
          <t>30001087</t>
        </is>
      </c>
      <c r="E2825" t="inlineStr">
        <is>
          <t>ussd_funeral_leads_altitude_20260619</t>
        </is>
      </c>
      <c r="J2825" t="inlineStr">
        <is>
          <t>NA</t>
        </is>
      </c>
      <c r="K2825" t="inlineStr">
        <is>
          <t>No Answer Autodial</t>
        </is>
      </c>
      <c r="L2825" t="n">
        <v>3</v>
      </c>
      <c r="M2825" t="inlineStr">
        <is>
          <t>2026-06-23 12:42:01</t>
        </is>
      </c>
      <c r="N2825" t="inlineStr">
        <is>
          <t>system</t>
        </is>
      </c>
      <c r="O2825" t="inlineStr">
        <is>
          <t>2026-06-19 07:10:32</t>
        </is>
      </c>
      <c r="P2825" t="inlineStr">
        <is>
          <t>2026-06-19 07:10:32</t>
        </is>
      </c>
      <c r="Y2825" t="inlineStr">
        <is>
          <t>27767986056</t>
        </is>
      </c>
    </row>
    <row r="2826">
      <c r="A2826" t="inlineStr">
        <is>
          <t>14945854</t>
        </is>
      </c>
      <c r="B2826" t="inlineStr">
        <is>
          <t>8c2301f9-a0fb-414b-a35c-a194bf6b031a</t>
        </is>
      </c>
      <c r="D2826" t="inlineStr">
        <is>
          <t>30001087</t>
        </is>
      </c>
      <c r="E2826" t="inlineStr">
        <is>
          <t>ussd_funeral_leads_altitude_20260619</t>
        </is>
      </c>
      <c r="J2826" t="inlineStr">
        <is>
          <t>CU</t>
        </is>
      </c>
      <c r="K2826" t="inlineStr">
        <is>
          <t>Client Hung Up</t>
        </is>
      </c>
      <c r="L2826" t="n">
        <v>3</v>
      </c>
      <c r="M2826" t="inlineStr">
        <is>
          <t>2026-06-23 12:41:59</t>
        </is>
      </c>
      <c r="N2826" t="inlineStr">
        <is>
          <t>Virginia Letsatsi</t>
        </is>
      </c>
      <c r="O2826" t="inlineStr">
        <is>
          <t>2026-06-19 07:10:32</t>
        </is>
      </c>
      <c r="P2826" t="inlineStr">
        <is>
          <t>2026-06-19 07:10:32</t>
        </is>
      </c>
      <c r="Y2826" t="inlineStr">
        <is>
          <t>27713750319</t>
        </is>
      </c>
    </row>
    <row r="2827">
      <c r="A2827" t="inlineStr">
        <is>
          <t>14945853</t>
        </is>
      </c>
      <c r="B2827" t="inlineStr">
        <is>
          <t>5426f638-c6c8-45c7-98dd-15e7edab313e</t>
        </is>
      </c>
      <c r="D2827" t="inlineStr">
        <is>
          <t>30001087</t>
        </is>
      </c>
      <c r="E2827" t="inlineStr">
        <is>
          <t>ussd_funeral_leads_altitude_20260619</t>
        </is>
      </c>
      <c r="J2827" t="inlineStr">
        <is>
          <t>AA</t>
        </is>
      </c>
      <c r="K2827" t="inlineStr">
        <is>
          <t>Answering Machine Autodial</t>
        </is>
      </c>
      <c r="L2827" t="n">
        <v>3</v>
      </c>
      <c r="M2827" t="inlineStr">
        <is>
          <t>2026-06-23 12:41:58</t>
        </is>
      </c>
      <c r="N2827" t="inlineStr">
        <is>
          <t>system</t>
        </is>
      </c>
      <c r="O2827" t="inlineStr">
        <is>
          <t>2026-06-19 07:10:32</t>
        </is>
      </c>
      <c r="P2827" t="inlineStr">
        <is>
          <t>2026-06-19 07:10:32</t>
        </is>
      </c>
      <c r="Y2827" t="inlineStr">
        <is>
          <t>27792712507</t>
        </is>
      </c>
    </row>
    <row r="2828">
      <c r="A2828" t="inlineStr">
        <is>
          <t>14945852</t>
        </is>
      </c>
      <c r="B2828" t="inlineStr">
        <is>
          <t>0633119a-6a57-4e72-ae56-319a1db321fc</t>
        </is>
      </c>
      <c r="D2828" t="inlineStr">
        <is>
          <t>30001087</t>
        </is>
      </c>
      <c r="E2828" t="inlineStr">
        <is>
          <t>ussd_funeral_leads_altitude_20260619</t>
        </is>
      </c>
      <c r="J2828" t="inlineStr">
        <is>
          <t>TDN</t>
        </is>
      </c>
      <c r="K2828" t="inlineStr">
        <is>
          <t>Temporary Disconnected Number</t>
        </is>
      </c>
      <c r="L2828" t="n">
        <v>3</v>
      </c>
      <c r="M2828" t="inlineStr">
        <is>
          <t>2026-06-23 12:41:53</t>
        </is>
      </c>
      <c r="N2828" t="inlineStr">
        <is>
          <t>system</t>
        </is>
      </c>
      <c r="O2828" t="inlineStr">
        <is>
          <t>2026-06-19 07:10:32</t>
        </is>
      </c>
      <c r="P2828" t="inlineStr">
        <is>
          <t>2026-06-19 07:10:32</t>
        </is>
      </c>
      <c r="Y2828" t="inlineStr">
        <is>
          <t>27797963541</t>
        </is>
      </c>
    </row>
    <row r="2829">
      <c r="A2829" t="inlineStr">
        <is>
          <t>14945844</t>
        </is>
      </c>
      <c r="B2829" t="inlineStr">
        <is>
          <t>c6ffe910-a95f-4d07-a9a0-cec52d09ad46</t>
        </is>
      </c>
      <c r="D2829" t="inlineStr">
        <is>
          <t>30001087</t>
        </is>
      </c>
      <c r="E2829" t="inlineStr">
        <is>
          <t>ussd_funeral_leads_altitude_20260619</t>
        </is>
      </c>
      <c r="J2829" t="inlineStr">
        <is>
          <t>AA</t>
        </is>
      </c>
      <c r="K2829" t="inlineStr">
        <is>
          <t>Answering Machine Autodial</t>
        </is>
      </c>
      <c r="L2829" t="n">
        <v>3</v>
      </c>
      <c r="M2829" t="inlineStr">
        <is>
          <t>2026-06-23 12:41:53</t>
        </is>
      </c>
      <c r="N2829" t="inlineStr">
        <is>
          <t>system</t>
        </is>
      </c>
      <c r="O2829" t="inlineStr">
        <is>
          <t>2026-06-19 07:10:32</t>
        </is>
      </c>
      <c r="P2829" t="inlineStr">
        <is>
          <t>2026-06-19 07:10:32</t>
        </is>
      </c>
      <c r="Y2829" t="inlineStr">
        <is>
          <t>27796173169</t>
        </is>
      </c>
    </row>
    <row r="2830">
      <c r="A2830" t="inlineStr">
        <is>
          <t>14945845</t>
        </is>
      </c>
      <c r="B2830" t="inlineStr">
        <is>
          <t>62ff05d8-fb96-4d49-b8f0-6308eb6b5d83</t>
        </is>
      </c>
      <c r="D2830" t="inlineStr">
        <is>
          <t>30001087</t>
        </is>
      </c>
      <c r="E2830" t="inlineStr">
        <is>
          <t>ussd_funeral_leads_altitude_20260619</t>
        </is>
      </c>
      <c r="J2830" t="inlineStr">
        <is>
          <t>AE</t>
        </is>
      </c>
      <c r="K2830" t="inlineStr">
        <is>
          <t>Auto Engaged</t>
        </is>
      </c>
      <c r="L2830" t="n">
        <v>3</v>
      </c>
      <c r="M2830" t="inlineStr">
        <is>
          <t>2026-06-23 12:41:53</t>
        </is>
      </c>
      <c r="N2830" t="inlineStr">
        <is>
          <t>system</t>
        </is>
      </c>
      <c r="O2830" t="inlineStr">
        <is>
          <t>2026-06-19 07:10:32</t>
        </is>
      </c>
      <c r="P2830" t="inlineStr">
        <is>
          <t>2026-06-19 07:10:32</t>
        </is>
      </c>
      <c r="Y2830" t="inlineStr">
        <is>
          <t>27728128351</t>
        </is>
      </c>
    </row>
    <row r="2831">
      <c r="A2831" t="inlineStr">
        <is>
          <t>14945843</t>
        </is>
      </c>
      <c r="B2831" t="inlineStr">
        <is>
          <t>2b6f050e-d2cb-4e9f-a3d5-1a94befbdc4c</t>
        </is>
      </c>
      <c r="D2831" t="inlineStr">
        <is>
          <t>30001087</t>
        </is>
      </c>
      <c r="E2831" t="inlineStr">
        <is>
          <t>ussd_funeral_leads_altitude_20260619</t>
        </is>
      </c>
      <c r="J2831" t="inlineStr">
        <is>
          <t>AA</t>
        </is>
      </c>
      <c r="K2831" t="inlineStr">
        <is>
          <t>Answering Machine Autodial</t>
        </is>
      </c>
      <c r="L2831" t="n">
        <v>3</v>
      </c>
      <c r="M2831" t="inlineStr">
        <is>
          <t>2026-06-23 12:41:52</t>
        </is>
      </c>
      <c r="N2831" t="inlineStr">
        <is>
          <t>system</t>
        </is>
      </c>
      <c r="O2831" t="inlineStr">
        <is>
          <t>2026-06-19 07:10:32</t>
        </is>
      </c>
      <c r="P2831" t="inlineStr">
        <is>
          <t>2026-06-19 07:10:32</t>
        </is>
      </c>
      <c r="Y2831" t="inlineStr">
        <is>
          <t>27792901836</t>
        </is>
      </c>
    </row>
    <row r="2832">
      <c r="A2832" t="inlineStr">
        <is>
          <t>14945847</t>
        </is>
      </c>
      <c r="B2832" t="inlineStr">
        <is>
          <t>8ff2931e-373c-4c6a-889d-8bafb429fd9c</t>
        </is>
      </c>
      <c r="D2832" t="inlineStr">
        <is>
          <t>30001087</t>
        </is>
      </c>
      <c r="E2832" t="inlineStr">
        <is>
          <t>ussd_funeral_leads_altitude_20260619</t>
        </is>
      </c>
      <c r="J2832" t="inlineStr">
        <is>
          <t>CU</t>
        </is>
      </c>
      <c r="K2832" t="inlineStr">
        <is>
          <t>Client Hung Up</t>
        </is>
      </c>
      <c r="L2832" t="n">
        <v>3</v>
      </c>
      <c r="M2832" t="inlineStr">
        <is>
          <t>2026-06-23 12:41:52</t>
        </is>
      </c>
      <c r="N2832" t="inlineStr">
        <is>
          <t>Goitsimang Mogwasa</t>
        </is>
      </c>
      <c r="O2832" t="inlineStr">
        <is>
          <t>2026-06-19 07:10:32</t>
        </is>
      </c>
      <c r="P2832" t="inlineStr">
        <is>
          <t>2026-06-19 07:10:32</t>
        </is>
      </c>
      <c r="Y2832" t="inlineStr">
        <is>
          <t>27793186777</t>
        </is>
      </c>
    </row>
    <row r="2833">
      <c r="A2833" t="inlineStr">
        <is>
          <t>14900000</t>
        </is>
      </c>
      <c r="B2833" t="inlineStr">
        <is>
          <t>e1903426-b5c3-4f6e-9fbc-b0cb35cbcfaa</t>
        </is>
      </c>
      <c r="D2833" t="inlineStr">
        <is>
          <t>30001087</t>
        </is>
      </c>
      <c r="E2833" t="inlineStr">
        <is>
          <t>ussd_funeral_leads_altitude_20260619</t>
        </is>
      </c>
      <c r="J2833" t="inlineStr">
        <is>
          <t>AA</t>
        </is>
      </c>
      <c r="K2833" t="inlineStr">
        <is>
          <t>Answering Machine Autodial</t>
        </is>
      </c>
      <c r="L2833" t="n">
        <v>3</v>
      </c>
      <c r="M2833" t="inlineStr">
        <is>
          <t>2026-06-23 12:41:52</t>
        </is>
      </c>
      <c r="N2833" t="inlineStr">
        <is>
          <t>system</t>
        </is>
      </c>
      <c r="O2833" t="inlineStr">
        <is>
          <t>2026-06-19 07:10:32</t>
        </is>
      </c>
      <c r="P2833" t="inlineStr">
        <is>
          <t>2026-06-19 07:10:32</t>
        </is>
      </c>
      <c r="Y2833" t="inlineStr">
        <is>
          <t>27647377007</t>
        </is>
      </c>
    </row>
    <row r="2834">
      <c r="A2834" t="inlineStr">
        <is>
          <t>14945849</t>
        </is>
      </c>
      <c r="B2834" t="inlineStr">
        <is>
          <t>12d4a2df-3f28-419d-b634-9226e3715283</t>
        </is>
      </c>
      <c r="D2834" t="inlineStr">
        <is>
          <t>30001087</t>
        </is>
      </c>
      <c r="E2834" t="inlineStr">
        <is>
          <t>ussd_funeral_leads_altitude_20260619</t>
        </is>
      </c>
      <c r="J2834" t="inlineStr">
        <is>
          <t>ADC</t>
        </is>
      </c>
      <c r="K2834" t="inlineStr">
        <is>
          <t>Auto Dial Disconnected</t>
        </is>
      </c>
      <c r="L2834" t="n">
        <v>3</v>
      </c>
      <c r="M2834" t="inlineStr">
        <is>
          <t>2026-06-23 12:41:52</t>
        </is>
      </c>
      <c r="N2834" t="inlineStr">
        <is>
          <t>system</t>
        </is>
      </c>
      <c r="O2834" t="inlineStr">
        <is>
          <t>2026-06-19 07:10:32</t>
        </is>
      </c>
      <c r="P2834" t="inlineStr">
        <is>
          <t>2026-06-19 07:10:32</t>
        </is>
      </c>
      <c r="Y2834" t="inlineStr">
        <is>
          <t>27818111781</t>
        </is>
      </c>
    </row>
    <row r="2835">
      <c r="A2835" t="inlineStr">
        <is>
          <t>14945850</t>
        </is>
      </c>
      <c r="B2835" t="inlineStr">
        <is>
          <t>8d264084-0aef-46ef-88e4-525fc10d3977</t>
        </is>
      </c>
      <c r="D2835" t="inlineStr">
        <is>
          <t>30001087</t>
        </is>
      </c>
      <c r="E2835" t="inlineStr">
        <is>
          <t>ussd_funeral_leads_altitude_20260619</t>
        </is>
      </c>
      <c r="J2835" t="inlineStr">
        <is>
          <t>TDN</t>
        </is>
      </c>
      <c r="K2835" t="inlineStr">
        <is>
          <t>Temporary Disconnected Number</t>
        </is>
      </c>
      <c r="L2835" t="n">
        <v>3</v>
      </c>
      <c r="M2835" t="inlineStr">
        <is>
          <t>2026-06-23 12:41:52</t>
        </is>
      </c>
      <c r="N2835" t="inlineStr">
        <is>
          <t>system</t>
        </is>
      </c>
      <c r="O2835" t="inlineStr">
        <is>
          <t>2026-06-19 07:10:32</t>
        </is>
      </c>
      <c r="P2835" t="inlineStr">
        <is>
          <t>2026-06-19 07:10:32</t>
        </is>
      </c>
      <c r="Y2835" t="inlineStr">
        <is>
          <t>27661086231</t>
        </is>
      </c>
    </row>
    <row r="2836">
      <c r="A2836" t="inlineStr">
        <is>
          <t>14945851</t>
        </is>
      </c>
      <c r="B2836" t="inlineStr">
        <is>
          <t>d96fe0f5-b81e-4f13-b2a1-a7adc1c7f33a</t>
        </is>
      </c>
      <c r="D2836" t="inlineStr">
        <is>
          <t>30001087</t>
        </is>
      </c>
      <c r="E2836" t="inlineStr">
        <is>
          <t>ussd_funeral_leads_altitude_20260619</t>
        </is>
      </c>
      <c r="J2836" t="inlineStr">
        <is>
          <t>LANG</t>
        </is>
      </c>
      <c r="K2836" t="inlineStr">
        <is>
          <t>Language Barrier</t>
        </is>
      </c>
      <c r="L2836" t="n">
        <v>3</v>
      </c>
      <c r="M2836" t="inlineStr">
        <is>
          <t>2026-06-23 12:41:52</t>
        </is>
      </c>
      <c r="N2836" t="inlineStr">
        <is>
          <t>Lebohang Mabotja</t>
        </is>
      </c>
      <c r="O2836" t="inlineStr">
        <is>
          <t>2026-06-19 07:10:32</t>
        </is>
      </c>
      <c r="P2836" t="inlineStr">
        <is>
          <t>2026-06-19 07:10:32</t>
        </is>
      </c>
      <c r="Y2836" t="inlineStr">
        <is>
          <t>27661574739</t>
        </is>
      </c>
    </row>
    <row r="2837">
      <c r="A2837" t="inlineStr">
        <is>
          <t>14945841</t>
        </is>
      </c>
      <c r="B2837" t="inlineStr">
        <is>
          <t>d9c92135-342a-4b86-8be7-c67c7cb73b4a</t>
        </is>
      </c>
      <c r="D2837" t="inlineStr">
        <is>
          <t>30001087</t>
        </is>
      </c>
      <c r="E2837" t="inlineStr">
        <is>
          <t>ussd_funeral_leads_altitude_20260619</t>
        </is>
      </c>
      <c r="J2837" t="inlineStr">
        <is>
          <t>ADC</t>
        </is>
      </c>
      <c r="K2837" t="inlineStr">
        <is>
          <t>Auto Dial Disconnected</t>
        </is>
      </c>
      <c r="L2837" t="n">
        <v>3</v>
      </c>
      <c r="M2837" t="inlineStr">
        <is>
          <t>2026-06-23 12:41:49</t>
        </is>
      </c>
      <c r="N2837" t="inlineStr">
        <is>
          <t>system</t>
        </is>
      </c>
      <c r="O2837" t="inlineStr">
        <is>
          <t>2026-06-19 07:10:32</t>
        </is>
      </c>
      <c r="P2837" t="inlineStr">
        <is>
          <t>2026-06-19 07:10:32</t>
        </is>
      </c>
      <c r="Y2837" t="inlineStr">
        <is>
          <t>27793285845</t>
        </is>
      </c>
    </row>
    <row r="2838">
      <c r="A2838" t="inlineStr">
        <is>
          <t>14945842</t>
        </is>
      </c>
      <c r="B2838" t="inlineStr">
        <is>
          <t>56616e6d-80fa-47eb-ae1f-ccbd09961675</t>
        </is>
      </c>
      <c r="D2838" t="inlineStr">
        <is>
          <t>30001087</t>
        </is>
      </c>
      <c r="E2838" t="inlineStr">
        <is>
          <t>ussd_funeral_leads_altitude_20260619</t>
        </is>
      </c>
      <c r="J2838" t="inlineStr">
        <is>
          <t>ADC</t>
        </is>
      </c>
      <c r="K2838" t="inlineStr">
        <is>
          <t>Auto Dial Disconnected</t>
        </is>
      </c>
      <c r="L2838" t="n">
        <v>3</v>
      </c>
      <c r="M2838" t="inlineStr">
        <is>
          <t>2026-06-23 12:41:49</t>
        </is>
      </c>
      <c r="N2838" t="inlineStr">
        <is>
          <t>system</t>
        </is>
      </c>
      <c r="O2838" t="inlineStr">
        <is>
          <t>2026-06-19 07:10:32</t>
        </is>
      </c>
      <c r="P2838" t="inlineStr">
        <is>
          <t>2026-06-19 07:10:32</t>
        </is>
      </c>
      <c r="Y2838" t="inlineStr">
        <is>
          <t>27721888370</t>
        </is>
      </c>
    </row>
    <row r="2839">
      <c r="A2839" t="inlineStr">
        <is>
          <t>14945840</t>
        </is>
      </c>
      <c r="B2839" t="inlineStr">
        <is>
          <t>514be4cf-a644-4875-ac1c-698032ee7fac</t>
        </is>
      </c>
      <c r="D2839" t="inlineStr">
        <is>
          <t>30001087</t>
        </is>
      </c>
      <c r="E2839" t="inlineStr">
        <is>
          <t>ussd_funeral_leads_altitude_20260619</t>
        </is>
      </c>
      <c r="J2839" t="inlineStr">
        <is>
          <t>AA</t>
        </is>
      </c>
      <c r="K2839" t="inlineStr">
        <is>
          <t>Answering Machine Autodial</t>
        </is>
      </c>
      <c r="L2839" t="n">
        <v>3</v>
      </c>
      <c r="M2839" t="inlineStr">
        <is>
          <t>2026-06-23 12:41:48</t>
        </is>
      </c>
      <c r="N2839" t="inlineStr">
        <is>
          <t>system</t>
        </is>
      </c>
      <c r="O2839" t="inlineStr">
        <is>
          <t>2026-06-19 07:10:32</t>
        </is>
      </c>
      <c r="P2839" t="inlineStr">
        <is>
          <t>2026-06-19 07:10:32</t>
        </is>
      </c>
      <c r="Y2839" t="inlineStr">
        <is>
          <t>27662366168</t>
        </is>
      </c>
    </row>
    <row r="2840">
      <c r="A2840" t="inlineStr">
        <is>
          <t>14945837</t>
        </is>
      </c>
      <c r="B2840" t="inlineStr">
        <is>
          <t>b348c21a-e19d-452f-9944-443213e879a7</t>
        </is>
      </c>
      <c r="D2840" t="inlineStr">
        <is>
          <t>30001087</t>
        </is>
      </c>
      <c r="E2840" t="inlineStr">
        <is>
          <t>ussd_funeral_leads_altitude_20260619</t>
        </is>
      </c>
      <c r="J2840" t="inlineStr">
        <is>
          <t>AA</t>
        </is>
      </c>
      <c r="K2840" t="inlineStr">
        <is>
          <t>Answering Machine Autodial</t>
        </is>
      </c>
      <c r="L2840" t="n">
        <v>3</v>
      </c>
      <c r="M2840" t="inlineStr">
        <is>
          <t>2026-06-23 12:41:46</t>
        </is>
      </c>
      <c r="N2840" t="inlineStr">
        <is>
          <t>system</t>
        </is>
      </c>
      <c r="O2840" t="inlineStr">
        <is>
          <t>2026-06-19 07:10:32</t>
        </is>
      </c>
      <c r="P2840" t="inlineStr">
        <is>
          <t>2026-06-19 07:10:32</t>
        </is>
      </c>
      <c r="Y2840" t="inlineStr">
        <is>
          <t>27720622896</t>
        </is>
      </c>
    </row>
    <row r="2841">
      <c r="A2841" t="inlineStr">
        <is>
          <t>14945839</t>
        </is>
      </c>
      <c r="B2841" t="inlineStr">
        <is>
          <t>de3e8def-7e76-4aa6-8806-32787c1b1246</t>
        </is>
      </c>
      <c r="D2841" t="inlineStr">
        <is>
          <t>30001087</t>
        </is>
      </c>
      <c r="E2841" t="inlineStr">
        <is>
          <t>ussd_funeral_leads_altitude_20260619</t>
        </is>
      </c>
      <c r="J2841" t="inlineStr">
        <is>
          <t>AA</t>
        </is>
      </c>
      <c r="K2841" t="inlineStr">
        <is>
          <t>Answering Machine Autodial</t>
        </is>
      </c>
      <c r="L2841" t="n">
        <v>3</v>
      </c>
      <c r="M2841" t="inlineStr">
        <is>
          <t>2026-06-23 12:41:45</t>
        </is>
      </c>
      <c r="N2841" t="inlineStr">
        <is>
          <t>system</t>
        </is>
      </c>
      <c r="O2841" t="inlineStr">
        <is>
          <t>2026-06-19 07:10:32</t>
        </is>
      </c>
      <c r="P2841" t="inlineStr">
        <is>
          <t>2026-06-19 07:10:32</t>
        </is>
      </c>
      <c r="Y2841" t="inlineStr">
        <is>
          <t>27649278289</t>
        </is>
      </c>
    </row>
    <row r="2842">
      <c r="A2842" t="inlineStr">
        <is>
          <t>14945838</t>
        </is>
      </c>
      <c r="B2842" t="inlineStr">
        <is>
          <t>b37c4e5b-9d13-4fd4-b1e6-87b7d2d4f519</t>
        </is>
      </c>
      <c r="D2842" t="inlineStr">
        <is>
          <t>30001087</t>
        </is>
      </c>
      <c r="E2842" t="inlineStr">
        <is>
          <t>ussd_funeral_leads_altitude_20260619</t>
        </is>
      </c>
      <c r="J2842" t="inlineStr">
        <is>
          <t>ADC</t>
        </is>
      </c>
      <c r="K2842" t="inlineStr">
        <is>
          <t>Auto Dial Disconnected</t>
        </is>
      </c>
      <c r="L2842" t="n">
        <v>3</v>
      </c>
      <c r="M2842" t="inlineStr">
        <is>
          <t>2026-06-23 12:41:44</t>
        </is>
      </c>
      <c r="N2842" t="inlineStr">
        <is>
          <t>system</t>
        </is>
      </c>
      <c r="O2842" t="inlineStr">
        <is>
          <t>2026-06-19 07:10:32</t>
        </is>
      </c>
      <c r="P2842" t="inlineStr">
        <is>
          <t>2026-06-19 07:10:32</t>
        </is>
      </c>
      <c r="Y2842" t="inlineStr">
        <is>
          <t>27636264080</t>
        </is>
      </c>
    </row>
    <row r="2843">
      <c r="A2843" t="inlineStr">
        <is>
          <t>14945836</t>
        </is>
      </c>
      <c r="B2843" t="inlineStr">
        <is>
          <t>7da80ad5-837f-4f40-9121-8a6114d45429</t>
        </is>
      </c>
      <c r="D2843" t="inlineStr">
        <is>
          <t>30001087</t>
        </is>
      </c>
      <c r="E2843" t="inlineStr">
        <is>
          <t>ussd_funeral_leads_altitude_20260619</t>
        </is>
      </c>
      <c r="J2843" t="inlineStr">
        <is>
          <t>NA</t>
        </is>
      </c>
      <c r="K2843" t="inlineStr">
        <is>
          <t>No Answer Autodial</t>
        </is>
      </c>
      <c r="L2843" t="n">
        <v>3</v>
      </c>
      <c r="M2843" t="inlineStr">
        <is>
          <t>2026-06-23 12:41:43</t>
        </is>
      </c>
      <c r="N2843" t="inlineStr">
        <is>
          <t>system</t>
        </is>
      </c>
      <c r="O2843" t="inlineStr">
        <is>
          <t>2026-06-19 07:10:32</t>
        </is>
      </c>
      <c r="P2843" t="inlineStr">
        <is>
          <t>2026-06-19 07:10:32</t>
        </is>
      </c>
      <c r="Y2843" t="inlineStr">
        <is>
          <t>27663951061</t>
        </is>
      </c>
    </row>
    <row r="2844">
      <c r="A2844" t="inlineStr">
        <is>
          <t>14945834</t>
        </is>
      </c>
      <c r="B2844" t="inlineStr">
        <is>
          <t>f8682de1-56f8-45da-97b4-7fb0d90e0e8a</t>
        </is>
      </c>
      <c r="D2844" t="inlineStr">
        <is>
          <t>30001087</t>
        </is>
      </c>
      <c r="E2844" t="inlineStr">
        <is>
          <t>ussd_funeral_leads_altitude_20260619</t>
        </is>
      </c>
      <c r="J2844" t="inlineStr">
        <is>
          <t>TDN</t>
        </is>
      </c>
      <c r="K2844" t="inlineStr">
        <is>
          <t>Temporary Disconnected Number</t>
        </is>
      </c>
      <c r="L2844" t="n">
        <v>3</v>
      </c>
      <c r="M2844" t="inlineStr">
        <is>
          <t>2026-06-23 12:41:42</t>
        </is>
      </c>
      <c r="N2844" t="inlineStr">
        <is>
          <t>system</t>
        </is>
      </c>
      <c r="O2844" t="inlineStr">
        <is>
          <t>2026-06-19 07:10:32</t>
        </is>
      </c>
      <c r="P2844" t="inlineStr">
        <is>
          <t>2026-06-19 07:10:32</t>
        </is>
      </c>
      <c r="Y2844" t="inlineStr">
        <is>
          <t>27661570959</t>
        </is>
      </c>
    </row>
    <row r="2845">
      <c r="A2845" t="inlineStr">
        <is>
          <t>14945835</t>
        </is>
      </c>
      <c r="B2845" t="inlineStr">
        <is>
          <t>09c1d7ed-8bf7-499e-8558-7463d2144913</t>
        </is>
      </c>
      <c r="D2845" t="inlineStr">
        <is>
          <t>30001087</t>
        </is>
      </c>
      <c r="E2845" t="inlineStr">
        <is>
          <t>ussd_funeral_leads_altitude_20260619</t>
        </is>
      </c>
      <c r="J2845" t="inlineStr">
        <is>
          <t>AA</t>
        </is>
      </c>
      <c r="K2845" t="inlineStr">
        <is>
          <t>Answering Machine Autodial</t>
        </is>
      </c>
      <c r="L2845" t="n">
        <v>3</v>
      </c>
      <c r="M2845" t="inlineStr">
        <is>
          <t>2026-06-23 12:41:42</t>
        </is>
      </c>
      <c r="N2845" t="inlineStr">
        <is>
          <t>system</t>
        </is>
      </c>
      <c r="O2845" t="inlineStr">
        <is>
          <t>2026-06-19 07:10:32</t>
        </is>
      </c>
      <c r="P2845" t="inlineStr">
        <is>
          <t>2026-06-19 07:10:32</t>
        </is>
      </c>
      <c r="Y2845" t="inlineStr">
        <is>
          <t>27763192977</t>
        </is>
      </c>
    </row>
    <row r="2846">
      <c r="A2846" t="inlineStr">
        <is>
          <t>14945833</t>
        </is>
      </c>
      <c r="B2846" t="inlineStr">
        <is>
          <t>b3ee979e-1d1d-4c65-9ec0-0bb27e90eadc</t>
        </is>
      </c>
      <c r="D2846" t="inlineStr">
        <is>
          <t>30001087</t>
        </is>
      </c>
      <c r="E2846" t="inlineStr">
        <is>
          <t>ussd_funeral_leads_altitude_20260619</t>
        </is>
      </c>
      <c r="J2846" t="inlineStr">
        <is>
          <t>ADC</t>
        </is>
      </c>
      <c r="K2846" t="inlineStr">
        <is>
          <t>Auto Dial Disconnected</t>
        </is>
      </c>
      <c r="L2846" t="n">
        <v>3</v>
      </c>
      <c r="M2846" t="inlineStr">
        <is>
          <t>2026-06-23 12:41:41</t>
        </is>
      </c>
      <c r="N2846" t="inlineStr">
        <is>
          <t>system</t>
        </is>
      </c>
      <c r="O2846" t="inlineStr">
        <is>
          <t>2026-06-19 07:10:32</t>
        </is>
      </c>
      <c r="P2846" t="inlineStr">
        <is>
          <t>2026-06-19 07:10:32</t>
        </is>
      </c>
      <c r="Y2846" t="inlineStr">
        <is>
          <t>27646347432</t>
        </is>
      </c>
    </row>
    <row r="2847">
      <c r="A2847" t="inlineStr">
        <is>
          <t>14945832</t>
        </is>
      </c>
      <c r="B2847" t="inlineStr">
        <is>
          <t>2874d734-f78b-42b2-bca6-16b28b2875b7</t>
        </is>
      </c>
      <c r="D2847" t="inlineStr">
        <is>
          <t>30001087</t>
        </is>
      </c>
      <c r="E2847" t="inlineStr">
        <is>
          <t>ussd_funeral_leads_altitude_20260619</t>
        </is>
      </c>
      <c r="J2847" t="inlineStr">
        <is>
          <t>TDN</t>
        </is>
      </c>
      <c r="K2847" t="inlineStr">
        <is>
          <t>Temporary Disconnected Number</t>
        </is>
      </c>
      <c r="L2847" t="n">
        <v>3</v>
      </c>
      <c r="M2847" t="inlineStr">
        <is>
          <t>2026-06-23 12:41:40</t>
        </is>
      </c>
      <c r="N2847" t="inlineStr">
        <is>
          <t>system</t>
        </is>
      </c>
      <c r="O2847" t="inlineStr">
        <is>
          <t>2026-06-19 07:10:32</t>
        </is>
      </c>
      <c r="P2847" t="inlineStr">
        <is>
          <t>2026-06-19 07:10:32</t>
        </is>
      </c>
      <c r="Y2847" t="inlineStr">
        <is>
          <t>27763270346</t>
        </is>
      </c>
    </row>
    <row r="2848">
      <c r="A2848" t="inlineStr">
        <is>
          <t>14945831</t>
        </is>
      </c>
      <c r="B2848" t="inlineStr">
        <is>
          <t>a1d26d3d-6f12-4fc9-bec3-9de9491460e6</t>
        </is>
      </c>
      <c r="D2848" t="inlineStr">
        <is>
          <t>30001087</t>
        </is>
      </c>
      <c r="E2848" t="inlineStr">
        <is>
          <t>ussd_funeral_leads_altitude_20260619</t>
        </is>
      </c>
      <c r="J2848" t="inlineStr">
        <is>
          <t>TDN</t>
        </is>
      </c>
      <c r="K2848" t="inlineStr">
        <is>
          <t>Temporary Disconnected Number</t>
        </is>
      </c>
      <c r="L2848" t="n">
        <v>3</v>
      </c>
      <c r="M2848" t="inlineStr">
        <is>
          <t>2026-06-23 12:41:39</t>
        </is>
      </c>
      <c r="N2848" t="inlineStr">
        <is>
          <t>system</t>
        </is>
      </c>
      <c r="O2848" t="inlineStr">
        <is>
          <t>2026-06-19 07:10:32</t>
        </is>
      </c>
      <c r="P2848" t="inlineStr">
        <is>
          <t>2026-06-19 07:10:32</t>
        </is>
      </c>
      <c r="Y2848" t="inlineStr">
        <is>
          <t>27673556347</t>
        </is>
      </c>
    </row>
    <row r="2849">
      <c r="A2849" t="inlineStr">
        <is>
          <t>14945830</t>
        </is>
      </c>
      <c r="B2849" t="inlineStr">
        <is>
          <t>95aed0c9-deec-41f9-95a6-101d0712b45d</t>
        </is>
      </c>
      <c r="D2849" t="inlineStr">
        <is>
          <t>30001087</t>
        </is>
      </c>
      <c r="E2849" t="inlineStr">
        <is>
          <t>ussd_funeral_leads_altitude_20260619</t>
        </is>
      </c>
      <c r="J2849" t="inlineStr">
        <is>
          <t>NA</t>
        </is>
      </c>
      <c r="K2849" t="inlineStr">
        <is>
          <t>No Answer Autodial</t>
        </is>
      </c>
      <c r="L2849" t="n">
        <v>3</v>
      </c>
      <c r="M2849" t="inlineStr">
        <is>
          <t>2026-06-23 12:41:37</t>
        </is>
      </c>
      <c r="N2849" t="inlineStr">
        <is>
          <t>system</t>
        </is>
      </c>
      <c r="O2849" t="inlineStr">
        <is>
          <t>2026-06-19 07:10:32</t>
        </is>
      </c>
      <c r="P2849" t="inlineStr">
        <is>
          <t>2026-06-19 07:10:32</t>
        </is>
      </c>
      <c r="Y2849" t="inlineStr">
        <is>
          <t>27799995629</t>
        </is>
      </c>
    </row>
    <row r="2850">
      <c r="A2850" t="inlineStr">
        <is>
          <t>14945825</t>
        </is>
      </c>
      <c r="B2850" t="inlineStr">
        <is>
          <t>d5d8c557-3eea-4a32-b0d1-3a0e009645d1</t>
        </is>
      </c>
      <c r="D2850" t="inlineStr">
        <is>
          <t>30001087</t>
        </is>
      </c>
      <c r="E2850" t="inlineStr">
        <is>
          <t>ussd_funeral_leads_altitude_20260619</t>
        </is>
      </c>
      <c r="J2850" t="inlineStr">
        <is>
          <t>AA</t>
        </is>
      </c>
      <c r="K2850" t="inlineStr">
        <is>
          <t>Answering Machine Autodial</t>
        </is>
      </c>
      <c r="L2850" t="n">
        <v>3</v>
      </c>
      <c r="M2850" t="inlineStr">
        <is>
          <t>2026-06-23 12:41:36</t>
        </is>
      </c>
      <c r="N2850" t="inlineStr">
        <is>
          <t>system</t>
        </is>
      </c>
      <c r="O2850" t="inlineStr">
        <is>
          <t>2026-06-19 07:10:32</t>
        </is>
      </c>
      <c r="P2850" t="inlineStr">
        <is>
          <t>2026-06-19 07:10:32</t>
        </is>
      </c>
      <c r="Y2850" t="inlineStr">
        <is>
          <t>27772814422</t>
        </is>
      </c>
    </row>
    <row r="2851">
      <c r="A2851" t="inlineStr">
        <is>
          <t>14945826</t>
        </is>
      </c>
      <c r="B2851" t="inlineStr">
        <is>
          <t>c1497744-5041-4856-8de1-f7d9655f2fb0</t>
        </is>
      </c>
      <c r="D2851" t="inlineStr">
        <is>
          <t>30001087</t>
        </is>
      </c>
      <c r="E2851" t="inlineStr">
        <is>
          <t>ussd_funeral_leads_altitude_20260619</t>
        </is>
      </c>
      <c r="J2851" t="inlineStr">
        <is>
          <t>AA</t>
        </is>
      </c>
      <c r="K2851" t="inlineStr">
        <is>
          <t>Answering Machine Autodial</t>
        </is>
      </c>
      <c r="L2851" t="n">
        <v>3</v>
      </c>
      <c r="M2851" t="inlineStr">
        <is>
          <t>2026-06-23 12:41:36</t>
        </is>
      </c>
      <c r="N2851" t="inlineStr">
        <is>
          <t>system</t>
        </is>
      </c>
      <c r="O2851" t="inlineStr">
        <is>
          <t>2026-06-19 07:10:32</t>
        </is>
      </c>
      <c r="P2851" t="inlineStr">
        <is>
          <t>2026-06-19 07:10:32</t>
        </is>
      </c>
      <c r="Y2851" t="inlineStr">
        <is>
          <t>27760241303</t>
        </is>
      </c>
    </row>
    <row r="2852">
      <c r="A2852" t="inlineStr">
        <is>
          <t>14945827</t>
        </is>
      </c>
      <c r="B2852" t="inlineStr">
        <is>
          <t>62b69f0d-cf8c-43ef-bff0-d8d5a3e6f9f6</t>
        </is>
      </c>
      <c r="D2852" t="inlineStr">
        <is>
          <t>30001087</t>
        </is>
      </c>
      <c r="E2852" t="inlineStr">
        <is>
          <t>ussd_funeral_leads_altitude_20260619</t>
        </is>
      </c>
      <c r="J2852" t="inlineStr">
        <is>
          <t>ADC</t>
        </is>
      </c>
      <c r="K2852" t="inlineStr">
        <is>
          <t>Auto Dial Disconnected</t>
        </is>
      </c>
      <c r="L2852" t="n">
        <v>3</v>
      </c>
      <c r="M2852" t="inlineStr">
        <is>
          <t>2026-06-23 12:41:36</t>
        </is>
      </c>
      <c r="N2852" t="inlineStr">
        <is>
          <t>system</t>
        </is>
      </c>
      <c r="O2852" t="inlineStr">
        <is>
          <t>2026-06-19 07:10:32</t>
        </is>
      </c>
      <c r="P2852" t="inlineStr">
        <is>
          <t>2026-06-19 07:10:32</t>
        </is>
      </c>
      <c r="Y2852" t="inlineStr">
        <is>
          <t>27820874190</t>
        </is>
      </c>
    </row>
    <row r="2853">
      <c r="A2853" t="inlineStr">
        <is>
          <t>14945828</t>
        </is>
      </c>
      <c r="B2853" t="inlineStr">
        <is>
          <t>45d4c349-b78e-425f-8d11-0f9ae587af8a</t>
        </is>
      </c>
      <c r="D2853" t="inlineStr">
        <is>
          <t>30001087</t>
        </is>
      </c>
      <c r="E2853" t="inlineStr">
        <is>
          <t>ussd_funeral_leads_altitude_20260619</t>
        </is>
      </c>
      <c r="J2853" t="inlineStr">
        <is>
          <t>AE</t>
        </is>
      </c>
      <c r="K2853" t="inlineStr">
        <is>
          <t>Auto Engaged</t>
        </is>
      </c>
      <c r="L2853" t="n">
        <v>3</v>
      </c>
      <c r="M2853" t="inlineStr">
        <is>
          <t>2026-06-23 12:41:36</t>
        </is>
      </c>
      <c r="N2853" t="inlineStr">
        <is>
          <t>system</t>
        </is>
      </c>
      <c r="O2853" t="inlineStr">
        <is>
          <t>2026-06-19 07:10:32</t>
        </is>
      </c>
      <c r="P2853" t="inlineStr">
        <is>
          <t>2026-06-19 07:10:32</t>
        </is>
      </c>
      <c r="Y2853" t="inlineStr">
        <is>
          <t>27715900946</t>
        </is>
      </c>
    </row>
    <row r="2854">
      <c r="A2854" t="inlineStr">
        <is>
          <t>14945821</t>
        </is>
      </c>
      <c r="B2854" t="inlineStr">
        <is>
          <t>3344bc71-6081-4c67-bfea-6bfcc8939058</t>
        </is>
      </c>
      <c r="D2854" t="inlineStr">
        <is>
          <t>30001087</t>
        </is>
      </c>
      <c r="E2854" t="inlineStr">
        <is>
          <t>ussd_funeral_leads_altitude_20260619</t>
        </is>
      </c>
      <c r="J2854" t="inlineStr">
        <is>
          <t>AA</t>
        </is>
      </c>
      <c r="K2854" t="inlineStr">
        <is>
          <t>Answering Machine Autodial</t>
        </is>
      </c>
      <c r="L2854" t="n">
        <v>3</v>
      </c>
      <c r="M2854" t="inlineStr">
        <is>
          <t>2026-06-23 12:41:35</t>
        </is>
      </c>
      <c r="N2854" t="inlineStr">
        <is>
          <t>system</t>
        </is>
      </c>
      <c r="O2854" t="inlineStr">
        <is>
          <t>2026-06-19 07:10:32</t>
        </is>
      </c>
      <c r="P2854" t="inlineStr">
        <is>
          <t>2026-06-19 07:10:32</t>
        </is>
      </c>
      <c r="Y2854" t="inlineStr">
        <is>
          <t>27714148965</t>
        </is>
      </c>
    </row>
    <row r="2855">
      <c r="A2855" t="inlineStr">
        <is>
          <t>14945822</t>
        </is>
      </c>
      <c r="B2855" t="inlineStr">
        <is>
          <t>69dfd74a-265e-4103-8bd5-7c4ec6383867</t>
        </is>
      </c>
      <c r="D2855" t="inlineStr">
        <is>
          <t>30001087</t>
        </is>
      </c>
      <c r="E2855" t="inlineStr">
        <is>
          <t>ussd_funeral_leads_altitude_20260619</t>
        </is>
      </c>
      <c r="J2855" t="inlineStr">
        <is>
          <t>ADC</t>
        </is>
      </c>
      <c r="K2855" t="inlineStr">
        <is>
          <t>Auto Dial Disconnected</t>
        </is>
      </c>
      <c r="L2855" t="n">
        <v>3</v>
      </c>
      <c r="M2855" t="inlineStr">
        <is>
          <t>2026-06-23 12:41:35</t>
        </is>
      </c>
      <c r="N2855" t="inlineStr">
        <is>
          <t>system</t>
        </is>
      </c>
      <c r="O2855" t="inlineStr">
        <is>
          <t>2026-06-19 07:10:32</t>
        </is>
      </c>
      <c r="P2855" t="inlineStr">
        <is>
          <t>2026-06-19 07:10:32</t>
        </is>
      </c>
      <c r="Y2855" t="inlineStr">
        <is>
          <t>27720476208</t>
        </is>
      </c>
    </row>
    <row r="2856">
      <c r="A2856" t="inlineStr">
        <is>
          <t>14945823</t>
        </is>
      </c>
      <c r="B2856" t="inlineStr">
        <is>
          <t>534ee5e1-f4be-48e7-9ab0-0c580b510084</t>
        </is>
      </c>
      <c r="D2856" t="inlineStr">
        <is>
          <t>30001087</t>
        </is>
      </c>
      <c r="E2856" t="inlineStr">
        <is>
          <t>ussd_funeral_leads_altitude_20260619</t>
        </is>
      </c>
      <c r="J2856" t="inlineStr">
        <is>
          <t>AA</t>
        </is>
      </c>
      <c r="K2856" t="inlineStr">
        <is>
          <t>Answering Machine Autodial</t>
        </is>
      </c>
      <c r="L2856" t="n">
        <v>3</v>
      </c>
      <c r="M2856" t="inlineStr">
        <is>
          <t>2026-06-23 12:41:35</t>
        </is>
      </c>
      <c r="N2856" t="inlineStr">
        <is>
          <t>system</t>
        </is>
      </c>
      <c r="O2856" t="inlineStr">
        <is>
          <t>2026-06-19 07:10:32</t>
        </is>
      </c>
      <c r="P2856" t="inlineStr">
        <is>
          <t>2026-06-19 07:10:32</t>
        </is>
      </c>
      <c r="Y2856" t="inlineStr">
        <is>
          <t>27823287322</t>
        </is>
      </c>
    </row>
    <row r="2857">
      <c r="A2857" t="inlineStr">
        <is>
          <t>14945824</t>
        </is>
      </c>
      <c r="B2857" t="inlineStr">
        <is>
          <t>a9033bf4-3199-41a5-916e-10fd0623c8e5</t>
        </is>
      </c>
      <c r="D2857" t="inlineStr">
        <is>
          <t>30001087</t>
        </is>
      </c>
      <c r="E2857" t="inlineStr">
        <is>
          <t>ussd_funeral_leads_altitude_20260619</t>
        </is>
      </c>
      <c r="J2857" t="inlineStr">
        <is>
          <t>TDN</t>
        </is>
      </c>
      <c r="K2857" t="inlineStr">
        <is>
          <t>Temporary Disconnected Number</t>
        </is>
      </c>
      <c r="L2857" t="n">
        <v>3</v>
      </c>
      <c r="M2857" t="inlineStr">
        <is>
          <t>2026-06-23 12:41:35</t>
        </is>
      </c>
      <c r="N2857" t="inlineStr">
        <is>
          <t>system</t>
        </is>
      </c>
      <c r="O2857" t="inlineStr">
        <is>
          <t>2026-06-19 07:10:32</t>
        </is>
      </c>
      <c r="P2857" t="inlineStr">
        <is>
          <t>2026-06-19 07:10:32</t>
        </is>
      </c>
      <c r="Y2857" t="inlineStr">
        <is>
          <t>27790122305</t>
        </is>
      </c>
    </row>
    <row r="2858">
      <c r="A2858" t="inlineStr">
        <is>
          <t>14945818</t>
        </is>
      </c>
      <c r="B2858" t="inlineStr">
        <is>
          <t>94b67db2-2b7a-4930-aa3d-7d23d8aeb9a2</t>
        </is>
      </c>
      <c r="D2858" t="inlineStr">
        <is>
          <t>30001087</t>
        </is>
      </c>
      <c r="E2858" t="inlineStr">
        <is>
          <t>ussd_funeral_leads_altitude_20260619</t>
        </is>
      </c>
      <c r="J2858" t="inlineStr">
        <is>
          <t>CU</t>
        </is>
      </c>
      <c r="K2858" t="inlineStr">
        <is>
          <t>Client Hung Up</t>
        </is>
      </c>
      <c r="L2858" t="n">
        <v>3</v>
      </c>
      <c r="M2858" t="inlineStr">
        <is>
          <t>2026-06-23 12:41:33</t>
        </is>
      </c>
      <c r="N2858" t="inlineStr">
        <is>
          <t>Vuyiswa Nxumalo</t>
        </is>
      </c>
      <c r="O2858" t="inlineStr">
        <is>
          <t>2026-06-19 07:10:32</t>
        </is>
      </c>
      <c r="P2858" t="inlineStr">
        <is>
          <t>2026-06-19 07:10:32</t>
        </is>
      </c>
      <c r="Y2858" t="inlineStr">
        <is>
          <t>27766073931</t>
        </is>
      </c>
    </row>
    <row r="2859">
      <c r="A2859" t="inlineStr">
        <is>
          <t>14945819</t>
        </is>
      </c>
      <c r="B2859" t="inlineStr">
        <is>
          <t>d506ef0e-36c1-4ba8-a234-c9aa8c2e2863</t>
        </is>
      </c>
      <c r="D2859" t="inlineStr">
        <is>
          <t>30001087</t>
        </is>
      </c>
      <c r="E2859" t="inlineStr">
        <is>
          <t>ussd_funeral_leads_altitude_20260619</t>
        </is>
      </c>
      <c r="J2859" t="inlineStr">
        <is>
          <t>ADC</t>
        </is>
      </c>
      <c r="K2859" t="inlineStr">
        <is>
          <t>Auto Dial Disconnected</t>
        </is>
      </c>
      <c r="L2859" t="n">
        <v>3</v>
      </c>
      <c r="M2859" t="inlineStr">
        <is>
          <t>2026-06-23 12:41:33</t>
        </is>
      </c>
      <c r="N2859" t="inlineStr">
        <is>
          <t>system</t>
        </is>
      </c>
      <c r="O2859" t="inlineStr">
        <is>
          <t>2026-06-19 07:10:32</t>
        </is>
      </c>
      <c r="P2859" t="inlineStr">
        <is>
          <t>2026-06-19 07:10:32</t>
        </is>
      </c>
      <c r="Y2859" t="inlineStr">
        <is>
          <t>27649615624</t>
        </is>
      </c>
    </row>
    <row r="2860">
      <c r="A2860" t="inlineStr">
        <is>
          <t>14945820</t>
        </is>
      </c>
      <c r="B2860" t="inlineStr">
        <is>
          <t>8a81750e-b564-419c-8207-dd10e4b6994f</t>
        </is>
      </c>
      <c r="D2860" t="inlineStr">
        <is>
          <t>30001087</t>
        </is>
      </c>
      <c r="E2860" t="inlineStr">
        <is>
          <t>ussd_funeral_leads_altitude_20260619</t>
        </is>
      </c>
      <c r="J2860" t="inlineStr">
        <is>
          <t>AA</t>
        </is>
      </c>
      <c r="K2860" t="inlineStr">
        <is>
          <t>Answering Machine Autodial</t>
        </is>
      </c>
      <c r="L2860" t="n">
        <v>3</v>
      </c>
      <c r="M2860" t="inlineStr">
        <is>
          <t>2026-06-23 12:41:33</t>
        </is>
      </c>
      <c r="N2860" t="inlineStr">
        <is>
          <t>system</t>
        </is>
      </c>
      <c r="O2860" t="inlineStr">
        <is>
          <t>2026-06-19 07:10:32</t>
        </is>
      </c>
      <c r="P2860" t="inlineStr">
        <is>
          <t>2026-06-19 07:10:32</t>
        </is>
      </c>
      <c r="Y2860" t="inlineStr">
        <is>
          <t>27713447729</t>
        </is>
      </c>
    </row>
    <row r="2861">
      <c r="A2861" t="inlineStr">
        <is>
          <t>14945817</t>
        </is>
      </c>
      <c r="B2861" t="inlineStr">
        <is>
          <t>8584add9-744b-4989-b0f1-6e078f2043d7</t>
        </is>
      </c>
      <c r="D2861" t="inlineStr">
        <is>
          <t>30001087</t>
        </is>
      </c>
      <c r="E2861" t="inlineStr">
        <is>
          <t>ussd_funeral_leads_altitude_20260619</t>
        </is>
      </c>
      <c r="J2861" t="inlineStr">
        <is>
          <t>DROP</t>
        </is>
      </c>
      <c r="K2861" t="inlineStr">
        <is>
          <t>Dropped</t>
        </is>
      </c>
      <c r="L2861" t="n">
        <v>3</v>
      </c>
      <c r="M2861" t="inlineStr">
        <is>
          <t>2026-06-23 12:41:06</t>
        </is>
      </c>
      <c r="N2861" t="inlineStr">
        <is>
          <t>system</t>
        </is>
      </c>
      <c r="O2861" t="inlineStr">
        <is>
          <t>2026-06-19 07:10:32</t>
        </is>
      </c>
      <c r="P2861" t="inlineStr">
        <is>
          <t>2026-06-19 07:10:32</t>
        </is>
      </c>
      <c r="Y2861" t="inlineStr">
        <is>
          <t>27818803129</t>
        </is>
      </c>
    </row>
    <row r="2862">
      <c r="A2862" t="inlineStr">
        <is>
          <t>14945815</t>
        </is>
      </c>
      <c r="B2862" t="inlineStr">
        <is>
          <t>ffba7675-a622-46ff-b018-53962b9e797d</t>
        </is>
      </c>
      <c r="D2862" t="inlineStr">
        <is>
          <t>30001087</t>
        </is>
      </c>
      <c r="E2862" t="inlineStr">
        <is>
          <t>ussd_funeral_leads_altitude_20260619</t>
        </is>
      </c>
      <c r="J2862" t="inlineStr">
        <is>
          <t>AA</t>
        </is>
      </c>
      <c r="K2862" t="inlineStr">
        <is>
          <t>Answering Machine Autodial</t>
        </is>
      </c>
      <c r="L2862" t="n">
        <v>3</v>
      </c>
      <c r="M2862" t="inlineStr">
        <is>
          <t>2026-06-23 12:41:00</t>
        </is>
      </c>
      <c r="N2862" t="inlineStr">
        <is>
          <t>system</t>
        </is>
      </c>
      <c r="O2862" t="inlineStr">
        <is>
          <t>2026-06-19 07:10:32</t>
        </is>
      </c>
      <c r="P2862" t="inlineStr">
        <is>
          <t>2026-06-19 07:10:32</t>
        </is>
      </c>
      <c r="Y2862" t="inlineStr">
        <is>
          <t>27761845722</t>
        </is>
      </c>
    </row>
    <row r="2863">
      <c r="A2863" t="inlineStr">
        <is>
          <t>14945816</t>
        </is>
      </c>
      <c r="B2863" t="inlineStr">
        <is>
          <t>1974c093-c1e9-4e63-8e26-78c40dfa8b3a</t>
        </is>
      </c>
      <c r="D2863" t="inlineStr">
        <is>
          <t>30001087</t>
        </is>
      </c>
      <c r="E2863" t="inlineStr">
        <is>
          <t>ussd_funeral_leads_altitude_20260619</t>
        </is>
      </c>
      <c r="J2863" t="inlineStr">
        <is>
          <t>AA</t>
        </is>
      </c>
      <c r="K2863" t="inlineStr">
        <is>
          <t>Answering Machine Autodial</t>
        </is>
      </c>
      <c r="L2863" t="n">
        <v>3</v>
      </c>
      <c r="M2863" t="inlineStr">
        <is>
          <t>2026-06-23 12:41:00</t>
        </is>
      </c>
      <c r="N2863" t="inlineStr">
        <is>
          <t>system</t>
        </is>
      </c>
      <c r="O2863" t="inlineStr">
        <is>
          <t>2026-06-19 07:10:32</t>
        </is>
      </c>
      <c r="P2863" t="inlineStr">
        <is>
          <t>2026-06-19 07:10:32</t>
        </is>
      </c>
      <c r="Y2863" t="inlineStr">
        <is>
          <t>27766289997</t>
        </is>
      </c>
    </row>
    <row r="2864">
      <c r="A2864" t="inlineStr">
        <is>
          <t>14945814</t>
        </is>
      </c>
      <c r="B2864" t="inlineStr">
        <is>
          <t>776d2f34-916c-4e92-9f37-0e2dacd995d5</t>
        </is>
      </c>
      <c r="D2864" t="inlineStr">
        <is>
          <t>30001087</t>
        </is>
      </c>
      <c r="E2864" t="inlineStr">
        <is>
          <t>ussd_funeral_leads_altitude_20260619</t>
        </is>
      </c>
      <c r="J2864" t="inlineStr">
        <is>
          <t>NA</t>
        </is>
      </c>
      <c r="K2864" t="inlineStr">
        <is>
          <t>No Answer Autodial</t>
        </is>
      </c>
      <c r="L2864" t="n">
        <v>3</v>
      </c>
      <c r="M2864" t="inlineStr">
        <is>
          <t>2026-06-23 12:40:59</t>
        </is>
      </c>
      <c r="N2864" t="inlineStr">
        <is>
          <t>system</t>
        </is>
      </c>
      <c r="O2864" t="inlineStr">
        <is>
          <t>2026-06-19 07:10:32</t>
        </is>
      </c>
      <c r="P2864" t="inlineStr">
        <is>
          <t>2026-06-19 07:10:32</t>
        </is>
      </c>
      <c r="Y2864" t="inlineStr">
        <is>
          <t>27798912452</t>
        </is>
      </c>
    </row>
    <row r="2865">
      <c r="A2865" t="inlineStr">
        <is>
          <t>14945808</t>
        </is>
      </c>
      <c r="B2865" t="inlineStr">
        <is>
          <t>c25183fd-a145-4046-92c3-036f9e82c0d1</t>
        </is>
      </c>
      <c r="D2865" t="inlineStr">
        <is>
          <t>30001087</t>
        </is>
      </c>
      <c r="E2865" t="inlineStr">
        <is>
          <t>ussd_funeral_leads_altitude_20260619</t>
        </is>
      </c>
      <c r="J2865" t="inlineStr">
        <is>
          <t>CU</t>
        </is>
      </c>
      <c r="K2865" t="inlineStr">
        <is>
          <t>Client Hung Up</t>
        </is>
      </c>
      <c r="L2865" t="n">
        <v>3</v>
      </c>
      <c r="M2865" t="inlineStr">
        <is>
          <t>2026-06-23 12:40:58</t>
        </is>
      </c>
      <c r="N2865" t="inlineStr">
        <is>
          <t>Dimakatso Nkomo</t>
        </is>
      </c>
      <c r="O2865" t="inlineStr">
        <is>
          <t>2026-06-19 07:10:32</t>
        </is>
      </c>
      <c r="P2865" t="inlineStr">
        <is>
          <t>2026-06-19 07:10:32</t>
        </is>
      </c>
      <c r="Y2865" t="inlineStr">
        <is>
          <t>27763508391</t>
        </is>
      </c>
    </row>
    <row r="2866">
      <c r="A2866" t="inlineStr">
        <is>
          <t>14945809</t>
        </is>
      </c>
      <c r="B2866" t="inlineStr">
        <is>
          <t>2527c2f4-17f1-42b6-a40a-1062afe9f949</t>
        </is>
      </c>
      <c r="D2866" t="inlineStr">
        <is>
          <t>30001087</t>
        </is>
      </c>
      <c r="E2866" t="inlineStr">
        <is>
          <t>ussd_funeral_leads_altitude_20260619</t>
        </is>
      </c>
      <c r="J2866" t="inlineStr">
        <is>
          <t>AA</t>
        </is>
      </c>
      <c r="K2866" t="inlineStr">
        <is>
          <t>Answering Machine Autodial</t>
        </is>
      </c>
      <c r="L2866" t="n">
        <v>3</v>
      </c>
      <c r="M2866" t="inlineStr">
        <is>
          <t>2026-06-23 12:40:58</t>
        </is>
      </c>
      <c r="N2866" t="inlineStr">
        <is>
          <t>system</t>
        </is>
      </c>
      <c r="O2866" t="inlineStr">
        <is>
          <t>2026-06-19 07:10:32</t>
        </is>
      </c>
      <c r="P2866" t="inlineStr">
        <is>
          <t>2026-06-19 07:10:32</t>
        </is>
      </c>
      <c r="Y2866" t="inlineStr">
        <is>
          <t>27729514216</t>
        </is>
      </c>
    </row>
    <row r="2867">
      <c r="A2867" t="inlineStr">
        <is>
          <t>14945810</t>
        </is>
      </c>
      <c r="B2867" t="inlineStr">
        <is>
          <t>c54b9f53-2e9f-4d8c-afd1-7696bb6a6a4f</t>
        </is>
      </c>
      <c r="D2867" t="inlineStr">
        <is>
          <t>30001087</t>
        </is>
      </c>
      <c r="E2867" t="inlineStr">
        <is>
          <t>ussd_funeral_leads_altitude_20260619</t>
        </is>
      </c>
      <c r="J2867" t="inlineStr">
        <is>
          <t>AA</t>
        </is>
      </c>
      <c r="K2867" t="inlineStr">
        <is>
          <t>Answering Machine Autodial</t>
        </is>
      </c>
      <c r="L2867" t="n">
        <v>3</v>
      </c>
      <c r="M2867" t="inlineStr">
        <is>
          <t>2026-06-23 12:40:58</t>
        </is>
      </c>
      <c r="N2867" t="inlineStr">
        <is>
          <t>system</t>
        </is>
      </c>
      <c r="O2867" t="inlineStr">
        <is>
          <t>2026-06-19 07:10:32</t>
        </is>
      </c>
      <c r="P2867" t="inlineStr">
        <is>
          <t>2026-06-19 07:10:32</t>
        </is>
      </c>
      <c r="Y2867" t="inlineStr">
        <is>
          <t>27760758092</t>
        </is>
      </c>
    </row>
    <row r="2868">
      <c r="A2868" t="inlineStr">
        <is>
          <t>14945811</t>
        </is>
      </c>
      <c r="B2868" t="inlineStr">
        <is>
          <t>929bb7a7-287d-45fb-9a33-a56738b4f25d</t>
        </is>
      </c>
      <c r="D2868" t="inlineStr">
        <is>
          <t>30001087</t>
        </is>
      </c>
      <c r="E2868" t="inlineStr">
        <is>
          <t>ussd_funeral_leads_altitude_20260619</t>
        </is>
      </c>
      <c r="J2868" t="inlineStr">
        <is>
          <t>AA</t>
        </is>
      </c>
      <c r="K2868" t="inlineStr">
        <is>
          <t>Answering Machine Autodial</t>
        </is>
      </c>
      <c r="L2868" t="n">
        <v>3</v>
      </c>
      <c r="M2868" t="inlineStr">
        <is>
          <t>2026-06-23 12:40:58</t>
        </is>
      </c>
      <c r="N2868" t="inlineStr">
        <is>
          <t>system</t>
        </is>
      </c>
      <c r="O2868" t="inlineStr">
        <is>
          <t>2026-06-19 07:10:32</t>
        </is>
      </c>
      <c r="P2868" t="inlineStr">
        <is>
          <t>2026-06-19 07:10:32</t>
        </is>
      </c>
      <c r="Y2868" t="inlineStr">
        <is>
          <t>27790300302</t>
        </is>
      </c>
    </row>
    <row r="2869">
      <c r="A2869" t="inlineStr">
        <is>
          <t>14945812</t>
        </is>
      </c>
      <c r="B2869" t="inlineStr">
        <is>
          <t>09683cc7-204a-46cc-b8fb-a9710145f075</t>
        </is>
      </c>
      <c r="D2869" t="inlineStr">
        <is>
          <t>30001087</t>
        </is>
      </c>
      <c r="E2869" t="inlineStr">
        <is>
          <t>ussd_funeral_leads_altitude_20260619</t>
        </is>
      </c>
      <c r="J2869" t="inlineStr">
        <is>
          <t>ADC</t>
        </is>
      </c>
      <c r="K2869" t="inlineStr">
        <is>
          <t>Auto Dial Disconnected</t>
        </is>
      </c>
      <c r="L2869" t="n">
        <v>3</v>
      </c>
      <c r="M2869" t="inlineStr">
        <is>
          <t>2026-06-23 12:40:58</t>
        </is>
      </c>
      <c r="N2869" t="inlineStr">
        <is>
          <t>system</t>
        </is>
      </c>
      <c r="O2869" t="inlineStr">
        <is>
          <t>2026-06-19 07:10:32</t>
        </is>
      </c>
      <c r="P2869" t="inlineStr">
        <is>
          <t>2026-06-19 07:10:32</t>
        </is>
      </c>
      <c r="Y2869" t="inlineStr">
        <is>
          <t>27728479206</t>
        </is>
      </c>
    </row>
    <row r="2870">
      <c r="A2870" t="inlineStr">
        <is>
          <t>14945805</t>
        </is>
      </c>
      <c r="B2870" t="inlineStr">
        <is>
          <t>d86898a1-e777-4ec0-ae5d-b961ac8728fe</t>
        </is>
      </c>
      <c r="D2870" t="inlineStr">
        <is>
          <t>30001087</t>
        </is>
      </c>
      <c r="E2870" t="inlineStr">
        <is>
          <t>ussd_funeral_leads_altitude_20260619</t>
        </is>
      </c>
      <c r="J2870" t="inlineStr">
        <is>
          <t>AA</t>
        </is>
      </c>
      <c r="K2870" t="inlineStr">
        <is>
          <t>Answering Machine Autodial</t>
        </is>
      </c>
      <c r="L2870" t="n">
        <v>3</v>
      </c>
      <c r="M2870" t="inlineStr">
        <is>
          <t>2026-06-23 12:40:54</t>
        </is>
      </c>
      <c r="N2870" t="inlineStr">
        <is>
          <t>system</t>
        </is>
      </c>
      <c r="O2870" t="inlineStr">
        <is>
          <t>2026-06-19 07:10:32</t>
        </is>
      </c>
      <c r="P2870" t="inlineStr">
        <is>
          <t>2026-06-19 07:10:32</t>
        </is>
      </c>
      <c r="Y2870" t="inlineStr">
        <is>
          <t>27727927324</t>
        </is>
      </c>
    </row>
    <row r="2871">
      <c r="A2871" t="inlineStr">
        <is>
          <t>14945806</t>
        </is>
      </c>
      <c r="B2871" t="inlineStr">
        <is>
          <t>4fbb2441-c647-49aa-852e-5b2458ce006f</t>
        </is>
      </c>
      <c r="D2871" t="inlineStr">
        <is>
          <t>30001087</t>
        </is>
      </c>
      <c r="E2871" t="inlineStr">
        <is>
          <t>ussd_funeral_leads_altitude_20260619</t>
        </is>
      </c>
      <c r="J2871" t="inlineStr">
        <is>
          <t>AA</t>
        </is>
      </c>
      <c r="K2871" t="inlineStr">
        <is>
          <t>Answering Machine Autodial</t>
        </is>
      </c>
      <c r="L2871" t="n">
        <v>3</v>
      </c>
      <c r="M2871" t="inlineStr">
        <is>
          <t>2026-06-23 12:40:54</t>
        </is>
      </c>
      <c r="N2871" t="inlineStr">
        <is>
          <t>system</t>
        </is>
      </c>
      <c r="O2871" t="inlineStr">
        <is>
          <t>2026-06-19 07:10:32</t>
        </is>
      </c>
      <c r="P2871" t="inlineStr">
        <is>
          <t>2026-06-19 07:10:32</t>
        </is>
      </c>
      <c r="Y2871" t="inlineStr">
        <is>
          <t>27773922310</t>
        </is>
      </c>
    </row>
    <row r="2872">
      <c r="A2872" t="inlineStr">
        <is>
          <t>14945807</t>
        </is>
      </c>
      <c r="B2872" t="inlineStr">
        <is>
          <t>0fd777d1-45cb-4121-a566-8e1c65463979</t>
        </is>
      </c>
      <c r="D2872" t="inlineStr">
        <is>
          <t>30001087</t>
        </is>
      </c>
      <c r="E2872" t="inlineStr">
        <is>
          <t>ussd_funeral_leads_altitude_20260619</t>
        </is>
      </c>
      <c r="J2872" t="inlineStr">
        <is>
          <t>AA</t>
        </is>
      </c>
      <c r="K2872" t="inlineStr">
        <is>
          <t>Answering Machine Autodial</t>
        </is>
      </c>
      <c r="L2872" t="n">
        <v>3</v>
      </c>
      <c r="M2872" t="inlineStr">
        <is>
          <t>2026-06-23 12:40:54</t>
        </is>
      </c>
      <c r="N2872" t="inlineStr">
        <is>
          <t>system</t>
        </is>
      </c>
      <c r="O2872" t="inlineStr">
        <is>
          <t>2026-06-19 07:10:32</t>
        </is>
      </c>
      <c r="P2872" t="inlineStr">
        <is>
          <t>2026-06-19 07:10:32</t>
        </is>
      </c>
      <c r="Y2872" t="inlineStr">
        <is>
          <t>27720858786</t>
        </is>
      </c>
    </row>
    <row r="2873">
      <c r="A2873" t="inlineStr">
        <is>
          <t>14945800</t>
        </is>
      </c>
      <c r="B2873" t="inlineStr">
        <is>
          <t>628dc7b6-e4a4-4929-9fda-0b0f4f54de2d</t>
        </is>
      </c>
      <c r="D2873" t="inlineStr">
        <is>
          <t>30001087</t>
        </is>
      </c>
      <c r="E2873" t="inlineStr">
        <is>
          <t>ussd_funeral_leads_altitude_20260619</t>
        </is>
      </c>
      <c r="J2873" t="inlineStr">
        <is>
          <t>AA</t>
        </is>
      </c>
      <c r="K2873" t="inlineStr">
        <is>
          <t>Answering Machine Autodial</t>
        </is>
      </c>
      <c r="L2873" t="n">
        <v>3</v>
      </c>
      <c r="M2873" t="inlineStr">
        <is>
          <t>2026-06-23 12:40:48</t>
        </is>
      </c>
      <c r="N2873" t="inlineStr">
        <is>
          <t>system</t>
        </is>
      </c>
      <c r="O2873" t="inlineStr">
        <is>
          <t>2026-06-19 07:10:32</t>
        </is>
      </c>
      <c r="P2873" t="inlineStr">
        <is>
          <t>2026-06-19 07:10:32</t>
        </is>
      </c>
      <c r="Y2873" t="inlineStr">
        <is>
          <t>27799974656</t>
        </is>
      </c>
    </row>
    <row r="2874">
      <c r="A2874" t="inlineStr">
        <is>
          <t>14945801</t>
        </is>
      </c>
      <c r="B2874" t="inlineStr">
        <is>
          <t>9e19d00e-bd86-4a11-9b55-9eb17d3b63c9</t>
        </is>
      </c>
      <c r="D2874" t="inlineStr">
        <is>
          <t>30001087</t>
        </is>
      </c>
      <c r="E2874" t="inlineStr">
        <is>
          <t>ussd_funeral_leads_altitude_20260619</t>
        </is>
      </c>
      <c r="J2874" t="inlineStr">
        <is>
          <t>ADC</t>
        </is>
      </c>
      <c r="K2874" t="inlineStr">
        <is>
          <t>Auto Dial Disconnected</t>
        </is>
      </c>
      <c r="L2874" t="n">
        <v>3</v>
      </c>
      <c r="M2874" t="inlineStr">
        <is>
          <t>2026-06-23 12:40:48</t>
        </is>
      </c>
      <c r="N2874" t="inlineStr">
        <is>
          <t>system</t>
        </is>
      </c>
      <c r="O2874" t="inlineStr">
        <is>
          <t>2026-06-19 07:10:32</t>
        </is>
      </c>
      <c r="P2874" t="inlineStr">
        <is>
          <t>2026-06-19 07:10:32</t>
        </is>
      </c>
      <c r="Y2874" t="inlineStr">
        <is>
          <t>27715713631</t>
        </is>
      </c>
    </row>
    <row r="2875">
      <c r="A2875" t="inlineStr">
        <is>
          <t>14945802</t>
        </is>
      </c>
      <c r="B2875" t="inlineStr">
        <is>
          <t>3bfbc5c1-a72b-4da3-8023-da2a515cc147</t>
        </is>
      </c>
      <c r="D2875" t="inlineStr">
        <is>
          <t>30001087</t>
        </is>
      </c>
      <c r="E2875" t="inlineStr">
        <is>
          <t>ussd_funeral_leads_altitude_20260619</t>
        </is>
      </c>
      <c r="J2875" t="inlineStr">
        <is>
          <t>AA</t>
        </is>
      </c>
      <c r="K2875" t="inlineStr">
        <is>
          <t>Answering Machine Autodial</t>
        </is>
      </c>
      <c r="L2875" t="n">
        <v>3</v>
      </c>
      <c r="M2875" t="inlineStr">
        <is>
          <t>2026-06-23 12:40:48</t>
        </is>
      </c>
      <c r="N2875" t="inlineStr">
        <is>
          <t>system</t>
        </is>
      </c>
      <c r="O2875" t="inlineStr">
        <is>
          <t>2026-06-19 07:10:32</t>
        </is>
      </c>
      <c r="P2875" t="inlineStr">
        <is>
          <t>2026-06-19 07:10:32</t>
        </is>
      </c>
      <c r="Y2875" t="inlineStr">
        <is>
          <t>27720316291</t>
        </is>
      </c>
    </row>
    <row r="2876">
      <c r="A2876" t="inlineStr">
        <is>
          <t>14945803</t>
        </is>
      </c>
      <c r="B2876" t="inlineStr">
        <is>
          <t>6f5e6171-1eef-4b10-b1c2-b1c3c23937f3</t>
        </is>
      </c>
      <c r="D2876" t="inlineStr">
        <is>
          <t>30001087</t>
        </is>
      </c>
      <c r="E2876" t="inlineStr">
        <is>
          <t>ussd_funeral_leads_altitude_20260619</t>
        </is>
      </c>
      <c r="J2876" t="inlineStr">
        <is>
          <t>AA</t>
        </is>
      </c>
      <c r="K2876" t="inlineStr">
        <is>
          <t>Answering Machine Autodial</t>
        </is>
      </c>
      <c r="L2876" t="n">
        <v>3</v>
      </c>
      <c r="M2876" t="inlineStr">
        <is>
          <t>2026-06-23 12:40:48</t>
        </is>
      </c>
      <c r="N2876" t="inlineStr">
        <is>
          <t>system</t>
        </is>
      </c>
      <c r="O2876" t="inlineStr">
        <is>
          <t>2026-06-19 07:10:32</t>
        </is>
      </c>
      <c r="P2876" t="inlineStr">
        <is>
          <t>2026-06-19 07:10:32</t>
        </is>
      </c>
      <c r="Y2876" t="inlineStr">
        <is>
          <t>27608653751</t>
        </is>
      </c>
    </row>
    <row r="2877">
      <c r="A2877" t="inlineStr">
        <is>
          <t>14945799</t>
        </is>
      </c>
      <c r="B2877" t="inlineStr">
        <is>
          <t>eaae504e-53a3-4072-ab1f-47faad66d626</t>
        </is>
      </c>
      <c r="D2877" t="inlineStr">
        <is>
          <t>30001087</t>
        </is>
      </c>
      <c r="E2877" t="inlineStr">
        <is>
          <t>ussd_funeral_leads_altitude_20260619</t>
        </is>
      </c>
      <c r="J2877" t="inlineStr">
        <is>
          <t>AA</t>
        </is>
      </c>
      <c r="K2877" t="inlineStr">
        <is>
          <t>Answering Machine Autodial</t>
        </is>
      </c>
      <c r="L2877" t="n">
        <v>3</v>
      </c>
      <c r="M2877" t="inlineStr">
        <is>
          <t>2026-06-23 12:40:47</t>
        </is>
      </c>
      <c r="N2877" t="inlineStr">
        <is>
          <t>system</t>
        </is>
      </c>
      <c r="O2877" t="inlineStr">
        <is>
          <t>2026-06-19 07:10:32</t>
        </is>
      </c>
      <c r="P2877" t="inlineStr">
        <is>
          <t>2026-06-19 07:10:32</t>
        </is>
      </c>
      <c r="Y2877" t="inlineStr">
        <is>
          <t>27769353976</t>
        </is>
      </c>
    </row>
    <row r="2878">
      <c r="A2878" t="inlineStr">
        <is>
          <t>14945797</t>
        </is>
      </c>
      <c r="B2878" t="inlineStr">
        <is>
          <t>df398d4b-d784-4298-84f6-43c9de7ec9a7</t>
        </is>
      </c>
      <c r="D2878" t="inlineStr">
        <is>
          <t>30001087</t>
        </is>
      </c>
      <c r="E2878" t="inlineStr">
        <is>
          <t>ussd_funeral_leads_altitude_20260619</t>
        </is>
      </c>
      <c r="J2878" t="inlineStr">
        <is>
          <t>CU</t>
        </is>
      </c>
      <c r="K2878" t="inlineStr">
        <is>
          <t>Client Hung Up</t>
        </is>
      </c>
      <c r="L2878" t="n">
        <v>3</v>
      </c>
      <c r="M2878" t="inlineStr">
        <is>
          <t>2026-06-23 12:40:43</t>
        </is>
      </c>
      <c r="N2878" t="inlineStr">
        <is>
          <t>Goitsimang Mogwasa</t>
        </is>
      </c>
      <c r="O2878" t="inlineStr">
        <is>
          <t>2026-06-19 07:10:32</t>
        </is>
      </c>
      <c r="P2878" t="inlineStr">
        <is>
          <t>2026-06-19 07:10:32</t>
        </is>
      </c>
      <c r="Y2878" t="inlineStr">
        <is>
          <t>27636047825</t>
        </is>
      </c>
    </row>
    <row r="2879">
      <c r="A2879" t="inlineStr">
        <is>
          <t>14945798</t>
        </is>
      </c>
      <c r="B2879" t="inlineStr">
        <is>
          <t>5150c4f3-b03c-4bf4-a018-318df6c32bc5</t>
        </is>
      </c>
      <c r="D2879" t="inlineStr">
        <is>
          <t>30001087</t>
        </is>
      </c>
      <c r="E2879" t="inlineStr">
        <is>
          <t>ussd_funeral_leads_altitude_20260619</t>
        </is>
      </c>
      <c r="J2879" t="inlineStr">
        <is>
          <t>AA</t>
        </is>
      </c>
      <c r="K2879" t="inlineStr">
        <is>
          <t>Answering Machine Autodial</t>
        </is>
      </c>
      <c r="L2879" t="n">
        <v>3</v>
      </c>
      <c r="M2879" t="inlineStr">
        <is>
          <t>2026-06-23 12:40:43</t>
        </is>
      </c>
      <c r="N2879" t="inlineStr">
        <is>
          <t>system</t>
        </is>
      </c>
      <c r="O2879" t="inlineStr">
        <is>
          <t>2026-06-19 07:10:32</t>
        </is>
      </c>
      <c r="P2879" t="inlineStr">
        <is>
          <t>2026-06-19 07:10:32</t>
        </is>
      </c>
      <c r="Y2879" t="inlineStr">
        <is>
          <t>27765965409</t>
        </is>
      </c>
    </row>
    <row r="2880">
      <c r="A2880" t="inlineStr">
        <is>
          <t>14945793</t>
        </is>
      </c>
      <c r="B2880" t="inlineStr">
        <is>
          <t>d3a12256-fa0b-4188-b0e0-0b9cffafbdea</t>
        </is>
      </c>
      <c r="D2880" t="inlineStr">
        <is>
          <t>30001087</t>
        </is>
      </c>
      <c r="E2880" t="inlineStr">
        <is>
          <t>ussd_funeral_leads_altitude_20260619</t>
        </is>
      </c>
      <c r="J2880" t="inlineStr">
        <is>
          <t>AA</t>
        </is>
      </c>
      <c r="K2880" t="inlineStr">
        <is>
          <t>Answering Machine Autodial</t>
        </is>
      </c>
      <c r="L2880" t="n">
        <v>3</v>
      </c>
      <c r="M2880" t="inlineStr">
        <is>
          <t>2026-06-23 12:40:42</t>
        </is>
      </c>
      <c r="N2880" t="inlineStr">
        <is>
          <t>system</t>
        </is>
      </c>
      <c r="O2880" t="inlineStr">
        <is>
          <t>2026-06-19 07:10:32</t>
        </is>
      </c>
      <c r="P2880" t="inlineStr">
        <is>
          <t>2026-06-19 07:10:32</t>
        </is>
      </c>
      <c r="Y2880" t="inlineStr">
        <is>
          <t>27790263175</t>
        </is>
      </c>
    </row>
    <row r="2881">
      <c r="A2881" t="inlineStr">
        <is>
          <t>14945794</t>
        </is>
      </c>
      <c r="B2881" t="inlineStr">
        <is>
          <t>32fb5533-5688-4908-a27f-b98f3a53c194</t>
        </is>
      </c>
      <c r="D2881" t="inlineStr">
        <is>
          <t>30001087</t>
        </is>
      </c>
      <c r="E2881" t="inlineStr">
        <is>
          <t>ussd_funeral_leads_altitude_20260619</t>
        </is>
      </c>
      <c r="J2881" t="inlineStr">
        <is>
          <t>AA</t>
        </is>
      </c>
      <c r="K2881" t="inlineStr">
        <is>
          <t>Answering Machine Autodial</t>
        </is>
      </c>
      <c r="L2881" t="n">
        <v>3</v>
      </c>
      <c r="M2881" t="inlineStr">
        <is>
          <t>2026-06-23 12:40:42</t>
        </is>
      </c>
      <c r="N2881" t="inlineStr">
        <is>
          <t>system</t>
        </is>
      </c>
      <c r="O2881" t="inlineStr">
        <is>
          <t>2026-06-19 07:10:32</t>
        </is>
      </c>
      <c r="P2881" t="inlineStr">
        <is>
          <t>2026-06-19 07:10:32</t>
        </is>
      </c>
      <c r="Y2881" t="inlineStr">
        <is>
          <t>27728761869</t>
        </is>
      </c>
    </row>
    <row r="2882">
      <c r="A2882" t="inlineStr">
        <is>
          <t>14945795</t>
        </is>
      </c>
      <c r="B2882" t="inlineStr">
        <is>
          <t>31900d0e-42a4-426a-8a46-c2213b1122c7</t>
        </is>
      </c>
      <c r="D2882" t="inlineStr">
        <is>
          <t>30001087</t>
        </is>
      </c>
      <c r="E2882" t="inlineStr">
        <is>
          <t>ussd_funeral_leads_altitude_20260619</t>
        </is>
      </c>
      <c r="J2882" t="inlineStr">
        <is>
          <t>ADC</t>
        </is>
      </c>
      <c r="K2882" t="inlineStr">
        <is>
          <t>Auto Dial Disconnected</t>
        </is>
      </c>
      <c r="L2882" t="n">
        <v>3</v>
      </c>
      <c r="M2882" t="inlineStr">
        <is>
          <t>2026-06-23 12:40:42</t>
        </is>
      </c>
      <c r="N2882" t="inlineStr">
        <is>
          <t>system</t>
        </is>
      </c>
      <c r="O2882" t="inlineStr">
        <is>
          <t>2026-06-19 07:10:32</t>
        </is>
      </c>
      <c r="P2882" t="inlineStr">
        <is>
          <t>2026-06-19 07:10:32</t>
        </is>
      </c>
      <c r="Y2882" t="inlineStr">
        <is>
          <t>27768750769</t>
        </is>
      </c>
    </row>
    <row r="2883">
      <c r="A2883" t="inlineStr">
        <is>
          <t>14945796</t>
        </is>
      </c>
      <c r="B2883" t="inlineStr">
        <is>
          <t>b15c657b-e8e4-4477-8548-1e81b4ecfed3</t>
        </is>
      </c>
      <c r="D2883" t="inlineStr">
        <is>
          <t>30001087</t>
        </is>
      </c>
      <c r="E2883" t="inlineStr">
        <is>
          <t>ussd_funeral_leads_altitude_20260619</t>
        </is>
      </c>
      <c r="J2883" t="inlineStr">
        <is>
          <t>AA</t>
        </is>
      </c>
      <c r="K2883" t="inlineStr">
        <is>
          <t>Answering Machine Autodial</t>
        </is>
      </c>
      <c r="L2883" t="n">
        <v>3</v>
      </c>
      <c r="M2883" t="inlineStr">
        <is>
          <t>2026-06-23 12:40:42</t>
        </is>
      </c>
      <c r="N2883" t="inlineStr">
        <is>
          <t>system</t>
        </is>
      </c>
      <c r="O2883" t="inlineStr">
        <is>
          <t>2026-06-19 07:10:32</t>
        </is>
      </c>
      <c r="P2883" t="inlineStr">
        <is>
          <t>2026-06-19 07:10:32</t>
        </is>
      </c>
      <c r="Y2883" t="inlineStr">
        <is>
          <t>27794145042</t>
        </is>
      </c>
    </row>
    <row r="2884">
      <c r="A2884" t="inlineStr">
        <is>
          <t>14947735</t>
        </is>
      </c>
      <c r="B2884" t="inlineStr">
        <is>
          <t>eed9ca6a-d93f-4948-897f-ac011c7755c2</t>
        </is>
      </c>
      <c r="D2884" t="inlineStr">
        <is>
          <t>30001087</t>
        </is>
      </c>
      <c r="E2884" t="inlineStr">
        <is>
          <t>ussd_funeral_leads_altitude_20260619</t>
        </is>
      </c>
      <c r="J2884" t="inlineStr">
        <is>
          <t>AA</t>
        </is>
      </c>
      <c r="K2884" t="inlineStr">
        <is>
          <t>Answering Machine Autodial</t>
        </is>
      </c>
      <c r="L2884" t="n">
        <v>3</v>
      </c>
      <c r="M2884" t="inlineStr">
        <is>
          <t>2026-06-23 12:40:42</t>
        </is>
      </c>
      <c r="N2884" t="inlineStr">
        <is>
          <t>system</t>
        </is>
      </c>
      <c r="O2884" t="inlineStr">
        <is>
          <t>2026-06-19 07:10:32</t>
        </is>
      </c>
      <c r="P2884" t="inlineStr">
        <is>
          <t>2026-06-19 07:10:32</t>
        </is>
      </c>
      <c r="Y2884" t="inlineStr">
        <is>
          <t>27607062014</t>
        </is>
      </c>
    </row>
    <row r="2885">
      <c r="A2885" t="inlineStr">
        <is>
          <t>14945641</t>
        </is>
      </c>
      <c r="B2885" t="inlineStr">
        <is>
          <t>bfedea65-7d77-46fe-824f-2e6407555063</t>
        </is>
      </c>
      <c r="D2885" t="inlineStr">
        <is>
          <t>30001087</t>
        </is>
      </c>
      <c r="E2885" t="inlineStr">
        <is>
          <t>ussd_funeral_leads_altitude_20260619</t>
        </is>
      </c>
      <c r="J2885" t="inlineStr">
        <is>
          <t>ADC</t>
        </is>
      </c>
      <c r="K2885" t="inlineStr">
        <is>
          <t>Auto Dial Disconnected</t>
        </is>
      </c>
      <c r="L2885" t="n">
        <v>3</v>
      </c>
      <c r="M2885" t="inlineStr">
        <is>
          <t>2026-06-23 12:40:23</t>
        </is>
      </c>
      <c r="N2885" t="inlineStr">
        <is>
          <t>system</t>
        </is>
      </c>
      <c r="O2885" t="inlineStr">
        <is>
          <t>2026-06-19 07:10:32</t>
        </is>
      </c>
      <c r="P2885" t="inlineStr">
        <is>
          <t>2026-06-19 07:10:32</t>
        </is>
      </c>
      <c r="Y2885" t="inlineStr">
        <is>
          <t>27715123711</t>
        </is>
      </c>
    </row>
    <row r="2886">
      <c r="A2886" t="inlineStr">
        <is>
          <t>14945642</t>
        </is>
      </c>
      <c r="B2886" t="inlineStr">
        <is>
          <t>dd76f21a-91dc-47b5-88e4-ee235f18fb03</t>
        </is>
      </c>
      <c r="D2886" t="inlineStr">
        <is>
          <t>30001087</t>
        </is>
      </c>
      <c r="E2886" t="inlineStr">
        <is>
          <t>ussd_funeral_leads_altitude_20260619</t>
        </is>
      </c>
      <c r="J2886" t="inlineStr">
        <is>
          <t>AA</t>
        </is>
      </c>
      <c r="K2886" t="inlineStr">
        <is>
          <t>Answering Machine Autodial</t>
        </is>
      </c>
      <c r="L2886" t="n">
        <v>3</v>
      </c>
      <c r="M2886" t="inlineStr">
        <is>
          <t>2026-06-23 12:40:23</t>
        </is>
      </c>
      <c r="N2886" t="inlineStr">
        <is>
          <t>system</t>
        </is>
      </c>
      <c r="O2886" t="inlineStr">
        <is>
          <t>2026-06-19 07:10:32</t>
        </is>
      </c>
      <c r="P2886" t="inlineStr">
        <is>
          <t>2026-06-19 07:10:32</t>
        </is>
      </c>
      <c r="Y2886" t="inlineStr">
        <is>
          <t>27825863284</t>
        </is>
      </c>
    </row>
    <row r="2887">
      <c r="A2887" t="inlineStr">
        <is>
          <t>14947057</t>
        </is>
      </c>
      <c r="B2887" t="inlineStr">
        <is>
          <t>68760dc6-a450-4216-b13e-c743089ca777</t>
        </is>
      </c>
      <c r="D2887" t="inlineStr">
        <is>
          <t>30001087</t>
        </is>
      </c>
      <c r="E2887" t="inlineStr">
        <is>
          <t>ussd_funeral_leads_altitude_20260619</t>
        </is>
      </c>
      <c r="J2887" t="inlineStr">
        <is>
          <t>TDN</t>
        </is>
      </c>
      <c r="K2887" t="inlineStr">
        <is>
          <t>Temporary Disconnected Number</t>
        </is>
      </c>
      <c r="L2887" t="n">
        <v>3</v>
      </c>
      <c r="M2887" t="inlineStr">
        <is>
          <t>2026-06-23 12:40:23</t>
        </is>
      </c>
      <c r="N2887" t="inlineStr">
        <is>
          <t>system</t>
        </is>
      </c>
      <c r="O2887" t="inlineStr">
        <is>
          <t>2026-06-19 07:10:32</t>
        </is>
      </c>
      <c r="P2887" t="inlineStr">
        <is>
          <t>2026-06-19 07:10:32</t>
        </is>
      </c>
      <c r="Y2887" t="inlineStr">
        <is>
          <t>27727190706</t>
        </is>
      </c>
    </row>
    <row r="2888">
      <c r="A2888" t="inlineStr">
        <is>
          <t>14945640</t>
        </is>
      </c>
      <c r="B2888" t="inlineStr">
        <is>
          <t>af926667-5edf-41c0-8482-b48d01fdb98e</t>
        </is>
      </c>
      <c r="D2888" t="inlineStr">
        <is>
          <t>30001087</t>
        </is>
      </c>
      <c r="E2888" t="inlineStr">
        <is>
          <t>ussd_funeral_leads_altitude_20260619</t>
        </is>
      </c>
      <c r="J2888" t="inlineStr">
        <is>
          <t>AA</t>
        </is>
      </c>
      <c r="K2888" t="inlineStr">
        <is>
          <t>Answering Machine Autodial</t>
        </is>
      </c>
      <c r="L2888" t="n">
        <v>3</v>
      </c>
      <c r="M2888" t="inlineStr">
        <is>
          <t>2026-06-23 12:40:22</t>
        </is>
      </c>
      <c r="N2888" t="inlineStr">
        <is>
          <t>system</t>
        </is>
      </c>
      <c r="O2888" t="inlineStr">
        <is>
          <t>2026-06-19 07:10:32</t>
        </is>
      </c>
      <c r="P2888" t="inlineStr">
        <is>
          <t>2026-06-19 07:10:32</t>
        </is>
      </c>
      <c r="Y2888" t="inlineStr">
        <is>
          <t>27722001861</t>
        </is>
      </c>
    </row>
    <row r="2889">
      <c r="A2889" t="inlineStr">
        <is>
          <t>14947055</t>
        </is>
      </c>
      <c r="B2889" t="inlineStr">
        <is>
          <t>184d1306-7c60-4fc0-a582-c1dede1e813d</t>
        </is>
      </c>
      <c r="D2889" t="inlineStr">
        <is>
          <t>30001087</t>
        </is>
      </c>
      <c r="E2889" t="inlineStr">
        <is>
          <t>ussd_funeral_leads_altitude_20260619</t>
        </is>
      </c>
      <c r="J2889" t="inlineStr">
        <is>
          <t>NA</t>
        </is>
      </c>
      <c r="K2889" t="inlineStr">
        <is>
          <t>No Answer Autodial</t>
        </is>
      </c>
      <c r="L2889" t="n">
        <v>3</v>
      </c>
      <c r="M2889" t="inlineStr">
        <is>
          <t>2026-06-23 12:40:22</t>
        </is>
      </c>
      <c r="N2889" t="inlineStr">
        <is>
          <t>system</t>
        </is>
      </c>
      <c r="O2889" t="inlineStr">
        <is>
          <t>2026-06-19 07:10:32</t>
        </is>
      </c>
      <c r="P2889" t="inlineStr">
        <is>
          <t>2026-06-19 07:10:32</t>
        </is>
      </c>
      <c r="Y2889" t="inlineStr">
        <is>
          <t>27739055082</t>
        </is>
      </c>
    </row>
    <row r="2890">
      <c r="A2890" t="inlineStr">
        <is>
          <t>14947056</t>
        </is>
      </c>
      <c r="B2890" t="inlineStr">
        <is>
          <t>0f4d9a1a-7dd2-4cb7-909a-ee33f46622c9</t>
        </is>
      </c>
      <c r="D2890" t="inlineStr">
        <is>
          <t>30001087</t>
        </is>
      </c>
      <c r="E2890" t="inlineStr">
        <is>
          <t>ussd_funeral_leads_altitude_20260619</t>
        </is>
      </c>
      <c r="J2890" t="inlineStr">
        <is>
          <t>AA</t>
        </is>
      </c>
      <c r="K2890" t="inlineStr">
        <is>
          <t>Answering Machine Autodial</t>
        </is>
      </c>
      <c r="L2890" t="n">
        <v>3</v>
      </c>
      <c r="M2890" t="inlineStr">
        <is>
          <t>2026-06-23 12:40:22</t>
        </is>
      </c>
      <c r="N2890" t="inlineStr">
        <is>
          <t>system</t>
        </is>
      </c>
      <c r="O2890" t="inlineStr">
        <is>
          <t>2026-06-19 07:10:32</t>
        </is>
      </c>
      <c r="P2890" t="inlineStr">
        <is>
          <t>2026-06-19 07:10:32</t>
        </is>
      </c>
      <c r="Y2890" t="inlineStr">
        <is>
          <t>27608422885</t>
        </is>
      </c>
    </row>
    <row r="2891">
      <c r="A2891" t="inlineStr">
        <is>
          <t>14946902</t>
        </is>
      </c>
      <c r="B2891" t="inlineStr">
        <is>
          <t>41ca1a0d-6119-49c8-82e7-0b99e84c1f03</t>
        </is>
      </c>
      <c r="D2891" t="inlineStr">
        <is>
          <t>30001087</t>
        </is>
      </c>
      <c r="E2891" t="inlineStr">
        <is>
          <t>ussd_funeral_leads_altitude_20260619</t>
        </is>
      </c>
      <c r="J2891" t="inlineStr">
        <is>
          <t>NA</t>
        </is>
      </c>
      <c r="K2891" t="inlineStr">
        <is>
          <t>No Answer Autodial</t>
        </is>
      </c>
      <c r="L2891" t="n">
        <v>3</v>
      </c>
      <c r="M2891" t="inlineStr">
        <is>
          <t>2026-06-23 12:40:21</t>
        </is>
      </c>
      <c r="N2891" t="inlineStr">
        <is>
          <t>system</t>
        </is>
      </c>
      <c r="O2891" t="inlineStr">
        <is>
          <t>2026-06-19 07:10:32</t>
        </is>
      </c>
      <c r="P2891" t="inlineStr">
        <is>
          <t>2026-06-19 07:10:32</t>
        </is>
      </c>
      <c r="Y2891" t="inlineStr">
        <is>
          <t>27761985370</t>
        </is>
      </c>
    </row>
    <row r="2892">
      <c r="A2892" t="inlineStr">
        <is>
          <t>14946901</t>
        </is>
      </c>
      <c r="B2892" t="inlineStr">
        <is>
          <t>4d832cbe-458c-4fe5-bbc7-07b7bd51d5cb</t>
        </is>
      </c>
      <c r="D2892" t="inlineStr">
        <is>
          <t>30001087</t>
        </is>
      </c>
      <c r="E2892" t="inlineStr">
        <is>
          <t>ussd_funeral_leads_altitude_20260619</t>
        </is>
      </c>
      <c r="J2892" t="inlineStr">
        <is>
          <t>AA</t>
        </is>
      </c>
      <c r="K2892" t="inlineStr">
        <is>
          <t>Answering Machine Autodial</t>
        </is>
      </c>
      <c r="L2892" t="n">
        <v>3</v>
      </c>
      <c r="M2892" t="inlineStr">
        <is>
          <t>2026-06-23 12:40:20</t>
        </is>
      </c>
      <c r="N2892" t="inlineStr">
        <is>
          <t>system</t>
        </is>
      </c>
      <c r="O2892" t="inlineStr">
        <is>
          <t>2026-06-19 07:10:32</t>
        </is>
      </c>
      <c r="P2892" t="inlineStr">
        <is>
          <t>2026-06-19 07:10:32</t>
        </is>
      </c>
      <c r="Y2892" t="inlineStr">
        <is>
          <t>27663246267</t>
        </is>
      </c>
    </row>
    <row r="2893">
      <c r="A2893" t="inlineStr">
        <is>
          <t>14946898</t>
        </is>
      </c>
      <c r="B2893" t="inlineStr">
        <is>
          <t>5c1d90bb-a7ef-4446-b421-e2a9bdee3e0c</t>
        </is>
      </c>
      <c r="D2893" t="inlineStr">
        <is>
          <t>30001087</t>
        </is>
      </c>
      <c r="E2893" t="inlineStr">
        <is>
          <t>ussd_funeral_leads_altitude_20260619</t>
        </is>
      </c>
      <c r="J2893" t="inlineStr">
        <is>
          <t>AA</t>
        </is>
      </c>
      <c r="K2893" t="inlineStr">
        <is>
          <t>Answering Machine Autodial</t>
        </is>
      </c>
      <c r="L2893" t="n">
        <v>3</v>
      </c>
      <c r="M2893" t="inlineStr">
        <is>
          <t>2026-06-23 12:40:19</t>
        </is>
      </c>
      <c r="N2893" t="inlineStr">
        <is>
          <t>system</t>
        </is>
      </c>
      <c r="O2893" t="inlineStr">
        <is>
          <t>2026-06-19 07:10:32</t>
        </is>
      </c>
      <c r="P2893" t="inlineStr">
        <is>
          <t>2026-06-19 07:10:32</t>
        </is>
      </c>
      <c r="Y2893" t="inlineStr">
        <is>
          <t>27608362694</t>
        </is>
      </c>
    </row>
    <row r="2894">
      <c r="A2894" t="inlineStr">
        <is>
          <t>14946899</t>
        </is>
      </c>
      <c r="B2894" t="inlineStr">
        <is>
          <t>2cce8024-7447-49d5-8e1d-96326c0505a1</t>
        </is>
      </c>
      <c r="D2894" t="inlineStr">
        <is>
          <t>30001087</t>
        </is>
      </c>
      <c r="E2894" t="inlineStr">
        <is>
          <t>ussd_funeral_leads_altitude_20260619</t>
        </is>
      </c>
      <c r="J2894" t="inlineStr">
        <is>
          <t>U</t>
        </is>
      </c>
      <c r="K2894" t="inlineStr">
        <is>
          <t>Unemployed</t>
        </is>
      </c>
      <c r="L2894" t="n">
        <v>3</v>
      </c>
      <c r="M2894" t="inlineStr">
        <is>
          <t>2026-06-23 12:40:19</t>
        </is>
      </c>
      <c r="N2894" t="inlineStr">
        <is>
          <t>Bongiwe Precious Cele</t>
        </is>
      </c>
      <c r="O2894" t="inlineStr">
        <is>
          <t>2026-06-19 07:10:32</t>
        </is>
      </c>
      <c r="P2894" t="inlineStr">
        <is>
          <t>2026-06-19 07:10:32</t>
        </is>
      </c>
      <c r="Y2894" t="inlineStr">
        <is>
          <t>27762230693</t>
        </is>
      </c>
    </row>
    <row r="2895">
      <c r="A2895" t="inlineStr">
        <is>
          <t>14946048</t>
        </is>
      </c>
      <c r="B2895" t="inlineStr">
        <is>
          <t>15299345-6772-4470-b3bd-74291a40e695</t>
        </is>
      </c>
      <c r="D2895" t="inlineStr">
        <is>
          <t>30001087</t>
        </is>
      </c>
      <c r="E2895" t="inlineStr">
        <is>
          <t>ussd_funeral_leads_altitude_20260619</t>
        </is>
      </c>
      <c r="J2895" t="inlineStr">
        <is>
          <t>AA</t>
        </is>
      </c>
      <c r="K2895" t="inlineStr">
        <is>
          <t>Answering Machine Autodial</t>
        </is>
      </c>
      <c r="L2895" t="n">
        <v>3</v>
      </c>
      <c r="M2895" t="inlineStr">
        <is>
          <t>2026-06-23 12:40:18</t>
        </is>
      </c>
      <c r="N2895" t="inlineStr">
        <is>
          <t>system</t>
        </is>
      </c>
      <c r="O2895" t="inlineStr">
        <is>
          <t>2026-06-19 07:10:32</t>
        </is>
      </c>
      <c r="P2895" t="inlineStr">
        <is>
          <t>2026-06-19 07:10:32</t>
        </is>
      </c>
      <c r="Y2895" t="inlineStr">
        <is>
          <t>27649578430</t>
        </is>
      </c>
    </row>
    <row r="2896">
      <c r="A2896" t="inlineStr">
        <is>
          <t>14946846</t>
        </is>
      </c>
      <c r="B2896" t="inlineStr">
        <is>
          <t>8d4441fa-33fe-4ebd-90eb-4305544ea321</t>
        </is>
      </c>
      <c r="D2896" t="inlineStr">
        <is>
          <t>30001087</t>
        </is>
      </c>
      <c r="E2896" t="inlineStr">
        <is>
          <t>ussd_funeral_leads_altitude_20260619</t>
        </is>
      </c>
      <c r="J2896" t="inlineStr">
        <is>
          <t>AA</t>
        </is>
      </c>
      <c r="K2896" t="inlineStr">
        <is>
          <t>Answering Machine Autodial</t>
        </is>
      </c>
      <c r="L2896" t="n">
        <v>3</v>
      </c>
      <c r="M2896" t="inlineStr">
        <is>
          <t>2026-06-23 12:40:18</t>
        </is>
      </c>
      <c r="N2896" t="inlineStr">
        <is>
          <t>system</t>
        </is>
      </c>
      <c r="O2896" t="inlineStr">
        <is>
          <t>2026-06-19 07:10:32</t>
        </is>
      </c>
      <c r="P2896" t="inlineStr">
        <is>
          <t>2026-06-19 07:10:32</t>
        </is>
      </c>
      <c r="Y2896" t="inlineStr">
        <is>
          <t>27774909805</t>
        </is>
      </c>
    </row>
    <row r="2897">
      <c r="A2897" t="inlineStr">
        <is>
          <t>14946847</t>
        </is>
      </c>
      <c r="B2897" t="inlineStr">
        <is>
          <t>0dbd275b-8d86-46f7-9d25-912c0160af9e</t>
        </is>
      </c>
      <c r="D2897" t="inlineStr">
        <is>
          <t>30001087</t>
        </is>
      </c>
      <c r="E2897" t="inlineStr">
        <is>
          <t>ussd_funeral_leads_altitude_20260619</t>
        </is>
      </c>
      <c r="J2897" t="inlineStr">
        <is>
          <t>NA</t>
        </is>
      </c>
      <c r="K2897" t="inlineStr">
        <is>
          <t>No Answer Autodial</t>
        </is>
      </c>
      <c r="L2897" t="n">
        <v>3</v>
      </c>
      <c r="M2897" t="inlineStr">
        <is>
          <t>2026-06-23 12:40:18</t>
        </is>
      </c>
      <c r="N2897" t="inlineStr">
        <is>
          <t>system</t>
        </is>
      </c>
      <c r="O2897" t="inlineStr">
        <is>
          <t>2026-06-19 07:10:32</t>
        </is>
      </c>
      <c r="P2897" t="inlineStr">
        <is>
          <t>2026-06-19 07:10:32</t>
        </is>
      </c>
      <c r="Y2897" t="inlineStr">
        <is>
          <t>27609571760</t>
        </is>
      </c>
    </row>
    <row r="2898">
      <c r="A2898" t="inlineStr">
        <is>
          <t>14946046</t>
        </is>
      </c>
      <c r="B2898" t="inlineStr">
        <is>
          <t>78161ef9-9f6e-4ab7-9aa4-bfac529ce046</t>
        </is>
      </c>
      <c r="D2898" t="inlineStr">
        <is>
          <t>30001087</t>
        </is>
      </c>
      <c r="E2898" t="inlineStr">
        <is>
          <t>ussd_funeral_leads_altitude_20260619</t>
        </is>
      </c>
      <c r="J2898" t="inlineStr">
        <is>
          <t>AA</t>
        </is>
      </c>
      <c r="K2898" t="inlineStr">
        <is>
          <t>Answering Machine Autodial</t>
        </is>
      </c>
      <c r="L2898" t="n">
        <v>3</v>
      </c>
      <c r="M2898" t="inlineStr">
        <is>
          <t>2026-06-23 12:40:13</t>
        </is>
      </c>
      <c r="N2898" t="inlineStr">
        <is>
          <t>system</t>
        </is>
      </c>
      <c r="O2898" t="inlineStr">
        <is>
          <t>2026-06-19 07:10:32</t>
        </is>
      </c>
      <c r="P2898" t="inlineStr">
        <is>
          <t>2026-06-19 07:10:32</t>
        </is>
      </c>
      <c r="Y2898" t="inlineStr">
        <is>
          <t>27609010769</t>
        </is>
      </c>
    </row>
    <row r="2899">
      <c r="A2899" t="inlineStr">
        <is>
          <t>14946045</t>
        </is>
      </c>
      <c r="B2899" t="inlineStr">
        <is>
          <t>aeaeb3aa-543d-4246-8706-6e338dfd31d7</t>
        </is>
      </c>
      <c r="D2899" t="inlineStr">
        <is>
          <t>30001087</t>
        </is>
      </c>
      <c r="E2899" t="inlineStr">
        <is>
          <t>ussd_funeral_leads_altitude_20260619</t>
        </is>
      </c>
      <c r="J2899" t="inlineStr">
        <is>
          <t>NA</t>
        </is>
      </c>
      <c r="K2899" t="inlineStr">
        <is>
          <t>No Answer Autodial</t>
        </is>
      </c>
      <c r="L2899" t="n">
        <v>3</v>
      </c>
      <c r="M2899" t="inlineStr">
        <is>
          <t>2026-06-23 12:40:10</t>
        </is>
      </c>
      <c r="N2899" t="inlineStr">
        <is>
          <t>system</t>
        </is>
      </c>
      <c r="O2899" t="inlineStr">
        <is>
          <t>2026-06-19 07:10:32</t>
        </is>
      </c>
      <c r="P2899" t="inlineStr">
        <is>
          <t>2026-06-19 07:10:32</t>
        </is>
      </c>
      <c r="Y2899" t="inlineStr">
        <is>
          <t>27723632048</t>
        </is>
      </c>
    </row>
    <row r="2900">
      <c r="A2900" t="inlineStr">
        <is>
          <t>14946044</t>
        </is>
      </c>
      <c r="B2900" t="inlineStr">
        <is>
          <t>63b0d72a-03ad-4a31-9e68-99ed1619a778</t>
        </is>
      </c>
      <c r="D2900" t="inlineStr">
        <is>
          <t>30001087</t>
        </is>
      </c>
      <c r="E2900" t="inlineStr">
        <is>
          <t>ussd_funeral_leads_altitude_20260619</t>
        </is>
      </c>
      <c r="J2900" t="inlineStr">
        <is>
          <t>NA</t>
        </is>
      </c>
      <c r="K2900" t="inlineStr">
        <is>
          <t>No Answer Autodial</t>
        </is>
      </c>
      <c r="L2900" t="n">
        <v>3</v>
      </c>
      <c r="M2900" t="inlineStr">
        <is>
          <t>2026-06-23 12:40:08</t>
        </is>
      </c>
      <c r="N2900" t="inlineStr">
        <is>
          <t>system</t>
        </is>
      </c>
      <c r="O2900" t="inlineStr">
        <is>
          <t>2026-06-19 07:10:32</t>
        </is>
      </c>
      <c r="P2900" t="inlineStr">
        <is>
          <t>2026-06-19 07:10:32</t>
        </is>
      </c>
      <c r="Y2900" t="inlineStr">
        <is>
          <t>27798452891</t>
        </is>
      </c>
    </row>
    <row r="2901">
      <c r="A2901" t="inlineStr">
        <is>
          <t>14946043</t>
        </is>
      </c>
      <c r="B2901" t="inlineStr">
        <is>
          <t>5b1d2168-59b3-4c60-a075-52cda67810c6</t>
        </is>
      </c>
      <c r="D2901" t="inlineStr">
        <is>
          <t>30001087</t>
        </is>
      </c>
      <c r="E2901" t="inlineStr">
        <is>
          <t>ussd_funeral_leads_altitude_20260619</t>
        </is>
      </c>
      <c r="J2901" t="inlineStr">
        <is>
          <t>AA</t>
        </is>
      </c>
      <c r="K2901" t="inlineStr">
        <is>
          <t>Answering Machine Autodial</t>
        </is>
      </c>
      <c r="L2901" t="n">
        <v>3</v>
      </c>
      <c r="M2901" t="inlineStr">
        <is>
          <t>2026-06-23 12:40:07</t>
        </is>
      </c>
      <c r="N2901" t="inlineStr">
        <is>
          <t>system</t>
        </is>
      </c>
      <c r="O2901" t="inlineStr">
        <is>
          <t>2026-06-19 07:10:32</t>
        </is>
      </c>
      <c r="P2901" t="inlineStr">
        <is>
          <t>2026-06-19 07:10:32</t>
        </is>
      </c>
      <c r="Y2901" t="inlineStr">
        <is>
          <t>27606529019</t>
        </is>
      </c>
    </row>
    <row r="2902">
      <c r="A2902" t="inlineStr">
        <is>
          <t>14946040</t>
        </is>
      </c>
      <c r="B2902" t="inlineStr">
        <is>
          <t>f340340e-7625-472a-8dbd-6975e720b0d0</t>
        </is>
      </c>
      <c r="D2902" t="inlineStr">
        <is>
          <t>30001087</t>
        </is>
      </c>
      <c r="E2902" t="inlineStr">
        <is>
          <t>ussd_funeral_leads_altitude_20260619</t>
        </is>
      </c>
      <c r="J2902" t="inlineStr">
        <is>
          <t>NA</t>
        </is>
      </c>
      <c r="K2902" t="inlineStr">
        <is>
          <t>No Answer Autodial</t>
        </is>
      </c>
      <c r="L2902" t="n">
        <v>3</v>
      </c>
      <c r="M2902" t="inlineStr">
        <is>
          <t>2026-06-23 12:40:06</t>
        </is>
      </c>
      <c r="N2902" t="inlineStr">
        <is>
          <t>system</t>
        </is>
      </c>
      <c r="O2902" t="inlineStr">
        <is>
          <t>2026-06-19 07:10:32</t>
        </is>
      </c>
      <c r="P2902" t="inlineStr">
        <is>
          <t>2026-06-19 07:10:32</t>
        </is>
      </c>
      <c r="Y2902" t="inlineStr">
        <is>
          <t>27728255947</t>
        </is>
      </c>
    </row>
    <row r="2903">
      <c r="A2903" t="inlineStr">
        <is>
          <t>14946042</t>
        </is>
      </c>
      <c r="B2903" t="inlineStr">
        <is>
          <t>7f7f6352-c2ce-4a0e-83af-9c7073236d25</t>
        </is>
      </c>
      <c r="D2903" t="inlineStr">
        <is>
          <t>30001087</t>
        </is>
      </c>
      <c r="E2903" t="inlineStr">
        <is>
          <t>ussd_funeral_leads_altitude_20260619</t>
        </is>
      </c>
      <c r="J2903" t="inlineStr">
        <is>
          <t>CU</t>
        </is>
      </c>
      <c r="K2903" t="inlineStr">
        <is>
          <t>Client Hung Up</t>
        </is>
      </c>
      <c r="L2903" t="n">
        <v>3</v>
      </c>
      <c r="M2903" t="inlineStr">
        <is>
          <t>2026-06-23 12:40:06</t>
        </is>
      </c>
      <c r="N2903" t="inlineStr">
        <is>
          <t>Virginia Letsatsi</t>
        </is>
      </c>
      <c r="O2903" t="inlineStr">
        <is>
          <t>2026-06-19 07:10:32</t>
        </is>
      </c>
      <c r="P2903" t="inlineStr">
        <is>
          <t>2026-06-19 07:10:32</t>
        </is>
      </c>
      <c r="Y2903" t="inlineStr">
        <is>
          <t>27660626952</t>
        </is>
      </c>
    </row>
    <row r="2904">
      <c r="A2904" t="inlineStr">
        <is>
          <t>14946039</t>
        </is>
      </c>
      <c r="B2904" t="inlineStr">
        <is>
          <t>67f991f8-fb71-4dc3-a1ea-24592665073f</t>
        </is>
      </c>
      <c r="D2904" t="inlineStr">
        <is>
          <t>30001087</t>
        </is>
      </c>
      <c r="E2904" t="inlineStr">
        <is>
          <t>ussd_funeral_leads_altitude_20260619</t>
        </is>
      </c>
      <c r="J2904" t="inlineStr">
        <is>
          <t>AA</t>
        </is>
      </c>
      <c r="K2904" t="inlineStr">
        <is>
          <t>Answering Machine Autodial</t>
        </is>
      </c>
      <c r="L2904" t="n">
        <v>3</v>
      </c>
      <c r="M2904" t="inlineStr">
        <is>
          <t>2026-06-23 12:40:02</t>
        </is>
      </c>
      <c r="N2904" t="inlineStr">
        <is>
          <t>system</t>
        </is>
      </c>
      <c r="O2904" t="inlineStr">
        <is>
          <t>2026-06-19 07:10:32</t>
        </is>
      </c>
      <c r="P2904" t="inlineStr">
        <is>
          <t>2026-06-19 07:10:32</t>
        </is>
      </c>
      <c r="Y2904" t="inlineStr">
        <is>
          <t>27647919204</t>
        </is>
      </c>
    </row>
    <row r="2905">
      <c r="A2905" t="inlineStr">
        <is>
          <t>14946038</t>
        </is>
      </c>
      <c r="B2905" t="inlineStr">
        <is>
          <t>12a353e2-aad9-4c3e-8dd9-036b33427535</t>
        </is>
      </c>
      <c r="D2905" t="inlineStr">
        <is>
          <t>30001087</t>
        </is>
      </c>
      <c r="E2905" t="inlineStr">
        <is>
          <t>ussd_funeral_leads_altitude_20260619</t>
        </is>
      </c>
      <c r="J2905" t="inlineStr">
        <is>
          <t>AA</t>
        </is>
      </c>
      <c r="K2905" t="inlineStr">
        <is>
          <t>Answering Machine Autodial</t>
        </is>
      </c>
      <c r="L2905" t="n">
        <v>3</v>
      </c>
      <c r="M2905" t="inlineStr">
        <is>
          <t>2026-06-23 12:40:01</t>
        </is>
      </c>
      <c r="N2905" t="inlineStr">
        <is>
          <t>system</t>
        </is>
      </c>
      <c r="O2905" t="inlineStr">
        <is>
          <t>2026-06-19 07:10:32</t>
        </is>
      </c>
      <c r="P2905" t="inlineStr">
        <is>
          <t>2026-06-19 07:10:32</t>
        </is>
      </c>
      <c r="Y2905" t="inlineStr">
        <is>
          <t>27607296766</t>
        </is>
      </c>
    </row>
    <row r="2906">
      <c r="A2906" t="inlineStr">
        <is>
          <t>14946035</t>
        </is>
      </c>
      <c r="B2906" t="inlineStr">
        <is>
          <t>9bb37440-0254-401c-ba8b-ab759f4b74e7</t>
        </is>
      </c>
      <c r="D2906" t="inlineStr">
        <is>
          <t>30001087</t>
        </is>
      </c>
      <c r="E2906" t="inlineStr">
        <is>
          <t>ussd_funeral_leads_altitude_20260619</t>
        </is>
      </c>
      <c r="J2906" t="inlineStr">
        <is>
          <t>AA</t>
        </is>
      </c>
      <c r="K2906" t="inlineStr">
        <is>
          <t>Answering Machine Autodial</t>
        </is>
      </c>
      <c r="L2906" t="n">
        <v>3</v>
      </c>
      <c r="M2906" t="inlineStr">
        <is>
          <t>2026-06-23 12:40:00</t>
        </is>
      </c>
      <c r="N2906" t="inlineStr">
        <is>
          <t>system</t>
        </is>
      </c>
      <c r="O2906" t="inlineStr">
        <is>
          <t>2026-06-19 07:10:32</t>
        </is>
      </c>
      <c r="P2906" t="inlineStr">
        <is>
          <t>2026-06-19 07:10:32</t>
        </is>
      </c>
      <c r="Y2906" t="inlineStr">
        <is>
          <t>27608276505</t>
        </is>
      </c>
    </row>
    <row r="2907">
      <c r="A2907" t="inlineStr">
        <is>
          <t>14946036</t>
        </is>
      </c>
      <c r="B2907" t="inlineStr">
        <is>
          <t>85bf2ddd-bf63-4012-8391-5a9efeb17d42</t>
        </is>
      </c>
      <c r="D2907" t="inlineStr">
        <is>
          <t>30001087</t>
        </is>
      </c>
      <c r="E2907" t="inlineStr">
        <is>
          <t>ussd_funeral_leads_altitude_20260619</t>
        </is>
      </c>
      <c r="J2907" t="inlineStr">
        <is>
          <t>AA</t>
        </is>
      </c>
      <c r="K2907" t="inlineStr">
        <is>
          <t>Answering Machine Autodial</t>
        </is>
      </c>
      <c r="L2907" t="n">
        <v>3</v>
      </c>
      <c r="M2907" t="inlineStr">
        <is>
          <t>2026-06-23 12:40:00</t>
        </is>
      </c>
      <c r="N2907" t="inlineStr">
        <is>
          <t>system</t>
        </is>
      </c>
      <c r="O2907" t="inlineStr">
        <is>
          <t>2026-06-19 07:10:32</t>
        </is>
      </c>
      <c r="P2907" t="inlineStr">
        <is>
          <t>2026-06-19 07:10:32</t>
        </is>
      </c>
      <c r="Y2907" t="inlineStr">
        <is>
          <t>27665743951</t>
        </is>
      </c>
    </row>
    <row r="2908">
      <c r="A2908" t="inlineStr">
        <is>
          <t>14946017</t>
        </is>
      </c>
      <c r="B2908" t="inlineStr">
        <is>
          <t>dbed95be-c8f1-409b-8e13-4eefd332f501</t>
        </is>
      </c>
      <c r="D2908" t="inlineStr">
        <is>
          <t>30001087</t>
        </is>
      </c>
      <c r="E2908" t="inlineStr">
        <is>
          <t>ussd_funeral_leads_altitude_20260619</t>
        </is>
      </c>
      <c r="J2908" t="inlineStr">
        <is>
          <t>AA</t>
        </is>
      </c>
      <c r="K2908" t="inlineStr">
        <is>
          <t>Answering Machine Autodial</t>
        </is>
      </c>
      <c r="L2908" t="n">
        <v>3</v>
      </c>
      <c r="M2908" t="inlineStr">
        <is>
          <t>2026-06-23 12:39:48</t>
        </is>
      </c>
      <c r="N2908" t="inlineStr">
        <is>
          <t>system</t>
        </is>
      </c>
      <c r="O2908" t="inlineStr">
        <is>
          <t>2026-06-19 07:10:32</t>
        </is>
      </c>
      <c r="P2908" t="inlineStr">
        <is>
          <t>2026-06-19 07:10:32</t>
        </is>
      </c>
      <c r="Y2908" t="inlineStr">
        <is>
          <t>27728399802</t>
        </is>
      </c>
    </row>
    <row r="2909">
      <c r="A2909" t="inlineStr">
        <is>
          <t>14946018</t>
        </is>
      </c>
      <c r="B2909" t="inlineStr">
        <is>
          <t>e94c15bf-a6a6-4017-aa21-b8b150edfe3c</t>
        </is>
      </c>
      <c r="D2909" t="inlineStr">
        <is>
          <t>30001087</t>
        </is>
      </c>
      <c r="E2909" t="inlineStr">
        <is>
          <t>ussd_funeral_leads_altitude_20260619</t>
        </is>
      </c>
      <c r="J2909" t="inlineStr">
        <is>
          <t>ADC</t>
        </is>
      </c>
      <c r="K2909" t="inlineStr">
        <is>
          <t>Auto Dial Disconnected</t>
        </is>
      </c>
      <c r="L2909" t="n">
        <v>3</v>
      </c>
      <c r="M2909" t="inlineStr">
        <is>
          <t>2026-06-23 12:39:48</t>
        </is>
      </c>
      <c r="N2909" t="inlineStr">
        <is>
          <t>system</t>
        </is>
      </c>
      <c r="O2909" t="inlineStr">
        <is>
          <t>2026-06-19 07:10:32</t>
        </is>
      </c>
      <c r="P2909" t="inlineStr">
        <is>
          <t>2026-06-19 07:10:32</t>
        </is>
      </c>
      <c r="Y2909" t="inlineStr">
        <is>
          <t>27728711713</t>
        </is>
      </c>
    </row>
    <row r="2910">
      <c r="A2910" t="inlineStr">
        <is>
          <t>14946033</t>
        </is>
      </c>
      <c r="B2910" t="inlineStr">
        <is>
          <t>bccff0cd-b932-4215-907b-1691f9c91616</t>
        </is>
      </c>
      <c r="D2910" t="inlineStr">
        <is>
          <t>30001087</t>
        </is>
      </c>
      <c r="E2910" t="inlineStr">
        <is>
          <t>ussd_funeral_leads_altitude_20260619</t>
        </is>
      </c>
      <c r="J2910" t="inlineStr">
        <is>
          <t>AA</t>
        </is>
      </c>
      <c r="K2910" t="inlineStr">
        <is>
          <t>Answering Machine Autodial</t>
        </is>
      </c>
      <c r="L2910" t="n">
        <v>3</v>
      </c>
      <c r="M2910" t="inlineStr">
        <is>
          <t>2026-06-23 12:39:48</t>
        </is>
      </c>
      <c r="N2910" t="inlineStr">
        <is>
          <t>system</t>
        </is>
      </c>
      <c r="O2910" t="inlineStr">
        <is>
          <t>2026-06-19 07:10:32</t>
        </is>
      </c>
      <c r="P2910" t="inlineStr">
        <is>
          <t>2026-06-19 07:10:32</t>
        </is>
      </c>
      <c r="Y2910" t="inlineStr">
        <is>
          <t>27762537231</t>
        </is>
      </c>
    </row>
    <row r="2911">
      <c r="A2911" t="inlineStr">
        <is>
          <t>14946016</t>
        </is>
      </c>
      <c r="B2911" t="inlineStr">
        <is>
          <t>90890b9c-c6c0-4f3c-8bca-8d349b98fe29</t>
        </is>
      </c>
      <c r="D2911" t="inlineStr">
        <is>
          <t>30001087</t>
        </is>
      </c>
      <c r="E2911" t="inlineStr">
        <is>
          <t>ussd_funeral_leads_altitude_20260619</t>
        </is>
      </c>
      <c r="J2911" t="inlineStr">
        <is>
          <t>AE</t>
        </is>
      </c>
      <c r="K2911" t="inlineStr">
        <is>
          <t>Auto Engaged</t>
        </is>
      </c>
      <c r="L2911" t="n">
        <v>3</v>
      </c>
      <c r="M2911" t="inlineStr">
        <is>
          <t>2026-06-23 12:39:01</t>
        </is>
      </c>
      <c r="N2911" t="inlineStr">
        <is>
          <t>system</t>
        </is>
      </c>
      <c r="O2911" t="inlineStr">
        <is>
          <t>2026-06-19 07:10:32</t>
        </is>
      </c>
      <c r="P2911" t="inlineStr">
        <is>
          <t>2026-06-19 07:10:32</t>
        </is>
      </c>
      <c r="Y2911" t="inlineStr">
        <is>
          <t>27763685938</t>
        </is>
      </c>
    </row>
    <row r="2912">
      <c r="A2912" t="inlineStr">
        <is>
          <t>14946015</t>
        </is>
      </c>
      <c r="B2912" t="inlineStr">
        <is>
          <t>306660ed-930d-4912-a677-31dc6fd1edd3</t>
        </is>
      </c>
      <c r="D2912" t="inlineStr">
        <is>
          <t>30001087</t>
        </is>
      </c>
      <c r="E2912" t="inlineStr">
        <is>
          <t>ussd_funeral_leads_altitude_20260619</t>
        </is>
      </c>
      <c r="J2912" t="inlineStr">
        <is>
          <t>AA</t>
        </is>
      </c>
      <c r="K2912" t="inlineStr">
        <is>
          <t>Answering Machine Autodial</t>
        </is>
      </c>
      <c r="L2912" t="n">
        <v>3</v>
      </c>
      <c r="M2912" t="inlineStr">
        <is>
          <t>2026-06-23 12:38:56</t>
        </is>
      </c>
      <c r="N2912" t="inlineStr">
        <is>
          <t>system</t>
        </is>
      </c>
      <c r="O2912" t="inlineStr">
        <is>
          <t>2026-06-19 07:10:32</t>
        </is>
      </c>
      <c r="P2912" t="inlineStr">
        <is>
          <t>2026-06-19 07:10:32</t>
        </is>
      </c>
      <c r="Y2912" t="inlineStr">
        <is>
          <t>27646277545</t>
        </is>
      </c>
    </row>
    <row r="2913">
      <c r="A2913" t="inlineStr">
        <is>
          <t>14946014</t>
        </is>
      </c>
      <c r="B2913" t="inlineStr">
        <is>
          <t>f41c7baf-88e5-40a6-8692-c84c47770109</t>
        </is>
      </c>
      <c r="D2913" t="inlineStr">
        <is>
          <t>30001087</t>
        </is>
      </c>
      <c r="E2913" t="inlineStr">
        <is>
          <t>ussd_funeral_leads_altitude_20260619</t>
        </is>
      </c>
      <c r="J2913" t="inlineStr">
        <is>
          <t>ADC</t>
        </is>
      </c>
      <c r="K2913" t="inlineStr">
        <is>
          <t>Auto Dial Disconnected</t>
        </is>
      </c>
      <c r="L2913" t="n">
        <v>3</v>
      </c>
      <c r="M2913" t="inlineStr">
        <is>
          <t>2026-06-23 12:38:55</t>
        </is>
      </c>
      <c r="N2913" t="inlineStr">
        <is>
          <t>system</t>
        </is>
      </c>
      <c r="O2913" t="inlineStr">
        <is>
          <t>2026-06-19 07:10:32</t>
        </is>
      </c>
      <c r="P2913" t="inlineStr">
        <is>
          <t>2026-06-19 07:10:32</t>
        </is>
      </c>
      <c r="Y2913" t="inlineStr">
        <is>
          <t>27798501862</t>
        </is>
      </c>
    </row>
    <row r="2914">
      <c r="A2914" t="inlineStr">
        <is>
          <t>14945911</t>
        </is>
      </c>
      <c r="B2914" t="inlineStr">
        <is>
          <t>0393a52f-e5f2-4585-ae39-66534ff5f4d3</t>
        </is>
      </c>
      <c r="D2914" t="inlineStr">
        <is>
          <t>30001087</t>
        </is>
      </c>
      <c r="E2914" t="inlineStr">
        <is>
          <t>ussd_funeral_leads_altitude_20260619</t>
        </is>
      </c>
      <c r="J2914" t="inlineStr">
        <is>
          <t>DC</t>
        </is>
      </c>
      <c r="K2914" t="inlineStr">
        <is>
          <t>Disconnected</t>
        </is>
      </c>
      <c r="L2914" t="n">
        <v>3</v>
      </c>
      <c r="M2914" t="inlineStr">
        <is>
          <t>2026-06-23 12:38:53</t>
        </is>
      </c>
      <c r="N2914" t="inlineStr">
        <is>
          <t>Dimakatso Nkomo</t>
        </is>
      </c>
      <c r="O2914" t="inlineStr">
        <is>
          <t>2026-06-19 07:10:32</t>
        </is>
      </c>
      <c r="P2914" t="inlineStr">
        <is>
          <t>2026-06-19 07:10:32</t>
        </is>
      </c>
      <c r="Y2914" t="inlineStr">
        <is>
          <t>27769727295</t>
        </is>
      </c>
    </row>
    <row r="2915">
      <c r="A2915" t="inlineStr">
        <is>
          <t>14945910</t>
        </is>
      </c>
      <c r="B2915" t="inlineStr">
        <is>
          <t>0f6a666c-2f0c-4f6c-b8aa-b8e11669be07</t>
        </is>
      </c>
      <c r="D2915" t="inlineStr">
        <is>
          <t>30001087</t>
        </is>
      </c>
      <c r="E2915" t="inlineStr">
        <is>
          <t>ussd_funeral_leads_altitude_20260619</t>
        </is>
      </c>
      <c r="J2915" t="inlineStr">
        <is>
          <t>AA</t>
        </is>
      </c>
      <c r="K2915" t="inlineStr">
        <is>
          <t>Answering Machine Autodial</t>
        </is>
      </c>
      <c r="L2915" t="n">
        <v>3</v>
      </c>
      <c r="M2915" t="inlineStr">
        <is>
          <t>2026-06-23 12:38:48</t>
        </is>
      </c>
      <c r="N2915" t="inlineStr">
        <is>
          <t>system</t>
        </is>
      </c>
      <c r="O2915" t="inlineStr">
        <is>
          <t>2026-06-19 07:10:32</t>
        </is>
      </c>
      <c r="P2915" t="inlineStr">
        <is>
          <t>2026-06-19 07:10:32</t>
        </is>
      </c>
      <c r="Y2915" t="inlineStr">
        <is>
          <t>27664143661</t>
        </is>
      </c>
    </row>
    <row r="2916">
      <c r="A2916" t="inlineStr">
        <is>
          <t>14945908</t>
        </is>
      </c>
      <c r="B2916" t="inlineStr">
        <is>
          <t>66a4d0e6-9d8d-4bf5-a6e3-cddf3346b36c</t>
        </is>
      </c>
      <c r="D2916" t="inlineStr">
        <is>
          <t>30001087</t>
        </is>
      </c>
      <c r="E2916" t="inlineStr">
        <is>
          <t>ussd_funeral_leads_altitude_20260619</t>
        </is>
      </c>
      <c r="J2916" t="inlineStr">
        <is>
          <t>AA</t>
        </is>
      </c>
      <c r="K2916" t="inlineStr">
        <is>
          <t>Answering Machine Autodial</t>
        </is>
      </c>
      <c r="L2916" t="n">
        <v>3</v>
      </c>
      <c r="M2916" t="inlineStr">
        <is>
          <t>2026-06-23 12:38:47</t>
        </is>
      </c>
      <c r="N2916" t="inlineStr">
        <is>
          <t>system</t>
        </is>
      </c>
      <c r="O2916" t="inlineStr">
        <is>
          <t>2026-06-19 07:10:32</t>
        </is>
      </c>
      <c r="P2916" t="inlineStr">
        <is>
          <t>2026-06-19 07:10:32</t>
        </is>
      </c>
      <c r="Y2916" t="inlineStr">
        <is>
          <t>27609257281</t>
        </is>
      </c>
    </row>
    <row r="2917">
      <c r="A2917" t="inlineStr">
        <is>
          <t>14945909</t>
        </is>
      </c>
      <c r="B2917" t="inlineStr">
        <is>
          <t>67bfd847-cf12-4ccc-badb-6f190b0bb5e6</t>
        </is>
      </c>
      <c r="D2917" t="inlineStr">
        <is>
          <t>30001087</t>
        </is>
      </c>
      <c r="E2917" t="inlineStr">
        <is>
          <t>ussd_funeral_leads_altitude_20260619</t>
        </is>
      </c>
      <c r="J2917" t="inlineStr">
        <is>
          <t>AA</t>
        </is>
      </c>
      <c r="K2917" t="inlineStr">
        <is>
          <t>Answering Machine Autodial</t>
        </is>
      </c>
      <c r="L2917" t="n">
        <v>3</v>
      </c>
      <c r="M2917" t="inlineStr">
        <is>
          <t>2026-06-23 12:38:47</t>
        </is>
      </c>
      <c r="N2917" t="inlineStr">
        <is>
          <t>system</t>
        </is>
      </c>
      <c r="O2917" t="inlineStr">
        <is>
          <t>2026-06-19 07:10:32</t>
        </is>
      </c>
      <c r="P2917" t="inlineStr">
        <is>
          <t>2026-06-19 07:10:32</t>
        </is>
      </c>
      <c r="Y2917" t="inlineStr">
        <is>
          <t>27727213293</t>
        </is>
      </c>
    </row>
    <row r="2918">
      <c r="A2918" t="inlineStr">
        <is>
          <t>14945893</t>
        </is>
      </c>
      <c r="B2918" t="inlineStr">
        <is>
          <t>74a8fe1e-3ba2-4545-89a7-ee453f4b1072</t>
        </is>
      </c>
      <c r="D2918" t="inlineStr">
        <is>
          <t>30001087</t>
        </is>
      </c>
      <c r="E2918" t="inlineStr">
        <is>
          <t>ussd_funeral_leads_altitude_20260619</t>
        </is>
      </c>
      <c r="J2918" t="inlineStr">
        <is>
          <t>NA</t>
        </is>
      </c>
      <c r="K2918" t="inlineStr">
        <is>
          <t>No Answer Autodial</t>
        </is>
      </c>
      <c r="L2918" t="n">
        <v>3</v>
      </c>
      <c r="M2918" t="inlineStr">
        <is>
          <t>2026-06-23 12:38:46</t>
        </is>
      </c>
      <c r="N2918" t="inlineStr">
        <is>
          <t>system</t>
        </is>
      </c>
      <c r="O2918" t="inlineStr">
        <is>
          <t>2026-06-19 07:10:32</t>
        </is>
      </c>
      <c r="P2918" t="inlineStr">
        <is>
          <t>2026-06-19 07:10:32</t>
        </is>
      </c>
      <c r="Y2918" t="inlineStr">
        <is>
          <t>27765987692</t>
        </is>
      </c>
    </row>
    <row r="2919">
      <c r="A2919" t="inlineStr">
        <is>
          <t>14945906</t>
        </is>
      </c>
      <c r="B2919" t="inlineStr">
        <is>
          <t>0fc13d9a-4d3c-48f8-ab00-cc1cd49738a2</t>
        </is>
      </c>
      <c r="D2919" t="inlineStr">
        <is>
          <t>30001087</t>
        </is>
      </c>
      <c r="E2919" t="inlineStr">
        <is>
          <t>ussd_funeral_leads_altitude_20260619</t>
        </is>
      </c>
      <c r="J2919" t="inlineStr">
        <is>
          <t>AA</t>
        </is>
      </c>
      <c r="K2919" t="inlineStr">
        <is>
          <t>Answering Machine Autodial</t>
        </is>
      </c>
      <c r="L2919" t="n">
        <v>3</v>
      </c>
      <c r="M2919" t="inlineStr">
        <is>
          <t>2026-06-23 12:38:45</t>
        </is>
      </c>
      <c r="N2919" t="inlineStr">
        <is>
          <t>system</t>
        </is>
      </c>
      <c r="O2919" t="inlineStr">
        <is>
          <t>2026-06-19 07:10:32</t>
        </is>
      </c>
      <c r="P2919" t="inlineStr">
        <is>
          <t>2026-06-19 07:10:32</t>
        </is>
      </c>
      <c r="Y2919" t="inlineStr">
        <is>
          <t>27646485623</t>
        </is>
      </c>
    </row>
    <row r="2920">
      <c r="A2920" t="inlineStr">
        <is>
          <t>14945907</t>
        </is>
      </c>
      <c r="B2920" t="inlineStr">
        <is>
          <t>728d8db9-5515-40a7-bda5-905ccb6762b8</t>
        </is>
      </c>
      <c r="D2920" t="inlineStr">
        <is>
          <t>30001087</t>
        </is>
      </c>
      <c r="E2920" t="inlineStr">
        <is>
          <t>ussd_funeral_leads_altitude_20260619</t>
        </is>
      </c>
      <c r="J2920" t="inlineStr">
        <is>
          <t>AA</t>
        </is>
      </c>
      <c r="K2920" t="inlineStr">
        <is>
          <t>Answering Machine Autodial</t>
        </is>
      </c>
      <c r="L2920" t="n">
        <v>3</v>
      </c>
      <c r="M2920" t="inlineStr">
        <is>
          <t>2026-06-23 12:38:45</t>
        </is>
      </c>
      <c r="N2920" t="inlineStr">
        <is>
          <t>system</t>
        </is>
      </c>
      <c r="O2920" t="inlineStr">
        <is>
          <t>2026-06-19 07:10:32</t>
        </is>
      </c>
      <c r="P2920" t="inlineStr">
        <is>
          <t>2026-06-19 07:10:32</t>
        </is>
      </c>
      <c r="Y2920" t="inlineStr">
        <is>
          <t>27722856711</t>
        </is>
      </c>
    </row>
    <row r="2921">
      <c r="A2921" t="inlineStr">
        <is>
          <t>14945892</t>
        </is>
      </c>
      <c r="B2921" t="inlineStr">
        <is>
          <t>7b63bbad-288b-48d4-8a88-e3e97797d4ad</t>
        </is>
      </c>
      <c r="D2921" t="inlineStr">
        <is>
          <t>30001087</t>
        </is>
      </c>
      <c r="E2921" t="inlineStr">
        <is>
          <t>ussd_funeral_leads_altitude_20260619</t>
        </is>
      </c>
      <c r="J2921" t="inlineStr">
        <is>
          <t>NA</t>
        </is>
      </c>
      <c r="K2921" t="inlineStr">
        <is>
          <t>No Answer Autodial</t>
        </is>
      </c>
      <c r="L2921" t="n">
        <v>3</v>
      </c>
      <c r="M2921" t="inlineStr">
        <is>
          <t>2026-06-23 12:38:43</t>
        </is>
      </c>
      <c r="N2921" t="inlineStr">
        <is>
          <t>system</t>
        </is>
      </c>
      <c r="O2921" t="inlineStr">
        <is>
          <t>2026-06-19 07:10:32</t>
        </is>
      </c>
      <c r="P2921" t="inlineStr">
        <is>
          <t>2026-06-19 07:10:32</t>
        </is>
      </c>
      <c r="Y2921" t="inlineStr">
        <is>
          <t>27767397934</t>
        </is>
      </c>
    </row>
    <row r="2922">
      <c r="A2922" t="inlineStr">
        <is>
          <t>14945889</t>
        </is>
      </c>
      <c r="B2922" t="inlineStr">
        <is>
          <t>fb12f756-2f1d-49be-bd8a-3ffaf9006f6f</t>
        </is>
      </c>
      <c r="D2922" t="inlineStr">
        <is>
          <t>30001087</t>
        </is>
      </c>
      <c r="E2922" t="inlineStr">
        <is>
          <t>ussd_funeral_leads_altitude_20260619</t>
        </is>
      </c>
      <c r="J2922" t="inlineStr">
        <is>
          <t>AA</t>
        </is>
      </c>
      <c r="K2922" t="inlineStr">
        <is>
          <t>Answering Machine Autodial</t>
        </is>
      </c>
      <c r="L2922" t="n">
        <v>3</v>
      </c>
      <c r="M2922" t="inlineStr">
        <is>
          <t>2026-06-23 12:38:42</t>
        </is>
      </c>
      <c r="N2922" t="inlineStr">
        <is>
          <t>system</t>
        </is>
      </c>
      <c r="O2922" t="inlineStr">
        <is>
          <t>2026-06-19 07:10:32</t>
        </is>
      </c>
      <c r="P2922" t="inlineStr">
        <is>
          <t>2026-06-19 07:10:32</t>
        </is>
      </c>
      <c r="Y2922" t="inlineStr">
        <is>
          <t>27649617532</t>
        </is>
      </c>
    </row>
    <row r="2923">
      <c r="A2923" t="inlineStr">
        <is>
          <t>14945891</t>
        </is>
      </c>
      <c r="B2923" t="inlineStr">
        <is>
          <t>cdea5f3f-ae39-47ca-8d3d-464bf5ecce00</t>
        </is>
      </c>
      <c r="D2923" t="inlineStr">
        <is>
          <t>30001087</t>
        </is>
      </c>
      <c r="E2923" t="inlineStr">
        <is>
          <t>ussd_funeral_leads_altitude_20260619</t>
        </is>
      </c>
      <c r="J2923" t="inlineStr">
        <is>
          <t>ADC</t>
        </is>
      </c>
      <c r="K2923" t="inlineStr">
        <is>
          <t>Auto Dial Disconnected</t>
        </is>
      </c>
      <c r="L2923" t="n">
        <v>3</v>
      </c>
      <c r="M2923" t="inlineStr">
        <is>
          <t>2026-06-23 12:38:42</t>
        </is>
      </c>
      <c r="N2923" t="inlineStr">
        <is>
          <t>system</t>
        </is>
      </c>
      <c r="O2923" t="inlineStr">
        <is>
          <t>2026-06-19 07:10:32</t>
        </is>
      </c>
      <c r="P2923" t="inlineStr">
        <is>
          <t>2026-06-19 07:10:32</t>
        </is>
      </c>
      <c r="Y2923" t="inlineStr">
        <is>
          <t>27799365009</t>
        </is>
      </c>
    </row>
    <row r="2924">
      <c r="A2924" t="inlineStr">
        <is>
          <t>14945885</t>
        </is>
      </c>
      <c r="B2924" t="inlineStr">
        <is>
          <t>c30de63e-e490-4d57-860b-9999272f99f8</t>
        </is>
      </c>
      <c r="D2924" t="inlineStr">
        <is>
          <t>30001087</t>
        </is>
      </c>
      <c r="E2924" t="inlineStr">
        <is>
          <t>ussd_funeral_leads_altitude_20260619</t>
        </is>
      </c>
      <c r="J2924" t="inlineStr">
        <is>
          <t>AA</t>
        </is>
      </c>
      <c r="K2924" t="inlineStr">
        <is>
          <t>Answering Machine Autodial</t>
        </is>
      </c>
      <c r="L2924" t="n">
        <v>3</v>
      </c>
      <c r="M2924" t="inlineStr">
        <is>
          <t>2026-06-23 12:38:41</t>
        </is>
      </c>
      <c r="N2924" t="inlineStr">
        <is>
          <t>system</t>
        </is>
      </c>
      <c r="O2924" t="inlineStr">
        <is>
          <t>2026-06-19 07:10:32</t>
        </is>
      </c>
      <c r="P2924" t="inlineStr">
        <is>
          <t>2026-06-19 07:10:32</t>
        </is>
      </c>
      <c r="Y2924" t="inlineStr">
        <is>
          <t>27794787379</t>
        </is>
      </c>
    </row>
    <row r="2925">
      <c r="A2925" t="inlineStr">
        <is>
          <t>14945886</t>
        </is>
      </c>
      <c r="B2925" t="inlineStr">
        <is>
          <t>597e88af-1b3a-40d4-b2bd-89b5a50ae0ba</t>
        </is>
      </c>
      <c r="D2925" t="inlineStr">
        <is>
          <t>30001087</t>
        </is>
      </c>
      <c r="E2925" t="inlineStr">
        <is>
          <t>ussd_funeral_leads_altitude_20260619</t>
        </is>
      </c>
      <c r="J2925" t="inlineStr">
        <is>
          <t>AA</t>
        </is>
      </c>
      <c r="K2925" t="inlineStr">
        <is>
          <t>Answering Machine Autodial</t>
        </is>
      </c>
      <c r="L2925" t="n">
        <v>3</v>
      </c>
      <c r="M2925" t="inlineStr">
        <is>
          <t>2026-06-23 12:38:41</t>
        </is>
      </c>
      <c r="N2925" t="inlineStr">
        <is>
          <t>system</t>
        </is>
      </c>
      <c r="O2925" t="inlineStr">
        <is>
          <t>2026-06-19 07:10:32</t>
        </is>
      </c>
      <c r="P2925" t="inlineStr">
        <is>
          <t>2026-06-19 07:10:32</t>
        </is>
      </c>
      <c r="Y2925" t="inlineStr">
        <is>
          <t>27648193846</t>
        </is>
      </c>
    </row>
    <row r="2926">
      <c r="A2926" t="inlineStr">
        <is>
          <t>14945887</t>
        </is>
      </c>
      <c r="B2926" t="inlineStr">
        <is>
          <t>939b8a33-2550-4bb0-a697-36f9c63be155</t>
        </is>
      </c>
      <c r="D2926" t="inlineStr">
        <is>
          <t>30001087</t>
        </is>
      </c>
      <c r="E2926" t="inlineStr">
        <is>
          <t>ussd_funeral_leads_altitude_20260619</t>
        </is>
      </c>
      <c r="J2926" t="inlineStr">
        <is>
          <t>ADC</t>
        </is>
      </c>
      <c r="K2926" t="inlineStr">
        <is>
          <t>Auto Dial Disconnected</t>
        </is>
      </c>
      <c r="L2926" t="n">
        <v>3</v>
      </c>
      <c r="M2926" t="inlineStr">
        <is>
          <t>2026-06-23 12:38:41</t>
        </is>
      </c>
      <c r="N2926" t="inlineStr">
        <is>
          <t>system</t>
        </is>
      </c>
      <c r="O2926" t="inlineStr">
        <is>
          <t>2026-06-19 07:10:32</t>
        </is>
      </c>
      <c r="P2926" t="inlineStr">
        <is>
          <t>2026-06-19 07:10:32</t>
        </is>
      </c>
      <c r="Y2926" t="inlineStr">
        <is>
          <t>27711202519</t>
        </is>
      </c>
    </row>
    <row r="2927">
      <c r="A2927" t="inlineStr">
        <is>
          <t>14945888</t>
        </is>
      </c>
      <c r="B2927" t="inlineStr">
        <is>
          <t>d2178dfe-b2ff-42fd-a360-c8e599929862</t>
        </is>
      </c>
      <c r="D2927" t="inlineStr">
        <is>
          <t>30001087</t>
        </is>
      </c>
      <c r="E2927" t="inlineStr">
        <is>
          <t>ussd_funeral_leads_altitude_20260619</t>
        </is>
      </c>
      <c r="J2927" t="inlineStr">
        <is>
          <t>CU</t>
        </is>
      </c>
      <c r="K2927" t="inlineStr">
        <is>
          <t>Client Hung Up</t>
        </is>
      </c>
      <c r="L2927" t="n">
        <v>3</v>
      </c>
      <c r="M2927" t="inlineStr">
        <is>
          <t>2026-06-23 12:38:41</t>
        </is>
      </c>
      <c r="N2927" t="inlineStr">
        <is>
          <t>Vuyiswa Nxumalo</t>
        </is>
      </c>
      <c r="O2927" t="inlineStr">
        <is>
          <t>2026-06-19 07:10:32</t>
        </is>
      </c>
      <c r="P2927" t="inlineStr">
        <is>
          <t>2026-06-19 07:10:32</t>
        </is>
      </c>
      <c r="Y2927" t="inlineStr">
        <is>
          <t>27727434266</t>
        </is>
      </c>
    </row>
    <row r="2928">
      <c r="A2928" t="inlineStr">
        <is>
          <t>14945883</t>
        </is>
      </c>
      <c r="B2928" t="inlineStr">
        <is>
          <t>a262082b-23f8-40fe-a02b-be4f7a5ff08f</t>
        </is>
      </c>
      <c r="D2928" t="inlineStr">
        <is>
          <t>30001087</t>
        </is>
      </c>
      <c r="E2928" t="inlineStr">
        <is>
          <t>ussd_funeral_leads_altitude_20260619</t>
        </is>
      </c>
      <c r="J2928" t="inlineStr">
        <is>
          <t>ADC</t>
        </is>
      </c>
      <c r="K2928" t="inlineStr">
        <is>
          <t>Auto Dial Disconnected</t>
        </is>
      </c>
      <c r="L2928" t="n">
        <v>3</v>
      </c>
      <c r="M2928" t="inlineStr">
        <is>
          <t>2026-06-23 12:38:39</t>
        </is>
      </c>
      <c r="N2928" t="inlineStr">
        <is>
          <t>system</t>
        </is>
      </c>
      <c r="O2928" t="inlineStr">
        <is>
          <t>2026-06-19 07:10:32</t>
        </is>
      </c>
      <c r="P2928" t="inlineStr">
        <is>
          <t>2026-06-19 07:10:32</t>
        </is>
      </c>
      <c r="Y2928" t="inlineStr">
        <is>
          <t>27711180675</t>
        </is>
      </c>
    </row>
    <row r="2929">
      <c r="A2929" t="inlineStr">
        <is>
          <t>14945882</t>
        </is>
      </c>
      <c r="B2929" t="inlineStr">
        <is>
          <t>6395b5e8-3b9b-4956-9054-03d12eb8b066</t>
        </is>
      </c>
      <c r="D2929" t="inlineStr">
        <is>
          <t>30001087</t>
        </is>
      </c>
      <c r="E2929" t="inlineStr">
        <is>
          <t>ussd_funeral_leads_altitude_20260619</t>
        </is>
      </c>
      <c r="J2929" t="inlineStr">
        <is>
          <t>AA</t>
        </is>
      </c>
      <c r="K2929" t="inlineStr">
        <is>
          <t>Answering Machine Autodial</t>
        </is>
      </c>
      <c r="L2929" t="n">
        <v>3</v>
      </c>
      <c r="M2929" t="inlineStr">
        <is>
          <t>2026-06-23 12:38:38</t>
        </is>
      </c>
      <c r="N2929" t="inlineStr">
        <is>
          <t>system</t>
        </is>
      </c>
      <c r="O2929" t="inlineStr">
        <is>
          <t>2026-06-19 07:10:32</t>
        </is>
      </c>
      <c r="P2929" t="inlineStr">
        <is>
          <t>2026-06-19 07:10:32</t>
        </is>
      </c>
      <c r="Y2929" t="inlineStr">
        <is>
          <t>27673897148</t>
        </is>
      </c>
    </row>
    <row r="2930">
      <c r="A2930" t="inlineStr">
        <is>
          <t>14945881</t>
        </is>
      </c>
      <c r="B2930" t="inlineStr">
        <is>
          <t>53624092-25a3-4cb2-847d-a4f578021a93</t>
        </is>
      </c>
      <c r="D2930" t="inlineStr">
        <is>
          <t>30001087</t>
        </is>
      </c>
      <c r="E2930" t="inlineStr">
        <is>
          <t>ussd_funeral_leads_altitude_20260619</t>
        </is>
      </c>
      <c r="J2930" t="inlineStr">
        <is>
          <t>AA</t>
        </is>
      </c>
      <c r="K2930" t="inlineStr">
        <is>
          <t>Answering Machine Autodial</t>
        </is>
      </c>
      <c r="L2930" t="n">
        <v>3</v>
      </c>
      <c r="M2930" t="inlineStr">
        <is>
          <t>2026-06-23 12:38:36</t>
        </is>
      </c>
      <c r="N2930" t="inlineStr">
        <is>
          <t>system</t>
        </is>
      </c>
      <c r="O2930" t="inlineStr">
        <is>
          <t>2026-06-19 07:10:32</t>
        </is>
      </c>
      <c r="P2930" t="inlineStr">
        <is>
          <t>2026-06-19 07:10:32</t>
        </is>
      </c>
      <c r="Y2930" t="inlineStr">
        <is>
          <t>27606912370</t>
        </is>
      </c>
    </row>
    <row r="2931">
      <c r="A2931" t="inlineStr">
        <is>
          <t>14945877</t>
        </is>
      </c>
      <c r="B2931" t="inlineStr">
        <is>
          <t>1a4867c7-111e-433b-9df3-8eb7acf3c2df</t>
        </is>
      </c>
      <c r="D2931" t="inlineStr">
        <is>
          <t>30001087</t>
        </is>
      </c>
      <c r="E2931" t="inlineStr">
        <is>
          <t>ussd_funeral_leads_altitude_20260619</t>
        </is>
      </c>
      <c r="J2931" t="inlineStr">
        <is>
          <t>NA</t>
        </is>
      </c>
      <c r="K2931" t="inlineStr">
        <is>
          <t>No Answer Autodial</t>
        </is>
      </c>
      <c r="L2931" t="n">
        <v>3</v>
      </c>
      <c r="M2931" t="inlineStr">
        <is>
          <t>2026-06-23 12:38:35</t>
        </is>
      </c>
      <c r="N2931" t="inlineStr">
        <is>
          <t>system</t>
        </is>
      </c>
      <c r="O2931" t="inlineStr">
        <is>
          <t>2026-06-19 07:10:32</t>
        </is>
      </c>
      <c r="P2931" t="inlineStr">
        <is>
          <t>2026-06-19 07:10:32</t>
        </is>
      </c>
      <c r="Y2931" t="inlineStr">
        <is>
          <t>27798419899</t>
        </is>
      </c>
    </row>
    <row r="2932">
      <c r="A2932" t="inlineStr">
        <is>
          <t>14945878</t>
        </is>
      </c>
      <c r="B2932" t="inlineStr">
        <is>
          <t>a21f2c96-9ffb-4ace-b5fa-c21ea87647ea</t>
        </is>
      </c>
      <c r="D2932" t="inlineStr">
        <is>
          <t>30001087</t>
        </is>
      </c>
      <c r="E2932" t="inlineStr">
        <is>
          <t>ussd_funeral_leads_altitude_20260619</t>
        </is>
      </c>
      <c r="J2932" t="inlineStr">
        <is>
          <t>AA</t>
        </is>
      </c>
      <c r="K2932" t="inlineStr">
        <is>
          <t>Answering Machine Autodial</t>
        </is>
      </c>
      <c r="L2932" t="n">
        <v>3</v>
      </c>
      <c r="M2932" t="inlineStr">
        <is>
          <t>2026-06-23 12:38:35</t>
        </is>
      </c>
      <c r="N2932" t="inlineStr">
        <is>
          <t>system</t>
        </is>
      </c>
      <c r="O2932" t="inlineStr">
        <is>
          <t>2026-06-19 07:10:32</t>
        </is>
      </c>
      <c r="P2932" t="inlineStr">
        <is>
          <t>2026-06-19 07:10:32</t>
        </is>
      </c>
      <c r="Y2932" t="inlineStr">
        <is>
          <t>27769600736</t>
        </is>
      </c>
    </row>
    <row r="2933">
      <c r="A2933" t="inlineStr">
        <is>
          <t>14945879</t>
        </is>
      </c>
      <c r="B2933" t="inlineStr">
        <is>
          <t>8a94630b-e4f9-416e-b5d0-33dac548f2ea</t>
        </is>
      </c>
      <c r="D2933" t="inlineStr">
        <is>
          <t>30001087</t>
        </is>
      </c>
      <c r="E2933" t="inlineStr">
        <is>
          <t>ussd_funeral_leads_altitude_20260619</t>
        </is>
      </c>
      <c r="J2933" t="inlineStr">
        <is>
          <t>AA</t>
        </is>
      </c>
      <c r="K2933" t="inlineStr">
        <is>
          <t>Answering Machine Autodial</t>
        </is>
      </c>
      <c r="L2933" t="n">
        <v>3</v>
      </c>
      <c r="M2933" t="inlineStr">
        <is>
          <t>2026-06-23 12:38:35</t>
        </is>
      </c>
      <c r="N2933" t="inlineStr">
        <is>
          <t>system</t>
        </is>
      </c>
      <c r="O2933" t="inlineStr">
        <is>
          <t>2026-06-19 07:10:32</t>
        </is>
      </c>
      <c r="P2933" t="inlineStr">
        <is>
          <t>2026-06-19 07:10:32</t>
        </is>
      </c>
      <c r="Y2933" t="inlineStr">
        <is>
          <t>27822946163</t>
        </is>
      </c>
    </row>
    <row r="2934">
      <c r="A2934" t="inlineStr">
        <is>
          <t>14945880</t>
        </is>
      </c>
      <c r="B2934" t="inlineStr">
        <is>
          <t>faba5184-510f-49bf-89b4-a7a931801892</t>
        </is>
      </c>
      <c r="D2934" t="inlineStr">
        <is>
          <t>30001087</t>
        </is>
      </c>
      <c r="E2934" t="inlineStr">
        <is>
          <t>ussd_funeral_leads_altitude_20260619</t>
        </is>
      </c>
      <c r="J2934" t="inlineStr">
        <is>
          <t>ADC</t>
        </is>
      </c>
      <c r="K2934" t="inlineStr">
        <is>
          <t>Auto Dial Disconnected</t>
        </is>
      </c>
      <c r="L2934" t="n">
        <v>3</v>
      </c>
      <c r="M2934" t="inlineStr">
        <is>
          <t>2026-06-23 12:38:35</t>
        </is>
      </c>
      <c r="N2934" t="inlineStr">
        <is>
          <t>system</t>
        </is>
      </c>
      <c r="O2934" t="inlineStr">
        <is>
          <t>2026-06-19 07:10:32</t>
        </is>
      </c>
      <c r="P2934" t="inlineStr">
        <is>
          <t>2026-06-19 07:10:32</t>
        </is>
      </c>
      <c r="Y2934" t="inlineStr">
        <is>
          <t>27606279692</t>
        </is>
      </c>
    </row>
    <row r="2935">
      <c r="A2935" t="inlineStr">
        <is>
          <t>14945872</t>
        </is>
      </c>
      <c r="B2935" t="inlineStr">
        <is>
          <t>786f01c2-0627-44ea-a712-ae6e0131e11e</t>
        </is>
      </c>
      <c r="D2935" t="inlineStr">
        <is>
          <t>30001087</t>
        </is>
      </c>
      <c r="E2935" t="inlineStr">
        <is>
          <t>ussd_funeral_leads_altitude_20260619</t>
        </is>
      </c>
      <c r="J2935" t="inlineStr">
        <is>
          <t>ADC</t>
        </is>
      </c>
      <c r="K2935" t="inlineStr">
        <is>
          <t>Auto Dial Disconnected</t>
        </is>
      </c>
      <c r="L2935" t="n">
        <v>3</v>
      </c>
      <c r="M2935" t="inlineStr">
        <is>
          <t>2026-06-23 12:38:34</t>
        </is>
      </c>
      <c r="N2935" t="inlineStr">
        <is>
          <t>system</t>
        </is>
      </c>
      <c r="O2935" t="inlineStr">
        <is>
          <t>2026-06-19 07:10:32</t>
        </is>
      </c>
      <c r="P2935" t="inlineStr">
        <is>
          <t>2026-06-19 07:10:32</t>
        </is>
      </c>
      <c r="Y2935" t="inlineStr">
        <is>
          <t>27711375369</t>
        </is>
      </c>
    </row>
    <row r="2936">
      <c r="A2936" t="inlineStr">
        <is>
          <t>14945873</t>
        </is>
      </c>
      <c r="B2936" t="inlineStr">
        <is>
          <t>da07567c-7b40-439e-ab57-b3d0f2d1b874</t>
        </is>
      </c>
      <c r="D2936" t="inlineStr">
        <is>
          <t>30001087</t>
        </is>
      </c>
      <c r="E2936" t="inlineStr">
        <is>
          <t>ussd_funeral_leads_altitude_20260619</t>
        </is>
      </c>
      <c r="J2936" t="inlineStr">
        <is>
          <t>NA</t>
        </is>
      </c>
      <c r="K2936" t="inlineStr">
        <is>
          <t>No Answer Autodial</t>
        </is>
      </c>
      <c r="L2936" t="n">
        <v>3</v>
      </c>
      <c r="M2936" t="inlineStr">
        <is>
          <t>2026-06-23 12:38:34</t>
        </is>
      </c>
      <c r="N2936" t="inlineStr">
        <is>
          <t>system</t>
        </is>
      </c>
      <c r="O2936" t="inlineStr">
        <is>
          <t>2026-06-19 07:10:32</t>
        </is>
      </c>
      <c r="P2936" t="inlineStr">
        <is>
          <t>2026-06-19 07:10:32</t>
        </is>
      </c>
      <c r="Y2936" t="inlineStr">
        <is>
          <t>27796431198</t>
        </is>
      </c>
    </row>
    <row r="2937">
      <c r="A2937" t="inlineStr">
        <is>
          <t>14945874</t>
        </is>
      </c>
      <c r="B2937" t="inlineStr">
        <is>
          <t>c12f43cc-5a93-4365-8a2d-6c238978a078</t>
        </is>
      </c>
      <c r="D2937" t="inlineStr">
        <is>
          <t>30001087</t>
        </is>
      </c>
      <c r="E2937" t="inlineStr">
        <is>
          <t>ussd_funeral_leads_altitude_20260619</t>
        </is>
      </c>
      <c r="J2937" t="inlineStr">
        <is>
          <t>AA</t>
        </is>
      </c>
      <c r="K2937" t="inlineStr">
        <is>
          <t>Answering Machine Autodial</t>
        </is>
      </c>
      <c r="L2937" t="n">
        <v>3</v>
      </c>
      <c r="M2937" t="inlineStr">
        <is>
          <t>2026-06-23 12:38:34</t>
        </is>
      </c>
      <c r="N2937" t="inlineStr">
        <is>
          <t>system</t>
        </is>
      </c>
      <c r="O2937" t="inlineStr">
        <is>
          <t>2026-06-19 07:10:32</t>
        </is>
      </c>
      <c r="P2937" t="inlineStr">
        <is>
          <t>2026-06-19 07:10:32</t>
        </is>
      </c>
      <c r="Y2937" t="inlineStr">
        <is>
          <t>27760393782</t>
        </is>
      </c>
    </row>
    <row r="2938">
      <c r="A2938" t="inlineStr">
        <is>
          <t>14945875</t>
        </is>
      </c>
      <c r="B2938" t="inlineStr">
        <is>
          <t>5ca3a279-9054-4b23-9319-afe91f18b408</t>
        </is>
      </c>
      <c r="D2938" t="inlineStr">
        <is>
          <t>30001087</t>
        </is>
      </c>
      <c r="E2938" t="inlineStr">
        <is>
          <t>ussd_funeral_leads_altitude_20260619</t>
        </is>
      </c>
      <c r="J2938" t="inlineStr">
        <is>
          <t>TDN</t>
        </is>
      </c>
      <c r="K2938" t="inlineStr">
        <is>
          <t>Temporary Disconnected Number</t>
        </is>
      </c>
      <c r="L2938" t="n">
        <v>3</v>
      </c>
      <c r="M2938" t="inlineStr">
        <is>
          <t>2026-06-23 12:38:34</t>
        </is>
      </c>
      <c r="N2938" t="inlineStr">
        <is>
          <t>system</t>
        </is>
      </c>
      <c r="O2938" t="inlineStr">
        <is>
          <t>2026-06-19 07:10:32</t>
        </is>
      </c>
      <c r="P2938" t="inlineStr">
        <is>
          <t>2026-06-19 07:10:32</t>
        </is>
      </c>
      <c r="Y2938" t="inlineStr">
        <is>
          <t>27637531701</t>
        </is>
      </c>
    </row>
    <row r="2939">
      <c r="A2939" t="inlineStr">
        <is>
          <t>14945876</t>
        </is>
      </c>
      <c r="B2939" t="inlineStr">
        <is>
          <t>638c1904-b591-420e-a4ff-75831e2ae4ac</t>
        </is>
      </c>
      <c r="D2939" t="inlineStr">
        <is>
          <t>30001087</t>
        </is>
      </c>
      <c r="E2939" t="inlineStr">
        <is>
          <t>ussd_funeral_leads_altitude_20260619</t>
        </is>
      </c>
      <c r="J2939" t="inlineStr">
        <is>
          <t>ADC</t>
        </is>
      </c>
      <c r="K2939" t="inlineStr">
        <is>
          <t>Auto Dial Disconnected</t>
        </is>
      </c>
      <c r="L2939" t="n">
        <v>3</v>
      </c>
      <c r="M2939" t="inlineStr">
        <is>
          <t>2026-06-23 12:38:34</t>
        </is>
      </c>
      <c r="N2939" t="inlineStr">
        <is>
          <t>system</t>
        </is>
      </c>
      <c r="O2939" t="inlineStr">
        <is>
          <t>2026-06-19 07:10:32</t>
        </is>
      </c>
      <c r="P2939" t="inlineStr">
        <is>
          <t>2026-06-19 07:10:32</t>
        </is>
      </c>
      <c r="Y2939" t="inlineStr">
        <is>
          <t>27664304849</t>
        </is>
      </c>
    </row>
    <row r="2940">
      <c r="A2940" t="inlineStr">
        <is>
          <t>14945868</t>
        </is>
      </c>
      <c r="B2940" t="inlineStr">
        <is>
          <t>85f9cf62-0147-486e-b9cc-d57cfb928fe0</t>
        </is>
      </c>
      <c r="D2940" t="inlineStr">
        <is>
          <t>30001087</t>
        </is>
      </c>
      <c r="E2940" t="inlineStr">
        <is>
          <t>ussd_funeral_leads_altitude_20260619</t>
        </is>
      </c>
      <c r="J2940" t="inlineStr">
        <is>
          <t>ADC</t>
        </is>
      </c>
      <c r="K2940" t="inlineStr">
        <is>
          <t>Auto Dial Disconnected</t>
        </is>
      </c>
      <c r="L2940" t="n">
        <v>3</v>
      </c>
      <c r="M2940" t="inlineStr">
        <is>
          <t>2026-06-23 12:38:33</t>
        </is>
      </c>
      <c r="N2940" t="inlineStr">
        <is>
          <t>system</t>
        </is>
      </c>
      <c r="O2940" t="inlineStr">
        <is>
          <t>2026-06-19 07:10:32</t>
        </is>
      </c>
      <c r="P2940" t="inlineStr">
        <is>
          <t>2026-06-19 07:10:32</t>
        </is>
      </c>
      <c r="Y2940" t="inlineStr">
        <is>
          <t>27765633746</t>
        </is>
      </c>
    </row>
    <row r="2941">
      <c r="A2941" t="inlineStr">
        <is>
          <t>14945869</t>
        </is>
      </c>
      <c r="B2941" t="inlineStr">
        <is>
          <t>5fa0e27e-6e88-41ed-b73c-9526176c7110</t>
        </is>
      </c>
      <c r="D2941" t="inlineStr">
        <is>
          <t>30001087</t>
        </is>
      </c>
      <c r="E2941" t="inlineStr">
        <is>
          <t>ussd_funeral_leads_altitude_20260619</t>
        </is>
      </c>
      <c r="J2941" t="inlineStr">
        <is>
          <t>NA</t>
        </is>
      </c>
      <c r="K2941" t="inlineStr">
        <is>
          <t>No Answer Autodial</t>
        </is>
      </c>
      <c r="L2941" t="n">
        <v>3</v>
      </c>
      <c r="M2941" t="inlineStr">
        <is>
          <t>2026-06-23 12:38:33</t>
        </is>
      </c>
      <c r="N2941" t="inlineStr">
        <is>
          <t>system</t>
        </is>
      </c>
      <c r="O2941" t="inlineStr">
        <is>
          <t>2026-06-19 07:10:32</t>
        </is>
      </c>
      <c r="P2941" t="inlineStr">
        <is>
          <t>2026-06-19 07:10:32</t>
        </is>
      </c>
      <c r="Y2941" t="inlineStr">
        <is>
          <t>27823437195</t>
        </is>
      </c>
    </row>
    <row r="2942">
      <c r="A2942" t="inlineStr">
        <is>
          <t>14945870</t>
        </is>
      </c>
      <c r="B2942" t="inlineStr">
        <is>
          <t>0ee71231-d863-4d27-b858-047ccb2cd699</t>
        </is>
      </c>
      <c r="D2942" t="inlineStr">
        <is>
          <t>30001087</t>
        </is>
      </c>
      <c r="E2942" t="inlineStr">
        <is>
          <t>ussd_funeral_leads_altitude_20260619</t>
        </is>
      </c>
      <c r="J2942" t="inlineStr">
        <is>
          <t>NA</t>
        </is>
      </c>
      <c r="K2942" t="inlineStr">
        <is>
          <t>No Answer Autodial</t>
        </is>
      </c>
      <c r="L2942" t="n">
        <v>3</v>
      </c>
      <c r="M2942" t="inlineStr">
        <is>
          <t>2026-06-23 12:38:33</t>
        </is>
      </c>
      <c r="N2942" t="inlineStr">
        <is>
          <t>system</t>
        </is>
      </c>
      <c r="O2942" t="inlineStr">
        <is>
          <t>2026-06-19 07:10:32</t>
        </is>
      </c>
      <c r="P2942" t="inlineStr">
        <is>
          <t>2026-06-19 07:10:32</t>
        </is>
      </c>
      <c r="Y2942" t="inlineStr">
        <is>
          <t>27722588486</t>
        </is>
      </c>
    </row>
    <row r="2943">
      <c r="A2943" t="inlineStr">
        <is>
          <t>14945871</t>
        </is>
      </c>
      <c r="B2943" t="inlineStr">
        <is>
          <t>303ddd62-3eb0-4da2-a2fc-8e7f0b28d2db</t>
        </is>
      </c>
      <c r="D2943" t="inlineStr">
        <is>
          <t>30001087</t>
        </is>
      </c>
      <c r="E2943" t="inlineStr">
        <is>
          <t>ussd_funeral_leads_altitude_20260619</t>
        </is>
      </c>
      <c r="J2943" t="inlineStr">
        <is>
          <t>AA</t>
        </is>
      </c>
      <c r="K2943" t="inlineStr">
        <is>
          <t>Answering Machine Autodial</t>
        </is>
      </c>
      <c r="L2943" t="n">
        <v>3</v>
      </c>
      <c r="M2943" t="inlineStr">
        <is>
          <t>2026-06-23 12:38:33</t>
        </is>
      </c>
      <c r="N2943" t="inlineStr">
        <is>
          <t>system</t>
        </is>
      </c>
      <c r="O2943" t="inlineStr">
        <is>
          <t>2026-06-19 07:10:32</t>
        </is>
      </c>
      <c r="P2943" t="inlineStr">
        <is>
          <t>2026-06-19 07:10:32</t>
        </is>
      </c>
      <c r="Y2943" t="inlineStr">
        <is>
          <t>27762357115</t>
        </is>
      </c>
    </row>
    <row r="2944">
      <c r="A2944" t="inlineStr">
        <is>
          <t>14945867</t>
        </is>
      </c>
      <c r="B2944" t="inlineStr">
        <is>
          <t>e68e6591-5b38-44d3-bc02-538a0b8598f1</t>
        </is>
      </c>
      <c r="D2944" t="inlineStr">
        <is>
          <t>30001087</t>
        </is>
      </c>
      <c r="E2944" t="inlineStr">
        <is>
          <t>ussd_funeral_leads_altitude_20260619</t>
        </is>
      </c>
      <c r="J2944" t="inlineStr">
        <is>
          <t>NA</t>
        </is>
      </c>
      <c r="K2944" t="inlineStr">
        <is>
          <t>No Answer Autodial</t>
        </is>
      </c>
      <c r="L2944" t="n">
        <v>3</v>
      </c>
      <c r="M2944" t="inlineStr">
        <is>
          <t>2026-06-23 12:38:32</t>
        </is>
      </c>
      <c r="N2944" t="inlineStr">
        <is>
          <t>system</t>
        </is>
      </c>
      <c r="O2944" t="inlineStr">
        <is>
          <t>2026-06-19 07:10:32</t>
        </is>
      </c>
      <c r="P2944" t="inlineStr">
        <is>
          <t>2026-06-19 07:10:32</t>
        </is>
      </c>
      <c r="Y2944" t="inlineStr">
        <is>
          <t>27795369019</t>
        </is>
      </c>
    </row>
    <row r="2945">
      <c r="A2945" t="inlineStr">
        <is>
          <t>14945864</t>
        </is>
      </c>
      <c r="B2945" t="inlineStr">
        <is>
          <t>c949f7cf-26d4-4458-afaf-3021bbbcd45b</t>
        </is>
      </c>
      <c r="D2945" t="inlineStr">
        <is>
          <t>30001087</t>
        </is>
      </c>
      <c r="E2945" t="inlineStr">
        <is>
          <t>ussd_funeral_leads_altitude_20260619</t>
        </is>
      </c>
      <c r="J2945" t="inlineStr">
        <is>
          <t>ADC</t>
        </is>
      </c>
      <c r="K2945" t="inlineStr">
        <is>
          <t>Auto Dial Disconnected</t>
        </is>
      </c>
      <c r="L2945" t="n">
        <v>3</v>
      </c>
      <c r="M2945" t="inlineStr">
        <is>
          <t>2026-06-23 12:38:29</t>
        </is>
      </c>
      <c r="N2945" t="inlineStr">
        <is>
          <t>system</t>
        </is>
      </c>
      <c r="O2945" t="inlineStr">
        <is>
          <t>2026-06-19 07:10:32</t>
        </is>
      </c>
      <c r="P2945" t="inlineStr">
        <is>
          <t>2026-06-19 07:10:32</t>
        </is>
      </c>
      <c r="Y2945" t="inlineStr">
        <is>
          <t>27636932443</t>
        </is>
      </c>
    </row>
    <row r="2946">
      <c r="A2946" t="inlineStr">
        <is>
          <t>14945865</t>
        </is>
      </c>
      <c r="B2946" t="inlineStr">
        <is>
          <t>388fc900-af81-4877-bdd6-ade6195f4b88</t>
        </is>
      </c>
      <c r="D2946" t="inlineStr">
        <is>
          <t>30001087</t>
        </is>
      </c>
      <c r="E2946" t="inlineStr">
        <is>
          <t>ussd_funeral_leads_altitude_20260619</t>
        </is>
      </c>
      <c r="J2946" t="inlineStr">
        <is>
          <t>AA</t>
        </is>
      </c>
      <c r="K2946" t="inlineStr">
        <is>
          <t>Answering Machine Autodial</t>
        </is>
      </c>
      <c r="L2946" t="n">
        <v>3</v>
      </c>
      <c r="M2946" t="inlineStr">
        <is>
          <t>2026-06-23 12:38:29</t>
        </is>
      </c>
      <c r="N2946" t="inlineStr">
        <is>
          <t>system</t>
        </is>
      </c>
      <c r="O2946" t="inlineStr">
        <is>
          <t>2026-06-19 07:10:32</t>
        </is>
      </c>
      <c r="P2946" t="inlineStr">
        <is>
          <t>2026-06-19 07:10:32</t>
        </is>
      </c>
      <c r="Y2946" t="inlineStr">
        <is>
          <t>27795503520</t>
        </is>
      </c>
    </row>
    <row r="2947">
      <c r="A2947" t="inlineStr">
        <is>
          <t>14945866</t>
        </is>
      </c>
      <c r="B2947" t="inlineStr">
        <is>
          <t>af4e0560-b944-4386-a6e4-e373347acb33</t>
        </is>
      </c>
      <c r="D2947" t="inlineStr">
        <is>
          <t>30001087</t>
        </is>
      </c>
      <c r="E2947" t="inlineStr">
        <is>
          <t>ussd_funeral_leads_altitude_20260619</t>
        </is>
      </c>
      <c r="J2947" t="inlineStr">
        <is>
          <t>NA</t>
        </is>
      </c>
      <c r="K2947" t="inlineStr">
        <is>
          <t>No Answer Autodial</t>
        </is>
      </c>
      <c r="L2947" t="n">
        <v>3</v>
      </c>
      <c r="M2947" t="inlineStr">
        <is>
          <t>2026-06-23 12:38:29</t>
        </is>
      </c>
      <c r="N2947" t="inlineStr">
        <is>
          <t>system</t>
        </is>
      </c>
      <c r="O2947" t="inlineStr">
        <is>
          <t>2026-06-19 07:10:32</t>
        </is>
      </c>
      <c r="P2947" t="inlineStr">
        <is>
          <t>2026-06-19 07:10:32</t>
        </is>
      </c>
      <c r="Y2947" t="inlineStr">
        <is>
          <t>27713345183</t>
        </is>
      </c>
    </row>
    <row r="2948">
      <c r="A2948" t="inlineStr">
        <is>
          <t>14947736</t>
        </is>
      </c>
      <c r="B2948" t="inlineStr">
        <is>
          <t>73d48ef2-e14c-4972-9cb8-15dbb902d7fc</t>
        </is>
      </c>
      <c r="D2948" t="inlineStr">
        <is>
          <t>30001087</t>
        </is>
      </c>
      <c r="E2948" t="inlineStr">
        <is>
          <t>ussd_funeral_leads_altitude_20260619</t>
        </is>
      </c>
      <c r="J2948" t="inlineStr">
        <is>
          <t>AA</t>
        </is>
      </c>
      <c r="K2948" t="inlineStr">
        <is>
          <t>Answering Machine Autodial</t>
        </is>
      </c>
      <c r="L2948" t="n">
        <v>3</v>
      </c>
      <c r="M2948" t="inlineStr">
        <is>
          <t>2026-06-23 12:38:29</t>
        </is>
      </c>
      <c r="N2948" t="inlineStr">
        <is>
          <t>system</t>
        </is>
      </c>
      <c r="O2948" t="inlineStr">
        <is>
          <t>2026-06-19 07:10:32</t>
        </is>
      </c>
      <c r="P2948" t="inlineStr">
        <is>
          <t>2026-06-19 07:10:32</t>
        </is>
      </c>
      <c r="Y2948" t="inlineStr">
        <is>
          <t>27818952547</t>
        </is>
      </c>
    </row>
    <row r="2949">
      <c r="A2949" t="inlineStr">
        <is>
          <t>14945638</t>
        </is>
      </c>
      <c r="B2949" t="inlineStr">
        <is>
          <t>a00c7110-0a63-440f-8e33-3e9f099bb261</t>
        </is>
      </c>
      <c r="D2949" t="inlineStr">
        <is>
          <t>30001087</t>
        </is>
      </c>
      <c r="E2949" t="inlineStr">
        <is>
          <t>ussd_funeral_leads_altitude_20260619</t>
        </is>
      </c>
      <c r="J2949" t="inlineStr">
        <is>
          <t>AA</t>
        </is>
      </c>
      <c r="K2949" t="inlineStr">
        <is>
          <t>Answering Machine Autodial</t>
        </is>
      </c>
      <c r="L2949" t="n">
        <v>3</v>
      </c>
      <c r="M2949" t="inlineStr">
        <is>
          <t>2026-06-23 12:38:10</t>
        </is>
      </c>
      <c r="N2949" t="inlineStr">
        <is>
          <t>system</t>
        </is>
      </c>
      <c r="O2949" t="inlineStr">
        <is>
          <t>2026-06-19 07:10:32</t>
        </is>
      </c>
      <c r="P2949" t="inlineStr">
        <is>
          <t>2026-06-19 07:10:32</t>
        </is>
      </c>
      <c r="Y2949" t="inlineStr">
        <is>
          <t>27725962416</t>
        </is>
      </c>
    </row>
    <row r="2950">
      <c r="A2950" t="inlineStr">
        <is>
          <t>14945639</t>
        </is>
      </c>
      <c r="B2950" t="inlineStr">
        <is>
          <t>46dd387d-8c76-4775-b85f-e1ff7bb56f17</t>
        </is>
      </c>
      <c r="D2950" t="inlineStr">
        <is>
          <t>30001087</t>
        </is>
      </c>
      <c r="E2950" t="inlineStr">
        <is>
          <t>ussd_funeral_leads_altitude_20260619</t>
        </is>
      </c>
      <c r="J2950" t="inlineStr">
        <is>
          <t>AA</t>
        </is>
      </c>
      <c r="K2950" t="inlineStr">
        <is>
          <t>Answering Machine Autodial</t>
        </is>
      </c>
      <c r="L2950" t="n">
        <v>3</v>
      </c>
      <c r="M2950" t="inlineStr">
        <is>
          <t>2026-06-23 12:38:10</t>
        </is>
      </c>
      <c r="N2950" t="inlineStr">
        <is>
          <t>system</t>
        </is>
      </c>
      <c r="O2950" t="inlineStr">
        <is>
          <t>2026-06-19 07:10:32</t>
        </is>
      </c>
      <c r="P2950" t="inlineStr">
        <is>
          <t>2026-06-19 07:10:32</t>
        </is>
      </c>
      <c r="Y2950" t="inlineStr">
        <is>
          <t>27791967019</t>
        </is>
      </c>
    </row>
    <row r="2951">
      <c r="A2951" t="inlineStr">
        <is>
          <t>14947053</t>
        </is>
      </c>
      <c r="B2951" t="inlineStr">
        <is>
          <t>dfd11705-ff8e-4415-8787-cd00b3b1a905</t>
        </is>
      </c>
      <c r="D2951" t="inlineStr">
        <is>
          <t>30001087</t>
        </is>
      </c>
      <c r="E2951" t="inlineStr">
        <is>
          <t>ussd_funeral_leads_altitude_20260619</t>
        </is>
      </c>
      <c r="J2951" t="inlineStr">
        <is>
          <t>ADC</t>
        </is>
      </c>
      <c r="K2951" t="inlineStr">
        <is>
          <t>Auto Dial Disconnected</t>
        </is>
      </c>
      <c r="L2951" t="n">
        <v>3</v>
      </c>
      <c r="M2951" t="inlineStr">
        <is>
          <t>2026-06-23 12:38:10</t>
        </is>
      </c>
      <c r="N2951" t="inlineStr">
        <is>
          <t>system</t>
        </is>
      </c>
      <c r="O2951" t="inlineStr">
        <is>
          <t>2026-06-19 07:10:32</t>
        </is>
      </c>
      <c r="P2951" t="inlineStr">
        <is>
          <t>2026-06-19 07:10:32</t>
        </is>
      </c>
      <c r="Y2951" t="inlineStr">
        <is>
          <t>27715735447</t>
        </is>
      </c>
    </row>
    <row r="2952">
      <c r="A2952" t="inlineStr">
        <is>
          <t>14947054</t>
        </is>
      </c>
      <c r="B2952" t="inlineStr">
        <is>
          <t>6fcf42b7-70e2-4807-a53d-1467ff14676d</t>
        </is>
      </c>
      <c r="D2952" t="inlineStr">
        <is>
          <t>30001087</t>
        </is>
      </c>
      <c r="E2952" t="inlineStr">
        <is>
          <t>ussd_funeral_leads_altitude_20260619</t>
        </is>
      </c>
      <c r="J2952" t="inlineStr">
        <is>
          <t>ADC</t>
        </is>
      </c>
      <c r="K2952" t="inlineStr">
        <is>
          <t>Auto Dial Disconnected</t>
        </is>
      </c>
      <c r="L2952" t="n">
        <v>3</v>
      </c>
      <c r="M2952" t="inlineStr">
        <is>
          <t>2026-06-23 12:38:10</t>
        </is>
      </c>
      <c r="N2952" t="inlineStr">
        <is>
          <t>system</t>
        </is>
      </c>
      <c r="O2952" t="inlineStr">
        <is>
          <t>2026-06-19 07:10:32</t>
        </is>
      </c>
      <c r="P2952" t="inlineStr">
        <is>
          <t>2026-06-19 07:10:32</t>
        </is>
      </c>
      <c r="Y2952" t="inlineStr">
        <is>
          <t>27822980669</t>
        </is>
      </c>
    </row>
    <row r="2953">
      <c r="A2953" t="inlineStr">
        <is>
          <t>14900000</t>
        </is>
      </c>
      <c r="B2953" t="inlineStr">
        <is>
          <t>e2835dbb-9243-4f47-bd3c-655374bc278f</t>
        </is>
      </c>
      <c r="D2953" t="inlineStr">
        <is>
          <t>30001087</t>
        </is>
      </c>
      <c r="E2953" t="inlineStr">
        <is>
          <t>ussd_funeral_leads_altitude_20260619</t>
        </is>
      </c>
      <c r="J2953" t="inlineStr">
        <is>
          <t>TDN</t>
        </is>
      </c>
      <c r="K2953" t="inlineStr">
        <is>
          <t>Temporary Disconnected Number</t>
        </is>
      </c>
      <c r="L2953" t="n">
        <v>3</v>
      </c>
      <c r="M2953" t="inlineStr">
        <is>
          <t>2026-06-23 12:38:09</t>
        </is>
      </c>
      <c r="N2953" t="inlineStr">
        <is>
          <t>system</t>
        </is>
      </c>
      <c r="O2953" t="inlineStr">
        <is>
          <t>2026-06-19 07:10:32</t>
        </is>
      </c>
      <c r="P2953" t="inlineStr">
        <is>
          <t>2026-06-19 07:10:32</t>
        </is>
      </c>
      <c r="Y2953" t="inlineStr">
        <is>
          <t>27646673598</t>
        </is>
      </c>
    </row>
    <row r="2954">
      <c r="A2954" t="inlineStr">
        <is>
          <t>14947052</t>
        </is>
      </c>
      <c r="B2954" t="inlineStr">
        <is>
          <t>5013b635-57e5-44f6-b47b-f358fa449c51</t>
        </is>
      </c>
      <c r="D2954" t="inlineStr">
        <is>
          <t>30001087</t>
        </is>
      </c>
      <c r="E2954" t="inlineStr">
        <is>
          <t>ussd_funeral_leads_altitude_20260619</t>
        </is>
      </c>
      <c r="J2954" t="inlineStr">
        <is>
          <t>AA</t>
        </is>
      </c>
      <c r="K2954" t="inlineStr">
        <is>
          <t>Answering Machine Autodial</t>
        </is>
      </c>
      <c r="L2954" t="n">
        <v>3</v>
      </c>
      <c r="M2954" t="inlineStr">
        <is>
          <t>2026-06-23 12:38:09</t>
        </is>
      </c>
      <c r="N2954" t="inlineStr">
        <is>
          <t>system</t>
        </is>
      </c>
      <c r="O2954" t="inlineStr">
        <is>
          <t>2026-06-19 07:10:32</t>
        </is>
      </c>
      <c r="P2954" t="inlineStr">
        <is>
          <t>2026-06-19 07:10:32</t>
        </is>
      </c>
      <c r="Y2954" t="inlineStr">
        <is>
          <t>27637897608</t>
        </is>
      </c>
    </row>
    <row r="2955">
      <c r="A2955" t="inlineStr">
        <is>
          <t>14945635</t>
        </is>
      </c>
      <c r="B2955" t="inlineStr">
        <is>
          <t>bb89abb0-bee0-4b0f-b291-9963fe6bdd62</t>
        </is>
      </c>
      <c r="D2955" t="inlineStr">
        <is>
          <t>30001087</t>
        </is>
      </c>
      <c r="E2955" t="inlineStr">
        <is>
          <t>ussd_funeral_leads_altitude_20260619</t>
        </is>
      </c>
      <c r="J2955" t="inlineStr">
        <is>
          <t>NA</t>
        </is>
      </c>
      <c r="K2955" t="inlineStr">
        <is>
          <t>No Answer Autodial</t>
        </is>
      </c>
      <c r="L2955" t="n">
        <v>3</v>
      </c>
      <c r="M2955" t="inlineStr">
        <is>
          <t>2026-06-23 12:38:04</t>
        </is>
      </c>
      <c r="N2955" t="inlineStr">
        <is>
          <t>system</t>
        </is>
      </c>
      <c r="O2955" t="inlineStr">
        <is>
          <t>2026-06-19 07:10:32</t>
        </is>
      </c>
      <c r="P2955" t="inlineStr">
        <is>
          <t>2026-06-19 07:10:32</t>
        </is>
      </c>
      <c r="Y2955" t="inlineStr">
        <is>
          <t>27711892633</t>
        </is>
      </c>
    </row>
    <row r="2956">
      <c r="A2956" t="inlineStr">
        <is>
          <t>14947051</t>
        </is>
      </c>
      <c r="B2956" t="inlineStr">
        <is>
          <t>aa230c40-ffb4-4c37-bed4-9615a627d319</t>
        </is>
      </c>
      <c r="D2956" t="inlineStr">
        <is>
          <t>30001087</t>
        </is>
      </c>
      <c r="E2956" t="inlineStr">
        <is>
          <t>ussd_funeral_leads_altitude_20260619</t>
        </is>
      </c>
      <c r="J2956" t="inlineStr">
        <is>
          <t>AA</t>
        </is>
      </c>
      <c r="K2956" t="inlineStr">
        <is>
          <t>Answering Machine Autodial</t>
        </is>
      </c>
      <c r="L2956" t="n">
        <v>3</v>
      </c>
      <c r="M2956" t="inlineStr">
        <is>
          <t>2026-06-23 12:38:03</t>
        </is>
      </c>
      <c r="N2956" t="inlineStr">
        <is>
          <t>system</t>
        </is>
      </c>
      <c r="O2956" t="inlineStr">
        <is>
          <t>2026-06-19 07:10:32</t>
        </is>
      </c>
      <c r="P2956" t="inlineStr">
        <is>
          <t>2026-06-19 07:10:32</t>
        </is>
      </c>
      <c r="Y2956" t="inlineStr">
        <is>
          <t>27795740326</t>
        </is>
      </c>
    </row>
    <row r="2957">
      <c r="A2957" t="inlineStr">
        <is>
          <t>14945634</t>
        </is>
      </c>
      <c r="B2957" t="inlineStr">
        <is>
          <t>7cf38378-8259-4d6f-96f7-2d47283242ef</t>
        </is>
      </c>
      <c r="D2957" t="inlineStr">
        <is>
          <t>30001087</t>
        </is>
      </c>
      <c r="E2957" t="inlineStr">
        <is>
          <t>ussd_funeral_leads_altitude_20260619</t>
        </is>
      </c>
      <c r="J2957" t="inlineStr">
        <is>
          <t>TDN</t>
        </is>
      </c>
      <c r="K2957" t="inlineStr">
        <is>
          <t>Temporary Disconnected Number</t>
        </is>
      </c>
      <c r="L2957" t="n">
        <v>3</v>
      </c>
      <c r="M2957" t="inlineStr">
        <is>
          <t>2026-06-23 12:38:02</t>
        </is>
      </c>
      <c r="N2957" t="inlineStr">
        <is>
          <t>system</t>
        </is>
      </c>
      <c r="O2957" t="inlineStr">
        <is>
          <t>2026-06-19 07:10:32</t>
        </is>
      </c>
      <c r="P2957" t="inlineStr">
        <is>
          <t>2026-06-19 07:10:32</t>
        </is>
      </c>
      <c r="Y2957" t="inlineStr">
        <is>
          <t>27798117162</t>
        </is>
      </c>
    </row>
    <row r="2958">
      <c r="A2958" t="inlineStr">
        <is>
          <t>14947050</t>
        </is>
      </c>
      <c r="B2958" t="inlineStr">
        <is>
          <t>bd51fd29-5a63-4b1f-a5b0-3273e2e92ad4</t>
        </is>
      </c>
      <c r="D2958" t="inlineStr">
        <is>
          <t>30001087</t>
        </is>
      </c>
      <c r="E2958" t="inlineStr">
        <is>
          <t>ussd_funeral_leads_altitude_20260619</t>
        </is>
      </c>
      <c r="J2958" t="inlineStr">
        <is>
          <t>NA</t>
        </is>
      </c>
      <c r="K2958" t="inlineStr">
        <is>
          <t>No Answer Autodial</t>
        </is>
      </c>
      <c r="L2958" t="n">
        <v>3</v>
      </c>
      <c r="M2958" t="inlineStr">
        <is>
          <t>2026-06-23 12:38:02</t>
        </is>
      </c>
      <c r="N2958" t="inlineStr">
        <is>
          <t>system</t>
        </is>
      </c>
      <c r="O2958" t="inlineStr">
        <is>
          <t>2026-06-19 07:10:32</t>
        </is>
      </c>
      <c r="P2958" t="inlineStr">
        <is>
          <t>2026-06-19 07:10:32</t>
        </is>
      </c>
      <c r="Y2958" t="inlineStr">
        <is>
          <t>27798678444</t>
        </is>
      </c>
    </row>
    <row r="2959">
      <c r="A2959" t="inlineStr">
        <is>
          <t>14945633</t>
        </is>
      </c>
      <c r="B2959" t="inlineStr">
        <is>
          <t>19a92d28-01df-4c40-97fd-06cb738ec283</t>
        </is>
      </c>
      <c r="D2959" t="inlineStr">
        <is>
          <t>30001087</t>
        </is>
      </c>
      <c r="E2959" t="inlineStr">
        <is>
          <t>ussd_funeral_leads_altitude_20260619</t>
        </is>
      </c>
      <c r="J2959" t="inlineStr">
        <is>
          <t>AA</t>
        </is>
      </c>
      <c r="K2959" t="inlineStr">
        <is>
          <t>Answering Machine Autodial</t>
        </is>
      </c>
      <c r="L2959" t="n">
        <v>3</v>
      </c>
      <c r="M2959" t="inlineStr">
        <is>
          <t>2026-06-23 12:38:00</t>
        </is>
      </c>
      <c r="N2959" t="inlineStr">
        <is>
          <t>system</t>
        </is>
      </c>
      <c r="O2959" t="inlineStr">
        <is>
          <t>2026-06-19 07:10:32</t>
        </is>
      </c>
      <c r="P2959" t="inlineStr">
        <is>
          <t>2026-06-19 07:10:32</t>
        </is>
      </c>
      <c r="Y2959" t="inlineStr">
        <is>
          <t>27607906700</t>
        </is>
      </c>
    </row>
    <row r="2960">
      <c r="A2960" t="inlineStr">
        <is>
          <t>14947049</t>
        </is>
      </c>
      <c r="B2960" t="inlineStr">
        <is>
          <t>519116a6-8ad4-4ac1-8265-b7b18b6ae082</t>
        </is>
      </c>
      <c r="D2960" t="inlineStr">
        <is>
          <t>30001087</t>
        </is>
      </c>
      <c r="E2960" t="inlineStr">
        <is>
          <t>ussd_funeral_leads_altitude_20260619</t>
        </is>
      </c>
      <c r="J2960" t="inlineStr">
        <is>
          <t>AA</t>
        </is>
      </c>
      <c r="K2960" t="inlineStr">
        <is>
          <t>Answering Machine Autodial</t>
        </is>
      </c>
      <c r="L2960" t="n">
        <v>3</v>
      </c>
      <c r="M2960" t="inlineStr">
        <is>
          <t>2026-06-23 12:38:00</t>
        </is>
      </c>
      <c r="N2960" t="inlineStr">
        <is>
          <t>system</t>
        </is>
      </c>
      <c r="O2960" t="inlineStr">
        <is>
          <t>2026-06-19 07:10:32</t>
        </is>
      </c>
      <c r="P2960" t="inlineStr">
        <is>
          <t>2026-06-19 07:10:32</t>
        </is>
      </c>
      <c r="Y2960" t="inlineStr">
        <is>
          <t>27636671094</t>
        </is>
      </c>
    </row>
    <row r="2961">
      <c r="A2961" t="inlineStr">
        <is>
          <t>14945632</t>
        </is>
      </c>
      <c r="B2961" t="inlineStr">
        <is>
          <t>8407f743-d2d9-4c31-bfed-9e0960fe37ed</t>
        </is>
      </c>
      <c r="D2961" t="inlineStr">
        <is>
          <t>30001087</t>
        </is>
      </c>
      <c r="E2961" t="inlineStr">
        <is>
          <t>ussd_funeral_leads_altitude_20260619</t>
        </is>
      </c>
      <c r="J2961" t="inlineStr">
        <is>
          <t>ADC</t>
        </is>
      </c>
      <c r="K2961" t="inlineStr">
        <is>
          <t>Auto Dial Disconnected</t>
        </is>
      </c>
      <c r="L2961" t="n">
        <v>3</v>
      </c>
      <c r="M2961" t="inlineStr">
        <is>
          <t>2026-06-23 12:37:57</t>
        </is>
      </c>
      <c r="N2961" t="inlineStr">
        <is>
          <t>system</t>
        </is>
      </c>
      <c r="O2961" t="inlineStr">
        <is>
          <t>2026-06-19 07:10:32</t>
        </is>
      </c>
      <c r="P2961" t="inlineStr">
        <is>
          <t>2026-06-19 07:10:32</t>
        </is>
      </c>
      <c r="Y2961" t="inlineStr">
        <is>
          <t>27636348520</t>
        </is>
      </c>
    </row>
    <row r="2962">
      <c r="A2962" t="inlineStr">
        <is>
          <t>14946929</t>
        </is>
      </c>
      <c r="B2962" t="inlineStr">
        <is>
          <t>d6dfd092-510d-4475-8717-e1005fc7964e</t>
        </is>
      </c>
      <c r="D2962" t="inlineStr">
        <is>
          <t>30001087</t>
        </is>
      </c>
      <c r="E2962" t="inlineStr">
        <is>
          <t>ussd_funeral_leads_altitude_20260619</t>
        </is>
      </c>
      <c r="J2962" t="inlineStr">
        <is>
          <t>AA</t>
        </is>
      </c>
      <c r="K2962" t="inlineStr">
        <is>
          <t>Answering Machine Autodial</t>
        </is>
      </c>
      <c r="L2962" t="n">
        <v>3</v>
      </c>
      <c r="M2962" t="inlineStr">
        <is>
          <t>2026-06-23 12:37:57</t>
        </is>
      </c>
      <c r="N2962" t="inlineStr">
        <is>
          <t>system</t>
        </is>
      </c>
      <c r="O2962" t="inlineStr">
        <is>
          <t>2026-06-19 07:10:32</t>
        </is>
      </c>
      <c r="P2962" t="inlineStr">
        <is>
          <t>2026-06-19 07:10:32</t>
        </is>
      </c>
      <c r="Y2962" t="inlineStr">
        <is>
          <t>27606207941</t>
        </is>
      </c>
    </row>
    <row r="2963">
      <c r="A2963" t="inlineStr">
        <is>
          <t>14946909</t>
        </is>
      </c>
      <c r="B2963" t="inlineStr">
        <is>
          <t>082bcb4a-f32d-46cc-a8ad-ccd2f56e524e</t>
        </is>
      </c>
      <c r="D2963" t="inlineStr">
        <is>
          <t>30001087</t>
        </is>
      </c>
      <c r="E2963" t="inlineStr">
        <is>
          <t>ussd_funeral_leads_altitude_20260619</t>
        </is>
      </c>
      <c r="J2963" t="inlineStr">
        <is>
          <t>AA</t>
        </is>
      </c>
      <c r="K2963" t="inlineStr">
        <is>
          <t>Answering Machine Autodial</t>
        </is>
      </c>
      <c r="L2963" t="n">
        <v>3</v>
      </c>
      <c r="M2963" t="inlineStr">
        <is>
          <t>2026-06-23 12:37:53</t>
        </is>
      </c>
      <c r="N2963" t="inlineStr">
        <is>
          <t>system</t>
        </is>
      </c>
      <c r="O2963" t="inlineStr">
        <is>
          <t>2026-06-19 07:10:32</t>
        </is>
      </c>
      <c r="P2963" t="inlineStr">
        <is>
          <t>2026-06-19 07:10:32</t>
        </is>
      </c>
      <c r="Y2963" t="inlineStr">
        <is>
          <t>27608669585</t>
        </is>
      </c>
    </row>
    <row r="2964">
      <c r="A2964" t="inlineStr">
        <is>
          <t>14946903</t>
        </is>
      </c>
      <c r="B2964" t="inlineStr">
        <is>
          <t>2ddca69e-da97-48fe-861e-71c49598cb98</t>
        </is>
      </c>
      <c r="D2964" t="inlineStr">
        <is>
          <t>30001087</t>
        </is>
      </c>
      <c r="E2964" t="inlineStr">
        <is>
          <t>ussd_funeral_leads_altitude_20260619</t>
        </is>
      </c>
      <c r="J2964" t="inlineStr">
        <is>
          <t>AA</t>
        </is>
      </c>
      <c r="K2964" t="inlineStr">
        <is>
          <t>Answering Machine Autodial</t>
        </is>
      </c>
      <c r="L2964" t="n">
        <v>3</v>
      </c>
      <c r="M2964" t="inlineStr">
        <is>
          <t>2026-06-23 12:37:52</t>
        </is>
      </c>
      <c r="N2964" t="inlineStr">
        <is>
          <t>system</t>
        </is>
      </c>
      <c r="O2964" t="inlineStr">
        <is>
          <t>2026-06-19 07:10:32</t>
        </is>
      </c>
      <c r="P2964" t="inlineStr">
        <is>
          <t>2026-06-19 07:10:32</t>
        </is>
      </c>
      <c r="Y2964" t="inlineStr">
        <is>
          <t>27720677878</t>
        </is>
      </c>
    </row>
    <row r="2965">
      <c r="A2965" t="inlineStr">
        <is>
          <t>14946904</t>
        </is>
      </c>
      <c r="B2965" t="inlineStr">
        <is>
          <t>67eedaf8-2532-45c4-b533-295cc59a742f</t>
        </is>
      </c>
      <c r="D2965" t="inlineStr">
        <is>
          <t>30001087</t>
        </is>
      </c>
      <c r="E2965" t="inlineStr">
        <is>
          <t>ussd_funeral_leads_altitude_20260619</t>
        </is>
      </c>
      <c r="J2965" t="inlineStr">
        <is>
          <t>AA</t>
        </is>
      </c>
      <c r="K2965" t="inlineStr">
        <is>
          <t>Answering Machine Autodial</t>
        </is>
      </c>
      <c r="L2965" t="n">
        <v>3</v>
      </c>
      <c r="M2965" t="inlineStr">
        <is>
          <t>2026-06-23 12:37:52</t>
        </is>
      </c>
      <c r="N2965" t="inlineStr">
        <is>
          <t>system</t>
        </is>
      </c>
      <c r="O2965" t="inlineStr">
        <is>
          <t>2026-06-19 07:10:32</t>
        </is>
      </c>
      <c r="P2965" t="inlineStr">
        <is>
          <t>2026-06-19 07:10:32</t>
        </is>
      </c>
      <c r="Y2965" t="inlineStr">
        <is>
          <t>27791459374</t>
        </is>
      </c>
    </row>
    <row r="2966">
      <c r="A2966" t="inlineStr">
        <is>
          <t>14946905</t>
        </is>
      </c>
      <c r="B2966" t="inlineStr">
        <is>
          <t>d4cb392d-7ede-487b-9c0b-d651719d0f71</t>
        </is>
      </c>
      <c r="D2966" t="inlineStr">
        <is>
          <t>30001087</t>
        </is>
      </c>
      <c r="E2966" t="inlineStr">
        <is>
          <t>ussd_funeral_leads_altitude_20260619</t>
        </is>
      </c>
      <c r="J2966" t="inlineStr">
        <is>
          <t>CU</t>
        </is>
      </c>
      <c r="K2966" t="inlineStr">
        <is>
          <t>Client Hung Up</t>
        </is>
      </c>
      <c r="L2966" t="n">
        <v>3</v>
      </c>
      <c r="M2966" t="inlineStr">
        <is>
          <t>2026-06-23 12:37:52</t>
        </is>
      </c>
      <c r="N2966" t="inlineStr">
        <is>
          <t>Goitsimang Mogwasa</t>
        </is>
      </c>
      <c r="O2966" t="inlineStr">
        <is>
          <t>2026-06-19 07:10:32</t>
        </is>
      </c>
      <c r="P2966" t="inlineStr">
        <is>
          <t>2026-06-19 07:10:32</t>
        </is>
      </c>
      <c r="Y2966" t="inlineStr">
        <is>
          <t>27796761812</t>
        </is>
      </c>
    </row>
    <row r="2967">
      <c r="A2967" t="inlineStr">
        <is>
          <t>14946907</t>
        </is>
      </c>
      <c r="B2967" t="inlineStr">
        <is>
          <t>098813a6-a3d7-43a3-be46-e0d0893ee722</t>
        </is>
      </c>
      <c r="D2967" t="inlineStr">
        <is>
          <t>30001087</t>
        </is>
      </c>
      <c r="E2967" t="inlineStr">
        <is>
          <t>ussd_funeral_leads_altitude_20260619</t>
        </is>
      </c>
      <c r="J2967" t="inlineStr">
        <is>
          <t>AA</t>
        </is>
      </c>
      <c r="K2967" t="inlineStr">
        <is>
          <t>Answering Machine Autodial</t>
        </is>
      </c>
      <c r="L2967" t="n">
        <v>3</v>
      </c>
      <c r="M2967" t="inlineStr">
        <is>
          <t>2026-06-23 12:37:52</t>
        </is>
      </c>
      <c r="N2967" t="inlineStr">
        <is>
          <t>system</t>
        </is>
      </c>
      <c r="O2967" t="inlineStr">
        <is>
          <t>2026-06-19 07:10:32</t>
        </is>
      </c>
      <c r="P2967" t="inlineStr">
        <is>
          <t>2026-06-19 07:10:32</t>
        </is>
      </c>
      <c r="Y2967" t="inlineStr">
        <is>
          <t>27794188261</t>
        </is>
      </c>
    </row>
    <row r="2968">
      <c r="A2968" t="inlineStr">
        <is>
          <t>14946908</t>
        </is>
      </c>
      <c r="B2968" t="inlineStr">
        <is>
          <t>21335e7c-3882-4fc3-a550-73902233d25c</t>
        </is>
      </c>
      <c r="D2968" t="inlineStr">
        <is>
          <t>30001087</t>
        </is>
      </c>
      <c r="E2968" t="inlineStr">
        <is>
          <t>ussd_funeral_leads_altitude_20260619</t>
        </is>
      </c>
      <c r="J2968" t="inlineStr">
        <is>
          <t>AA</t>
        </is>
      </c>
      <c r="K2968" t="inlineStr">
        <is>
          <t>Answering Machine Autodial</t>
        </is>
      </c>
      <c r="L2968" t="n">
        <v>3</v>
      </c>
      <c r="M2968" t="inlineStr">
        <is>
          <t>2026-06-23 12:37:52</t>
        </is>
      </c>
      <c r="N2968" t="inlineStr">
        <is>
          <t>system</t>
        </is>
      </c>
      <c r="O2968" t="inlineStr">
        <is>
          <t>2026-06-19 07:10:32</t>
        </is>
      </c>
      <c r="P2968" t="inlineStr">
        <is>
          <t>2026-06-19 07:10:32</t>
        </is>
      </c>
      <c r="Y2968" t="inlineStr">
        <is>
          <t>27716887271</t>
        </is>
      </c>
    </row>
    <row r="2969">
      <c r="A2969" t="inlineStr">
        <is>
          <t>14946658</t>
        </is>
      </c>
      <c r="B2969" t="inlineStr">
        <is>
          <t>b3517e74-2b9e-4874-a7e1-79f9d614bdfd</t>
        </is>
      </c>
      <c r="D2969" t="inlineStr">
        <is>
          <t>30001087</t>
        </is>
      </c>
      <c r="E2969" t="inlineStr">
        <is>
          <t>ussd_funeral_leads_altitude_20260619</t>
        </is>
      </c>
      <c r="J2969" t="inlineStr">
        <is>
          <t>AA</t>
        </is>
      </c>
      <c r="K2969" t="inlineStr">
        <is>
          <t>Answering Machine Autodial</t>
        </is>
      </c>
      <c r="L2969" t="n">
        <v>3</v>
      </c>
      <c r="M2969" t="inlineStr">
        <is>
          <t>2026-06-23 12:37:47</t>
        </is>
      </c>
      <c r="N2969" t="inlineStr">
        <is>
          <t>system</t>
        </is>
      </c>
      <c r="O2969" t="inlineStr">
        <is>
          <t>2026-06-19 07:10:32</t>
        </is>
      </c>
      <c r="P2969" t="inlineStr">
        <is>
          <t>2026-06-19 07:10:32</t>
        </is>
      </c>
      <c r="Y2969" t="inlineStr">
        <is>
          <t>27796965839</t>
        </is>
      </c>
    </row>
    <row r="2970">
      <c r="A2970" t="inlineStr">
        <is>
          <t>14946662</t>
        </is>
      </c>
      <c r="B2970" t="inlineStr">
        <is>
          <t>f75a0d95-4395-403b-9245-4a449e32375b</t>
        </is>
      </c>
      <c r="D2970" t="inlineStr">
        <is>
          <t>30001087</t>
        </is>
      </c>
      <c r="E2970" t="inlineStr">
        <is>
          <t>ussd_funeral_leads_altitude_20260619</t>
        </is>
      </c>
      <c r="J2970" t="inlineStr">
        <is>
          <t>ADC</t>
        </is>
      </c>
      <c r="K2970" t="inlineStr">
        <is>
          <t>Auto Dial Disconnected</t>
        </is>
      </c>
      <c r="L2970" t="n">
        <v>3</v>
      </c>
      <c r="M2970" t="inlineStr">
        <is>
          <t>2026-06-23 12:37:47</t>
        </is>
      </c>
      <c r="N2970" t="inlineStr">
        <is>
          <t>system</t>
        </is>
      </c>
      <c r="O2970" t="inlineStr">
        <is>
          <t>2026-06-19 07:10:32</t>
        </is>
      </c>
      <c r="P2970" t="inlineStr">
        <is>
          <t>2026-06-19 07:10:32</t>
        </is>
      </c>
      <c r="Y2970" t="inlineStr">
        <is>
          <t>27772416109</t>
        </is>
      </c>
    </row>
    <row r="2971">
      <c r="A2971" t="inlineStr">
        <is>
          <t>14946615</t>
        </is>
      </c>
      <c r="B2971" t="inlineStr">
        <is>
          <t>eae4bf99-1ee9-4953-917e-b3c762471b7f</t>
        </is>
      </c>
      <c r="D2971" t="inlineStr">
        <is>
          <t>30001087</t>
        </is>
      </c>
      <c r="E2971" t="inlineStr">
        <is>
          <t>ussd_funeral_leads_altitude_20260619</t>
        </is>
      </c>
      <c r="J2971" t="inlineStr">
        <is>
          <t>TDN</t>
        </is>
      </c>
      <c r="K2971" t="inlineStr">
        <is>
          <t>Temporary Disconnected Number</t>
        </is>
      </c>
      <c r="L2971" t="n">
        <v>3</v>
      </c>
      <c r="M2971" t="inlineStr">
        <is>
          <t>2026-06-23 12:37:46</t>
        </is>
      </c>
      <c r="N2971" t="inlineStr">
        <is>
          <t>system</t>
        </is>
      </c>
      <c r="O2971" t="inlineStr">
        <is>
          <t>2026-06-19 07:10:32</t>
        </is>
      </c>
      <c r="P2971" t="inlineStr">
        <is>
          <t>2026-06-19 07:10:32</t>
        </is>
      </c>
      <c r="Y2971" t="inlineStr">
        <is>
          <t>27797011282</t>
        </is>
      </c>
    </row>
    <row r="2972">
      <c r="A2972" t="inlineStr">
        <is>
          <t>14946624</t>
        </is>
      </c>
      <c r="B2972" t="inlineStr">
        <is>
          <t>95215ae5-5535-494a-a6d7-d2e344fb21c4</t>
        </is>
      </c>
      <c r="D2972" t="inlineStr">
        <is>
          <t>30001087</t>
        </is>
      </c>
      <c r="E2972" t="inlineStr">
        <is>
          <t>ussd_funeral_leads_altitude_20260619</t>
        </is>
      </c>
      <c r="H2972" t="inlineStr">
        <is>
          <t>27662507874</t>
        </is>
      </c>
      <c r="J2972" t="inlineStr">
        <is>
          <t>CU</t>
        </is>
      </c>
      <c r="K2972" t="inlineStr">
        <is>
          <t>Client Hung Up</t>
        </is>
      </c>
      <c r="L2972" t="n">
        <v>3</v>
      </c>
      <c r="M2972" t="inlineStr">
        <is>
          <t>2026-06-23 12:37:46</t>
        </is>
      </c>
      <c r="N2972" t="inlineStr">
        <is>
          <t>Dimakatso Nkomo</t>
        </is>
      </c>
      <c r="O2972" t="inlineStr">
        <is>
          <t>2026-06-19 07:10:32</t>
        </is>
      </c>
      <c r="P2972" t="inlineStr">
        <is>
          <t>2026-06-19 07:10:32</t>
        </is>
      </c>
      <c r="Y2972" t="inlineStr">
        <is>
          <t>27662507874</t>
        </is>
      </c>
    </row>
    <row r="2973">
      <c r="A2973" t="inlineStr">
        <is>
          <t>14946626</t>
        </is>
      </c>
      <c r="B2973" t="inlineStr">
        <is>
          <t>7982def1-ba76-4599-b569-7b0bd2ed5cb9</t>
        </is>
      </c>
      <c r="D2973" t="inlineStr">
        <is>
          <t>30001087</t>
        </is>
      </c>
      <c r="E2973" t="inlineStr">
        <is>
          <t>ussd_funeral_leads_altitude_20260619</t>
        </is>
      </c>
      <c r="J2973" t="inlineStr">
        <is>
          <t>AA</t>
        </is>
      </c>
      <c r="K2973" t="inlineStr">
        <is>
          <t>Answering Machine Autodial</t>
        </is>
      </c>
      <c r="L2973" t="n">
        <v>3</v>
      </c>
      <c r="M2973" t="inlineStr">
        <is>
          <t>2026-06-23 12:37:46</t>
        </is>
      </c>
      <c r="N2973" t="inlineStr">
        <is>
          <t>system</t>
        </is>
      </c>
      <c r="O2973" t="inlineStr">
        <is>
          <t>2026-06-19 07:10:32</t>
        </is>
      </c>
      <c r="P2973" t="inlineStr">
        <is>
          <t>2026-06-19 07:10:32</t>
        </is>
      </c>
      <c r="Y2973" t="inlineStr">
        <is>
          <t>27724012646</t>
        </is>
      </c>
    </row>
    <row r="2974">
      <c r="A2974" t="inlineStr">
        <is>
          <t>14946628</t>
        </is>
      </c>
      <c r="B2974" t="inlineStr">
        <is>
          <t>8906efff-9ec6-403f-9f4f-c2a237534c49</t>
        </is>
      </c>
      <c r="D2974" t="inlineStr">
        <is>
          <t>30001087</t>
        </is>
      </c>
      <c r="E2974" t="inlineStr">
        <is>
          <t>ussd_funeral_leads_altitude_20260619</t>
        </is>
      </c>
      <c r="J2974" t="inlineStr">
        <is>
          <t>NA</t>
        </is>
      </c>
      <c r="K2974" t="inlineStr">
        <is>
          <t>No Answer Autodial</t>
        </is>
      </c>
      <c r="L2974" t="n">
        <v>3</v>
      </c>
      <c r="M2974" t="inlineStr">
        <is>
          <t>2026-06-23 12:37:46</t>
        </is>
      </c>
      <c r="N2974" t="inlineStr">
        <is>
          <t>system</t>
        </is>
      </c>
      <c r="O2974" t="inlineStr">
        <is>
          <t>2026-06-19 07:10:32</t>
        </is>
      </c>
      <c r="P2974" t="inlineStr">
        <is>
          <t>2026-06-19 07:10:32</t>
        </is>
      </c>
      <c r="Y2974" t="inlineStr">
        <is>
          <t>27774320953</t>
        </is>
      </c>
    </row>
    <row r="2975">
      <c r="A2975" t="inlineStr">
        <is>
          <t>14900000</t>
        </is>
      </c>
      <c r="B2975" t="inlineStr">
        <is>
          <t>e087742f-1fc9-4960-96ce-288de648b7e6</t>
        </is>
      </c>
      <c r="D2975" t="inlineStr">
        <is>
          <t>30001087</t>
        </is>
      </c>
      <c r="E2975" t="inlineStr">
        <is>
          <t>ussd_funeral_leads_altitude_20260619</t>
        </is>
      </c>
      <c r="J2975" t="inlineStr">
        <is>
          <t>ADC</t>
        </is>
      </c>
      <c r="K2975" t="inlineStr">
        <is>
          <t>Auto Dial Disconnected</t>
        </is>
      </c>
      <c r="L2975" t="n">
        <v>3</v>
      </c>
      <c r="M2975" t="inlineStr">
        <is>
          <t>2026-06-23 12:37:46</t>
        </is>
      </c>
      <c r="N2975" t="inlineStr">
        <is>
          <t>system</t>
        </is>
      </c>
      <c r="O2975" t="inlineStr">
        <is>
          <t>2026-06-19 07:10:32</t>
        </is>
      </c>
      <c r="P2975" t="inlineStr">
        <is>
          <t>2026-06-19 07:10:32</t>
        </is>
      </c>
      <c r="Y2975" t="inlineStr">
        <is>
          <t>27720438681</t>
        </is>
      </c>
    </row>
    <row r="2976">
      <c r="A2976" t="inlineStr">
        <is>
          <t>14946595</t>
        </is>
      </c>
      <c r="B2976" t="inlineStr">
        <is>
          <t>77341878-b578-42c9-aba3-5af95ae0577f</t>
        </is>
      </c>
      <c r="D2976" t="inlineStr">
        <is>
          <t>30001087</t>
        </is>
      </c>
      <c r="E2976" t="inlineStr">
        <is>
          <t>ussd_funeral_leads_altitude_20260619</t>
        </is>
      </c>
      <c r="J2976" t="inlineStr">
        <is>
          <t>AA</t>
        </is>
      </c>
      <c r="K2976" t="inlineStr">
        <is>
          <t>Answering Machine Autodial</t>
        </is>
      </c>
      <c r="L2976" t="n">
        <v>3</v>
      </c>
      <c r="M2976" t="inlineStr">
        <is>
          <t>2026-06-23 12:37:43</t>
        </is>
      </c>
      <c r="N2976" t="inlineStr">
        <is>
          <t>system</t>
        </is>
      </c>
      <c r="O2976" t="inlineStr">
        <is>
          <t>2026-06-19 07:10:32</t>
        </is>
      </c>
      <c r="P2976" t="inlineStr">
        <is>
          <t>2026-06-19 07:10:32</t>
        </is>
      </c>
      <c r="Y2976" t="inlineStr">
        <is>
          <t>27794562392</t>
        </is>
      </c>
    </row>
    <row r="2977">
      <c r="A2977" t="inlineStr">
        <is>
          <t>14946605</t>
        </is>
      </c>
      <c r="B2977" t="inlineStr">
        <is>
          <t>ca1e062a-24b0-4bd0-bb19-4c7e5b993d8c</t>
        </is>
      </c>
      <c r="D2977" t="inlineStr">
        <is>
          <t>30001087</t>
        </is>
      </c>
      <c r="E2977" t="inlineStr">
        <is>
          <t>ussd_funeral_leads_altitude_20260619</t>
        </is>
      </c>
      <c r="J2977" t="inlineStr">
        <is>
          <t>ADC</t>
        </is>
      </c>
      <c r="K2977" t="inlineStr">
        <is>
          <t>Auto Dial Disconnected</t>
        </is>
      </c>
      <c r="L2977" t="n">
        <v>3</v>
      </c>
      <c r="M2977" t="inlineStr">
        <is>
          <t>2026-06-23 12:37:43</t>
        </is>
      </c>
      <c r="N2977" t="inlineStr">
        <is>
          <t>system</t>
        </is>
      </c>
      <c r="O2977" t="inlineStr">
        <is>
          <t>2026-06-19 07:10:32</t>
        </is>
      </c>
      <c r="P2977" t="inlineStr">
        <is>
          <t>2026-06-19 07:10:32</t>
        </is>
      </c>
      <c r="Y2977" t="inlineStr">
        <is>
          <t>27728790425</t>
        </is>
      </c>
    </row>
    <row r="2978">
      <c r="A2978" t="inlineStr">
        <is>
          <t>14946606</t>
        </is>
      </c>
      <c r="B2978" t="inlineStr">
        <is>
          <t>42dc8d69-a825-401a-9e3c-8ddb7ba050d9</t>
        </is>
      </c>
      <c r="D2978" t="inlineStr">
        <is>
          <t>30001087</t>
        </is>
      </c>
      <c r="E2978" t="inlineStr">
        <is>
          <t>ussd_funeral_leads_altitude_20260619</t>
        </is>
      </c>
      <c r="J2978" t="inlineStr">
        <is>
          <t>AA</t>
        </is>
      </c>
      <c r="K2978" t="inlineStr">
        <is>
          <t>Answering Machine Autodial</t>
        </is>
      </c>
      <c r="L2978" t="n">
        <v>3</v>
      </c>
      <c r="M2978" t="inlineStr">
        <is>
          <t>2026-06-23 12:37:43</t>
        </is>
      </c>
      <c r="N2978" t="inlineStr">
        <is>
          <t>system</t>
        </is>
      </c>
      <c r="O2978" t="inlineStr">
        <is>
          <t>2026-06-19 07:10:32</t>
        </is>
      </c>
      <c r="P2978" t="inlineStr">
        <is>
          <t>2026-06-19 07:10:32</t>
        </is>
      </c>
      <c r="Y2978" t="inlineStr">
        <is>
          <t>27648072674</t>
        </is>
      </c>
    </row>
    <row r="2979">
      <c r="A2979" t="inlineStr">
        <is>
          <t>14946592</t>
        </is>
      </c>
      <c r="B2979" t="inlineStr">
        <is>
          <t>b25dcb82-3dff-4fa1-9220-e6ae565f489f</t>
        </is>
      </c>
      <c r="D2979" t="inlineStr">
        <is>
          <t>30001087</t>
        </is>
      </c>
      <c r="E2979" t="inlineStr">
        <is>
          <t>ussd_funeral_leads_altitude_20260619</t>
        </is>
      </c>
      <c r="J2979" t="inlineStr">
        <is>
          <t>AA</t>
        </is>
      </c>
      <c r="K2979" t="inlineStr">
        <is>
          <t>Answering Machine Autodial</t>
        </is>
      </c>
      <c r="L2979" t="n">
        <v>3</v>
      </c>
      <c r="M2979" t="inlineStr">
        <is>
          <t>2026-06-23 12:37:42</t>
        </is>
      </c>
      <c r="N2979" t="inlineStr">
        <is>
          <t>system</t>
        </is>
      </c>
      <c r="O2979" t="inlineStr">
        <is>
          <t>2026-06-19 07:10:32</t>
        </is>
      </c>
      <c r="P2979" t="inlineStr">
        <is>
          <t>2026-06-19 07:10:32</t>
        </is>
      </c>
      <c r="Y2979" t="inlineStr">
        <is>
          <t>27793629527</t>
        </is>
      </c>
    </row>
    <row r="2980">
      <c r="A2980" t="inlineStr">
        <is>
          <t>14946593</t>
        </is>
      </c>
      <c r="B2980" t="inlineStr">
        <is>
          <t>3f2f658c-20a4-4c12-bbb1-04fbf4b9720e</t>
        </is>
      </c>
      <c r="D2980" t="inlineStr">
        <is>
          <t>30001087</t>
        </is>
      </c>
      <c r="E2980" t="inlineStr">
        <is>
          <t>ussd_funeral_leads_altitude_20260619</t>
        </is>
      </c>
      <c r="J2980" t="inlineStr">
        <is>
          <t>ADC</t>
        </is>
      </c>
      <c r="K2980" t="inlineStr">
        <is>
          <t>Auto Dial Disconnected</t>
        </is>
      </c>
      <c r="L2980" t="n">
        <v>3</v>
      </c>
      <c r="M2980" t="inlineStr">
        <is>
          <t>2026-06-23 12:37:42</t>
        </is>
      </c>
      <c r="N2980" t="inlineStr">
        <is>
          <t>system</t>
        </is>
      </c>
      <c r="O2980" t="inlineStr">
        <is>
          <t>2026-06-19 07:10:32</t>
        </is>
      </c>
      <c r="P2980" t="inlineStr">
        <is>
          <t>2026-06-19 07:10:32</t>
        </is>
      </c>
      <c r="Y2980" t="inlineStr">
        <is>
          <t>27660862852</t>
        </is>
      </c>
    </row>
    <row r="2981">
      <c r="A2981" t="inlineStr">
        <is>
          <t>14946591</t>
        </is>
      </c>
      <c r="B2981" t="inlineStr">
        <is>
          <t>d9a8c956-be9b-4d33-9252-527f31c83ebb</t>
        </is>
      </c>
      <c r="D2981" t="inlineStr">
        <is>
          <t>30001087</t>
        </is>
      </c>
      <c r="E2981" t="inlineStr">
        <is>
          <t>ussd_funeral_leads_altitude_20260619</t>
        </is>
      </c>
      <c r="J2981" t="inlineStr">
        <is>
          <t>CU</t>
        </is>
      </c>
      <c r="K2981" t="inlineStr">
        <is>
          <t>Client Hung Up</t>
        </is>
      </c>
      <c r="L2981" t="n">
        <v>3</v>
      </c>
      <c r="M2981" t="inlineStr">
        <is>
          <t>2026-06-23 12:37:24</t>
        </is>
      </c>
      <c r="N2981" t="inlineStr">
        <is>
          <t>Gontse Monageng</t>
        </is>
      </c>
      <c r="O2981" t="inlineStr">
        <is>
          <t>2026-06-19 07:10:32</t>
        </is>
      </c>
      <c r="P2981" t="inlineStr">
        <is>
          <t>2026-06-19 07:10:32</t>
        </is>
      </c>
      <c r="Y2981" t="inlineStr">
        <is>
          <t>27715787797</t>
        </is>
      </c>
    </row>
    <row r="2982">
      <c r="A2982" t="inlineStr">
        <is>
          <t>14946589</t>
        </is>
      </c>
      <c r="B2982" t="inlineStr">
        <is>
          <t>919aad57-1651-4c41-aa49-15515c61f044</t>
        </is>
      </c>
      <c r="D2982" t="inlineStr">
        <is>
          <t>30001087</t>
        </is>
      </c>
      <c r="E2982" t="inlineStr">
        <is>
          <t>ussd_funeral_leads_altitude_20260619</t>
        </is>
      </c>
      <c r="J2982" t="inlineStr">
        <is>
          <t>AA</t>
        </is>
      </c>
      <c r="K2982" t="inlineStr">
        <is>
          <t>Answering Machine Autodial</t>
        </is>
      </c>
      <c r="L2982" t="n">
        <v>3</v>
      </c>
      <c r="M2982" t="inlineStr">
        <is>
          <t>2026-06-23 12:37:20</t>
        </is>
      </c>
      <c r="N2982" t="inlineStr">
        <is>
          <t>system</t>
        </is>
      </c>
      <c r="O2982" t="inlineStr">
        <is>
          <t>2026-06-19 07:10:32</t>
        </is>
      </c>
      <c r="P2982" t="inlineStr">
        <is>
          <t>2026-06-19 07:10:32</t>
        </is>
      </c>
      <c r="Y2982" t="inlineStr">
        <is>
          <t>27761444641</t>
        </is>
      </c>
    </row>
    <row r="2983">
      <c r="A2983" t="inlineStr">
        <is>
          <t>14946588</t>
        </is>
      </c>
      <c r="B2983" t="inlineStr">
        <is>
          <t>8ccdc14f-f94c-4f5f-826f-249c4416d973</t>
        </is>
      </c>
      <c r="D2983" t="inlineStr">
        <is>
          <t>30001087</t>
        </is>
      </c>
      <c r="E2983" t="inlineStr">
        <is>
          <t>ussd_funeral_leads_altitude_20260619</t>
        </is>
      </c>
      <c r="J2983" t="inlineStr">
        <is>
          <t>AA</t>
        </is>
      </c>
      <c r="K2983" t="inlineStr">
        <is>
          <t>Answering Machine Autodial</t>
        </is>
      </c>
      <c r="L2983" t="n">
        <v>3</v>
      </c>
      <c r="M2983" t="inlineStr">
        <is>
          <t>2026-06-23 12:37:19</t>
        </is>
      </c>
      <c r="N2983" t="inlineStr">
        <is>
          <t>system</t>
        </is>
      </c>
      <c r="O2983" t="inlineStr">
        <is>
          <t>2026-06-19 07:10:32</t>
        </is>
      </c>
      <c r="P2983" t="inlineStr">
        <is>
          <t>2026-06-19 07:10:32</t>
        </is>
      </c>
      <c r="Y2983" t="inlineStr">
        <is>
          <t>27729312298</t>
        </is>
      </c>
    </row>
    <row r="2984">
      <c r="A2984" t="inlineStr">
        <is>
          <t>14946584</t>
        </is>
      </c>
      <c r="B2984" t="inlineStr">
        <is>
          <t>c5ed2a0f-73bf-44f6-9e05-1b994f61b54a</t>
        </is>
      </c>
      <c r="D2984" t="inlineStr">
        <is>
          <t>30001087</t>
        </is>
      </c>
      <c r="E2984" t="inlineStr">
        <is>
          <t>ussd_funeral_leads_altitude_20260619</t>
        </is>
      </c>
      <c r="J2984" t="inlineStr">
        <is>
          <t>ADC</t>
        </is>
      </c>
      <c r="K2984" t="inlineStr">
        <is>
          <t>Auto Dial Disconnected</t>
        </is>
      </c>
      <c r="L2984" t="n">
        <v>3</v>
      </c>
      <c r="M2984" t="inlineStr">
        <is>
          <t>2026-06-23 12:37:17</t>
        </is>
      </c>
      <c r="N2984" t="inlineStr">
        <is>
          <t>system</t>
        </is>
      </c>
      <c r="O2984" t="inlineStr">
        <is>
          <t>2026-06-19 07:10:32</t>
        </is>
      </c>
      <c r="P2984" t="inlineStr">
        <is>
          <t>2026-06-19 07:10:32</t>
        </is>
      </c>
      <c r="Y2984" t="inlineStr">
        <is>
          <t>27766432048</t>
        </is>
      </c>
    </row>
    <row r="2985">
      <c r="A2985" t="inlineStr">
        <is>
          <t>14946585</t>
        </is>
      </c>
      <c r="B2985" t="inlineStr">
        <is>
          <t>3cf95afa-a1f5-4e1d-8b91-abbc12909ad3</t>
        </is>
      </c>
      <c r="D2985" t="inlineStr">
        <is>
          <t>30001087</t>
        </is>
      </c>
      <c r="E2985" t="inlineStr">
        <is>
          <t>ussd_funeral_leads_altitude_20260619</t>
        </is>
      </c>
      <c r="J2985" t="inlineStr">
        <is>
          <t>ADC</t>
        </is>
      </c>
      <c r="K2985" t="inlineStr">
        <is>
          <t>Auto Dial Disconnected</t>
        </is>
      </c>
      <c r="L2985" t="n">
        <v>3</v>
      </c>
      <c r="M2985" t="inlineStr">
        <is>
          <t>2026-06-23 12:37:17</t>
        </is>
      </c>
      <c r="N2985" t="inlineStr">
        <is>
          <t>system</t>
        </is>
      </c>
      <c r="O2985" t="inlineStr">
        <is>
          <t>2026-06-19 07:10:32</t>
        </is>
      </c>
      <c r="P2985" t="inlineStr">
        <is>
          <t>2026-06-19 07:10:32</t>
        </is>
      </c>
      <c r="Y2985" t="inlineStr">
        <is>
          <t>27762834781</t>
        </is>
      </c>
    </row>
    <row r="2986">
      <c r="A2986" t="inlineStr">
        <is>
          <t>14946587</t>
        </is>
      </c>
      <c r="B2986" t="inlineStr">
        <is>
          <t>90b41c3e-ead7-4e47-bddc-b5d566d1a087</t>
        </is>
      </c>
      <c r="D2986" t="inlineStr">
        <is>
          <t>30001087</t>
        </is>
      </c>
      <c r="E2986" t="inlineStr">
        <is>
          <t>ussd_funeral_leads_altitude_20260619</t>
        </is>
      </c>
      <c r="J2986" t="inlineStr">
        <is>
          <t>ADC</t>
        </is>
      </c>
      <c r="K2986" t="inlineStr">
        <is>
          <t>Auto Dial Disconnected</t>
        </is>
      </c>
      <c r="L2986" t="n">
        <v>3</v>
      </c>
      <c r="M2986" t="inlineStr">
        <is>
          <t>2026-06-23 12:37:17</t>
        </is>
      </c>
      <c r="N2986" t="inlineStr">
        <is>
          <t>system</t>
        </is>
      </c>
      <c r="O2986" t="inlineStr">
        <is>
          <t>2026-06-19 07:10:32</t>
        </is>
      </c>
      <c r="P2986" t="inlineStr">
        <is>
          <t>2026-06-19 07:10:32</t>
        </is>
      </c>
      <c r="Y2986" t="inlineStr">
        <is>
          <t>27665696516</t>
        </is>
      </c>
    </row>
    <row r="2987">
      <c r="A2987" t="inlineStr">
        <is>
          <t>14946572</t>
        </is>
      </c>
      <c r="B2987" t="inlineStr">
        <is>
          <t>58e69e44-a606-4eb9-b682-6904ecf5ceca</t>
        </is>
      </c>
      <c r="D2987" t="inlineStr">
        <is>
          <t>30001087</t>
        </is>
      </c>
      <c r="E2987" t="inlineStr">
        <is>
          <t>ussd_funeral_leads_altitude_20260619</t>
        </is>
      </c>
      <c r="J2987" t="inlineStr">
        <is>
          <t>CU</t>
        </is>
      </c>
      <c r="K2987" t="inlineStr">
        <is>
          <t>Client Hung Up</t>
        </is>
      </c>
      <c r="L2987" t="n">
        <v>3</v>
      </c>
      <c r="M2987" t="inlineStr">
        <is>
          <t>2026-06-23 12:37:06</t>
        </is>
      </c>
      <c r="N2987" t="inlineStr">
        <is>
          <t>Goitsimang Mogwasa</t>
        </is>
      </c>
      <c r="O2987" t="inlineStr">
        <is>
          <t>2026-06-19 07:10:32</t>
        </is>
      </c>
      <c r="P2987" t="inlineStr">
        <is>
          <t>2026-06-19 07:10:32</t>
        </is>
      </c>
      <c r="Y2987" t="inlineStr">
        <is>
          <t>27797096523</t>
        </is>
      </c>
    </row>
    <row r="2988">
      <c r="A2988" t="inlineStr">
        <is>
          <t>14946574</t>
        </is>
      </c>
      <c r="B2988" t="inlineStr">
        <is>
          <t>e29d15ff-2a17-4233-9edc-7a95feca556a</t>
        </is>
      </c>
      <c r="D2988" t="inlineStr">
        <is>
          <t>30001087</t>
        </is>
      </c>
      <c r="E2988" t="inlineStr">
        <is>
          <t>ussd_funeral_leads_altitude_20260619</t>
        </is>
      </c>
      <c r="J2988" t="inlineStr">
        <is>
          <t>ADC</t>
        </is>
      </c>
      <c r="K2988" t="inlineStr">
        <is>
          <t>Auto Dial Disconnected</t>
        </is>
      </c>
      <c r="L2988" t="n">
        <v>3</v>
      </c>
      <c r="M2988" t="inlineStr">
        <is>
          <t>2026-06-23 12:37:06</t>
        </is>
      </c>
      <c r="N2988" t="inlineStr">
        <is>
          <t>system</t>
        </is>
      </c>
      <c r="O2988" t="inlineStr">
        <is>
          <t>2026-06-19 07:10:32</t>
        </is>
      </c>
      <c r="P2988" t="inlineStr">
        <is>
          <t>2026-06-19 07:10:32</t>
        </is>
      </c>
      <c r="Y2988" t="inlineStr">
        <is>
          <t>27823619138</t>
        </is>
      </c>
    </row>
    <row r="2989">
      <c r="A2989" t="inlineStr">
        <is>
          <t>14946575</t>
        </is>
      </c>
      <c r="B2989" t="inlineStr">
        <is>
          <t>54f4f51f-f768-47a6-b0a4-aeb812dd2a7c</t>
        </is>
      </c>
      <c r="D2989" t="inlineStr">
        <is>
          <t>30001087</t>
        </is>
      </c>
      <c r="E2989" t="inlineStr">
        <is>
          <t>ussd_funeral_leads_altitude_20260619</t>
        </is>
      </c>
      <c r="J2989" t="inlineStr">
        <is>
          <t>ADC</t>
        </is>
      </c>
      <c r="K2989" t="inlineStr">
        <is>
          <t>Auto Dial Disconnected</t>
        </is>
      </c>
      <c r="L2989" t="n">
        <v>3</v>
      </c>
      <c r="M2989" t="inlineStr">
        <is>
          <t>2026-06-23 12:37:06</t>
        </is>
      </c>
      <c r="N2989" t="inlineStr">
        <is>
          <t>system</t>
        </is>
      </c>
      <c r="O2989" t="inlineStr">
        <is>
          <t>2026-06-19 07:10:32</t>
        </is>
      </c>
      <c r="P2989" t="inlineStr">
        <is>
          <t>2026-06-19 07:10:32</t>
        </is>
      </c>
      <c r="Y2989" t="inlineStr">
        <is>
          <t>27790340868</t>
        </is>
      </c>
    </row>
    <row r="2990">
      <c r="A2990" t="inlineStr">
        <is>
          <t>14946570</t>
        </is>
      </c>
      <c r="B2990" t="inlineStr">
        <is>
          <t>d077ea4a-bdc4-44fd-b9e9-6559b47ab20c</t>
        </is>
      </c>
      <c r="D2990" t="inlineStr">
        <is>
          <t>30001087</t>
        </is>
      </c>
      <c r="E2990" t="inlineStr">
        <is>
          <t>ussd_funeral_leads_altitude_20260619</t>
        </is>
      </c>
      <c r="J2990" t="inlineStr">
        <is>
          <t>NA</t>
        </is>
      </c>
      <c r="K2990" t="inlineStr">
        <is>
          <t>No Answer Autodial</t>
        </is>
      </c>
      <c r="L2990" t="n">
        <v>3</v>
      </c>
      <c r="M2990" t="inlineStr">
        <is>
          <t>2026-06-23 12:37:05</t>
        </is>
      </c>
      <c r="N2990" t="inlineStr">
        <is>
          <t>system</t>
        </is>
      </c>
      <c r="O2990" t="inlineStr">
        <is>
          <t>2026-06-19 07:10:32</t>
        </is>
      </c>
      <c r="P2990" t="inlineStr">
        <is>
          <t>2026-06-19 07:10:32</t>
        </is>
      </c>
      <c r="Y2990" t="inlineStr">
        <is>
          <t>27606389591</t>
        </is>
      </c>
    </row>
    <row r="2991">
      <c r="A2991" t="inlineStr">
        <is>
          <t>14946551</t>
        </is>
      </c>
      <c r="B2991" t="inlineStr">
        <is>
          <t>b5e5a61d-190a-4047-8f24-b747bb498e99</t>
        </is>
      </c>
      <c r="D2991" t="inlineStr">
        <is>
          <t>30001087</t>
        </is>
      </c>
      <c r="E2991" t="inlineStr">
        <is>
          <t>ussd_funeral_leads_altitude_20260619</t>
        </is>
      </c>
      <c r="J2991" t="inlineStr">
        <is>
          <t>AA</t>
        </is>
      </c>
      <c r="K2991" t="inlineStr">
        <is>
          <t>Answering Machine Autodial</t>
        </is>
      </c>
      <c r="L2991" t="n">
        <v>3</v>
      </c>
      <c r="M2991" t="inlineStr">
        <is>
          <t>2026-06-23 12:37:00</t>
        </is>
      </c>
      <c r="N2991" t="inlineStr">
        <is>
          <t>system</t>
        </is>
      </c>
      <c r="O2991" t="inlineStr">
        <is>
          <t>2026-06-19 07:10:32</t>
        </is>
      </c>
      <c r="P2991" t="inlineStr">
        <is>
          <t>2026-06-19 07:10:32</t>
        </is>
      </c>
      <c r="Y2991" t="inlineStr">
        <is>
          <t>27727751508</t>
        </is>
      </c>
    </row>
    <row r="2992">
      <c r="A2992" t="inlineStr">
        <is>
          <t>14900000</t>
        </is>
      </c>
      <c r="B2992" t="inlineStr">
        <is>
          <t>34e2878e-15bc-4ee2-83ce-0000b79b5652</t>
        </is>
      </c>
      <c r="D2992" t="inlineStr">
        <is>
          <t>30001087</t>
        </is>
      </c>
      <c r="E2992" t="inlineStr">
        <is>
          <t>ussd_funeral_leads_altitude_20260619</t>
        </is>
      </c>
      <c r="J2992" t="inlineStr">
        <is>
          <t>CU</t>
        </is>
      </c>
      <c r="K2992" t="inlineStr">
        <is>
          <t>Client Hung Up</t>
        </is>
      </c>
      <c r="L2992" t="n">
        <v>3</v>
      </c>
      <c r="M2992" t="inlineStr">
        <is>
          <t>2026-06-23 12:37:00</t>
        </is>
      </c>
      <c r="N2992" t="inlineStr">
        <is>
          <t>Dimakatso Nkomo</t>
        </is>
      </c>
      <c r="O2992" t="inlineStr">
        <is>
          <t>2026-06-19 07:10:32</t>
        </is>
      </c>
      <c r="P2992" t="inlineStr">
        <is>
          <t>2026-06-19 07:10:32</t>
        </is>
      </c>
      <c r="Y2992" t="inlineStr">
        <is>
          <t>27649396120</t>
        </is>
      </c>
    </row>
    <row r="2993">
      <c r="A2993" t="inlineStr">
        <is>
          <t>14900000</t>
        </is>
      </c>
      <c r="B2993" t="inlineStr">
        <is>
          <t>e88521d6-6e21-4f78-82e5-1d58f5a70860</t>
        </is>
      </c>
      <c r="D2993" t="inlineStr">
        <is>
          <t>30001087</t>
        </is>
      </c>
      <c r="E2993" t="inlineStr">
        <is>
          <t>ussd_funeral_leads_altitude_20260619</t>
        </is>
      </c>
      <c r="J2993" t="inlineStr">
        <is>
          <t>AA</t>
        </is>
      </c>
      <c r="K2993" t="inlineStr">
        <is>
          <t>Answering Machine Autodial</t>
        </is>
      </c>
      <c r="L2993" t="n">
        <v>3</v>
      </c>
      <c r="M2993" t="inlineStr">
        <is>
          <t>2026-06-23 12:37:00</t>
        </is>
      </c>
      <c r="N2993" t="inlineStr">
        <is>
          <t>system</t>
        </is>
      </c>
      <c r="O2993" t="inlineStr">
        <is>
          <t>2026-06-19 07:10:32</t>
        </is>
      </c>
      <c r="P2993" t="inlineStr">
        <is>
          <t>2026-06-19 07:10:32</t>
        </is>
      </c>
      <c r="Y2993" t="inlineStr">
        <is>
          <t>27727492067</t>
        </is>
      </c>
    </row>
    <row r="2994">
      <c r="A2994" t="inlineStr">
        <is>
          <t>14946554</t>
        </is>
      </c>
      <c r="B2994" t="inlineStr">
        <is>
          <t>a03d6c23-f31c-4e21-9f09-f9ee2f346690</t>
        </is>
      </c>
      <c r="D2994" t="inlineStr">
        <is>
          <t>30001087</t>
        </is>
      </c>
      <c r="E2994" t="inlineStr">
        <is>
          <t>ussd_funeral_leads_altitude_20260619</t>
        </is>
      </c>
      <c r="H2994" t="inlineStr">
        <is>
          <t>27722221670</t>
        </is>
      </c>
      <c r="J2994" t="inlineStr">
        <is>
          <t>NA</t>
        </is>
      </c>
      <c r="K2994" t="inlineStr">
        <is>
          <t>No Answer Autodial</t>
        </is>
      </c>
      <c r="L2994" t="n">
        <v>3</v>
      </c>
      <c r="M2994" t="inlineStr">
        <is>
          <t>2026-06-23 12:37:00</t>
        </is>
      </c>
      <c r="N2994" t="inlineStr">
        <is>
          <t>system</t>
        </is>
      </c>
      <c r="O2994" t="inlineStr">
        <is>
          <t>2026-06-19 07:10:32</t>
        </is>
      </c>
      <c r="P2994" t="inlineStr">
        <is>
          <t>2026-06-19 07:10:32</t>
        </is>
      </c>
      <c r="Y2994" t="inlineStr">
        <is>
          <t>27722221670</t>
        </is>
      </c>
    </row>
    <row r="2995">
      <c r="A2995" t="inlineStr">
        <is>
          <t>14946550</t>
        </is>
      </c>
      <c r="B2995" t="inlineStr">
        <is>
          <t>8ead2287-e996-4792-9a44-df44d28dc089</t>
        </is>
      </c>
      <c r="D2995" t="inlineStr">
        <is>
          <t>30001087</t>
        </is>
      </c>
      <c r="E2995" t="inlineStr">
        <is>
          <t>ussd_funeral_leads_altitude_20260619</t>
        </is>
      </c>
      <c r="J2995" t="inlineStr">
        <is>
          <t>AA</t>
        </is>
      </c>
      <c r="K2995" t="inlineStr">
        <is>
          <t>Answering Machine Autodial</t>
        </is>
      </c>
      <c r="L2995" t="n">
        <v>3</v>
      </c>
      <c r="M2995" t="inlineStr">
        <is>
          <t>2026-06-23 12:36:59</t>
        </is>
      </c>
      <c r="N2995" t="inlineStr">
        <is>
          <t>system</t>
        </is>
      </c>
      <c r="O2995" t="inlineStr">
        <is>
          <t>2026-06-19 07:10:32</t>
        </is>
      </c>
      <c r="P2995" t="inlineStr">
        <is>
          <t>2026-06-19 07:10:32</t>
        </is>
      </c>
      <c r="Y2995" t="inlineStr">
        <is>
          <t>27762690452</t>
        </is>
      </c>
    </row>
    <row r="2996">
      <c r="A2996" t="inlineStr">
        <is>
          <t>14943470</t>
        </is>
      </c>
      <c r="B2996" t="inlineStr">
        <is>
          <t>d0443d37-5c8a-41f5-8e01-7ba87717ca9f</t>
        </is>
      </c>
      <c r="D2996" t="inlineStr">
        <is>
          <t>30001087</t>
        </is>
      </c>
      <c r="E2996" t="inlineStr">
        <is>
          <t>ussd_funeral_leads_altitude_20260619</t>
        </is>
      </c>
      <c r="J2996" t="inlineStr">
        <is>
          <t>WN</t>
        </is>
      </c>
      <c r="K2996" t="inlineStr">
        <is>
          <t>Wrong Number</t>
        </is>
      </c>
      <c r="L2996" t="n">
        <v>7</v>
      </c>
      <c r="M2996" t="inlineStr">
        <is>
          <t>2026-06-23 12:36:52</t>
        </is>
      </c>
      <c r="N2996" t="inlineStr">
        <is>
          <t>Bongiwe Precious Cele</t>
        </is>
      </c>
      <c r="O2996" t="inlineStr">
        <is>
          <t>2026-06-19 07:10:32</t>
        </is>
      </c>
      <c r="P2996" t="inlineStr">
        <is>
          <t>2026-06-19 07:10:32</t>
        </is>
      </c>
      <c r="Y2996" t="inlineStr">
        <is>
          <t>27761329697</t>
        </is>
      </c>
    </row>
    <row r="2997">
      <c r="A2997" t="inlineStr">
        <is>
          <t>14946190</t>
        </is>
      </c>
      <c r="B2997" t="inlineStr">
        <is>
          <t>ebf2cd20-8435-4e2a-b488-6e41e692b047</t>
        </is>
      </c>
      <c r="D2997" t="inlineStr">
        <is>
          <t>30001087</t>
        </is>
      </c>
      <c r="E2997" t="inlineStr">
        <is>
          <t>ussd_funeral_leads_altitude_20260619</t>
        </is>
      </c>
      <c r="J2997" t="inlineStr">
        <is>
          <t>AA</t>
        </is>
      </c>
      <c r="K2997" t="inlineStr">
        <is>
          <t>Answering Machine Autodial</t>
        </is>
      </c>
      <c r="L2997" t="n">
        <v>3</v>
      </c>
      <c r="M2997" t="inlineStr">
        <is>
          <t>2026-06-23 12:36:50</t>
        </is>
      </c>
      <c r="N2997" t="inlineStr">
        <is>
          <t>system</t>
        </is>
      </c>
      <c r="O2997" t="inlineStr">
        <is>
          <t>2026-06-19 07:10:32</t>
        </is>
      </c>
      <c r="P2997" t="inlineStr">
        <is>
          <t>2026-06-19 07:10:32</t>
        </is>
      </c>
      <c r="Y2997" t="inlineStr">
        <is>
          <t>27648207008</t>
        </is>
      </c>
    </row>
    <row r="2998">
      <c r="A2998" t="inlineStr">
        <is>
          <t>14946548</t>
        </is>
      </c>
      <c r="B2998" t="inlineStr">
        <is>
          <t>551a82e2-0e65-4e08-a6b9-71dca42c490b</t>
        </is>
      </c>
      <c r="D2998" t="inlineStr">
        <is>
          <t>30001087</t>
        </is>
      </c>
      <c r="E2998" t="inlineStr">
        <is>
          <t>ussd_funeral_leads_altitude_20260619</t>
        </is>
      </c>
      <c r="J2998" t="inlineStr">
        <is>
          <t>AA</t>
        </is>
      </c>
      <c r="K2998" t="inlineStr">
        <is>
          <t>Answering Machine Autodial</t>
        </is>
      </c>
      <c r="L2998" t="n">
        <v>3</v>
      </c>
      <c r="M2998" t="inlineStr">
        <is>
          <t>2026-06-23 12:36:50</t>
        </is>
      </c>
      <c r="N2998" t="inlineStr">
        <is>
          <t>system</t>
        </is>
      </c>
      <c r="O2998" t="inlineStr">
        <is>
          <t>2026-06-19 07:10:32</t>
        </is>
      </c>
      <c r="P2998" t="inlineStr">
        <is>
          <t>2026-06-19 07:10:32</t>
        </is>
      </c>
      <c r="Y2998" t="inlineStr">
        <is>
          <t>27728151843</t>
        </is>
      </c>
    </row>
    <row r="2999">
      <c r="A2999" t="inlineStr">
        <is>
          <t>14946549</t>
        </is>
      </c>
      <c r="B2999" t="inlineStr">
        <is>
          <t>4815c0b3-342a-4f6b-b2d7-0b9d5f65759a</t>
        </is>
      </c>
      <c r="D2999" t="inlineStr">
        <is>
          <t>30001087</t>
        </is>
      </c>
      <c r="E2999" t="inlineStr">
        <is>
          <t>ussd_funeral_leads_altitude_20260619</t>
        </is>
      </c>
      <c r="J2999" t="inlineStr">
        <is>
          <t>AA</t>
        </is>
      </c>
      <c r="K2999" t="inlineStr">
        <is>
          <t>Answering Machine Autodial</t>
        </is>
      </c>
      <c r="L2999" t="n">
        <v>3</v>
      </c>
      <c r="M2999" t="inlineStr">
        <is>
          <t>2026-06-23 12:36:50</t>
        </is>
      </c>
      <c r="N2999" t="inlineStr">
        <is>
          <t>system</t>
        </is>
      </c>
      <c r="O2999" t="inlineStr">
        <is>
          <t>2026-06-19 07:10:32</t>
        </is>
      </c>
      <c r="P2999" t="inlineStr">
        <is>
          <t>2026-06-19 07:10:32</t>
        </is>
      </c>
      <c r="Y2999" t="inlineStr">
        <is>
          <t>27774851613</t>
        </is>
      </c>
    </row>
    <row r="3000">
      <c r="A3000" t="inlineStr">
        <is>
          <t>14946187</t>
        </is>
      </c>
      <c r="B3000" t="inlineStr">
        <is>
          <t>5a2749ed-39d9-4427-a057-9bbd32b075dc</t>
        </is>
      </c>
      <c r="D3000" t="inlineStr">
        <is>
          <t>30001087</t>
        </is>
      </c>
      <c r="E3000" t="inlineStr">
        <is>
          <t>ussd_funeral_leads_altitude_20260619</t>
        </is>
      </c>
      <c r="J3000" t="inlineStr">
        <is>
          <t>AA</t>
        </is>
      </c>
      <c r="K3000" t="inlineStr">
        <is>
          <t>Answering Machine Autodial</t>
        </is>
      </c>
      <c r="L3000" t="n">
        <v>3</v>
      </c>
      <c r="M3000" t="inlineStr">
        <is>
          <t>2026-06-23 12:36:49</t>
        </is>
      </c>
      <c r="N3000" t="inlineStr">
        <is>
          <t>system</t>
        </is>
      </c>
      <c r="O3000" t="inlineStr">
        <is>
          <t>2026-06-19 07:10:32</t>
        </is>
      </c>
      <c r="P3000" t="inlineStr">
        <is>
          <t>2026-06-19 07:10:32</t>
        </is>
      </c>
      <c r="Y3000" t="inlineStr">
        <is>
          <t>27715404151</t>
        </is>
      </c>
    </row>
    <row r="3001">
      <c r="A3001" t="inlineStr">
        <is>
          <t>14946188</t>
        </is>
      </c>
      <c r="B3001" t="inlineStr">
        <is>
          <t>0d798823-362e-44a6-93a1-38c9c9b17d34</t>
        </is>
      </c>
      <c r="D3001" t="inlineStr">
        <is>
          <t>30001087</t>
        </is>
      </c>
      <c r="E3001" t="inlineStr">
        <is>
          <t>ussd_funeral_leads_altitude_20260619</t>
        </is>
      </c>
      <c r="J3001" t="inlineStr">
        <is>
          <t>AA</t>
        </is>
      </c>
      <c r="K3001" t="inlineStr">
        <is>
          <t>Answering Machine Autodial</t>
        </is>
      </c>
      <c r="L3001" t="n">
        <v>3</v>
      </c>
      <c r="M3001" t="inlineStr">
        <is>
          <t>2026-06-23 12:36:49</t>
        </is>
      </c>
      <c r="N3001" t="inlineStr">
        <is>
          <t>system</t>
        </is>
      </c>
      <c r="O3001" t="inlineStr">
        <is>
          <t>2026-06-19 07:10:32</t>
        </is>
      </c>
      <c r="P3001" t="inlineStr">
        <is>
          <t>2026-06-19 07:10:32</t>
        </is>
      </c>
      <c r="Y3001" t="inlineStr">
        <is>
          <t>27826307518</t>
        </is>
      </c>
    </row>
    <row r="3002">
      <c r="A3002" t="inlineStr">
        <is>
          <t>14946189</t>
        </is>
      </c>
      <c r="B3002" t="inlineStr">
        <is>
          <t>2da8ce14-d0fe-463a-b2cf-2f1028d6d5dd</t>
        </is>
      </c>
      <c r="D3002" t="inlineStr">
        <is>
          <t>30001087</t>
        </is>
      </c>
      <c r="E3002" t="inlineStr">
        <is>
          <t>ussd_funeral_leads_altitude_20260619</t>
        </is>
      </c>
      <c r="J3002" t="inlineStr">
        <is>
          <t>NA</t>
        </is>
      </c>
      <c r="K3002" t="inlineStr">
        <is>
          <t>No Answer Autodial</t>
        </is>
      </c>
      <c r="L3002" t="n">
        <v>3</v>
      </c>
      <c r="M3002" t="inlineStr">
        <is>
          <t>2026-06-23 12:36:49</t>
        </is>
      </c>
      <c r="N3002" t="inlineStr">
        <is>
          <t>system</t>
        </is>
      </c>
      <c r="O3002" t="inlineStr">
        <is>
          <t>2026-06-19 07:10:32</t>
        </is>
      </c>
      <c r="P3002" t="inlineStr">
        <is>
          <t>2026-06-19 07:10:32</t>
        </is>
      </c>
      <c r="Y3002" t="inlineStr">
        <is>
          <t>27716920434</t>
        </is>
      </c>
    </row>
    <row r="3003">
      <c r="A3003" t="inlineStr">
        <is>
          <t>14946183</t>
        </is>
      </c>
      <c r="B3003" t="inlineStr">
        <is>
          <t>7c1b7e0c-5a24-44af-897e-cce280795567</t>
        </is>
      </c>
      <c r="D3003" t="inlineStr">
        <is>
          <t>30001087</t>
        </is>
      </c>
      <c r="E3003" t="inlineStr">
        <is>
          <t>ussd_funeral_leads_altitude_20260619</t>
        </is>
      </c>
      <c r="J3003" t="inlineStr">
        <is>
          <t>AA</t>
        </is>
      </c>
      <c r="K3003" t="inlineStr">
        <is>
          <t>Answering Machine Autodial</t>
        </is>
      </c>
      <c r="L3003" t="n">
        <v>3</v>
      </c>
      <c r="M3003" t="inlineStr">
        <is>
          <t>2026-06-23 12:36:48</t>
        </is>
      </c>
      <c r="N3003" t="inlineStr">
        <is>
          <t>system</t>
        </is>
      </c>
      <c r="O3003" t="inlineStr">
        <is>
          <t>2026-06-19 07:10:32</t>
        </is>
      </c>
      <c r="P3003" t="inlineStr">
        <is>
          <t>2026-06-19 07:10:32</t>
        </is>
      </c>
      <c r="Y3003" t="inlineStr">
        <is>
          <t>27673114687</t>
        </is>
      </c>
    </row>
    <row r="3004">
      <c r="A3004" t="inlineStr">
        <is>
          <t>14946184</t>
        </is>
      </c>
      <c r="B3004" t="inlineStr">
        <is>
          <t>8cf93375-431d-4f61-ae3c-c229fd8b4d7c</t>
        </is>
      </c>
      <c r="D3004" t="inlineStr">
        <is>
          <t>30001087</t>
        </is>
      </c>
      <c r="E3004" t="inlineStr">
        <is>
          <t>ussd_funeral_leads_altitude_20260619</t>
        </is>
      </c>
      <c r="J3004" t="inlineStr">
        <is>
          <t>AA</t>
        </is>
      </c>
      <c r="K3004" t="inlineStr">
        <is>
          <t>Answering Machine Autodial</t>
        </is>
      </c>
      <c r="L3004" t="n">
        <v>3</v>
      </c>
      <c r="M3004" t="inlineStr">
        <is>
          <t>2026-06-23 12:36:48</t>
        </is>
      </c>
      <c r="N3004" t="inlineStr">
        <is>
          <t>system</t>
        </is>
      </c>
      <c r="O3004" t="inlineStr">
        <is>
          <t>2026-06-19 07:10:32</t>
        </is>
      </c>
      <c r="P3004" t="inlineStr">
        <is>
          <t>2026-06-19 07:10:32</t>
        </is>
      </c>
      <c r="Y3004" t="inlineStr">
        <is>
          <t>27764180134</t>
        </is>
      </c>
    </row>
    <row r="3005">
      <c r="A3005" t="inlineStr">
        <is>
          <t>14946185</t>
        </is>
      </c>
      <c r="B3005" t="inlineStr">
        <is>
          <t>c57fecc9-61e2-4681-856c-97fa8aa1d361</t>
        </is>
      </c>
      <c r="D3005" t="inlineStr">
        <is>
          <t>30001087</t>
        </is>
      </c>
      <c r="E3005" t="inlineStr">
        <is>
          <t>ussd_funeral_leads_altitude_20260619</t>
        </is>
      </c>
      <c r="J3005" t="inlineStr">
        <is>
          <t>AA</t>
        </is>
      </c>
      <c r="K3005" t="inlineStr">
        <is>
          <t>Answering Machine Autodial</t>
        </is>
      </c>
      <c r="L3005" t="n">
        <v>3</v>
      </c>
      <c r="M3005" t="inlineStr">
        <is>
          <t>2026-06-23 12:36:48</t>
        </is>
      </c>
      <c r="N3005" t="inlineStr">
        <is>
          <t>system</t>
        </is>
      </c>
      <c r="O3005" t="inlineStr">
        <is>
          <t>2026-06-19 07:10:32</t>
        </is>
      </c>
      <c r="P3005" t="inlineStr">
        <is>
          <t>2026-06-19 07:10:32</t>
        </is>
      </c>
      <c r="Y3005" t="inlineStr">
        <is>
          <t>27607950141</t>
        </is>
      </c>
    </row>
    <row r="3006">
      <c r="A3006" t="inlineStr">
        <is>
          <t>14946186</t>
        </is>
      </c>
      <c r="B3006" t="inlineStr">
        <is>
          <t>5435d204-6e58-491a-af4c-1915f34ed239</t>
        </is>
      </c>
      <c r="D3006" t="inlineStr">
        <is>
          <t>30001087</t>
        </is>
      </c>
      <c r="E3006" t="inlineStr">
        <is>
          <t>ussd_funeral_leads_altitude_20260619</t>
        </is>
      </c>
      <c r="J3006" t="inlineStr">
        <is>
          <t>NA</t>
        </is>
      </c>
      <c r="K3006" t="inlineStr">
        <is>
          <t>No Answer Autodial</t>
        </is>
      </c>
      <c r="L3006" t="n">
        <v>3</v>
      </c>
      <c r="M3006" t="inlineStr">
        <is>
          <t>2026-06-23 12:36:48</t>
        </is>
      </c>
      <c r="N3006" t="inlineStr">
        <is>
          <t>system</t>
        </is>
      </c>
      <c r="O3006" t="inlineStr">
        <is>
          <t>2026-06-19 07:10:32</t>
        </is>
      </c>
      <c r="P3006" t="inlineStr">
        <is>
          <t>2026-06-19 07:10:32</t>
        </is>
      </c>
      <c r="Y3006" t="inlineStr">
        <is>
          <t>27762147558</t>
        </is>
      </c>
    </row>
    <row r="3007">
      <c r="A3007" t="inlineStr">
        <is>
          <t>14946179</t>
        </is>
      </c>
      <c r="B3007" t="inlineStr">
        <is>
          <t>81df7316-6664-4d76-849c-d88012ec4d7c</t>
        </is>
      </c>
      <c r="D3007" t="inlineStr">
        <is>
          <t>30001087</t>
        </is>
      </c>
      <c r="E3007" t="inlineStr">
        <is>
          <t>ussd_funeral_leads_altitude_20260619</t>
        </is>
      </c>
      <c r="J3007" t="inlineStr">
        <is>
          <t>TDN</t>
        </is>
      </c>
      <c r="K3007" t="inlineStr">
        <is>
          <t>Temporary Disconnected Number</t>
        </is>
      </c>
      <c r="L3007" t="n">
        <v>3</v>
      </c>
      <c r="M3007" t="inlineStr">
        <is>
          <t>2026-06-23 12:36:42</t>
        </is>
      </c>
      <c r="N3007" t="inlineStr">
        <is>
          <t>system</t>
        </is>
      </c>
      <c r="O3007" t="inlineStr">
        <is>
          <t>2026-06-19 07:10:32</t>
        </is>
      </c>
      <c r="P3007" t="inlineStr">
        <is>
          <t>2026-06-19 07:10:32</t>
        </is>
      </c>
      <c r="Y3007" t="inlineStr">
        <is>
          <t>27766969393</t>
        </is>
      </c>
    </row>
    <row r="3008">
      <c r="A3008" t="inlineStr">
        <is>
          <t>14946180</t>
        </is>
      </c>
      <c r="B3008" t="inlineStr">
        <is>
          <t>9e5b84fe-69fa-410d-a565-4241e4f2e02c</t>
        </is>
      </c>
      <c r="D3008" t="inlineStr">
        <is>
          <t>30001087</t>
        </is>
      </c>
      <c r="E3008" t="inlineStr">
        <is>
          <t>ussd_funeral_leads_altitude_20260619</t>
        </is>
      </c>
      <c r="J3008" t="inlineStr">
        <is>
          <t>AA</t>
        </is>
      </c>
      <c r="K3008" t="inlineStr">
        <is>
          <t>Answering Machine Autodial</t>
        </is>
      </c>
      <c r="L3008" t="n">
        <v>3</v>
      </c>
      <c r="M3008" t="inlineStr">
        <is>
          <t>2026-06-23 12:36:42</t>
        </is>
      </c>
      <c r="N3008" t="inlineStr">
        <is>
          <t>system</t>
        </is>
      </c>
      <c r="O3008" t="inlineStr">
        <is>
          <t>2026-06-19 07:10:32</t>
        </is>
      </c>
      <c r="P3008" t="inlineStr">
        <is>
          <t>2026-06-19 07:10:32</t>
        </is>
      </c>
      <c r="Y3008" t="inlineStr">
        <is>
          <t>27674403670</t>
        </is>
      </c>
    </row>
    <row r="3009">
      <c r="A3009" t="inlineStr">
        <is>
          <t>14946182</t>
        </is>
      </c>
      <c r="B3009" t="inlineStr">
        <is>
          <t>db12f94c-6f90-42b7-b2bf-6816c4be71ba</t>
        </is>
      </c>
      <c r="D3009" t="inlineStr">
        <is>
          <t>30001087</t>
        </is>
      </c>
      <c r="E3009" t="inlineStr">
        <is>
          <t>ussd_funeral_leads_altitude_20260619</t>
        </is>
      </c>
      <c r="J3009" t="inlineStr">
        <is>
          <t>AA</t>
        </is>
      </c>
      <c r="K3009" t="inlineStr">
        <is>
          <t>Answering Machine Autodial</t>
        </is>
      </c>
      <c r="L3009" t="n">
        <v>3</v>
      </c>
      <c r="M3009" t="inlineStr">
        <is>
          <t>2026-06-23 12:36:42</t>
        </is>
      </c>
      <c r="N3009" t="inlineStr">
        <is>
          <t>system</t>
        </is>
      </c>
      <c r="O3009" t="inlineStr">
        <is>
          <t>2026-06-19 07:10:32</t>
        </is>
      </c>
      <c r="P3009" t="inlineStr">
        <is>
          <t>2026-06-19 07:10:32</t>
        </is>
      </c>
      <c r="Y3009" t="inlineStr">
        <is>
          <t>27647396308</t>
        </is>
      </c>
    </row>
    <row r="3010">
      <c r="A3010" t="inlineStr">
        <is>
          <t>14946050</t>
        </is>
      </c>
      <c r="B3010" t="inlineStr">
        <is>
          <t>5ebb39cb-4aa4-403d-ae77-a9ea1053f09a</t>
        </is>
      </c>
      <c r="D3010" t="inlineStr">
        <is>
          <t>30001087</t>
        </is>
      </c>
      <c r="E3010" t="inlineStr">
        <is>
          <t>ussd_funeral_leads_altitude_20260619</t>
        </is>
      </c>
      <c r="J3010" t="inlineStr">
        <is>
          <t>NA</t>
        </is>
      </c>
      <c r="K3010" t="inlineStr">
        <is>
          <t>No Answer Autodial</t>
        </is>
      </c>
      <c r="L3010" t="n">
        <v>3</v>
      </c>
      <c r="M3010" t="inlineStr">
        <is>
          <t>2026-06-23 12:36:41</t>
        </is>
      </c>
      <c r="N3010" t="inlineStr">
        <is>
          <t>system</t>
        </is>
      </c>
      <c r="O3010" t="inlineStr">
        <is>
          <t>2026-06-19 07:10:32</t>
        </is>
      </c>
      <c r="P3010" t="inlineStr">
        <is>
          <t>2026-06-19 07:10:32</t>
        </is>
      </c>
      <c r="Y3010" t="inlineStr">
        <is>
          <t>27795509054</t>
        </is>
      </c>
    </row>
    <row r="3011">
      <c r="A3011" t="inlineStr">
        <is>
          <t>14946068</t>
        </is>
      </c>
      <c r="B3011" t="inlineStr">
        <is>
          <t>d96e106f-cb8d-4e89-a335-6a2f4adbdd86</t>
        </is>
      </c>
      <c r="D3011" t="inlineStr">
        <is>
          <t>30001087</t>
        </is>
      </c>
      <c r="E3011" t="inlineStr">
        <is>
          <t>ussd_funeral_leads_altitude_20260619</t>
        </is>
      </c>
      <c r="J3011" t="inlineStr">
        <is>
          <t>TDN</t>
        </is>
      </c>
      <c r="K3011" t="inlineStr">
        <is>
          <t>Temporary Disconnected Number</t>
        </is>
      </c>
      <c r="L3011" t="n">
        <v>3</v>
      </c>
      <c r="M3011" t="inlineStr">
        <is>
          <t>2026-06-23 12:36:41</t>
        </is>
      </c>
      <c r="N3011" t="inlineStr">
        <is>
          <t>system</t>
        </is>
      </c>
      <c r="O3011" t="inlineStr">
        <is>
          <t>2026-06-19 07:10:32</t>
        </is>
      </c>
      <c r="P3011" t="inlineStr">
        <is>
          <t>2026-06-19 07:10:32</t>
        </is>
      </c>
      <c r="Y3011" t="inlineStr">
        <is>
          <t>27711867493</t>
        </is>
      </c>
    </row>
    <row r="3012">
      <c r="A3012" t="inlineStr">
        <is>
          <t>14946069</t>
        </is>
      </c>
      <c r="B3012" t="inlineStr">
        <is>
          <t>0c61bb51-ce95-4bca-8b36-411066b03cdc</t>
        </is>
      </c>
      <c r="D3012" t="inlineStr">
        <is>
          <t>30001087</t>
        </is>
      </c>
      <c r="E3012" t="inlineStr">
        <is>
          <t>ussd_funeral_leads_altitude_20260619</t>
        </is>
      </c>
      <c r="J3012" t="inlineStr">
        <is>
          <t>ADC</t>
        </is>
      </c>
      <c r="K3012" t="inlineStr">
        <is>
          <t>Auto Dial Disconnected</t>
        </is>
      </c>
      <c r="L3012" t="n">
        <v>3</v>
      </c>
      <c r="M3012" t="inlineStr">
        <is>
          <t>2026-06-23 12:36:41</t>
        </is>
      </c>
      <c r="N3012" t="inlineStr">
        <is>
          <t>system</t>
        </is>
      </c>
      <c r="O3012" t="inlineStr">
        <is>
          <t>2026-06-19 07:10:32</t>
        </is>
      </c>
      <c r="P3012" t="inlineStr">
        <is>
          <t>2026-06-19 07:10:32</t>
        </is>
      </c>
      <c r="Y3012" t="inlineStr">
        <is>
          <t>27793775428</t>
        </is>
      </c>
    </row>
    <row r="3013">
      <c r="A3013" t="inlineStr">
        <is>
          <t>14946049</t>
        </is>
      </c>
      <c r="B3013" t="inlineStr">
        <is>
          <t>57fda658-4d48-4152-ade5-8466d0c36d97</t>
        </is>
      </c>
      <c r="D3013" t="inlineStr">
        <is>
          <t>30001087</t>
        </is>
      </c>
      <c r="E3013" t="inlineStr">
        <is>
          <t>ussd_funeral_leads_altitude_20260619</t>
        </is>
      </c>
      <c r="J3013" t="inlineStr">
        <is>
          <t>AA</t>
        </is>
      </c>
      <c r="K3013" t="inlineStr">
        <is>
          <t>Answering Machine Autodial</t>
        </is>
      </c>
      <c r="L3013" t="n">
        <v>3</v>
      </c>
      <c r="M3013" t="inlineStr">
        <is>
          <t>2026-06-23 12:36:37</t>
        </is>
      </c>
      <c r="N3013" t="inlineStr">
        <is>
          <t>system</t>
        </is>
      </c>
      <c r="O3013" t="inlineStr">
        <is>
          <t>2026-06-19 07:10:32</t>
        </is>
      </c>
      <c r="P3013" t="inlineStr">
        <is>
          <t>2026-06-19 07:10:32</t>
        </is>
      </c>
      <c r="Y3013" t="inlineStr">
        <is>
          <t>27791242273</t>
        </is>
      </c>
    </row>
    <row r="3014">
      <c r="A3014" t="inlineStr">
        <is>
          <t>14947737</t>
        </is>
      </c>
      <c r="B3014" t="inlineStr">
        <is>
          <t>a6885e06-463b-46ae-a70e-61925775815f</t>
        </is>
      </c>
      <c r="D3014" t="inlineStr">
        <is>
          <t>30001087</t>
        </is>
      </c>
      <c r="E3014" t="inlineStr">
        <is>
          <t>ussd_funeral_leads_altitude_20260619</t>
        </is>
      </c>
      <c r="J3014" t="inlineStr">
        <is>
          <t>ADC</t>
        </is>
      </c>
      <c r="K3014" t="inlineStr">
        <is>
          <t>Auto Dial Disconnected</t>
        </is>
      </c>
      <c r="L3014" t="n">
        <v>3</v>
      </c>
      <c r="M3014" t="inlineStr">
        <is>
          <t>2026-06-23 12:36:37</t>
        </is>
      </c>
      <c r="N3014" t="inlineStr">
        <is>
          <t>system</t>
        </is>
      </c>
      <c r="O3014" t="inlineStr">
        <is>
          <t>2026-06-19 07:10:32</t>
        </is>
      </c>
      <c r="P3014" t="inlineStr">
        <is>
          <t>2026-06-19 07:10:32</t>
        </is>
      </c>
      <c r="Y3014" t="inlineStr">
        <is>
          <t>27794560683</t>
        </is>
      </c>
    </row>
    <row r="3015">
      <c r="A3015" t="inlineStr">
        <is>
          <t>14946177</t>
        </is>
      </c>
      <c r="B3015" t="inlineStr">
        <is>
          <t>61763a8b-895d-426a-962e-9aa53de1881c</t>
        </is>
      </c>
      <c r="D3015" t="inlineStr">
        <is>
          <t>30001087</t>
        </is>
      </c>
      <c r="E3015" t="inlineStr">
        <is>
          <t>ussd_funeral_leads_altitude_20260619</t>
        </is>
      </c>
      <c r="J3015" t="inlineStr">
        <is>
          <t>AA</t>
        </is>
      </c>
      <c r="K3015" t="inlineStr">
        <is>
          <t>Answering Machine Autodial</t>
        </is>
      </c>
      <c r="L3015" t="n">
        <v>3</v>
      </c>
      <c r="M3015" t="inlineStr">
        <is>
          <t>2026-06-23 12:36:23</t>
        </is>
      </c>
      <c r="N3015" t="inlineStr">
        <is>
          <t>system</t>
        </is>
      </c>
      <c r="O3015" t="inlineStr">
        <is>
          <t>2026-06-19 07:10:32</t>
        </is>
      </c>
      <c r="P3015" t="inlineStr">
        <is>
          <t>2026-06-19 07:10:32</t>
        </is>
      </c>
      <c r="Y3015" t="inlineStr">
        <is>
          <t>27768019928</t>
        </is>
      </c>
    </row>
    <row r="3016">
      <c r="A3016" t="inlineStr">
        <is>
          <t>14946176</t>
        </is>
      </c>
      <c r="B3016" t="inlineStr">
        <is>
          <t>37a9b94e-e203-43f8-bd57-1d37cf680f83</t>
        </is>
      </c>
      <c r="D3016" t="inlineStr">
        <is>
          <t>30001087</t>
        </is>
      </c>
      <c r="E3016" t="inlineStr">
        <is>
          <t>ussd_funeral_leads_altitude_20260619</t>
        </is>
      </c>
      <c r="J3016" t="inlineStr">
        <is>
          <t>TDN</t>
        </is>
      </c>
      <c r="K3016" t="inlineStr">
        <is>
          <t>Temporary Disconnected Number</t>
        </is>
      </c>
      <c r="L3016" t="n">
        <v>3</v>
      </c>
      <c r="M3016" t="inlineStr">
        <is>
          <t>2026-06-23 12:36:21</t>
        </is>
      </c>
      <c r="N3016" t="inlineStr">
        <is>
          <t>system</t>
        </is>
      </c>
      <c r="O3016" t="inlineStr">
        <is>
          <t>2026-06-19 07:10:32</t>
        </is>
      </c>
      <c r="P3016" t="inlineStr">
        <is>
          <t>2026-06-19 07:10:32</t>
        </is>
      </c>
      <c r="Y3016" t="inlineStr">
        <is>
          <t>27725095176</t>
        </is>
      </c>
    </row>
    <row r="3017">
      <c r="A3017" t="inlineStr">
        <is>
          <t>14946175</t>
        </is>
      </c>
      <c r="B3017" t="inlineStr">
        <is>
          <t>8d572772-46ab-4183-b6a5-3fb0812bbfcd</t>
        </is>
      </c>
      <c r="D3017" t="inlineStr">
        <is>
          <t>30001087</t>
        </is>
      </c>
      <c r="E3017" t="inlineStr">
        <is>
          <t>ussd_funeral_leads_altitude_20260619</t>
        </is>
      </c>
      <c r="J3017" t="inlineStr">
        <is>
          <t>DROP</t>
        </is>
      </c>
      <c r="K3017" t="inlineStr">
        <is>
          <t>Dropped</t>
        </is>
      </c>
      <c r="L3017" t="n">
        <v>3</v>
      </c>
      <c r="M3017" t="inlineStr">
        <is>
          <t>2026-06-23 12:36:18</t>
        </is>
      </c>
      <c r="N3017" t="inlineStr">
        <is>
          <t>system</t>
        </is>
      </c>
      <c r="O3017" t="inlineStr">
        <is>
          <t>2026-06-19 07:10:32</t>
        </is>
      </c>
      <c r="P3017" t="inlineStr">
        <is>
          <t>2026-06-19 07:10:32</t>
        </is>
      </c>
      <c r="Y3017" t="inlineStr">
        <is>
          <t>27712610678</t>
        </is>
      </c>
    </row>
    <row r="3018">
      <c r="A3018" t="inlineStr">
        <is>
          <t>14946174</t>
        </is>
      </c>
      <c r="B3018" t="inlineStr">
        <is>
          <t>95268e38-e17c-4843-a67a-28d55c00c9ff</t>
        </is>
      </c>
      <c r="D3018" t="inlineStr">
        <is>
          <t>30001087</t>
        </is>
      </c>
      <c r="E3018" t="inlineStr">
        <is>
          <t>ussd_funeral_leads_altitude_20260619</t>
        </is>
      </c>
      <c r="J3018" t="inlineStr">
        <is>
          <t>ADC</t>
        </is>
      </c>
      <c r="K3018" t="inlineStr">
        <is>
          <t>Auto Dial Disconnected</t>
        </is>
      </c>
      <c r="L3018" t="n">
        <v>3</v>
      </c>
      <c r="M3018" t="inlineStr">
        <is>
          <t>2026-06-23 12:36:06</t>
        </is>
      </c>
      <c r="N3018" t="inlineStr">
        <is>
          <t>system</t>
        </is>
      </c>
      <c r="O3018" t="inlineStr">
        <is>
          <t>2026-06-19 07:10:32</t>
        </is>
      </c>
      <c r="P3018" t="inlineStr">
        <is>
          <t>2026-06-19 07:10:32</t>
        </is>
      </c>
      <c r="Y3018" t="inlineStr">
        <is>
          <t>27664490510</t>
        </is>
      </c>
    </row>
    <row r="3019">
      <c r="A3019" t="inlineStr">
        <is>
          <t>14946166</t>
        </is>
      </c>
      <c r="B3019" t="inlineStr">
        <is>
          <t>6f6d1f55-8bd4-422e-9d28-8cfb99935645</t>
        </is>
      </c>
      <c r="D3019" t="inlineStr">
        <is>
          <t>30001087</t>
        </is>
      </c>
      <c r="E3019" t="inlineStr">
        <is>
          <t>ussd_funeral_leads_altitude_20260619</t>
        </is>
      </c>
      <c r="J3019" t="inlineStr">
        <is>
          <t>TDN</t>
        </is>
      </c>
      <c r="K3019" t="inlineStr">
        <is>
          <t>Temporary Disconnected Number</t>
        </is>
      </c>
      <c r="L3019" t="n">
        <v>3</v>
      </c>
      <c r="M3019" t="inlineStr">
        <is>
          <t>2026-06-23 12:36:04</t>
        </is>
      </c>
      <c r="N3019" t="inlineStr">
        <is>
          <t>system</t>
        </is>
      </c>
      <c r="O3019" t="inlineStr">
        <is>
          <t>2026-06-19 07:10:32</t>
        </is>
      </c>
      <c r="P3019" t="inlineStr">
        <is>
          <t>2026-06-19 07:10:32</t>
        </is>
      </c>
      <c r="Y3019" t="inlineStr">
        <is>
          <t>27648816140</t>
        </is>
      </c>
    </row>
    <row r="3020">
      <c r="A3020" t="inlineStr">
        <is>
          <t>14900000</t>
        </is>
      </c>
      <c r="B3020" t="inlineStr">
        <is>
          <t>7e1656ab-2b48-4283-9ac3-f5c6b9bf2b6c</t>
        </is>
      </c>
      <c r="D3020" t="inlineStr">
        <is>
          <t>30001087</t>
        </is>
      </c>
      <c r="E3020" t="inlineStr">
        <is>
          <t>ussd_funeral_leads_altitude_20260619</t>
        </is>
      </c>
      <c r="J3020" t="inlineStr">
        <is>
          <t>DROP</t>
        </is>
      </c>
      <c r="K3020" t="inlineStr">
        <is>
          <t>Dropped</t>
        </is>
      </c>
      <c r="L3020" t="n">
        <v>3</v>
      </c>
      <c r="M3020" t="inlineStr">
        <is>
          <t>2026-06-23 12:36:04</t>
        </is>
      </c>
      <c r="N3020" t="inlineStr">
        <is>
          <t>system</t>
        </is>
      </c>
      <c r="O3020" t="inlineStr">
        <is>
          <t>2026-06-19 07:10:32</t>
        </is>
      </c>
      <c r="P3020" t="inlineStr">
        <is>
          <t>2026-06-19 07:10:32</t>
        </is>
      </c>
      <c r="Y3020" t="inlineStr">
        <is>
          <t>27765826218</t>
        </is>
      </c>
    </row>
    <row r="3021">
      <c r="A3021" t="inlineStr">
        <is>
          <t>14946172</t>
        </is>
      </c>
      <c r="B3021" t="inlineStr">
        <is>
          <t>766af9ca-d1f1-43d1-b9c9-dde6810f5591</t>
        </is>
      </c>
      <c r="D3021" t="inlineStr">
        <is>
          <t>30001087</t>
        </is>
      </c>
      <c r="E3021" t="inlineStr">
        <is>
          <t>ussd_funeral_leads_altitude_20260619</t>
        </is>
      </c>
      <c r="J3021" t="inlineStr">
        <is>
          <t>AA</t>
        </is>
      </c>
      <c r="K3021" t="inlineStr">
        <is>
          <t>Answering Machine Autodial</t>
        </is>
      </c>
      <c r="L3021" t="n">
        <v>3</v>
      </c>
      <c r="M3021" t="inlineStr">
        <is>
          <t>2026-06-23 12:36:04</t>
        </is>
      </c>
      <c r="N3021" t="inlineStr">
        <is>
          <t>system</t>
        </is>
      </c>
      <c r="O3021" t="inlineStr">
        <is>
          <t>2026-06-19 07:10:32</t>
        </is>
      </c>
      <c r="P3021" t="inlineStr">
        <is>
          <t>2026-06-19 07:10:32</t>
        </is>
      </c>
      <c r="Y3021" t="inlineStr">
        <is>
          <t>27607027417</t>
        </is>
      </c>
    </row>
    <row r="3022">
      <c r="A3022" t="inlineStr">
        <is>
          <t>14946164</t>
        </is>
      </c>
      <c r="B3022" t="inlineStr">
        <is>
          <t>6437df3f-6fff-47f3-918f-abc89bd0a238</t>
        </is>
      </c>
      <c r="D3022" t="inlineStr">
        <is>
          <t>30001087</t>
        </is>
      </c>
      <c r="E3022" t="inlineStr">
        <is>
          <t>ussd_funeral_leads_altitude_20260619</t>
        </is>
      </c>
      <c r="J3022" t="inlineStr">
        <is>
          <t>ADC</t>
        </is>
      </c>
      <c r="K3022" t="inlineStr">
        <is>
          <t>Auto Dial Disconnected</t>
        </is>
      </c>
      <c r="L3022" t="n">
        <v>3</v>
      </c>
      <c r="M3022" t="inlineStr">
        <is>
          <t>2026-06-23 12:36:03</t>
        </is>
      </c>
      <c r="N3022" t="inlineStr">
        <is>
          <t>system</t>
        </is>
      </c>
      <c r="O3022" t="inlineStr">
        <is>
          <t>2026-06-19 07:10:32</t>
        </is>
      </c>
      <c r="P3022" t="inlineStr">
        <is>
          <t>2026-06-19 07:10:32</t>
        </is>
      </c>
      <c r="Y3022" t="inlineStr">
        <is>
          <t>27637542320</t>
        </is>
      </c>
    </row>
    <row r="3023">
      <c r="A3023" t="inlineStr">
        <is>
          <t>14946098</t>
        </is>
      </c>
      <c r="B3023" t="inlineStr">
        <is>
          <t>76fee985-4d56-4a8b-add1-b1ae72646800</t>
        </is>
      </c>
      <c r="D3023" t="inlineStr">
        <is>
          <t>30001087</t>
        </is>
      </c>
      <c r="E3023" t="inlineStr">
        <is>
          <t>ussd_funeral_leads_altitude_20260619</t>
        </is>
      </c>
      <c r="J3023" t="inlineStr">
        <is>
          <t>AA</t>
        </is>
      </c>
      <c r="K3023" t="inlineStr">
        <is>
          <t>Answering Machine Autodial</t>
        </is>
      </c>
      <c r="L3023" t="n">
        <v>3</v>
      </c>
      <c r="M3023" t="inlineStr">
        <is>
          <t>2026-06-23 12:35:17</t>
        </is>
      </c>
      <c r="N3023" t="inlineStr">
        <is>
          <t>system</t>
        </is>
      </c>
      <c r="O3023" t="inlineStr">
        <is>
          <t>2026-06-19 07:10:32</t>
        </is>
      </c>
      <c r="P3023" t="inlineStr">
        <is>
          <t>2026-06-19 07:10:32</t>
        </is>
      </c>
      <c r="Y3023" t="inlineStr">
        <is>
          <t>27827899096</t>
        </is>
      </c>
    </row>
    <row r="3024">
      <c r="A3024" t="inlineStr">
        <is>
          <t>14946075</t>
        </is>
      </c>
      <c r="B3024" t="inlineStr">
        <is>
          <t>0b70feb8-92a6-41b4-87e2-82720b3d1eea</t>
        </is>
      </c>
      <c r="D3024" t="inlineStr">
        <is>
          <t>30001087</t>
        </is>
      </c>
      <c r="E3024" t="inlineStr">
        <is>
          <t>ussd_funeral_leads_altitude_20260619</t>
        </is>
      </c>
      <c r="J3024" t="inlineStr">
        <is>
          <t>BLQ</t>
        </is>
      </c>
      <c r="K3024" t="inlineStr">
        <is>
          <t>Bad Line Quality</t>
        </is>
      </c>
      <c r="L3024" t="n">
        <v>3</v>
      </c>
      <c r="M3024" t="inlineStr">
        <is>
          <t>2026-06-23 12:35:12</t>
        </is>
      </c>
      <c r="N3024" t="inlineStr">
        <is>
          <t>Goitsimang Mogwasa</t>
        </is>
      </c>
      <c r="O3024" t="inlineStr">
        <is>
          <t>2026-06-19 07:10:32</t>
        </is>
      </c>
      <c r="P3024" t="inlineStr">
        <is>
          <t>2026-06-19 07:10:32</t>
        </is>
      </c>
      <c r="Y3024" t="inlineStr">
        <is>
          <t>27660489215</t>
        </is>
      </c>
    </row>
    <row r="3025">
      <c r="A3025" t="inlineStr">
        <is>
          <t>14946076</t>
        </is>
      </c>
      <c r="B3025" t="inlineStr">
        <is>
          <t>7e16e1e9-fce7-4f2c-8c63-77fa91f09a1c</t>
        </is>
      </c>
      <c r="D3025" t="inlineStr">
        <is>
          <t>30001087</t>
        </is>
      </c>
      <c r="E3025" t="inlineStr">
        <is>
          <t>ussd_funeral_leads_altitude_20260619</t>
        </is>
      </c>
      <c r="J3025" t="inlineStr">
        <is>
          <t>AA</t>
        </is>
      </c>
      <c r="K3025" t="inlineStr">
        <is>
          <t>Answering Machine Autodial</t>
        </is>
      </c>
      <c r="L3025" t="n">
        <v>3</v>
      </c>
      <c r="M3025" t="inlineStr">
        <is>
          <t>2026-06-23 12:35:12</t>
        </is>
      </c>
      <c r="N3025" t="inlineStr">
        <is>
          <t>system</t>
        </is>
      </c>
      <c r="O3025" t="inlineStr">
        <is>
          <t>2026-06-19 07:10:32</t>
        </is>
      </c>
      <c r="P3025" t="inlineStr">
        <is>
          <t>2026-06-19 07:10:32</t>
        </is>
      </c>
      <c r="Y3025" t="inlineStr">
        <is>
          <t>27797680943</t>
        </is>
      </c>
    </row>
    <row r="3026">
      <c r="A3026" t="inlineStr">
        <is>
          <t>14946078</t>
        </is>
      </c>
      <c r="B3026" t="inlineStr">
        <is>
          <t>6f00e827-e97c-4412-afb5-c25fcc6fa190</t>
        </is>
      </c>
      <c r="D3026" t="inlineStr">
        <is>
          <t>30001087</t>
        </is>
      </c>
      <c r="E3026" t="inlineStr">
        <is>
          <t>ussd_funeral_leads_altitude_20260619</t>
        </is>
      </c>
      <c r="J3026" t="inlineStr">
        <is>
          <t>CBACK</t>
        </is>
      </c>
      <c r="K3026" t="inlineStr">
        <is>
          <t>Callback</t>
        </is>
      </c>
      <c r="L3026" t="n">
        <v>3</v>
      </c>
      <c r="M3026" t="inlineStr">
        <is>
          <t>2026-06-23 12:35:12</t>
        </is>
      </c>
      <c r="N3026" t="inlineStr">
        <is>
          <t>Gontse Monageng</t>
        </is>
      </c>
      <c r="O3026" t="inlineStr">
        <is>
          <t>2026-06-19 07:10:32</t>
        </is>
      </c>
      <c r="P3026" t="inlineStr">
        <is>
          <t>2026-06-19 07:10:32</t>
        </is>
      </c>
      <c r="Y3026" t="inlineStr">
        <is>
          <t>27793095141</t>
        </is>
      </c>
    </row>
    <row r="3027">
      <c r="A3027" t="inlineStr">
        <is>
          <t>14946074</t>
        </is>
      </c>
      <c r="B3027" t="inlineStr">
        <is>
          <t>9c40dfec-27e2-4b87-989f-38375871741c</t>
        </is>
      </c>
      <c r="D3027" t="inlineStr">
        <is>
          <t>30001087</t>
        </is>
      </c>
      <c r="E3027" t="inlineStr">
        <is>
          <t>ussd_funeral_leads_altitude_20260619</t>
        </is>
      </c>
      <c r="J3027" t="inlineStr">
        <is>
          <t>AE</t>
        </is>
      </c>
      <c r="K3027" t="inlineStr">
        <is>
          <t>Auto Engaged</t>
        </is>
      </c>
      <c r="L3027" t="n">
        <v>3</v>
      </c>
      <c r="M3027" t="inlineStr">
        <is>
          <t>2026-06-23 12:35:01</t>
        </is>
      </c>
      <c r="N3027" t="inlineStr">
        <is>
          <t>system</t>
        </is>
      </c>
      <c r="O3027" t="inlineStr">
        <is>
          <t>2026-06-19 07:10:32</t>
        </is>
      </c>
      <c r="P3027" t="inlineStr">
        <is>
          <t>2026-06-19 07:10:32</t>
        </is>
      </c>
      <c r="Y3027" t="inlineStr">
        <is>
          <t>27797962253</t>
        </is>
      </c>
    </row>
    <row r="3028">
      <c r="A3028" t="inlineStr">
        <is>
          <t>14946071</t>
        </is>
      </c>
      <c r="B3028" t="inlineStr">
        <is>
          <t>f3d89dfb-b7a2-490c-8244-97b59c11a25c</t>
        </is>
      </c>
      <c r="D3028" t="inlineStr">
        <is>
          <t>30001087</t>
        </is>
      </c>
      <c r="E3028" t="inlineStr">
        <is>
          <t>ussd_funeral_leads_altitude_20260619</t>
        </is>
      </c>
      <c r="J3028" t="inlineStr">
        <is>
          <t>NA</t>
        </is>
      </c>
      <c r="K3028" t="inlineStr">
        <is>
          <t>No Answer Autodial</t>
        </is>
      </c>
      <c r="L3028" t="n">
        <v>3</v>
      </c>
      <c r="M3028" t="inlineStr">
        <is>
          <t>2026-06-23 12:35:00</t>
        </is>
      </c>
      <c r="N3028" t="inlineStr">
        <is>
          <t>system</t>
        </is>
      </c>
      <c r="O3028" t="inlineStr">
        <is>
          <t>2026-06-19 07:10:32</t>
        </is>
      </c>
      <c r="P3028" t="inlineStr">
        <is>
          <t>2026-06-19 07:10:32</t>
        </is>
      </c>
      <c r="Y3028" t="inlineStr">
        <is>
          <t>27674904123</t>
        </is>
      </c>
    </row>
    <row r="3029">
      <c r="A3029" t="inlineStr">
        <is>
          <t>14946073</t>
        </is>
      </c>
      <c r="B3029" t="inlineStr">
        <is>
          <t>f599d23e-7090-4da5-9539-2295b2c8c5e5</t>
        </is>
      </c>
      <c r="D3029" t="inlineStr">
        <is>
          <t>30001087</t>
        </is>
      </c>
      <c r="E3029" t="inlineStr">
        <is>
          <t>ussd_funeral_leads_altitude_20260619</t>
        </is>
      </c>
      <c r="J3029" t="inlineStr">
        <is>
          <t>NA</t>
        </is>
      </c>
      <c r="K3029" t="inlineStr">
        <is>
          <t>No Answer Autodial</t>
        </is>
      </c>
      <c r="L3029" t="n">
        <v>3</v>
      </c>
      <c r="M3029" t="inlineStr">
        <is>
          <t>2026-06-23 12:35:00</t>
        </is>
      </c>
      <c r="N3029" t="inlineStr">
        <is>
          <t>system</t>
        </is>
      </c>
      <c r="O3029" t="inlineStr">
        <is>
          <t>2026-06-19 07:10:32</t>
        </is>
      </c>
      <c r="P3029" t="inlineStr">
        <is>
          <t>2026-06-19 07:10:32</t>
        </is>
      </c>
      <c r="Y3029" t="inlineStr">
        <is>
          <t>27798747986</t>
        </is>
      </c>
    </row>
    <row r="3030">
      <c r="A3030" t="inlineStr">
        <is>
          <t>14946070</t>
        </is>
      </c>
      <c r="B3030" t="inlineStr">
        <is>
          <t>ada8b911-072a-45b9-b81e-2af172c0f825</t>
        </is>
      </c>
      <c r="D3030" t="inlineStr">
        <is>
          <t>30001087</t>
        </is>
      </c>
      <c r="E3030" t="inlineStr">
        <is>
          <t>ussd_funeral_leads_altitude_20260619</t>
        </is>
      </c>
      <c r="J3030" t="inlineStr">
        <is>
          <t>AE</t>
        </is>
      </c>
      <c r="K3030" t="inlineStr">
        <is>
          <t>Auto Engaged</t>
        </is>
      </c>
      <c r="L3030" t="n">
        <v>3</v>
      </c>
      <c r="M3030" t="inlineStr">
        <is>
          <t>2026-06-23 12:34:59</t>
        </is>
      </c>
      <c r="N3030" t="inlineStr">
        <is>
          <t>system</t>
        </is>
      </c>
      <c r="O3030" t="inlineStr">
        <is>
          <t>2026-06-19 07:10:32</t>
        </is>
      </c>
      <c r="P3030" t="inlineStr">
        <is>
          <t>2026-06-19 07:10:32</t>
        </is>
      </c>
      <c r="Y3030" t="inlineStr">
        <is>
          <t>27648063690</t>
        </is>
      </c>
    </row>
    <row r="3031">
      <c r="A3031" t="inlineStr">
        <is>
          <t>14900000</t>
        </is>
      </c>
      <c r="B3031" t="inlineStr">
        <is>
          <t>7e103828-d560-4306-8ddf-20bba0d3876b</t>
        </is>
      </c>
      <c r="D3031" t="inlineStr">
        <is>
          <t>30001087</t>
        </is>
      </c>
      <c r="E3031" t="inlineStr">
        <is>
          <t>ussd_funeral_leads_altitude_20260619</t>
        </is>
      </c>
      <c r="J3031" t="inlineStr">
        <is>
          <t>AA</t>
        </is>
      </c>
      <c r="K3031" t="inlineStr">
        <is>
          <t>Answering Machine Autodial</t>
        </is>
      </c>
      <c r="L3031" t="n">
        <v>3</v>
      </c>
      <c r="M3031" t="inlineStr">
        <is>
          <t>2026-06-23 12:34:55</t>
        </is>
      </c>
      <c r="N3031" t="inlineStr">
        <is>
          <t>system</t>
        </is>
      </c>
      <c r="O3031" t="inlineStr">
        <is>
          <t>2026-06-19 07:10:32</t>
        </is>
      </c>
      <c r="P3031" t="inlineStr">
        <is>
          <t>2026-06-19 07:10:32</t>
        </is>
      </c>
      <c r="Y3031" t="inlineStr">
        <is>
          <t>27791686311</t>
        </is>
      </c>
    </row>
    <row r="3032">
      <c r="A3032" t="inlineStr">
        <is>
          <t>14946523</t>
        </is>
      </c>
      <c r="B3032" t="inlineStr">
        <is>
          <t>8d8e3008-033e-4255-9da3-3b568865954e</t>
        </is>
      </c>
      <c r="D3032" t="inlineStr">
        <is>
          <t>30001087</t>
        </is>
      </c>
      <c r="E3032" t="inlineStr">
        <is>
          <t>ussd_funeral_leads_altitude_20260619</t>
        </is>
      </c>
      <c r="J3032" t="inlineStr">
        <is>
          <t>NA</t>
        </is>
      </c>
      <c r="K3032" t="inlineStr">
        <is>
          <t>No Answer Autodial</t>
        </is>
      </c>
      <c r="L3032" t="n">
        <v>3</v>
      </c>
      <c r="M3032" t="inlineStr">
        <is>
          <t>2026-06-23 12:34:27</t>
        </is>
      </c>
      <c r="N3032" t="inlineStr">
        <is>
          <t>system</t>
        </is>
      </c>
      <c r="O3032" t="inlineStr">
        <is>
          <t>2026-06-19 07:10:32</t>
        </is>
      </c>
      <c r="P3032" t="inlineStr">
        <is>
          <t>2026-06-19 07:10:32</t>
        </is>
      </c>
      <c r="Y3032" t="inlineStr">
        <is>
          <t>27823970605</t>
        </is>
      </c>
    </row>
    <row r="3033">
      <c r="A3033" t="inlineStr">
        <is>
          <t>14946527</t>
        </is>
      </c>
      <c r="B3033" t="inlineStr">
        <is>
          <t>9e5d076e-3b0c-4a6f-a69e-0a113318945e</t>
        </is>
      </c>
      <c r="D3033" t="inlineStr">
        <is>
          <t>30001087</t>
        </is>
      </c>
      <c r="E3033" t="inlineStr">
        <is>
          <t>ussd_funeral_leads_altitude_20260619</t>
        </is>
      </c>
      <c r="J3033" t="inlineStr">
        <is>
          <t>AA</t>
        </is>
      </c>
      <c r="K3033" t="inlineStr">
        <is>
          <t>Answering Machine Autodial</t>
        </is>
      </c>
      <c r="L3033" t="n">
        <v>3</v>
      </c>
      <c r="M3033" t="inlineStr">
        <is>
          <t>2026-06-23 12:34:27</t>
        </is>
      </c>
      <c r="N3033" t="inlineStr">
        <is>
          <t>system</t>
        </is>
      </c>
      <c r="O3033" t="inlineStr">
        <is>
          <t>2026-06-19 07:10:32</t>
        </is>
      </c>
      <c r="P3033" t="inlineStr">
        <is>
          <t>2026-06-19 07:10:32</t>
        </is>
      </c>
      <c r="Y3033" t="inlineStr">
        <is>
          <t>27720462331</t>
        </is>
      </c>
    </row>
    <row r="3034">
      <c r="A3034" t="inlineStr">
        <is>
          <t>14946529</t>
        </is>
      </c>
      <c r="B3034" t="inlineStr">
        <is>
          <t>5b3ccf9f-5bc2-40a7-9fd5-30176785b2ae</t>
        </is>
      </c>
      <c r="D3034" t="inlineStr">
        <is>
          <t>30001087</t>
        </is>
      </c>
      <c r="E3034" t="inlineStr">
        <is>
          <t>ussd_funeral_leads_altitude_20260619</t>
        </is>
      </c>
      <c r="J3034" t="inlineStr">
        <is>
          <t>TDN</t>
        </is>
      </c>
      <c r="K3034" t="inlineStr">
        <is>
          <t>Temporary Disconnected Number</t>
        </is>
      </c>
      <c r="L3034" t="n">
        <v>3</v>
      </c>
      <c r="M3034" t="inlineStr">
        <is>
          <t>2026-06-23 12:34:27</t>
        </is>
      </c>
      <c r="N3034" t="inlineStr">
        <is>
          <t>system</t>
        </is>
      </c>
      <c r="O3034" t="inlineStr">
        <is>
          <t>2026-06-19 07:10:32</t>
        </is>
      </c>
      <c r="P3034" t="inlineStr">
        <is>
          <t>2026-06-19 07:10:32</t>
        </is>
      </c>
      <c r="Y3034" t="inlineStr">
        <is>
          <t>27713509529</t>
        </is>
      </c>
    </row>
    <row r="3035">
      <c r="A3035" t="inlineStr">
        <is>
          <t>14946521</t>
        </is>
      </c>
      <c r="B3035" t="inlineStr">
        <is>
          <t>07f5e7a0-4021-4cc4-8e3e-0f5a8da5cded</t>
        </is>
      </c>
      <c r="D3035" t="inlineStr">
        <is>
          <t>30001087</t>
        </is>
      </c>
      <c r="E3035" t="inlineStr">
        <is>
          <t>ussd_funeral_leads_altitude_20260619</t>
        </is>
      </c>
      <c r="J3035" t="inlineStr">
        <is>
          <t>AA</t>
        </is>
      </c>
      <c r="K3035" t="inlineStr">
        <is>
          <t>Answering Machine Autodial</t>
        </is>
      </c>
      <c r="L3035" t="n">
        <v>3</v>
      </c>
      <c r="M3035" t="inlineStr">
        <is>
          <t>2026-06-23 12:34:26</t>
        </is>
      </c>
      <c r="N3035" t="inlineStr">
        <is>
          <t>system</t>
        </is>
      </c>
      <c r="O3035" t="inlineStr">
        <is>
          <t>2026-06-19 07:10:32</t>
        </is>
      </c>
      <c r="P3035" t="inlineStr">
        <is>
          <t>2026-06-19 07:10:32</t>
        </is>
      </c>
      <c r="Y3035" t="inlineStr">
        <is>
          <t>27818271744</t>
        </is>
      </c>
    </row>
    <row r="3036">
      <c r="A3036" t="inlineStr">
        <is>
          <t>14946522</t>
        </is>
      </c>
      <c r="B3036" t="inlineStr">
        <is>
          <t>8d4d0559-0bf5-4ff4-9a31-3ccd848c958f</t>
        </is>
      </c>
      <c r="D3036" t="inlineStr">
        <is>
          <t>30001087</t>
        </is>
      </c>
      <c r="E3036" t="inlineStr">
        <is>
          <t>ussd_funeral_leads_altitude_20260619</t>
        </is>
      </c>
      <c r="J3036" t="inlineStr">
        <is>
          <t>AA</t>
        </is>
      </c>
      <c r="K3036" t="inlineStr">
        <is>
          <t>Answering Machine Autodial</t>
        </is>
      </c>
      <c r="L3036" t="n">
        <v>3</v>
      </c>
      <c r="M3036" t="inlineStr">
        <is>
          <t>2026-06-23 12:34:26</t>
        </is>
      </c>
      <c r="N3036" t="inlineStr">
        <is>
          <t>system</t>
        </is>
      </c>
      <c r="O3036" t="inlineStr">
        <is>
          <t>2026-06-19 07:10:32</t>
        </is>
      </c>
      <c r="P3036" t="inlineStr">
        <is>
          <t>2026-06-19 07:10:32</t>
        </is>
      </c>
      <c r="Y3036" t="inlineStr">
        <is>
          <t>27660460428</t>
        </is>
      </c>
    </row>
    <row r="3037">
      <c r="A3037" t="inlineStr">
        <is>
          <t>14946520</t>
        </is>
      </c>
      <c r="B3037" t="inlineStr">
        <is>
          <t>6cb30597-b6f3-48c2-80d1-38fe1f172a5b</t>
        </is>
      </c>
      <c r="D3037" t="inlineStr">
        <is>
          <t>30001087</t>
        </is>
      </c>
      <c r="E3037" t="inlineStr">
        <is>
          <t>ussd_funeral_leads_altitude_20260619</t>
        </is>
      </c>
      <c r="J3037" t="inlineStr">
        <is>
          <t>AA</t>
        </is>
      </c>
      <c r="K3037" t="inlineStr">
        <is>
          <t>Answering Machine Autodial</t>
        </is>
      </c>
      <c r="L3037" t="n">
        <v>3</v>
      </c>
      <c r="M3037" t="inlineStr">
        <is>
          <t>2026-06-23 12:34:22</t>
        </is>
      </c>
      <c r="N3037" t="inlineStr">
        <is>
          <t>system</t>
        </is>
      </c>
      <c r="O3037" t="inlineStr">
        <is>
          <t>2026-06-19 07:10:32</t>
        </is>
      </c>
      <c r="P3037" t="inlineStr">
        <is>
          <t>2026-06-19 07:10:32</t>
        </is>
      </c>
      <c r="Y3037" t="inlineStr">
        <is>
          <t>27712509907</t>
        </is>
      </c>
    </row>
    <row r="3038">
      <c r="A3038" t="inlineStr">
        <is>
          <t>14946497</t>
        </is>
      </c>
      <c r="B3038" t="inlineStr">
        <is>
          <t>32299a02-99da-4e2e-a580-d8a09c5fbbe9</t>
        </is>
      </c>
      <c r="D3038" t="inlineStr">
        <is>
          <t>30001087</t>
        </is>
      </c>
      <c r="E3038" t="inlineStr">
        <is>
          <t>ussd_funeral_leads_altitude_20260619</t>
        </is>
      </c>
      <c r="J3038" t="inlineStr">
        <is>
          <t>AA</t>
        </is>
      </c>
      <c r="K3038" t="inlineStr">
        <is>
          <t>Answering Machine Autodial</t>
        </is>
      </c>
      <c r="L3038" t="n">
        <v>3</v>
      </c>
      <c r="M3038" t="inlineStr">
        <is>
          <t>2026-06-23 12:33:43</t>
        </is>
      </c>
      <c r="N3038" t="inlineStr">
        <is>
          <t>system</t>
        </is>
      </c>
      <c r="O3038" t="inlineStr">
        <is>
          <t>2026-06-19 07:10:32</t>
        </is>
      </c>
      <c r="P3038" t="inlineStr">
        <is>
          <t>2026-06-19 07:10:32</t>
        </is>
      </c>
      <c r="Y3038" t="inlineStr">
        <is>
          <t>27772560919</t>
        </is>
      </c>
    </row>
    <row r="3039">
      <c r="A3039" t="inlineStr">
        <is>
          <t>14946506</t>
        </is>
      </c>
      <c r="B3039" t="inlineStr">
        <is>
          <t>42b3d516-805a-466f-a4c4-ad158dc537eb</t>
        </is>
      </c>
      <c r="D3039" t="inlineStr">
        <is>
          <t>30001087</t>
        </is>
      </c>
      <c r="E3039" t="inlineStr">
        <is>
          <t>ussd_funeral_leads_altitude_20260619</t>
        </is>
      </c>
      <c r="J3039" t="inlineStr">
        <is>
          <t>DROP</t>
        </is>
      </c>
      <c r="K3039" t="inlineStr">
        <is>
          <t>Dropped</t>
        </is>
      </c>
      <c r="L3039" t="n">
        <v>3</v>
      </c>
      <c r="M3039" t="inlineStr">
        <is>
          <t>2026-06-23 12:33:43</t>
        </is>
      </c>
      <c r="N3039" t="inlineStr">
        <is>
          <t>system</t>
        </is>
      </c>
      <c r="O3039" t="inlineStr">
        <is>
          <t>2026-06-19 07:10:32</t>
        </is>
      </c>
      <c r="P3039" t="inlineStr">
        <is>
          <t>2026-06-19 07:10:32</t>
        </is>
      </c>
      <c r="Y3039" t="inlineStr">
        <is>
          <t>27792975271</t>
        </is>
      </c>
    </row>
    <row r="3040">
      <c r="A3040" t="inlineStr">
        <is>
          <t>14946448</t>
        </is>
      </c>
      <c r="B3040" t="inlineStr">
        <is>
          <t>1c8ca3d8-5b1d-424c-a95b-5e02b53deffd</t>
        </is>
      </c>
      <c r="D3040" t="inlineStr">
        <is>
          <t>30001087</t>
        </is>
      </c>
      <c r="E3040" t="inlineStr">
        <is>
          <t>ussd_funeral_leads_altitude_20260619</t>
        </is>
      </c>
      <c r="J3040" t="inlineStr">
        <is>
          <t>AA</t>
        </is>
      </c>
      <c r="K3040" t="inlineStr">
        <is>
          <t>Answering Machine Autodial</t>
        </is>
      </c>
      <c r="L3040" t="n">
        <v>3</v>
      </c>
      <c r="M3040" t="inlineStr">
        <is>
          <t>2026-06-23 12:33:42</t>
        </is>
      </c>
      <c r="N3040" t="inlineStr">
        <is>
          <t>system</t>
        </is>
      </c>
      <c r="O3040" t="inlineStr">
        <is>
          <t>2026-06-19 07:10:32</t>
        </is>
      </c>
      <c r="P3040" t="inlineStr">
        <is>
          <t>2026-06-19 07:10:32</t>
        </is>
      </c>
      <c r="Y3040" t="inlineStr">
        <is>
          <t>27713949130</t>
        </is>
      </c>
    </row>
    <row r="3041">
      <c r="A3041" t="inlineStr">
        <is>
          <t>14946492</t>
        </is>
      </c>
      <c r="B3041" t="inlineStr">
        <is>
          <t>92ae454e-ed1c-4cc6-86f4-693161853846</t>
        </is>
      </c>
      <c r="D3041" t="inlineStr">
        <is>
          <t>30001087</t>
        </is>
      </c>
      <c r="E3041" t="inlineStr">
        <is>
          <t>ussd_funeral_leads_altitude_20260619</t>
        </is>
      </c>
      <c r="J3041" t="inlineStr">
        <is>
          <t>AA</t>
        </is>
      </c>
      <c r="K3041" t="inlineStr">
        <is>
          <t>Answering Machine Autodial</t>
        </is>
      </c>
      <c r="L3041" t="n">
        <v>3</v>
      </c>
      <c r="M3041" t="inlineStr">
        <is>
          <t>2026-06-23 12:33:42</t>
        </is>
      </c>
      <c r="N3041" t="inlineStr">
        <is>
          <t>system</t>
        </is>
      </c>
      <c r="O3041" t="inlineStr">
        <is>
          <t>2026-06-19 07:10:32</t>
        </is>
      </c>
      <c r="P3041" t="inlineStr">
        <is>
          <t>2026-06-19 07:10:32</t>
        </is>
      </c>
      <c r="Y3041" t="inlineStr">
        <is>
          <t>27726288003</t>
        </is>
      </c>
    </row>
    <row r="3042">
      <c r="A3042" t="inlineStr">
        <is>
          <t>14946443</t>
        </is>
      </c>
      <c r="B3042" t="inlineStr">
        <is>
          <t>d4b09a06-a3d3-4560-9c93-cb6d2ba6320e</t>
        </is>
      </c>
      <c r="D3042" t="inlineStr">
        <is>
          <t>30001087</t>
        </is>
      </c>
      <c r="E3042" t="inlineStr">
        <is>
          <t>ussd_funeral_leads_altitude_20260619</t>
        </is>
      </c>
      <c r="J3042" t="inlineStr">
        <is>
          <t>AA</t>
        </is>
      </c>
      <c r="K3042" t="inlineStr">
        <is>
          <t>Answering Machine Autodial</t>
        </is>
      </c>
      <c r="L3042" t="n">
        <v>3</v>
      </c>
      <c r="M3042" t="inlineStr">
        <is>
          <t>2026-06-23 12:33:33</t>
        </is>
      </c>
      <c r="N3042" t="inlineStr">
        <is>
          <t>system</t>
        </is>
      </c>
      <c r="O3042" t="inlineStr">
        <is>
          <t>2026-06-19 07:10:32</t>
        </is>
      </c>
      <c r="P3042" t="inlineStr">
        <is>
          <t>2026-06-19 07:10:32</t>
        </is>
      </c>
      <c r="Y3042" t="inlineStr">
        <is>
          <t>27795162971</t>
        </is>
      </c>
    </row>
    <row r="3043">
      <c r="A3043" t="inlineStr">
        <is>
          <t>14946447</t>
        </is>
      </c>
      <c r="B3043" t="inlineStr">
        <is>
          <t>514a12f9-a62d-4e9f-b664-3f85d33b9e24</t>
        </is>
      </c>
      <c r="D3043" t="inlineStr">
        <is>
          <t>30001087</t>
        </is>
      </c>
      <c r="E3043" t="inlineStr">
        <is>
          <t>ussd_funeral_leads_altitude_20260619</t>
        </is>
      </c>
      <c r="J3043" t="inlineStr">
        <is>
          <t>NA</t>
        </is>
      </c>
      <c r="K3043" t="inlineStr">
        <is>
          <t>No Answer Autodial</t>
        </is>
      </c>
      <c r="L3043" t="n">
        <v>3</v>
      </c>
      <c r="M3043" t="inlineStr">
        <is>
          <t>2026-06-23 12:33:33</t>
        </is>
      </c>
      <c r="N3043" t="inlineStr">
        <is>
          <t>system</t>
        </is>
      </c>
      <c r="O3043" t="inlineStr">
        <is>
          <t>2026-06-19 07:10:32</t>
        </is>
      </c>
      <c r="P3043" t="inlineStr">
        <is>
          <t>2026-06-19 07:10:32</t>
        </is>
      </c>
      <c r="Y3043" t="inlineStr">
        <is>
          <t>27796374163</t>
        </is>
      </c>
    </row>
    <row r="3044">
      <c r="A3044" t="inlineStr">
        <is>
          <t>14946438</t>
        </is>
      </c>
      <c r="B3044" t="inlineStr">
        <is>
          <t>4ef698d4-2caf-4b10-ac83-e14ef0fda984</t>
        </is>
      </c>
      <c r="D3044" t="inlineStr">
        <is>
          <t>30001087</t>
        </is>
      </c>
      <c r="E3044" t="inlineStr">
        <is>
          <t>ussd_funeral_leads_altitude_20260619</t>
        </is>
      </c>
      <c r="J3044" t="inlineStr">
        <is>
          <t>AA</t>
        </is>
      </c>
      <c r="K3044" t="inlineStr">
        <is>
          <t>Answering Machine Autodial</t>
        </is>
      </c>
      <c r="L3044" t="n">
        <v>3</v>
      </c>
      <c r="M3044" t="inlineStr">
        <is>
          <t>2026-06-23 12:33:32</t>
        </is>
      </c>
      <c r="N3044" t="inlineStr">
        <is>
          <t>system</t>
        </is>
      </c>
      <c r="O3044" t="inlineStr">
        <is>
          <t>2026-06-19 07:10:32</t>
        </is>
      </c>
      <c r="P3044" t="inlineStr">
        <is>
          <t>2026-06-19 07:10:32</t>
        </is>
      </c>
      <c r="Y3044" t="inlineStr">
        <is>
          <t>27609702873</t>
        </is>
      </c>
    </row>
    <row r="3045">
      <c r="A3045" t="inlineStr">
        <is>
          <t>14946439</t>
        </is>
      </c>
      <c r="B3045" t="inlineStr">
        <is>
          <t>a8efca80-e9e5-4140-82da-e45b235802fc</t>
        </is>
      </c>
      <c r="D3045" t="inlineStr">
        <is>
          <t>30001087</t>
        </is>
      </c>
      <c r="E3045" t="inlineStr">
        <is>
          <t>ussd_funeral_leads_altitude_20260619</t>
        </is>
      </c>
      <c r="J3045" t="inlineStr">
        <is>
          <t>AA</t>
        </is>
      </c>
      <c r="K3045" t="inlineStr">
        <is>
          <t>Answering Machine Autodial</t>
        </is>
      </c>
      <c r="L3045" t="n">
        <v>3</v>
      </c>
      <c r="M3045" t="inlineStr">
        <is>
          <t>2026-06-23 12:33:32</t>
        </is>
      </c>
      <c r="N3045" t="inlineStr">
        <is>
          <t>system</t>
        </is>
      </c>
      <c r="O3045" t="inlineStr">
        <is>
          <t>2026-06-19 07:10:32</t>
        </is>
      </c>
      <c r="P3045" t="inlineStr">
        <is>
          <t>2026-06-19 07:10:32</t>
        </is>
      </c>
      <c r="Y3045" t="inlineStr">
        <is>
          <t>27712524250</t>
        </is>
      </c>
    </row>
    <row r="3046">
      <c r="A3046" t="inlineStr">
        <is>
          <t>14946441</t>
        </is>
      </c>
      <c r="B3046" t="inlineStr">
        <is>
          <t>c409b2d2-a865-416d-8112-c4dcd56bb239</t>
        </is>
      </c>
      <c r="D3046" t="inlineStr">
        <is>
          <t>30001087</t>
        </is>
      </c>
      <c r="E3046" t="inlineStr">
        <is>
          <t>ussd_funeral_leads_altitude_20260619</t>
        </is>
      </c>
      <c r="J3046" t="inlineStr">
        <is>
          <t>NA</t>
        </is>
      </c>
      <c r="K3046" t="inlineStr">
        <is>
          <t>No Answer Autodial</t>
        </is>
      </c>
      <c r="L3046" t="n">
        <v>3</v>
      </c>
      <c r="M3046" t="inlineStr">
        <is>
          <t>2026-06-23 12:33:32</t>
        </is>
      </c>
      <c r="N3046" t="inlineStr">
        <is>
          <t>system</t>
        </is>
      </c>
      <c r="O3046" t="inlineStr">
        <is>
          <t>2026-06-19 07:10:32</t>
        </is>
      </c>
      <c r="P3046" t="inlineStr">
        <is>
          <t>2026-06-19 07:10:32</t>
        </is>
      </c>
      <c r="Y3046" t="inlineStr">
        <is>
          <t>27606363422</t>
        </is>
      </c>
    </row>
    <row r="3047">
      <c r="A3047" t="inlineStr">
        <is>
          <t>14946432</t>
        </is>
      </c>
      <c r="B3047" t="inlineStr">
        <is>
          <t>37cfb0db-b699-4626-8c03-04a6cd97bdc5</t>
        </is>
      </c>
      <c r="D3047" t="inlineStr">
        <is>
          <t>30001087</t>
        </is>
      </c>
      <c r="E3047" t="inlineStr">
        <is>
          <t>ussd_funeral_leads_altitude_20260619</t>
        </is>
      </c>
      <c r="J3047" t="inlineStr">
        <is>
          <t>ADC</t>
        </is>
      </c>
      <c r="K3047" t="inlineStr">
        <is>
          <t>Auto Dial Disconnected</t>
        </is>
      </c>
      <c r="L3047" t="n">
        <v>3</v>
      </c>
      <c r="M3047" t="inlineStr">
        <is>
          <t>2026-06-23 12:33:28</t>
        </is>
      </c>
      <c r="N3047" t="inlineStr">
        <is>
          <t>system</t>
        </is>
      </c>
      <c r="O3047" t="inlineStr">
        <is>
          <t>2026-06-19 07:10:32</t>
        </is>
      </c>
      <c r="P3047" t="inlineStr">
        <is>
          <t>2026-06-19 07:10:32</t>
        </is>
      </c>
      <c r="Y3047" t="inlineStr">
        <is>
          <t>27637143619</t>
        </is>
      </c>
    </row>
    <row r="3048">
      <c r="A3048" t="inlineStr">
        <is>
          <t>14946431</t>
        </is>
      </c>
      <c r="B3048" t="inlineStr">
        <is>
          <t>e23bb5f5-df21-4860-82ae-c43503798c2e</t>
        </is>
      </c>
      <c r="D3048" t="inlineStr">
        <is>
          <t>30001087</t>
        </is>
      </c>
      <c r="E3048" t="inlineStr">
        <is>
          <t>ussd_funeral_leads_altitude_20260619</t>
        </is>
      </c>
      <c r="J3048" t="inlineStr">
        <is>
          <t>NA</t>
        </is>
      </c>
      <c r="K3048" t="inlineStr">
        <is>
          <t>No Answer Autodial</t>
        </is>
      </c>
      <c r="L3048" t="n">
        <v>3</v>
      </c>
      <c r="M3048" t="inlineStr">
        <is>
          <t>2026-06-23 12:33:27</t>
        </is>
      </c>
      <c r="N3048" t="inlineStr">
        <is>
          <t>system</t>
        </is>
      </c>
      <c r="O3048" t="inlineStr">
        <is>
          <t>2026-06-19 07:10:32</t>
        </is>
      </c>
      <c r="P3048" t="inlineStr">
        <is>
          <t>2026-06-19 07:10:32</t>
        </is>
      </c>
      <c r="Y3048" t="inlineStr">
        <is>
          <t>27711144998</t>
        </is>
      </c>
    </row>
    <row r="3049">
      <c r="A3049" t="inlineStr">
        <is>
          <t>14946422</t>
        </is>
      </c>
      <c r="B3049" t="inlineStr">
        <is>
          <t>c78b4a7b-0caf-4601-b92b-bfd72dad9f43</t>
        </is>
      </c>
      <c r="D3049" t="inlineStr">
        <is>
          <t>30001087</t>
        </is>
      </c>
      <c r="E3049" t="inlineStr">
        <is>
          <t>ussd_funeral_leads_altitude_20260619</t>
        </is>
      </c>
      <c r="J3049" t="inlineStr">
        <is>
          <t>NA</t>
        </is>
      </c>
      <c r="K3049" t="inlineStr">
        <is>
          <t>No Answer Autodial</t>
        </is>
      </c>
      <c r="L3049" t="n">
        <v>3</v>
      </c>
      <c r="M3049" t="inlineStr">
        <is>
          <t>2026-06-23 12:33:23</t>
        </is>
      </c>
      <c r="N3049" t="inlineStr">
        <is>
          <t>system</t>
        </is>
      </c>
      <c r="O3049" t="inlineStr">
        <is>
          <t>2026-06-19 07:10:32</t>
        </is>
      </c>
      <c r="P3049" t="inlineStr">
        <is>
          <t>2026-06-19 07:10:32</t>
        </is>
      </c>
      <c r="Y3049" t="inlineStr">
        <is>
          <t>27760521743</t>
        </is>
      </c>
    </row>
    <row r="3050">
      <c r="A3050" t="inlineStr">
        <is>
          <t>14946424</t>
        </is>
      </c>
      <c r="B3050" t="inlineStr">
        <is>
          <t>0c3b9036-c54f-4aea-b6d4-3d8f70bcfeb6</t>
        </is>
      </c>
      <c r="D3050" t="inlineStr">
        <is>
          <t>30001087</t>
        </is>
      </c>
      <c r="E3050" t="inlineStr">
        <is>
          <t>ussd_funeral_leads_altitude_20260619</t>
        </is>
      </c>
      <c r="J3050" t="inlineStr">
        <is>
          <t>AA</t>
        </is>
      </c>
      <c r="K3050" t="inlineStr">
        <is>
          <t>Answering Machine Autodial</t>
        </is>
      </c>
      <c r="L3050" t="n">
        <v>3</v>
      </c>
      <c r="M3050" t="inlineStr">
        <is>
          <t>2026-06-23 12:33:23</t>
        </is>
      </c>
      <c r="N3050" t="inlineStr">
        <is>
          <t>system</t>
        </is>
      </c>
      <c r="O3050" t="inlineStr">
        <is>
          <t>2026-06-19 07:10:32</t>
        </is>
      </c>
      <c r="P3050" t="inlineStr">
        <is>
          <t>2026-06-19 07:10:32</t>
        </is>
      </c>
      <c r="Y3050" t="inlineStr">
        <is>
          <t>27711919075</t>
        </is>
      </c>
    </row>
    <row r="3051">
      <c r="A3051" t="inlineStr">
        <is>
          <t>14946421</t>
        </is>
      </c>
      <c r="B3051" t="inlineStr">
        <is>
          <t>19ec37cf-a842-4a13-b183-e65052afd124</t>
        </is>
      </c>
      <c r="D3051" t="inlineStr">
        <is>
          <t>30001087</t>
        </is>
      </c>
      <c r="E3051" t="inlineStr">
        <is>
          <t>ussd_funeral_leads_altitude_20260619</t>
        </is>
      </c>
      <c r="J3051" t="inlineStr">
        <is>
          <t>AA</t>
        </is>
      </c>
      <c r="K3051" t="inlineStr">
        <is>
          <t>Answering Machine Autodial</t>
        </is>
      </c>
      <c r="L3051" t="n">
        <v>3</v>
      </c>
      <c r="M3051" t="inlineStr">
        <is>
          <t>2026-06-23 12:33:22</t>
        </is>
      </c>
      <c r="N3051" t="inlineStr">
        <is>
          <t>system</t>
        </is>
      </c>
      <c r="O3051" t="inlineStr">
        <is>
          <t>2026-06-19 07:10:32</t>
        </is>
      </c>
      <c r="P3051" t="inlineStr">
        <is>
          <t>2026-06-19 07:10:32</t>
        </is>
      </c>
      <c r="Y3051" t="inlineStr">
        <is>
          <t>27764583673</t>
        </is>
      </c>
    </row>
    <row r="3052">
      <c r="A3052" t="inlineStr">
        <is>
          <t>14946411</t>
        </is>
      </c>
      <c r="B3052" t="inlineStr">
        <is>
          <t>0587c75e-f3a2-4e22-b12e-bd55b15f337b</t>
        </is>
      </c>
      <c r="D3052" t="inlineStr">
        <is>
          <t>30001087</t>
        </is>
      </c>
      <c r="E3052" t="inlineStr">
        <is>
          <t>ussd_funeral_leads_altitude_20260619</t>
        </is>
      </c>
      <c r="J3052" t="inlineStr">
        <is>
          <t>AA</t>
        </is>
      </c>
      <c r="K3052" t="inlineStr">
        <is>
          <t>Answering Machine Autodial</t>
        </is>
      </c>
      <c r="L3052" t="n">
        <v>3</v>
      </c>
      <c r="M3052" t="inlineStr">
        <is>
          <t>2026-06-23 12:33:16</t>
        </is>
      </c>
      <c r="N3052" t="inlineStr">
        <is>
          <t>system</t>
        </is>
      </c>
      <c r="O3052" t="inlineStr">
        <is>
          <t>2026-06-19 07:10:32</t>
        </is>
      </c>
      <c r="P3052" t="inlineStr">
        <is>
          <t>2026-06-19 07:10:32</t>
        </is>
      </c>
      <c r="Y3052" t="inlineStr">
        <is>
          <t>27661972813</t>
        </is>
      </c>
    </row>
    <row r="3053">
      <c r="A3053" t="inlineStr">
        <is>
          <t>14946404</t>
        </is>
      </c>
      <c r="B3053" t="inlineStr">
        <is>
          <t>0e68fe01-4532-476f-8619-ce5fa1f47de9</t>
        </is>
      </c>
      <c r="D3053" t="inlineStr">
        <is>
          <t>30001087</t>
        </is>
      </c>
      <c r="E3053" t="inlineStr">
        <is>
          <t>ussd_funeral_leads_altitude_20260619</t>
        </is>
      </c>
      <c r="J3053" t="inlineStr">
        <is>
          <t>AA</t>
        </is>
      </c>
      <c r="K3053" t="inlineStr">
        <is>
          <t>Answering Machine Autodial</t>
        </is>
      </c>
      <c r="L3053" t="n">
        <v>3</v>
      </c>
      <c r="M3053" t="inlineStr">
        <is>
          <t>2026-06-23 12:33:15</t>
        </is>
      </c>
      <c r="N3053" t="inlineStr">
        <is>
          <t>system</t>
        </is>
      </c>
      <c r="O3053" t="inlineStr">
        <is>
          <t>2026-06-19 07:10:32</t>
        </is>
      </c>
      <c r="P3053" t="inlineStr">
        <is>
          <t>2026-06-19 07:10:32</t>
        </is>
      </c>
      <c r="Y3053" t="inlineStr">
        <is>
          <t>27772500178</t>
        </is>
      </c>
    </row>
    <row r="3054">
      <c r="A3054" t="inlineStr">
        <is>
          <t>14946405</t>
        </is>
      </c>
      <c r="B3054" t="inlineStr">
        <is>
          <t>cdd38dcb-4e85-439d-9e0b-98bad055d7cf</t>
        </is>
      </c>
      <c r="D3054" t="inlineStr">
        <is>
          <t>30001087</t>
        </is>
      </c>
      <c r="E3054" t="inlineStr">
        <is>
          <t>ussd_funeral_leads_altitude_20260619</t>
        </is>
      </c>
      <c r="J3054" t="inlineStr">
        <is>
          <t>AA</t>
        </is>
      </c>
      <c r="K3054" t="inlineStr">
        <is>
          <t>Answering Machine Autodial</t>
        </is>
      </c>
      <c r="L3054" t="n">
        <v>3</v>
      </c>
      <c r="M3054" t="inlineStr">
        <is>
          <t>2026-06-23 12:33:15</t>
        </is>
      </c>
      <c r="N3054" t="inlineStr">
        <is>
          <t>system</t>
        </is>
      </c>
      <c r="O3054" t="inlineStr">
        <is>
          <t>2026-06-19 07:10:32</t>
        </is>
      </c>
      <c r="P3054" t="inlineStr">
        <is>
          <t>2026-06-19 07:10:32</t>
        </is>
      </c>
      <c r="Y3054" t="inlineStr">
        <is>
          <t>27609712842</t>
        </is>
      </c>
    </row>
    <row r="3055">
      <c r="A3055" t="inlineStr">
        <is>
          <t>14946410</t>
        </is>
      </c>
      <c r="B3055" t="inlineStr">
        <is>
          <t>70a326f3-9811-48e5-ac5c-6d2166a12d9e</t>
        </is>
      </c>
      <c r="D3055" t="inlineStr">
        <is>
          <t>30001087</t>
        </is>
      </c>
      <c r="E3055" t="inlineStr">
        <is>
          <t>ussd_funeral_leads_altitude_20260619</t>
        </is>
      </c>
      <c r="J3055" t="inlineStr">
        <is>
          <t>ADC</t>
        </is>
      </c>
      <c r="K3055" t="inlineStr">
        <is>
          <t>Auto Dial Disconnected</t>
        </is>
      </c>
      <c r="L3055" t="n">
        <v>3</v>
      </c>
      <c r="M3055" t="inlineStr">
        <is>
          <t>2026-06-23 12:33:15</t>
        </is>
      </c>
      <c r="N3055" t="inlineStr">
        <is>
          <t>system</t>
        </is>
      </c>
      <c r="O3055" t="inlineStr">
        <is>
          <t>2026-06-19 07:10:32</t>
        </is>
      </c>
      <c r="P3055" t="inlineStr">
        <is>
          <t>2026-06-19 07:10:32</t>
        </is>
      </c>
      <c r="Y3055" t="inlineStr">
        <is>
          <t>27818247719</t>
        </is>
      </c>
    </row>
    <row r="3056">
      <c r="A3056" t="inlineStr">
        <is>
          <t>14946371</t>
        </is>
      </c>
      <c r="B3056" t="inlineStr">
        <is>
          <t>40af146e-514c-4a2d-90e6-ab0c23c780ea</t>
        </is>
      </c>
      <c r="D3056" t="inlineStr">
        <is>
          <t>30001087</t>
        </is>
      </c>
      <c r="E3056" t="inlineStr">
        <is>
          <t>ussd_funeral_leads_altitude_20260619</t>
        </is>
      </c>
      <c r="J3056" t="inlineStr">
        <is>
          <t>NA</t>
        </is>
      </c>
      <c r="K3056" t="inlineStr">
        <is>
          <t>No Answer Autodial</t>
        </is>
      </c>
      <c r="L3056" t="n">
        <v>3</v>
      </c>
      <c r="M3056" t="inlineStr">
        <is>
          <t>2026-06-23 12:33:11</t>
        </is>
      </c>
      <c r="N3056" t="inlineStr">
        <is>
          <t>system</t>
        </is>
      </c>
      <c r="O3056" t="inlineStr">
        <is>
          <t>2026-06-19 07:10:32</t>
        </is>
      </c>
      <c r="P3056" t="inlineStr">
        <is>
          <t>2026-06-19 07:10:32</t>
        </is>
      </c>
      <c r="Y3056" t="inlineStr">
        <is>
          <t>27723884583</t>
        </is>
      </c>
    </row>
    <row r="3057">
      <c r="A3057" t="inlineStr">
        <is>
          <t>14946364</t>
        </is>
      </c>
      <c r="B3057" t="inlineStr">
        <is>
          <t>8fb8fb7f-e15e-40a8-9e59-5b65f9728f98</t>
        </is>
      </c>
      <c r="D3057" t="inlineStr">
        <is>
          <t>30001087</t>
        </is>
      </c>
      <c r="E3057" t="inlineStr">
        <is>
          <t>ussd_funeral_leads_altitude_20260619</t>
        </is>
      </c>
      <c r="J3057" t="inlineStr">
        <is>
          <t>AA</t>
        </is>
      </c>
      <c r="K3057" t="inlineStr">
        <is>
          <t>Answering Machine Autodial</t>
        </is>
      </c>
      <c r="L3057" t="n">
        <v>3</v>
      </c>
      <c r="M3057" t="inlineStr">
        <is>
          <t>2026-06-23 12:33:09</t>
        </is>
      </c>
      <c r="N3057" t="inlineStr">
        <is>
          <t>system</t>
        </is>
      </c>
      <c r="O3057" t="inlineStr">
        <is>
          <t>2026-06-19 07:10:32</t>
        </is>
      </c>
      <c r="P3057" t="inlineStr">
        <is>
          <t>2026-06-19 07:10:32</t>
        </is>
      </c>
      <c r="Y3057" t="inlineStr">
        <is>
          <t>27765223190</t>
        </is>
      </c>
    </row>
    <row r="3058">
      <c r="A3058" t="inlineStr">
        <is>
          <t>14946365</t>
        </is>
      </c>
      <c r="B3058" t="inlineStr">
        <is>
          <t>9c542e63-1ea0-4d23-be73-5af3fe20995b</t>
        </is>
      </c>
      <c r="D3058" t="inlineStr">
        <is>
          <t>30001087</t>
        </is>
      </c>
      <c r="E3058" t="inlineStr">
        <is>
          <t>ussd_funeral_leads_altitude_20260619</t>
        </is>
      </c>
      <c r="J3058" t="inlineStr">
        <is>
          <t>AA</t>
        </is>
      </c>
      <c r="K3058" t="inlineStr">
        <is>
          <t>Answering Machine Autodial</t>
        </is>
      </c>
      <c r="L3058" t="n">
        <v>3</v>
      </c>
      <c r="M3058" t="inlineStr">
        <is>
          <t>2026-06-23 12:33:09</t>
        </is>
      </c>
      <c r="N3058" t="inlineStr">
        <is>
          <t>system</t>
        </is>
      </c>
      <c r="O3058" t="inlineStr">
        <is>
          <t>2026-06-19 07:10:32</t>
        </is>
      </c>
      <c r="P3058" t="inlineStr">
        <is>
          <t>2026-06-19 07:10:32</t>
        </is>
      </c>
      <c r="Y3058" t="inlineStr">
        <is>
          <t>27665715529</t>
        </is>
      </c>
    </row>
    <row r="3059">
      <c r="A3059" t="inlineStr">
        <is>
          <t>14946362</t>
        </is>
      </c>
      <c r="B3059" t="inlineStr">
        <is>
          <t>bbd0cd6c-a9ac-4683-8d6b-1d8961df00b3</t>
        </is>
      </c>
      <c r="D3059" t="inlineStr">
        <is>
          <t>30001087</t>
        </is>
      </c>
      <c r="E3059" t="inlineStr">
        <is>
          <t>ussd_funeral_leads_altitude_20260619</t>
        </is>
      </c>
      <c r="J3059" t="inlineStr">
        <is>
          <t>AA</t>
        </is>
      </c>
      <c r="K3059" t="inlineStr">
        <is>
          <t>Answering Machine Autodial</t>
        </is>
      </c>
      <c r="L3059" t="n">
        <v>3</v>
      </c>
      <c r="M3059" t="inlineStr">
        <is>
          <t>2026-06-23 12:33:04</t>
        </is>
      </c>
      <c r="N3059" t="inlineStr">
        <is>
          <t>system</t>
        </is>
      </c>
      <c r="O3059" t="inlineStr">
        <is>
          <t>2026-06-19 07:10:32</t>
        </is>
      </c>
      <c r="P3059" t="inlineStr">
        <is>
          <t>2026-06-19 07:10:32</t>
        </is>
      </c>
      <c r="Y3059" t="inlineStr">
        <is>
          <t>27649239826</t>
        </is>
      </c>
    </row>
    <row r="3060">
      <c r="A3060" t="inlineStr">
        <is>
          <t>14946360</t>
        </is>
      </c>
      <c r="B3060" t="inlineStr">
        <is>
          <t>5915cffc-3b3d-4957-b908-4366e28c8c41</t>
        </is>
      </c>
      <c r="D3060" t="inlineStr">
        <is>
          <t>30001087</t>
        </is>
      </c>
      <c r="E3060" t="inlineStr">
        <is>
          <t>ussd_funeral_leads_altitude_20260619</t>
        </is>
      </c>
      <c r="J3060" t="inlineStr">
        <is>
          <t>AA</t>
        </is>
      </c>
      <c r="K3060" t="inlineStr">
        <is>
          <t>Answering Machine Autodial</t>
        </is>
      </c>
      <c r="L3060" t="n">
        <v>3</v>
      </c>
      <c r="M3060" t="inlineStr">
        <is>
          <t>2026-06-23 12:33:03</t>
        </is>
      </c>
      <c r="N3060" t="inlineStr">
        <is>
          <t>system</t>
        </is>
      </c>
      <c r="O3060" t="inlineStr">
        <is>
          <t>2026-06-19 07:10:32</t>
        </is>
      </c>
      <c r="P3060" t="inlineStr">
        <is>
          <t>2026-06-19 07:10:32</t>
        </is>
      </c>
      <c r="Y3060" t="inlineStr">
        <is>
          <t>27662513223</t>
        </is>
      </c>
    </row>
    <row r="3061">
      <c r="A3061" t="inlineStr">
        <is>
          <t>14946361</t>
        </is>
      </c>
      <c r="B3061" t="inlineStr">
        <is>
          <t>6dd310f6-86d4-426f-a26c-e64651e5e3df</t>
        </is>
      </c>
      <c r="D3061" t="inlineStr">
        <is>
          <t>30001087</t>
        </is>
      </c>
      <c r="E3061" t="inlineStr">
        <is>
          <t>ussd_funeral_leads_altitude_20260619</t>
        </is>
      </c>
      <c r="J3061" t="inlineStr">
        <is>
          <t>AA</t>
        </is>
      </c>
      <c r="K3061" t="inlineStr">
        <is>
          <t>Answering Machine Autodial</t>
        </is>
      </c>
      <c r="L3061" t="n">
        <v>3</v>
      </c>
      <c r="M3061" t="inlineStr">
        <is>
          <t>2026-06-23 12:33:03</t>
        </is>
      </c>
      <c r="N3061" t="inlineStr">
        <is>
          <t>system</t>
        </is>
      </c>
      <c r="O3061" t="inlineStr">
        <is>
          <t>2026-06-19 07:10:32</t>
        </is>
      </c>
      <c r="P3061" t="inlineStr">
        <is>
          <t>2026-06-19 07:10:32</t>
        </is>
      </c>
      <c r="Y3061" t="inlineStr">
        <is>
          <t>27607920722</t>
        </is>
      </c>
    </row>
    <row r="3062">
      <c r="A3062" t="inlineStr">
        <is>
          <t>14946192</t>
        </is>
      </c>
      <c r="B3062" t="inlineStr">
        <is>
          <t>98cb9b32-dfa3-48c6-a747-984f0bf4c503</t>
        </is>
      </c>
      <c r="D3062" t="inlineStr">
        <is>
          <t>30001087</t>
        </is>
      </c>
      <c r="E3062" t="inlineStr">
        <is>
          <t>ussd_funeral_leads_altitude_20260619</t>
        </is>
      </c>
      <c r="J3062" t="inlineStr">
        <is>
          <t>ADC</t>
        </is>
      </c>
      <c r="K3062" t="inlineStr">
        <is>
          <t>Auto Dial Disconnected</t>
        </is>
      </c>
      <c r="L3062" t="n">
        <v>3</v>
      </c>
      <c r="M3062" t="inlineStr">
        <is>
          <t>2026-06-23 12:32:59</t>
        </is>
      </c>
      <c r="N3062" t="inlineStr">
        <is>
          <t>system</t>
        </is>
      </c>
      <c r="O3062" t="inlineStr">
        <is>
          <t>2026-06-19 07:10:32</t>
        </is>
      </c>
      <c r="P3062" t="inlineStr">
        <is>
          <t>2026-06-19 07:10:32</t>
        </is>
      </c>
      <c r="Y3062" t="inlineStr">
        <is>
          <t>27792302657</t>
        </is>
      </c>
    </row>
    <row r="3063">
      <c r="A3063" t="inlineStr">
        <is>
          <t>14946355</t>
        </is>
      </c>
      <c r="B3063" t="inlineStr">
        <is>
          <t>c5a7f30b-1b99-45e2-a39d-78b199ff12d4</t>
        </is>
      </c>
      <c r="D3063" t="inlineStr">
        <is>
          <t>30001087</t>
        </is>
      </c>
      <c r="E3063" t="inlineStr">
        <is>
          <t>ussd_funeral_leads_altitude_20260619</t>
        </is>
      </c>
      <c r="J3063" t="inlineStr">
        <is>
          <t>AA</t>
        </is>
      </c>
      <c r="K3063" t="inlineStr">
        <is>
          <t>Answering Machine Autodial</t>
        </is>
      </c>
      <c r="L3063" t="n">
        <v>3</v>
      </c>
      <c r="M3063" t="inlineStr">
        <is>
          <t>2026-06-23 12:32:59</t>
        </is>
      </c>
      <c r="N3063" t="inlineStr">
        <is>
          <t>system</t>
        </is>
      </c>
      <c r="O3063" t="inlineStr">
        <is>
          <t>2026-06-19 07:10:32</t>
        </is>
      </c>
      <c r="P3063" t="inlineStr">
        <is>
          <t>2026-06-19 07:10:32</t>
        </is>
      </c>
      <c r="Y3063" t="inlineStr">
        <is>
          <t>27799374107</t>
        </is>
      </c>
    </row>
    <row r="3064">
      <c r="A3064" t="inlineStr">
        <is>
          <t>14946191</t>
        </is>
      </c>
      <c r="B3064" t="inlineStr">
        <is>
          <t>9654fced-da50-4e63-bd37-dbb9eae85bec</t>
        </is>
      </c>
      <c r="D3064" t="inlineStr">
        <is>
          <t>30001087</t>
        </is>
      </c>
      <c r="E3064" t="inlineStr">
        <is>
          <t>ussd_funeral_leads_altitude_20260619</t>
        </is>
      </c>
      <c r="J3064" t="inlineStr">
        <is>
          <t>AA</t>
        </is>
      </c>
      <c r="K3064" t="inlineStr">
        <is>
          <t>Answering Machine Autodial</t>
        </is>
      </c>
      <c r="L3064" t="n">
        <v>3</v>
      </c>
      <c r="M3064" t="inlineStr">
        <is>
          <t>2026-06-23 12:32:58</t>
        </is>
      </c>
      <c r="N3064" t="inlineStr">
        <is>
          <t>system</t>
        </is>
      </c>
      <c r="O3064" t="inlineStr">
        <is>
          <t>2026-06-19 07:10:32</t>
        </is>
      </c>
      <c r="P3064" t="inlineStr">
        <is>
          <t>2026-06-19 07:10:32</t>
        </is>
      </c>
      <c r="Y3064" t="inlineStr">
        <is>
          <t>27714571066</t>
        </is>
      </c>
    </row>
    <row r="3065">
      <c r="A3065" t="inlineStr">
        <is>
          <t>14947739</t>
        </is>
      </c>
      <c r="B3065" t="inlineStr">
        <is>
          <t>17e83b06-770b-494a-ad25-6519118d6a77</t>
        </is>
      </c>
      <c r="D3065" t="inlineStr">
        <is>
          <t>30001087</t>
        </is>
      </c>
      <c r="E3065" t="inlineStr">
        <is>
          <t>ussd_funeral_leads_altitude_20260619</t>
        </is>
      </c>
      <c r="J3065" t="inlineStr">
        <is>
          <t>AA</t>
        </is>
      </c>
      <c r="K3065" t="inlineStr">
        <is>
          <t>Answering Machine Autodial</t>
        </is>
      </c>
      <c r="L3065" t="n">
        <v>3</v>
      </c>
      <c r="M3065" t="inlineStr">
        <is>
          <t>2026-06-23 12:32:58</t>
        </is>
      </c>
      <c r="N3065" t="inlineStr">
        <is>
          <t>system</t>
        </is>
      </c>
      <c r="O3065" t="inlineStr">
        <is>
          <t>2026-06-19 07:10:32</t>
        </is>
      </c>
      <c r="P3065" t="inlineStr">
        <is>
          <t>2026-06-19 07:10:32</t>
        </is>
      </c>
      <c r="Y3065" t="inlineStr">
        <is>
          <t>27772675381</t>
        </is>
      </c>
    </row>
    <row r="3066">
      <c r="A3066" t="inlineStr">
        <is>
          <t>14946519</t>
        </is>
      </c>
      <c r="B3066" t="inlineStr">
        <is>
          <t>9a301207-5f22-44a7-910c-e86b0f36e22d</t>
        </is>
      </c>
      <c r="D3066" t="inlineStr">
        <is>
          <t>30001087</t>
        </is>
      </c>
      <c r="E3066" t="inlineStr">
        <is>
          <t>ussd_funeral_leads_altitude_20260619</t>
        </is>
      </c>
      <c r="J3066" t="inlineStr">
        <is>
          <t>AA</t>
        </is>
      </c>
      <c r="K3066" t="inlineStr">
        <is>
          <t>Answering Machine Autodial</t>
        </is>
      </c>
      <c r="L3066" t="n">
        <v>3</v>
      </c>
      <c r="M3066" t="inlineStr">
        <is>
          <t>2026-06-23 12:32:20</t>
        </is>
      </c>
      <c r="N3066" t="inlineStr">
        <is>
          <t>system</t>
        </is>
      </c>
      <c r="O3066" t="inlineStr">
        <is>
          <t>2026-06-19 07:10:32</t>
        </is>
      </c>
      <c r="P3066" t="inlineStr">
        <is>
          <t>2026-06-19 07:10:32</t>
        </is>
      </c>
      <c r="Y3066" t="inlineStr">
        <is>
          <t>27822999216</t>
        </is>
      </c>
    </row>
    <row r="3067">
      <c r="A3067" t="inlineStr">
        <is>
          <t>14946515</t>
        </is>
      </c>
      <c r="B3067" t="inlineStr">
        <is>
          <t>fa5e3da0-ba3a-41a0-84a6-85e6abb9ebc1</t>
        </is>
      </c>
      <c r="D3067" t="inlineStr">
        <is>
          <t>30001087</t>
        </is>
      </c>
      <c r="E3067" t="inlineStr">
        <is>
          <t>ussd_funeral_leads_altitude_20260619</t>
        </is>
      </c>
      <c r="J3067" t="inlineStr">
        <is>
          <t>NA</t>
        </is>
      </c>
      <c r="K3067" t="inlineStr">
        <is>
          <t>No Answer Autodial</t>
        </is>
      </c>
      <c r="L3067" t="n">
        <v>3</v>
      </c>
      <c r="M3067" t="inlineStr">
        <is>
          <t>2026-06-23 12:32:19</t>
        </is>
      </c>
      <c r="N3067" t="inlineStr">
        <is>
          <t>system</t>
        </is>
      </c>
      <c r="O3067" t="inlineStr">
        <is>
          <t>2026-06-19 07:10:32</t>
        </is>
      </c>
      <c r="P3067" t="inlineStr">
        <is>
          <t>2026-06-19 07:10:32</t>
        </is>
      </c>
      <c r="Y3067" t="inlineStr">
        <is>
          <t>27636989825</t>
        </is>
      </c>
    </row>
    <row r="3068">
      <c r="A3068" t="inlineStr">
        <is>
          <t>14946516</t>
        </is>
      </c>
      <c r="B3068" t="inlineStr">
        <is>
          <t>1ccc5e9a-68f5-4cd5-be7e-c6a94cf9163c</t>
        </is>
      </c>
      <c r="D3068" t="inlineStr">
        <is>
          <t>30001087</t>
        </is>
      </c>
      <c r="E3068" t="inlineStr">
        <is>
          <t>ussd_funeral_leads_altitude_20260619</t>
        </is>
      </c>
      <c r="J3068" t="inlineStr">
        <is>
          <t>DROP</t>
        </is>
      </c>
      <c r="K3068" t="inlineStr">
        <is>
          <t>Dropped</t>
        </is>
      </c>
      <c r="L3068" t="n">
        <v>3</v>
      </c>
      <c r="M3068" t="inlineStr">
        <is>
          <t>2026-06-23 12:32:19</t>
        </is>
      </c>
      <c r="N3068" t="inlineStr">
        <is>
          <t>system</t>
        </is>
      </c>
      <c r="O3068" t="inlineStr">
        <is>
          <t>2026-06-19 07:10:32</t>
        </is>
      </c>
      <c r="P3068" t="inlineStr">
        <is>
          <t>2026-06-19 07:10:32</t>
        </is>
      </c>
      <c r="Y3068" t="inlineStr">
        <is>
          <t>27797803383</t>
        </is>
      </c>
    </row>
    <row r="3069">
      <c r="A3069" t="inlineStr">
        <is>
          <t>14946518</t>
        </is>
      </c>
      <c r="B3069" t="inlineStr">
        <is>
          <t>428a3d19-24a7-47da-b7b0-725950567d1f</t>
        </is>
      </c>
      <c r="D3069" t="inlineStr">
        <is>
          <t>30001087</t>
        </is>
      </c>
      <c r="E3069" t="inlineStr">
        <is>
          <t>ussd_funeral_leads_altitude_20260619</t>
        </is>
      </c>
      <c r="J3069" t="inlineStr">
        <is>
          <t>AA</t>
        </is>
      </c>
      <c r="K3069" t="inlineStr">
        <is>
          <t>Answering Machine Autodial</t>
        </is>
      </c>
      <c r="L3069" t="n">
        <v>3</v>
      </c>
      <c r="M3069" t="inlineStr">
        <is>
          <t>2026-06-23 12:32:19</t>
        </is>
      </c>
      <c r="N3069" t="inlineStr">
        <is>
          <t>system</t>
        </is>
      </c>
      <c r="O3069" t="inlineStr">
        <is>
          <t>2026-06-19 07:10:32</t>
        </is>
      </c>
      <c r="P3069" t="inlineStr">
        <is>
          <t>2026-06-19 07:10:32</t>
        </is>
      </c>
      <c r="Y3069" t="inlineStr">
        <is>
          <t>27646652000</t>
        </is>
      </c>
    </row>
    <row r="3070">
      <c r="A3070" t="inlineStr">
        <is>
          <t>14946514</t>
        </is>
      </c>
      <c r="B3070" t="inlineStr">
        <is>
          <t>46a79152-2508-4cbd-8f09-18284581f2de</t>
        </is>
      </c>
      <c r="D3070" t="inlineStr">
        <is>
          <t>30001087</t>
        </is>
      </c>
      <c r="E3070" t="inlineStr">
        <is>
          <t>ussd_funeral_leads_altitude_20260619</t>
        </is>
      </c>
      <c r="J3070" t="inlineStr">
        <is>
          <t>ADC</t>
        </is>
      </c>
      <c r="K3070" t="inlineStr">
        <is>
          <t>Auto Dial Disconnected</t>
        </is>
      </c>
      <c r="L3070" t="n">
        <v>3</v>
      </c>
      <c r="M3070" t="inlineStr">
        <is>
          <t>2026-06-23 12:31:23</t>
        </is>
      </c>
      <c r="N3070" t="inlineStr">
        <is>
          <t>system</t>
        </is>
      </c>
      <c r="O3070" t="inlineStr">
        <is>
          <t>2026-06-19 07:10:32</t>
        </is>
      </c>
      <c r="P3070" t="inlineStr">
        <is>
          <t>2026-06-19 07:10:32</t>
        </is>
      </c>
      <c r="Y3070" t="inlineStr">
        <is>
          <t>27646543202</t>
        </is>
      </c>
    </row>
    <row r="3071">
      <c r="A3071" t="inlineStr">
        <is>
          <t>14946510</t>
        </is>
      </c>
      <c r="B3071" t="inlineStr">
        <is>
          <t>2b40a611-87b4-4b57-897c-78c1dc07e763</t>
        </is>
      </c>
      <c r="D3071" t="inlineStr">
        <is>
          <t>30001087</t>
        </is>
      </c>
      <c r="E3071" t="inlineStr">
        <is>
          <t>ussd_funeral_leads_altitude_20260619</t>
        </is>
      </c>
      <c r="J3071" t="inlineStr">
        <is>
          <t>NA</t>
        </is>
      </c>
      <c r="K3071" t="inlineStr">
        <is>
          <t>No Answer Autodial</t>
        </is>
      </c>
      <c r="L3071" t="n">
        <v>3</v>
      </c>
      <c r="M3071" t="inlineStr">
        <is>
          <t>2026-06-23 12:31:22</t>
        </is>
      </c>
      <c r="N3071" t="inlineStr">
        <is>
          <t>system</t>
        </is>
      </c>
      <c r="O3071" t="inlineStr">
        <is>
          <t>2026-06-19 07:10:32</t>
        </is>
      </c>
      <c r="P3071" t="inlineStr">
        <is>
          <t>2026-06-19 07:10:32</t>
        </is>
      </c>
      <c r="Y3071" t="inlineStr">
        <is>
          <t>27825810236</t>
        </is>
      </c>
    </row>
    <row r="3072">
      <c r="A3072" t="inlineStr">
        <is>
          <t>14946511</t>
        </is>
      </c>
      <c r="B3072" t="inlineStr">
        <is>
          <t>5094561d-bbe8-46ac-8454-6b5498bb9a0f</t>
        </is>
      </c>
      <c r="D3072" t="inlineStr">
        <is>
          <t>30001087</t>
        </is>
      </c>
      <c r="E3072" t="inlineStr">
        <is>
          <t>ussd_funeral_leads_altitude_20260619</t>
        </is>
      </c>
      <c r="J3072" t="inlineStr">
        <is>
          <t>AA</t>
        </is>
      </c>
      <c r="K3072" t="inlineStr">
        <is>
          <t>Answering Machine Autodial</t>
        </is>
      </c>
      <c r="L3072" t="n">
        <v>3</v>
      </c>
      <c r="M3072" t="inlineStr">
        <is>
          <t>2026-06-23 12:31:22</t>
        </is>
      </c>
      <c r="N3072" t="inlineStr">
        <is>
          <t>system</t>
        </is>
      </c>
      <c r="O3072" t="inlineStr">
        <is>
          <t>2026-06-19 07:10:32</t>
        </is>
      </c>
      <c r="P3072" t="inlineStr">
        <is>
          <t>2026-06-19 07:10:32</t>
        </is>
      </c>
      <c r="Y3072" t="inlineStr">
        <is>
          <t>27825899404</t>
        </is>
      </c>
    </row>
    <row r="3073">
      <c r="A3073" t="inlineStr">
        <is>
          <t>14946513</t>
        </is>
      </c>
      <c r="B3073" t="inlineStr">
        <is>
          <t>c37ded65-e7df-4719-9cb8-f2a7fab84e56</t>
        </is>
      </c>
      <c r="D3073" t="inlineStr">
        <is>
          <t>30001087</t>
        </is>
      </c>
      <c r="E3073" t="inlineStr">
        <is>
          <t>ussd_funeral_leads_altitude_20260619</t>
        </is>
      </c>
      <c r="J3073" t="inlineStr">
        <is>
          <t>ADC</t>
        </is>
      </c>
      <c r="K3073" t="inlineStr">
        <is>
          <t>Auto Dial Disconnected</t>
        </is>
      </c>
      <c r="L3073" t="n">
        <v>3</v>
      </c>
      <c r="M3073" t="inlineStr">
        <is>
          <t>2026-06-23 12:31:22</t>
        </is>
      </c>
      <c r="N3073" t="inlineStr">
        <is>
          <t>system</t>
        </is>
      </c>
      <c r="O3073" t="inlineStr">
        <is>
          <t>2026-06-19 07:10:32</t>
        </is>
      </c>
      <c r="P3073" t="inlineStr">
        <is>
          <t>2026-06-19 07:10:32</t>
        </is>
      </c>
      <c r="Y3073" t="inlineStr">
        <is>
          <t>27663835557</t>
        </is>
      </c>
    </row>
    <row r="3074">
      <c r="A3074" t="inlineStr">
        <is>
          <t>14946507</t>
        </is>
      </c>
      <c r="B3074" t="inlineStr">
        <is>
          <t>0c948218-cdd2-4944-8d9b-c3edc72ff0b2</t>
        </is>
      </c>
      <c r="D3074" t="inlineStr">
        <is>
          <t>30001087</t>
        </is>
      </c>
      <c r="E3074" t="inlineStr">
        <is>
          <t>ussd_funeral_leads_altitude_20260619</t>
        </is>
      </c>
      <c r="J3074" t="inlineStr">
        <is>
          <t>AA</t>
        </is>
      </c>
      <c r="K3074" t="inlineStr">
        <is>
          <t>Answering Machine Autodial</t>
        </is>
      </c>
      <c r="L3074" t="n">
        <v>3</v>
      </c>
      <c r="M3074" t="inlineStr">
        <is>
          <t>2026-06-23 12:31:21</t>
        </is>
      </c>
      <c r="N3074" t="inlineStr">
        <is>
          <t>system</t>
        </is>
      </c>
      <c r="O3074" t="inlineStr">
        <is>
          <t>2026-06-19 07:10:32</t>
        </is>
      </c>
      <c r="P3074" t="inlineStr">
        <is>
          <t>2026-06-19 07:10:32</t>
        </is>
      </c>
      <c r="Y3074" t="inlineStr">
        <is>
          <t>27823272308</t>
        </is>
      </c>
    </row>
    <row r="3075">
      <c r="A3075" t="inlineStr">
        <is>
          <t>14946508</t>
        </is>
      </c>
      <c r="B3075" t="inlineStr">
        <is>
          <t>28b0e7df-8dc8-4fea-be8b-66eb6f79ef40</t>
        </is>
      </c>
      <c r="D3075" t="inlineStr">
        <is>
          <t>30001087</t>
        </is>
      </c>
      <c r="E3075" t="inlineStr">
        <is>
          <t>ussd_funeral_leads_altitude_20260619</t>
        </is>
      </c>
      <c r="J3075" t="inlineStr">
        <is>
          <t>AA</t>
        </is>
      </c>
      <c r="K3075" t="inlineStr">
        <is>
          <t>Answering Machine Autodial</t>
        </is>
      </c>
      <c r="L3075" t="n">
        <v>3</v>
      </c>
      <c r="M3075" t="inlineStr">
        <is>
          <t>2026-06-23 12:31:21</t>
        </is>
      </c>
      <c r="N3075" t="inlineStr">
        <is>
          <t>system</t>
        </is>
      </c>
      <c r="O3075" t="inlineStr">
        <is>
          <t>2026-06-19 07:10:32</t>
        </is>
      </c>
      <c r="P3075" t="inlineStr">
        <is>
          <t>2026-06-19 07:10:32</t>
        </is>
      </c>
      <c r="Y3075" t="inlineStr">
        <is>
          <t>27649896637</t>
        </is>
      </c>
    </row>
    <row r="3076">
      <c r="A3076" t="inlineStr">
        <is>
          <t>14946505</t>
        </is>
      </c>
      <c r="B3076" t="inlineStr">
        <is>
          <t>bad98794-0ee4-4e31-ba63-2dfeab60d58b</t>
        </is>
      </c>
      <c r="D3076" t="inlineStr">
        <is>
          <t>30001087</t>
        </is>
      </c>
      <c r="E3076" t="inlineStr">
        <is>
          <t>ussd_funeral_leads_altitude_20260619</t>
        </is>
      </c>
      <c r="J3076" t="inlineStr">
        <is>
          <t>TDN</t>
        </is>
      </c>
      <c r="K3076" t="inlineStr">
        <is>
          <t>Temporary Disconnected Number</t>
        </is>
      </c>
      <c r="L3076" t="n">
        <v>3</v>
      </c>
      <c r="M3076" t="inlineStr">
        <is>
          <t>2026-06-23 12:31:21</t>
        </is>
      </c>
      <c r="N3076" t="inlineStr">
        <is>
          <t>system</t>
        </is>
      </c>
      <c r="O3076" t="inlineStr">
        <is>
          <t>2026-06-19 07:10:32</t>
        </is>
      </c>
      <c r="P3076" t="inlineStr">
        <is>
          <t>2026-06-19 07:10:32</t>
        </is>
      </c>
      <c r="Y3076" t="inlineStr">
        <is>
          <t>27728599109</t>
        </is>
      </c>
    </row>
    <row r="3077">
      <c r="A3077" t="inlineStr">
        <is>
          <t>14946512</t>
        </is>
      </c>
      <c r="B3077" t="inlineStr">
        <is>
          <t>1b179484-3fa8-4e84-bb2a-8a39458958e4</t>
        </is>
      </c>
      <c r="D3077" t="inlineStr">
        <is>
          <t>30001087</t>
        </is>
      </c>
      <c r="E3077" t="inlineStr">
        <is>
          <t>ussd_funeral_leads_altitude_20260619</t>
        </is>
      </c>
      <c r="J3077" t="inlineStr">
        <is>
          <t>DROP</t>
        </is>
      </c>
      <c r="K3077" t="inlineStr">
        <is>
          <t>Dropped</t>
        </is>
      </c>
      <c r="L3077" t="n">
        <v>3</v>
      </c>
      <c r="M3077" t="inlineStr">
        <is>
          <t>2026-06-23 12:31:20</t>
        </is>
      </c>
      <c r="N3077" t="inlineStr">
        <is>
          <t>system</t>
        </is>
      </c>
      <c r="O3077" t="inlineStr">
        <is>
          <t>2026-06-19 07:10:32</t>
        </is>
      </c>
      <c r="P3077" t="inlineStr">
        <is>
          <t>2026-06-19 07:10:32</t>
        </is>
      </c>
      <c r="Y3077" t="inlineStr">
        <is>
          <t>27721001721</t>
        </is>
      </c>
    </row>
    <row r="3078">
      <c r="A3078" t="inlineStr">
        <is>
          <t>14946502</t>
        </is>
      </c>
      <c r="B3078" t="inlineStr">
        <is>
          <t>4098688f-29a5-4b2f-92c9-478e93e969a8</t>
        </is>
      </c>
      <c r="D3078" t="inlineStr">
        <is>
          <t>30001087</t>
        </is>
      </c>
      <c r="E3078" t="inlineStr">
        <is>
          <t>ussd_funeral_leads_altitude_20260619</t>
        </is>
      </c>
      <c r="J3078" t="inlineStr">
        <is>
          <t>CU</t>
        </is>
      </c>
      <c r="K3078" t="inlineStr">
        <is>
          <t>Client Hung Up</t>
        </is>
      </c>
      <c r="L3078" t="n">
        <v>3</v>
      </c>
      <c r="M3078" t="inlineStr">
        <is>
          <t>2026-06-23 12:31:16</t>
        </is>
      </c>
      <c r="N3078" t="inlineStr">
        <is>
          <t>Goitsimang Mogwasa</t>
        </is>
      </c>
      <c r="O3078" t="inlineStr">
        <is>
          <t>2026-06-19 07:10:32</t>
        </is>
      </c>
      <c r="P3078" t="inlineStr">
        <is>
          <t>2026-06-19 07:10:32</t>
        </is>
      </c>
      <c r="Y3078" t="inlineStr">
        <is>
          <t>27712405602</t>
        </is>
      </c>
    </row>
    <row r="3079">
      <c r="A3079" t="inlineStr">
        <is>
          <t>14946503</t>
        </is>
      </c>
      <c r="B3079" t="inlineStr">
        <is>
          <t>0f552115-f92e-4bd4-b1c6-a8b9fd813d80</t>
        </is>
      </c>
      <c r="D3079" t="inlineStr">
        <is>
          <t>30001087</t>
        </is>
      </c>
      <c r="E3079" t="inlineStr">
        <is>
          <t>ussd_funeral_leads_altitude_20260619</t>
        </is>
      </c>
      <c r="J3079" t="inlineStr">
        <is>
          <t>AA</t>
        </is>
      </c>
      <c r="K3079" t="inlineStr">
        <is>
          <t>Answering Machine Autodial</t>
        </is>
      </c>
      <c r="L3079" t="n">
        <v>3</v>
      </c>
      <c r="M3079" t="inlineStr">
        <is>
          <t>2026-06-23 12:31:16</t>
        </is>
      </c>
      <c r="N3079" t="inlineStr">
        <is>
          <t>system</t>
        </is>
      </c>
      <c r="O3079" t="inlineStr">
        <is>
          <t>2026-06-19 07:10:32</t>
        </is>
      </c>
      <c r="P3079" t="inlineStr">
        <is>
          <t>2026-06-19 07:10:32</t>
        </is>
      </c>
      <c r="Y3079" t="inlineStr">
        <is>
          <t>27793773500</t>
        </is>
      </c>
    </row>
    <row r="3080">
      <c r="A3080" t="inlineStr">
        <is>
          <t>14946504</t>
        </is>
      </c>
      <c r="B3080" t="inlineStr">
        <is>
          <t>171bfea3-3431-44f7-831f-47026f69a6e3</t>
        </is>
      </c>
      <c r="D3080" t="inlineStr">
        <is>
          <t>30001087</t>
        </is>
      </c>
      <c r="E3080" t="inlineStr">
        <is>
          <t>ussd_funeral_leads_altitude_20260619</t>
        </is>
      </c>
      <c r="J3080" t="inlineStr">
        <is>
          <t>DROP</t>
        </is>
      </c>
      <c r="K3080" t="inlineStr">
        <is>
          <t>Dropped</t>
        </is>
      </c>
      <c r="L3080" t="n">
        <v>3</v>
      </c>
      <c r="M3080" t="inlineStr">
        <is>
          <t>2026-06-23 12:31:16</t>
        </is>
      </c>
      <c r="N3080" t="inlineStr">
        <is>
          <t>system</t>
        </is>
      </c>
      <c r="O3080" t="inlineStr">
        <is>
          <t>2026-06-19 07:10:32</t>
        </is>
      </c>
      <c r="P3080" t="inlineStr">
        <is>
          <t>2026-06-19 07:10:32</t>
        </is>
      </c>
      <c r="Y3080" t="inlineStr">
        <is>
          <t>27824806739</t>
        </is>
      </c>
    </row>
    <row r="3081">
      <c r="A3081" t="inlineStr">
        <is>
          <t>14946500</t>
        </is>
      </c>
      <c r="B3081" t="inlineStr">
        <is>
          <t>c3e8f2f5-90e8-4ebe-b940-398eb60bd89d</t>
        </is>
      </c>
      <c r="D3081" t="inlineStr">
        <is>
          <t>30001087</t>
        </is>
      </c>
      <c r="E3081" t="inlineStr">
        <is>
          <t>ussd_funeral_leads_altitude_20260619</t>
        </is>
      </c>
      <c r="J3081" t="inlineStr">
        <is>
          <t>AE</t>
        </is>
      </c>
      <c r="K3081" t="inlineStr">
        <is>
          <t>Auto Engaged</t>
        </is>
      </c>
      <c r="L3081" t="n">
        <v>3</v>
      </c>
      <c r="M3081" t="inlineStr">
        <is>
          <t>2026-06-23 12:31:15</t>
        </is>
      </c>
      <c r="N3081" t="inlineStr">
        <is>
          <t>system</t>
        </is>
      </c>
      <c r="O3081" t="inlineStr">
        <is>
          <t>2026-06-19 07:10:32</t>
        </is>
      </c>
      <c r="P3081" t="inlineStr">
        <is>
          <t>2026-06-19 07:10:32</t>
        </is>
      </c>
      <c r="Y3081" t="inlineStr">
        <is>
          <t>27647625048</t>
        </is>
      </c>
    </row>
    <row r="3082">
      <c r="A3082" t="inlineStr">
        <is>
          <t>14946496</t>
        </is>
      </c>
      <c r="B3082" t="inlineStr">
        <is>
          <t>fa7dc049-473f-45de-b2a0-7291a7e91fa9</t>
        </is>
      </c>
      <c r="D3082" t="inlineStr">
        <is>
          <t>30001087</t>
        </is>
      </c>
      <c r="E3082" t="inlineStr">
        <is>
          <t>ussd_funeral_leads_altitude_20260619</t>
        </is>
      </c>
      <c r="J3082" t="inlineStr">
        <is>
          <t>DC</t>
        </is>
      </c>
      <c r="K3082" t="inlineStr">
        <is>
          <t>Disconnected</t>
        </is>
      </c>
      <c r="L3082" t="n">
        <v>3</v>
      </c>
      <c r="M3082" t="inlineStr">
        <is>
          <t>2026-06-23 12:31:02</t>
        </is>
      </c>
      <c r="N3082" t="inlineStr">
        <is>
          <t>Dimakatso Nkomo</t>
        </is>
      </c>
      <c r="O3082" t="inlineStr">
        <is>
          <t>2026-06-19 07:10:32</t>
        </is>
      </c>
      <c r="P3082" t="inlineStr">
        <is>
          <t>2026-06-19 07:10:32</t>
        </is>
      </c>
      <c r="Y3082" t="inlineStr">
        <is>
          <t>27795955856</t>
        </is>
      </c>
    </row>
    <row r="3083">
      <c r="A3083" t="inlineStr">
        <is>
          <t>14946498</t>
        </is>
      </c>
      <c r="B3083" t="inlineStr">
        <is>
          <t>00e2edbf-9188-40aa-a492-99ad402f7660</t>
        </is>
      </c>
      <c r="D3083" t="inlineStr">
        <is>
          <t>30001087</t>
        </is>
      </c>
      <c r="E3083" t="inlineStr">
        <is>
          <t>ussd_funeral_leads_altitude_20260619</t>
        </is>
      </c>
      <c r="J3083" t="inlineStr">
        <is>
          <t>AA</t>
        </is>
      </c>
      <c r="K3083" t="inlineStr">
        <is>
          <t>Answering Machine Autodial</t>
        </is>
      </c>
      <c r="L3083" t="n">
        <v>3</v>
      </c>
      <c r="M3083" t="inlineStr">
        <is>
          <t>2026-06-23 12:31:02</t>
        </is>
      </c>
      <c r="N3083" t="inlineStr">
        <is>
          <t>system</t>
        </is>
      </c>
      <c r="O3083" t="inlineStr">
        <is>
          <t>2026-06-19 07:10:32</t>
        </is>
      </c>
      <c r="P3083" t="inlineStr">
        <is>
          <t>2026-06-19 07:10:32</t>
        </is>
      </c>
      <c r="Y3083" t="inlineStr">
        <is>
          <t>27675565272</t>
        </is>
      </c>
    </row>
    <row r="3084">
      <c r="A3084" t="inlineStr">
        <is>
          <t>14946499</t>
        </is>
      </c>
      <c r="B3084" t="inlineStr">
        <is>
          <t>d363643a-3738-4f00-a68b-9bbdd2d71400</t>
        </is>
      </c>
      <c r="D3084" t="inlineStr">
        <is>
          <t>30001087</t>
        </is>
      </c>
      <c r="E3084" t="inlineStr">
        <is>
          <t>ussd_funeral_leads_altitude_20260619</t>
        </is>
      </c>
      <c r="J3084" t="inlineStr">
        <is>
          <t>ADC</t>
        </is>
      </c>
      <c r="K3084" t="inlineStr">
        <is>
          <t>Auto Dial Disconnected</t>
        </is>
      </c>
      <c r="L3084" t="n">
        <v>3</v>
      </c>
      <c r="M3084" t="inlineStr">
        <is>
          <t>2026-06-23 12:31:02</t>
        </is>
      </c>
      <c r="N3084" t="inlineStr">
        <is>
          <t>system</t>
        </is>
      </c>
      <c r="O3084" t="inlineStr">
        <is>
          <t>2026-06-19 07:10:32</t>
        </is>
      </c>
      <c r="P3084" t="inlineStr">
        <is>
          <t>2026-06-19 07:10:32</t>
        </is>
      </c>
      <c r="Y3084" t="inlineStr">
        <is>
          <t>27727665365</t>
        </is>
      </c>
    </row>
    <row r="3085">
      <c r="A3085" t="inlineStr">
        <is>
          <t>14946444</t>
        </is>
      </c>
      <c r="B3085" t="inlineStr">
        <is>
          <t>d104738c-2751-4dc7-97e4-ae6a8f98fcf7</t>
        </is>
      </c>
      <c r="D3085" t="inlineStr">
        <is>
          <t>30001087</t>
        </is>
      </c>
      <c r="E3085" t="inlineStr">
        <is>
          <t>ussd_funeral_leads_altitude_20260619</t>
        </is>
      </c>
      <c r="J3085" t="inlineStr">
        <is>
          <t>AA</t>
        </is>
      </c>
      <c r="K3085" t="inlineStr">
        <is>
          <t>Answering Machine Autodial</t>
        </is>
      </c>
      <c r="L3085" t="n">
        <v>3</v>
      </c>
      <c r="M3085" t="inlineStr">
        <is>
          <t>2026-06-23 12:30:56</t>
        </is>
      </c>
      <c r="N3085" t="inlineStr">
        <is>
          <t>system</t>
        </is>
      </c>
      <c r="O3085" t="inlineStr">
        <is>
          <t>2026-06-19 07:10:32</t>
        </is>
      </c>
      <c r="P3085" t="inlineStr">
        <is>
          <t>2026-06-19 07:10:32</t>
        </is>
      </c>
      <c r="Y3085" t="inlineStr">
        <is>
          <t>27712424651</t>
        </is>
      </c>
    </row>
    <row r="3086">
      <c r="A3086" t="inlineStr">
        <is>
          <t>14946445</t>
        </is>
      </c>
      <c r="B3086" t="inlineStr">
        <is>
          <t>212b7cc3-0d42-4aa1-9e7b-eef04bc8ba6e</t>
        </is>
      </c>
      <c r="D3086" t="inlineStr">
        <is>
          <t>30001087</t>
        </is>
      </c>
      <c r="E3086" t="inlineStr">
        <is>
          <t>ussd_funeral_leads_altitude_20260619</t>
        </is>
      </c>
      <c r="J3086" t="inlineStr">
        <is>
          <t>AA</t>
        </is>
      </c>
      <c r="K3086" t="inlineStr">
        <is>
          <t>Answering Machine Autodial</t>
        </is>
      </c>
      <c r="L3086" t="n">
        <v>3</v>
      </c>
      <c r="M3086" t="inlineStr">
        <is>
          <t>2026-06-23 12:30:56</t>
        </is>
      </c>
      <c r="N3086" t="inlineStr">
        <is>
          <t>system</t>
        </is>
      </c>
      <c r="O3086" t="inlineStr">
        <is>
          <t>2026-06-19 07:10:32</t>
        </is>
      </c>
      <c r="P3086" t="inlineStr">
        <is>
          <t>2026-06-19 07:10:32</t>
        </is>
      </c>
      <c r="Y3086" t="inlineStr">
        <is>
          <t>27768020018</t>
        </is>
      </c>
    </row>
    <row r="3087">
      <c r="A3087" t="inlineStr">
        <is>
          <t>14946446</t>
        </is>
      </c>
      <c r="B3087" t="inlineStr">
        <is>
          <t>cdddb863-dbdf-4cea-81e4-4907430f7bb3</t>
        </is>
      </c>
      <c r="D3087" t="inlineStr">
        <is>
          <t>30001087</t>
        </is>
      </c>
      <c r="E3087" t="inlineStr">
        <is>
          <t>ussd_funeral_leads_altitude_20260619</t>
        </is>
      </c>
      <c r="J3087" t="inlineStr">
        <is>
          <t>AA</t>
        </is>
      </c>
      <c r="K3087" t="inlineStr">
        <is>
          <t>Answering Machine Autodial</t>
        </is>
      </c>
      <c r="L3087" t="n">
        <v>3</v>
      </c>
      <c r="M3087" t="inlineStr">
        <is>
          <t>2026-06-23 12:30:56</t>
        </is>
      </c>
      <c r="N3087" t="inlineStr">
        <is>
          <t>system</t>
        </is>
      </c>
      <c r="O3087" t="inlineStr">
        <is>
          <t>2026-06-19 07:10:32</t>
        </is>
      </c>
      <c r="P3087" t="inlineStr">
        <is>
          <t>2026-06-19 07:10:32</t>
        </is>
      </c>
      <c r="Y3087" t="inlineStr">
        <is>
          <t>27726082038</t>
        </is>
      </c>
    </row>
    <row r="3088">
      <c r="A3088" t="inlineStr">
        <is>
          <t>14946435</t>
        </is>
      </c>
      <c r="B3088" t="inlineStr">
        <is>
          <t>d4c486e1-9717-4728-b47b-a76330cd67a2</t>
        </is>
      </c>
      <c r="D3088" t="inlineStr">
        <is>
          <t>30001087</t>
        </is>
      </c>
      <c r="E3088" t="inlineStr">
        <is>
          <t>ussd_funeral_leads_altitude_20260619</t>
        </is>
      </c>
      <c r="J3088" t="inlineStr">
        <is>
          <t>ADC</t>
        </is>
      </c>
      <c r="K3088" t="inlineStr">
        <is>
          <t>Auto Dial Disconnected</t>
        </is>
      </c>
      <c r="L3088" t="n">
        <v>3</v>
      </c>
      <c r="M3088" t="inlineStr">
        <is>
          <t>2026-06-23 12:30:51</t>
        </is>
      </c>
      <c r="N3088" t="inlineStr">
        <is>
          <t>system</t>
        </is>
      </c>
      <c r="O3088" t="inlineStr">
        <is>
          <t>2026-06-19 07:10:32</t>
        </is>
      </c>
      <c r="P3088" t="inlineStr">
        <is>
          <t>2026-06-19 07:10:32</t>
        </is>
      </c>
      <c r="Y3088" t="inlineStr">
        <is>
          <t>27791429986</t>
        </is>
      </c>
    </row>
    <row r="3089">
      <c r="A3089" t="inlineStr">
        <is>
          <t>14946436</t>
        </is>
      </c>
      <c r="B3089" t="inlineStr">
        <is>
          <t>8610beb5-f199-46eb-99b9-902bf5519855</t>
        </is>
      </c>
      <c r="D3089" t="inlineStr">
        <is>
          <t>30001087</t>
        </is>
      </c>
      <c r="E3089" t="inlineStr">
        <is>
          <t>ussd_funeral_leads_altitude_20260619</t>
        </is>
      </c>
      <c r="J3089" t="inlineStr">
        <is>
          <t>AA</t>
        </is>
      </c>
      <c r="K3089" t="inlineStr">
        <is>
          <t>Answering Machine Autodial</t>
        </is>
      </c>
      <c r="L3089" t="n">
        <v>3</v>
      </c>
      <c r="M3089" t="inlineStr">
        <is>
          <t>2026-06-23 12:30:51</t>
        </is>
      </c>
      <c r="N3089" t="inlineStr">
        <is>
          <t>system</t>
        </is>
      </c>
      <c r="O3089" t="inlineStr">
        <is>
          <t>2026-06-19 07:10:32</t>
        </is>
      </c>
      <c r="P3089" t="inlineStr">
        <is>
          <t>2026-06-19 07:10:32</t>
        </is>
      </c>
      <c r="Y3089" t="inlineStr">
        <is>
          <t>27725232733</t>
        </is>
      </c>
    </row>
    <row r="3090">
      <c r="A3090" t="inlineStr">
        <is>
          <t>14946437</t>
        </is>
      </c>
      <c r="B3090" t="inlineStr">
        <is>
          <t>2904fb72-08d9-45e0-a6c4-b1e6fed89e99</t>
        </is>
      </c>
      <c r="D3090" t="inlineStr">
        <is>
          <t>30001087</t>
        </is>
      </c>
      <c r="E3090" t="inlineStr">
        <is>
          <t>ussd_funeral_leads_altitude_20260619</t>
        </is>
      </c>
      <c r="J3090" t="inlineStr">
        <is>
          <t>DROP</t>
        </is>
      </c>
      <c r="K3090" t="inlineStr">
        <is>
          <t>Dropped</t>
        </is>
      </c>
      <c r="L3090" t="n">
        <v>3</v>
      </c>
      <c r="M3090" t="inlineStr">
        <is>
          <t>2026-06-23 12:30:51</t>
        </is>
      </c>
      <c r="N3090" t="inlineStr">
        <is>
          <t>system</t>
        </is>
      </c>
      <c r="O3090" t="inlineStr">
        <is>
          <t>2026-06-19 07:10:32</t>
        </is>
      </c>
      <c r="P3090" t="inlineStr">
        <is>
          <t>2026-06-19 07:10:32</t>
        </is>
      </c>
      <c r="Y3090" t="inlineStr">
        <is>
          <t>27675422037</t>
        </is>
      </c>
    </row>
    <row r="3091">
      <c r="A3091" t="inlineStr">
        <is>
          <t>14946433</t>
        </is>
      </c>
      <c r="B3091" t="inlineStr">
        <is>
          <t>a8dc5848-e9d8-401d-8d82-08fd21371eec</t>
        </is>
      </c>
      <c r="D3091" t="inlineStr">
        <is>
          <t>30001087</t>
        </is>
      </c>
      <c r="E3091" t="inlineStr">
        <is>
          <t>ussd_funeral_leads_altitude_20260619</t>
        </is>
      </c>
      <c r="J3091" t="inlineStr">
        <is>
          <t>AA</t>
        </is>
      </c>
      <c r="K3091" t="inlineStr">
        <is>
          <t>Answering Machine Autodial</t>
        </is>
      </c>
      <c r="L3091" t="n">
        <v>3</v>
      </c>
      <c r="M3091" t="inlineStr">
        <is>
          <t>2026-06-23 12:30:50</t>
        </is>
      </c>
      <c r="N3091" t="inlineStr">
        <is>
          <t>system</t>
        </is>
      </c>
      <c r="O3091" t="inlineStr">
        <is>
          <t>2026-06-19 07:10:32</t>
        </is>
      </c>
      <c r="P3091" t="inlineStr">
        <is>
          <t>2026-06-19 07:10:32</t>
        </is>
      </c>
      <c r="Y3091" t="inlineStr">
        <is>
          <t>27606271383</t>
        </is>
      </c>
    </row>
    <row r="3092">
      <c r="A3092" t="inlineStr">
        <is>
          <t>14947740</t>
        </is>
      </c>
      <c r="B3092" t="inlineStr">
        <is>
          <t>ab9dec8a-601f-454b-9cdf-49a9f40eeb93</t>
        </is>
      </c>
      <c r="D3092" t="inlineStr">
        <is>
          <t>30001087</t>
        </is>
      </c>
      <c r="E3092" t="inlineStr">
        <is>
          <t>ussd_funeral_leads_altitude_20260619</t>
        </is>
      </c>
      <c r="J3092" t="inlineStr">
        <is>
          <t>AA</t>
        </is>
      </c>
      <c r="K3092" t="inlineStr">
        <is>
          <t>Answering Machine Autodial</t>
        </is>
      </c>
      <c r="L3092" t="n">
        <v>3</v>
      </c>
      <c r="M3092" t="inlineStr">
        <is>
          <t>2026-06-23 12:30:50</t>
        </is>
      </c>
      <c r="N3092" t="inlineStr">
        <is>
          <t>system</t>
        </is>
      </c>
      <c r="O3092" t="inlineStr">
        <is>
          <t>2026-06-19 07:10:32</t>
        </is>
      </c>
      <c r="P3092" t="inlineStr">
        <is>
          <t>2026-06-19 07:10:32</t>
        </is>
      </c>
      <c r="Y3092" t="inlineStr">
        <is>
          <t>27722284673</t>
        </is>
      </c>
    </row>
    <row r="3093">
      <c r="A3093" t="inlineStr">
        <is>
          <t>14946573</t>
        </is>
      </c>
      <c r="B3093" t="inlineStr">
        <is>
          <t>becd5698-0e01-44e0-ab2c-6962910cfb01</t>
        </is>
      </c>
      <c r="D3093" t="inlineStr">
        <is>
          <t>30001087</t>
        </is>
      </c>
      <c r="E3093" t="inlineStr">
        <is>
          <t>ussd_funeral_leads_altitude_20260619</t>
        </is>
      </c>
      <c r="J3093" t="inlineStr">
        <is>
          <t>ADC</t>
        </is>
      </c>
      <c r="K3093" t="inlineStr">
        <is>
          <t>Auto Dial Disconnected</t>
        </is>
      </c>
      <c r="L3093" t="n">
        <v>3</v>
      </c>
      <c r="M3093" t="inlineStr">
        <is>
          <t>2026-06-23 12:29:41</t>
        </is>
      </c>
      <c r="N3093" t="inlineStr">
        <is>
          <t>system</t>
        </is>
      </c>
      <c r="O3093" t="inlineStr">
        <is>
          <t>2026-06-19 07:10:32</t>
        </is>
      </c>
      <c r="P3093" t="inlineStr">
        <is>
          <t>2026-06-19 07:10:32</t>
        </is>
      </c>
      <c r="Y3093" t="inlineStr">
        <is>
          <t>27665580330</t>
        </is>
      </c>
    </row>
    <row r="3094">
      <c r="A3094" t="inlineStr">
        <is>
          <t>14946568</t>
        </is>
      </c>
      <c r="B3094" t="inlineStr">
        <is>
          <t>5a5076b6-8ca5-43a8-8e5a-d73393cf1574</t>
        </is>
      </c>
      <c r="D3094" t="inlineStr">
        <is>
          <t>30001087</t>
        </is>
      </c>
      <c r="E3094" t="inlineStr">
        <is>
          <t>ussd_funeral_leads_altitude_20260619</t>
        </is>
      </c>
      <c r="J3094" t="inlineStr">
        <is>
          <t>DROP</t>
        </is>
      </c>
      <c r="K3094" t="inlineStr">
        <is>
          <t>Dropped</t>
        </is>
      </c>
      <c r="L3094" t="n">
        <v>3</v>
      </c>
      <c r="M3094" t="inlineStr">
        <is>
          <t>2026-06-23 12:29:39</t>
        </is>
      </c>
      <c r="N3094" t="inlineStr">
        <is>
          <t>system</t>
        </is>
      </c>
      <c r="O3094" t="inlineStr">
        <is>
          <t>2026-06-19 07:10:32</t>
        </is>
      </c>
      <c r="P3094" t="inlineStr">
        <is>
          <t>2026-06-19 07:10:32</t>
        </is>
      </c>
      <c r="Y3094" t="inlineStr">
        <is>
          <t>27762519090</t>
        </is>
      </c>
    </row>
    <row r="3095">
      <c r="A3095" t="inlineStr">
        <is>
          <t>14946571</t>
        </is>
      </c>
      <c r="B3095" t="inlineStr">
        <is>
          <t>ea96199b-5080-40bd-a5b2-1fd5224e67f1</t>
        </is>
      </c>
      <c r="D3095" t="inlineStr">
        <is>
          <t>30001087</t>
        </is>
      </c>
      <c r="E3095" t="inlineStr">
        <is>
          <t>ussd_funeral_leads_altitude_20260619</t>
        </is>
      </c>
      <c r="J3095" t="inlineStr">
        <is>
          <t>ADC</t>
        </is>
      </c>
      <c r="K3095" t="inlineStr">
        <is>
          <t>Auto Dial Disconnected</t>
        </is>
      </c>
      <c r="L3095" t="n">
        <v>3</v>
      </c>
      <c r="M3095" t="inlineStr">
        <is>
          <t>2026-06-23 12:29:39</t>
        </is>
      </c>
      <c r="N3095" t="inlineStr">
        <is>
          <t>system</t>
        </is>
      </c>
      <c r="O3095" t="inlineStr">
        <is>
          <t>2026-06-19 07:10:32</t>
        </is>
      </c>
      <c r="P3095" t="inlineStr">
        <is>
          <t>2026-06-19 07:10:32</t>
        </is>
      </c>
      <c r="Y3095" t="inlineStr">
        <is>
          <t>27715519655</t>
        </is>
      </c>
    </row>
    <row r="3096">
      <c r="A3096" t="inlineStr">
        <is>
          <t>14946564</t>
        </is>
      </c>
      <c r="B3096" t="inlineStr">
        <is>
          <t>d62c89b2-1b0c-4bad-8bb9-416da0a0c6ae</t>
        </is>
      </c>
      <c r="D3096" t="inlineStr">
        <is>
          <t>30001087</t>
        </is>
      </c>
      <c r="E3096" t="inlineStr">
        <is>
          <t>ussd_funeral_leads_altitude_20260619</t>
        </is>
      </c>
      <c r="J3096" t="inlineStr">
        <is>
          <t>ADC</t>
        </is>
      </c>
      <c r="K3096" t="inlineStr">
        <is>
          <t>Auto Dial Disconnected</t>
        </is>
      </c>
      <c r="L3096" t="n">
        <v>3</v>
      </c>
      <c r="M3096" t="inlineStr">
        <is>
          <t>2026-06-23 12:29:37</t>
        </is>
      </c>
      <c r="N3096" t="inlineStr">
        <is>
          <t>system</t>
        </is>
      </c>
      <c r="O3096" t="inlineStr">
        <is>
          <t>2026-06-19 07:10:32</t>
        </is>
      </c>
      <c r="P3096" t="inlineStr">
        <is>
          <t>2026-06-19 07:10:32</t>
        </is>
      </c>
      <c r="Y3096" t="inlineStr">
        <is>
          <t>27646744075</t>
        </is>
      </c>
    </row>
    <row r="3097">
      <c r="A3097" t="inlineStr">
        <is>
          <t>14945475</t>
        </is>
      </c>
      <c r="B3097" t="inlineStr">
        <is>
          <t>0f0b909e-a469-496b-9475-d664cf1bfa06</t>
        </is>
      </c>
      <c r="D3097" t="inlineStr">
        <is>
          <t>30001087</t>
        </is>
      </c>
      <c r="E3097" t="inlineStr">
        <is>
          <t>ussd_funeral_leads_altitude_20260619</t>
        </is>
      </c>
      <c r="J3097" t="inlineStr">
        <is>
          <t>CU</t>
        </is>
      </c>
      <c r="K3097" t="inlineStr">
        <is>
          <t>Client Hung Up</t>
        </is>
      </c>
      <c r="L3097" t="n">
        <v>3</v>
      </c>
      <c r="M3097" t="inlineStr">
        <is>
          <t>2026-06-23 12:29:24</t>
        </is>
      </c>
      <c r="N3097" t="inlineStr">
        <is>
          <t>Vuyiswa Nxumalo</t>
        </is>
      </c>
      <c r="O3097" t="inlineStr">
        <is>
          <t>2026-06-19 07:10:32</t>
        </is>
      </c>
      <c r="P3097" t="inlineStr">
        <is>
          <t>2026-06-19 07:10:32</t>
        </is>
      </c>
      <c r="Y3097" t="inlineStr">
        <is>
          <t>27646650361</t>
        </is>
      </c>
    </row>
    <row r="3098">
      <c r="A3098" t="inlineStr">
        <is>
          <t>14946546</t>
        </is>
      </c>
      <c r="B3098" t="inlineStr">
        <is>
          <t>b4621ebc-0f92-4d00-97e4-3bfcfcf7f7d1</t>
        </is>
      </c>
      <c r="D3098" t="inlineStr">
        <is>
          <t>30001087</t>
        </is>
      </c>
      <c r="E3098" t="inlineStr">
        <is>
          <t>ussd_funeral_leads_altitude_20260619</t>
        </is>
      </c>
      <c r="J3098" t="inlineStr">
        <is>
          <t>AA</t>
        </is>
      </c>
      <c r="K3098" t="inlineStr">
        <is>
          <t>Answering Machine Autodial</t>
        </is>
      </c>
      <c r="L3098" t="n">
        <v>3</v>
      </c>
      <c r="M3098" t="inlineStr">
        <is>
          <t>2026-06-23 12:29:22</t>
        </is>
      </c>
      <c r="N3098" t="inlineStr">
        <is>
          <t>system</t>
        </is>
      </c>
      <c r="O3098" t="inlineStr">
        <is>
          <t>2026-06-19 07:10:32</t>
        </is>
      </c>
      <c r="P3098" t="inlineStr">
        <is>
          <t>2026-06-19 07:10:32</t>
        </is>
      </c>
      <c r="Y3098" t="inlineStr">
        <is>
          <t>27823766650</t>
        </is>
      </c>
    </row>
    <row r="3099">
      <c r="A3099" t="inlineStr">
        <is>
          <t>14946547</t>
        </is>
      </c>
      <c r="B3099" t="inlineStr">
        <is>
          <t>f1c471e9-855f-45ed-b08c-5dffb7a65c30</t>
        </is>
      </c>
      <c r="D3099" t="inlineStr">
        <is>
          <t>30001087</t>
        </is>
      </c>
      <c r="E3099" t="inlineStr">
        <is>
          <t>ussd_funeral_leads_altitude_20260619</t>
        </is>
      </c>
      <c r="J3099" t="inlineStr">
        <is>
          <t>AA</t>
        </is>
      </c>
      <c r="K3099" t="inlineStr">
        <is>
          <t>Answering Machine Autodial</t>
        </is>
      </c>
      <c r="L3099" t="n">
        <v>3</v>
      </c>
      <c r="M3099" t="inlineStr">
        <is>
          <t>2026-06-23 12:29:22</t>
        </is>
      </c>
      <c r="N3099" t="inlineStr">
        <is>
          <t>system</t>
        </is>
      </c>
      <c r="O3099" t="inlineStr">
        <is>
          <t>2026-06-19 07:10:32</t>
        </is>
      </c>
      <c r="P3099" t="inlineStr">
        <is>
          <t>2026-06-19 07:10:32</t>
        </is>
      </c>
      <c r="Y3099" t="inlineStr">
        <is>
          <t>27772725026</t>
        </is>
      </c>
    </row>
    <row r="3100">
      <c r="A3100" t="inlineStr">
        <is>
          <t>14946558</t>
        </is>
      </c>
      <c r="B3100" t="inlineStr">
        <is>
          <t>7e3d8a41-5fd2-4abc-82b5-015b47c74aac</t>
        </is>
      </c>
      <c r="D3100" t="inlineStr">
        <is>
          <t>30001087</t>
        </is>
      </c>
      <c r="E3100" t="inlineStr">
        <is>
          <t>ussd_funeral_leads_altitude_20260619</t>
        </is>
      </c>
      <c r="J3100" t="inlineStr">
        <is>
          <t>TDN</t>
        </is>
      </c>
      <c r="K3100" t="inlineStr">
        <is>
          <t>Temporary Disconnected Number</t>
        </is>
      </c>
      <c r="L3100" t="n">
        <v>3</v>
      </c>
      <c r="M3100" t="inlineStr">
        <is>
          <t>2026-06-23 12:29:22</t>
        </is>
      </c>
      <c r="N3100" t="inlineStr">
        <is>
          <t>system</t>
        </is>
      </c>
      <c r="O3100" t="inlineStr">
        <is>
          <t>2026-06-19 07:10:32</t>
        </is>
      </c>
      <c r="P3100" t="inlineStr">
        <is>
          <t>2026-06-19 07:10:32</t>
        </is>
      </c>
      <c r="Y3100" t="inlineStr">
        <is>
          <t>27729951453</t>
        </is>
      </c>
    </row>
    <row r="3101">
      <c r="A3101" t="inlineStr">
        <is>
          <t>14946544</t>
        </is>
      </c>
      <c r="B3101" t="inlineStr">
        <is>
          <t>fcf00636-1ef5-435e-956a-92e8ccef804f</t>
        </is>
      </c>
      <c r="D3101" t="inlineStr">
        <is>
          <t>30001087</t>
        </is>
      </c>
      <c r="E3101" t="inlineStr">
        <is>
          <t>ussd_funeral_leads_altitude_20260619</t>
        </is>
      </c>
      <c r="J3101" t="inlineStr">
        <is>
          <t>TDN</t>
        </is>
      </c>
      <c r="K3101" t="inlineStr">
        <is>
          <t>Temporary Disconnected Number</t>
        </is>
      </c>
      <c r="L3101" t="n">
        <v>3</v>
      </c>
      <c r="M3101" t="inlineStr">
        <is>
          <t>2026-06-23 12:29:21</t>
        </is>
      </c>
      <c r="N3101" t="inlineStr">
        <is>
          <t>system</t>
        </is>
      </c>
      <c r="O3101" t="inlineStr">
        <is>
          <t>2026-06-19 07:10:32</t>
        </is>
      </c>
      <c r="P3101" t="inlineStr">
        <is>
          <t>2026-06-19 07:10:32</t>
        </is>
      </c>
      <c r="Y3101" t="inlineStr">
        <is>
          <t>27822147078</t>
        </is>
      </c>
    </row>
    <row r="3102">
      <c r="A3102" t="inlineStr">
        <is>
          <t>14946545</t>
        </is>
      </c>
      <c r="B3102" t="inlineStr">
        <is>
          <t>4a5421ed-938f-4f34-9d4d-3f4bec807a5d</t>
        </is>
      </c>
      <c r="D3102" t="inlineStr">
        <is>
          <t>30001087</t>
        </is>
      </c>
      <c r="E3102" t="inlineStr">
        <is>
          <t>ussd_funeral_leads_altitude_20260619</t>
        </is>
      </c>
      <c r="J3102" t="inlineStr">
        <is>
          <t>AA</t>
        </is>
      </c>
      <c r="K3102" t="inlineStr">
        <is>
          <t>Answering Machine Autodial</t>
        </is>
      </c>
      <c r="L3102" t="n">
        <v>3</v>
      </c>
      <c r="M3102" t="inlineStr">
        <is>
          <t>2026-06-23 12:29:21</t>
        </is>
      </c>
      <c r="N3102" t="inlineStr">
        <is>
          <t>system</t>
        </is>
      </c>
      <c r="O3102" t="inlineStr">
        <is>
          <t>2026-06-19 07:10:32</t>
        </is>
      </c>
      <c r="P3102" t="inlineStr">
        <is>
          <t>2026-06-19 07:10:32</t>
        </is>
      </c>
      <c r="Y3102" t="inlineStr">
        <is>
          <t>27769001342</t>
        </is>
      </c>
    </row>
    <row r="3103">
      <c r="A3103" t="inlineStr">
        <is>
          <t>14946540</t>
        </is>
      </c>
      <c r="B3103" t="inlineStr">
        <is>
          <t>9e68fc2d-c91c-48a3-ad9b-9503da4eb69c</t>
        </is>
      </c>
      <c r="D3103" t="inlineStr">
        <is>
          <t>30001087</t>
        </is>
      </c>
      <c r="E3103" t="inlineStr">
        <is>
          <t>ussd_funeral_leads_altitude_20260619</t>
        </is>
      </c>
      <c r="J3103" t="inlineStr">
        <is>
          <t>CU</t>
        </is>
      </c>
      <c r="K3103" t="inlineStr">
        <is>
          <t>Client Hung Up</t>
        </is>
      </c>
      <c r="L3103" t="n">
        <v>3</v>
      </c>
      <c r="M3103" t="inlineStr">
        <is>
          <t>2026-06-23 12:29:20</t>
        </is>
      </c>
      <c r="N3103" t="inlineStr">
        <is>
          <t>Dimakatso Nkomo</t>
        </is>
      </c>
      <c r="O3103" t="inlineStr">
        <is>
          <t>2026-06-19 07:10:32</t>
        </is>
      </c>
      <c r="P3103" t="inlineStr">
        <is>
          <t>2026-06-19 07:10:32</t>
        </is>
      </c>
      <c r="Y3103" t="inlineStr">
        <is>
          <t>27715945111</t>
        </is>
      </c>
    </row>
    <row r="3104">
      <c r="A3104" t="inlineStr">
        <is>
          <t>14946541</t>
        </is>
      </c>
      <c r="B3104" t="inlineStr">
        <is>
          <t>b97dcfd9-0142-49f1-8683-39963c1ac4c7</t>
        </is>
      </c>
      <c r="D3104" t="inlineStr">
        <is>
          <t>30001087</t>
        </is>
      </c>
      <c r="E3104" t="inlineStr">
        <is>
          <t>ussd_funeral_leads_altitude_20260619</t>
        </is>
      </c>
      <c r="J3104" t="inlineStr">
        <is>
          <t>DROP</t>
        </is>
      </c>
      <c r="K3104" t="inlineStr">
        <is>
          <t>Dropped</t>
        </is>
      </c>
      <c r="L3104" t="n">
        <v>3</v>
      </c>
      <c r="M3104" t="inlineStr">
        <is>
          <t>2026-06-23 12:29:20</t>
        </is>
      </c>
      <c r="N3104" t="inlineStr">
        <is>
          <t>system</t>
        </is>
      </c>
      <c r="O3104" t="inlineStr">
        <is>
          <t>2026-06-19 07:10:32</t>
        </is>
      </c>
      <c r="P3104" t="inlineStr">
        <is>
          <t>2026-06-19 07:10:32</t>
        </is>
      </c>
      <c r="Y3104" t="inlineStr">
        <is>
          <t>27793847779</t>
        </is>
      </c>
    </row>
    <row r="3105">
      <c r="A3105" t="inlineStr">
        <is>
          <t>14946542</t>
        </is>
      </c>
      <c r="B3105" t="inlineStr">
        <is>
          <t>bba1d217-86b5-457e-9dc7-9caa2d878891</t>
        </is>
      </c>
      <c r="D3105" t="inlineStr">
        <is>
          <t>30001087</t>
        </is>
      </c>
      <c r="E3105" t="inlineStr">
        <is>
          <t>ussd_funeral_leads_altitude_20260619</t>
        </is>
      </c>
      <c r="J3105" t="inlineStr">
        <is>
          <t>AA</t>
        </is>
      </c>
      <c r="K3105" t="inlineStr">
        <is>
          <t>Answering Machine Autodial</t>
        </is>
      </c>
      <c r="L3105" t="n">
        <v>3</v>
      </c>
      <c r="M3105" t="inlineStr">
        <is>
          <t>2026-06-23 12:29:20</t>
        </is>
      </c>
      <c r="N3105" t="inlineStr">
        <is>
          <t>system</t>
        </is>
      </c>
      <c r="O3105" t="inlineStr">
        <is>
          <t>2026-06-19 07:10:32</t>
        </is>
      </c>
      <c r="P3105" t="inlineStr">
        <is>
          <t>2026-06-19 07:10:32</t>
        </is>
      </c>
      <c r="Y3105" t="inlineStr">
        <is>
          <t>27762932081</t>
        </is>
      </c>
    </row>
    <row r="3106">
      <c r="A3106" t="inlineStr">
        <is>
          <t>14946543</t>
        </is>
      </c>
      <c r="B3106" t="inlineStr">
        <is>
          <t>32234d43-a58e-4c5b-84c1-008939ced059</t>
        </is>
      </c>
      <c r="D3106" t="inlineStr">
        <is>
          <t>30001087</t>
        </is>
      </c>
      <c r="E3106" t="inlineStr">
        <is>
          <t>ussd_funeral_leads_altitude_20260619</t>
        </is>
      </c>
      <c r="J3106" t="inlineStr">
        <is>
          <t>AE</t>
        </is>
      </c>
      <c r="K3106" t="inlineStr">
        <is>
          <t>Auto Engaged</t>
        </is>
      </c>
      <c r="L3106" t="n">
        <v>3</v>
      </c>
      <c r="M3106" t="inlineStr">
        <is>
          <t>2026-06-23 12:29:20</t>
        </is>
      </c>
      <c r="N3106" t="inlineStr">
        <is>
          <t>system</t>
        </is>
      </c>
      <c r="O3106" t="inlineStr">
        <is>
          <t>2026-06-19 07:10:32</t>
        </is>
      </c>
      <c r="P3106" t="inlineStr">
        <is>
          <t>2026-06-19 07:10:32</t>
        </is>
      </c>
      <c r="Y3106" t="inlineStr">
        <is>
          <t>27824983223</t>
        </is>
      </c>
    </row>
    <row r="3107">
      <c r="A3107" t="inlineStr">
        <is>
          <t>14946539</t>
        </is>
      </c>
      <c r="B3107" t="inlineStr">
        <is>
          <t>07221d39-c151-4bf9-9212-386dd65772fc</t>
        </is>
      </c>
      <c r="D3107" t="inlineStr">
        <is>
          <t>30001087</t>
        </is>
      </c>
      <c r="E3107" t="inlineStr">
        <is>
          <t>ussd_funeral_leads_altitude_20260619</t>
        </is>
      </c>
      <c r="J3107" t="inlineStr">
        <is>
          <t>AA</t>
        </is>
      </c>
      <c r="K3107" t="inlineStr">
        <is>
          <t>Answering Machine Autodial</t>
        </is>
      </c>
      <c r="L3107" t="n">
        <v>3</v>
      </c>
      <c r="M3107" t="inlineStr">
        <is>
          <t>2026-06-23 12:29:13</t>
        </is>
      </c>
      <c r="N3107" t="inlineStr">
        <is>
          <t>system</t>
        </is>
      </c>
      <c r="O3107" t="inlineStr">
        <is>
          <t>2026-06-19 07:10:32</t>
        </is>
      </c>
      <c r="P3107" t="inlineStr">
        <is>
          <t>2026-06-19 07:10:32</t>
        </is>
      </c>
      <c r="Y3107" t="inlineStr">
        <is>
          <t>27761545323</t>
        </is>
      </c>
    </row>
    <row r="3108">
      <c r="A3108" t="inlineStr">
        <is>
          <t>14945846</t>
        </is>
      </c>
      <c r="B3108" t="inlineStr">
        <is>
          <t>81bee3db-be23-47c9-bce8-b486f4217209</t>
        </is>
      </c>
      <c r="D3108" t="inlineStr">
        <is>
          <t>30001087</t>
        </is>
      </c>
      <c r="E3108" t="inlineStr">
        <is>
          <t>ussd_funeral_leads_altitude_20260619</t>
        </is>
      </c>
      <c r="J3108" t="inlineStr">
        <is>
          <t>N</t>
        </is>
      </c>
      <c r="K3108" t="inlineStr">
        <is>
          <t>No Answer</t>
        </is>
      </c>
      <c r="L3108" t="n">
        <v>3</v>
      </c>
      <c r="M3108" t="inlineStr">
        <is>
          <t>2026-06-23 12:28:39</t>
        </is>
      </c>
      <c r="N3108" t="inlineStr">
        <is>
          <t>Vuyiswa Nxumalo</t>
        </is>
      </c>
      <c r="O3108" t="inlineStr">
        <is>
          <t>2026-06-19 07:10:32</t>
        </is>
      </c>
      <c r="P3108" t="inlineStr">
        <is>
          <t>2026-06-19 07:10:32</t>
        </is>
      </c>
      <c r="Y3108" t="inlineStr">
        <is>
          <t>27727628047</t>
        </is>
      </c>
    </row>
    <row r="3109">
      <c r="A3109" t="inlineStr">
        <is>
          <t>14946534</t>
        </is>
      </c>
      <c r="B3109" t="inlineStr">
        <is>
          <t>65f0c737-8fc0-427d-b223-895ea2136853</t>
        </is>
      </c>
      <c r="D3109" t="inlineStr">
        <is>
          <t>30001087</t>
        </is>
      </c>
      <c r="E3109" t="inlineStr">
        <is>
          <t>ussd_funeral_leads_altitude_20260619</t>
        </is>
      </c>
      <c r="J3109" t="inlineStr">
        <is>
          <t>AA</t>
        </is>
      </c>
      <c r="K3109" t="inlineStr">
        <is>
          <t>Answering Machine Autodial</t>
        </is>
      </c>
      <c r="L3109" t="n">
        <v>3</v>
      </c>
      <c r="M3109" t="inlineStr">
        <is>
          <t>2026-06-23 12:28:38</t>
        </is>
      </c>
      <c r="N3109" t="inlineStr">
        <is>
          <t>system</t>
        </is>
      </c>
      <c r="O3109" t="inlineStr">
        <is>
          <t>2026-06-19 07:10:32</t>
        </is>
      </c>
      <c r="P3109" t="inlineStr">
        <is>
          <t>2026-06-19 07:10:32</t>
        </is>
      </c>
      <c r="Y3109" t="inlineStr">
        <is>
          <t>27768366795</t>
        </is>
      </c>
    </row>
    <row r="3110">
      <c r="A3110" t="inlineStr">
        <is>
          <t>14946536</t>
        </is>
      </c>
      <c r="B3110" t="inlineStr">
        <is>
          <t>9835b443-64df-458b-bf9d-392cd6db81ec</t>
        </is>
      </c>
      <c r="D3110" t="inlineStr">
        <is>
          <t>30001087</t>
        </is>
      </c>
      <c r="E3110" t="inlineStr">
        <is>
          <t>ussd_funeral_leads_altitude_20260619</t>
        </is>
      </c>
      <c r="J3110" t="inlineStr">
        <is>
          <t>AE</t>
        </is>
      </c>
      <c r="K3110" t="inlineStr">
        <is>
          <t>Auto Engaged</t>
        </is>
      </c>
      <c r="L3110" t="n">
        <v>3</v>
      </c>
      <c r="M3110" t="inlineStr">
        <is>
          <t>2026-06-23 12:28:38</t>
        </is>
      </c>
      <c r="N3110" t="inlineStr">
        <is>
          <t>system</t>
        </is>
      </c>
      <c r="O3110" t="inlineStr">
        <is>
          <t>2026-06-19 07:10:32</t>
        </is>
      </c>
      <c r="P3110" t="inlineStr">
        <is>
          <t>2026-06-19 07:10:32</t>
        </is>
      </c>
      <c r="Y3110" t="inlineStr">
        <is>
          <t>27729391406</t>
        </is>
      </c>
    </row>
    <row r="3111">
      <c r="A3111" t="inlineStr">
        <is>
          <t>14900000</t>
        </is>
      </c>
      <c r="B3111" t="inlineStr">
        <is>
          <t>2e7903c7-69c5-4b25-bb66-f9a86701427e</t>
        </is>
      </c>
      <c r="D3111" t="inlineStr">
        <is>
          <t>30001087</t>
        </is>
      </c>
      <c r="E3111" t="inlineStr">
        <is>
          <t>ussd_funeral_leads_altitude_20260619</t>
        </is>
      </c>
      <c r="J3111" t="inlineStr">
        <is>
          <t>CU</t>
        </is>
      </c>
      <c r="K3111" t="inlineStr">
        <is>
          <t>Client Hung Up</t>
        </is>
      </c>
      <c r="L3111" t="n">
        <v>3</v>
      </c>
      <c r="M3111" t="inlineStr">
        <is>
          <t>2026-06-23 12:28:38</t>
        </is>
      </c>
      <c r="N3111" t="inlineStr">
        <is>
          <t>Goitsimang Mogwasa</t>
        </is>
      </c>
      <c r="O3111" t="inlineStr">
        <is>
          <t>2026-06-19 07:10:32</t>
        </is>
      </c>
      <c r="P3111" t="inlineStr">
        <is>
          <t>2026-06-19 07:10:32</t>
        </is>
      </c>
      <c r="Y3111" t="inlineStr">
        <is>
          <t>27725852468</t>
        </is>
      </c>
    </row>
    <row r="3112">
      <c r="A3112" t="inlineStr">
        <is>
          <t>14946538</t>
        </is>
      </c>
      <c r="B3112" t="inlineStr">
        <is>
          <t>9054bb68-219c-4b46-bcf3-bf875bfd117a</t>
        </is>
      </c>
      <c r="D3112" t="inlineStr">
        <is>
          <t>30001087</t>
        </is>
      </c>
      <c r="E3112" t="inlineStr">
        <is>
          <t>ussd_funeral_leads_altitude_20260619</t>
        </is>
      </c>
      <c r="J3112" t="inlineStr">
        <is>
          <t>NA</t>
        </is>
      </c>
      <c r="K3112" t="inlineStr">
        <is>
          <t>No Answer Autodial</t>
        </is>
      </c>
      <c r="L3112" t="n">
        <v>3</v>
      </c>
      <c r="M3112" t="inlineStr">
        <is>
          <t>2026-06-23 12:28:38</t>
        </is>
      </c>
      <c r="N3112" t="inlineStr">
        <is>
          <t>system</t>
        </is>
      </c>
      <c r="O3112" t="inlineStr">
        <is>
          <t>2026-06-19 07:10:32</t>
        </is>
      </c>
      <c r="P3112" t="inlineStr">
        <is>
          <t>2026-06-19 07:10:32</t>
        </is>
      </c>
      <c r="Y3112" t="inlineStr">
        <is>
          <t>27664051856</t>
        </is>
      </c>
    </row>
    <row r="3113">
      <c r="A3113" t="inlineStr">
        <is>
          <t>14946532</t>
        </is>
      </c>
      <c r="B3113" t="inlineStr">
        <is>
          <t>56efd73b-11a9-4acf-b389-78ee071b5607</t>
        </is>
      </c>
      <c r="D3113" t="inlineStr">
        <is>
          <t>30001087</t>
        </is>
      </c>
      <c r="E3113" t="inlineStr">
        <is>
          <t>ussd_funeral_leads_altitude_20260619</t>
        </is>
      </c>
      <c r="J3113" t="inlineStr">
        <is>
          <t>AA</t>
        </is>
      </c>
      <c r="K3113" t="inlineStr">
        <is>
          <t>Answering Machine Autodial</t>
        </is>
      </c>
      <c r="L3113" t="n">
        <v>3</v>
      </c>
      <c r="M3113" t="inlineStr">
        <is>
          <t>2026-06-23 12:28:37</t>
        </is>
      </c>
      <c r="N3113" t="inlineStr">
        <is>
          <t>system</t>
        </is>
      </c>
      <c r="O3113" t="inlineStr">
        <is>
          <t>2026-06-19 07:10:32</t>
        </is>
      </c>
      <c r="P3113" t="inlineStr">
        <is>
          <t>2026-06-19 07:10:32</t>
        </is>
      </c>
      <c r="Y3113" t="inlineStr">
        <is>
          <t>27796301602</t>
        </is>
      </c>
    </row>
    <row r="3114">
      <c r="A3114" t="inlineStr">
        <is>
          <t>14946531</t>
        </is>
      </c>
      <c r="B3114" t="inlineStr">
        <is>
          <t>34023020-a9dd-43df-82be-e854b2296156</t>
        </is>
      </c>
      <c r="D3114" t="inlineStr">
        <is>
          <t>30001087</t>
        </is>
      </c>
      <c r="E3114" t="inlineStr">
        <is>
          <t>ussd_funeral_leads_altitude_20260619</t>
        </is>
      </c>
      <c r="J3114" t="inlineStr">
        <is>
          <t>TDN</t>
        </is>
      </c>
      <c r="K3114" t="inlineStr">
        <is>
          <t>Temporary Disconnected Number</t>
        </is>
      </c>
      <c r="L3114" t="n">
        <v>3</v>
      </c>
      <c r="M3114" t="inlineStr">
        <is>
          <t>2026-06-23 12:28:33</t>
        </is>
      </c>
      <c r="N3114" t="inlineStr">
        <is>
          <t>system</t>
        </is>
      </c>
      <c r="O3114" t="inlineStr">
        <is>
          <t>2026-06-19 07:10:32</t>
        </is>
      </c>
      <c r="P3114" t="inlineStr">
        <is>
          <t>2026-06-19 07:10:32</t>
        </is>
      </c>
      <c r="Y3114" t="inlineStr">
        <is>
          <t>27637023226</t>
        </is>
      </c>
    </row>
    <row r="3115">
      <c r="A3115" t="inlineStr">
        <is>
          <t>14946530</t>
        </is>
      </c>
      <c r="B3115" t="inlineStr">
        <is>
          <t>ee6359c4-94aa-4267-9c82-9d37a8e54984</t>
        </is>
      </c>
      <c r="D3115" t="inlineStr">
        <is>
          <t>30001087</t>
        </is>
      </c>
      <c r="E3115" t="inlineStr">
        <is>
          <t>ussd_funeral_leads_altitude_20260619</t>
        </is>
      </c>
      <c r="J3115" t="inlineStr">
        <is>
          <t>AA</t>
        </is>
      </c>
      <c r="K3115" t="inlineStr">
        <is>
          <t>Answering Machine Autodial</t>
        </is>
      </c>
      <c r="L3115" t="n">
        <v>3</v>
      </c>
      <c r="M3115" t="inlineStr">
        <is>
          <t>2026-06-23 12:28:32</t>
        </is>
      </c>
      <c r="N3115" t="inlineStr">
        <is>
          <t>system</t>
        </is>
      </c>
      <c r="O3115" t="inlineStr">
        <is>
          <t>2026-06-19 07:10:32</t>
        </is>
      </c>
      <c r="P3115" t="inlineStr">
        <is>
          <t>2026-06-19 07:10:32</t>
        </is>
      </c>
      <c r="Y3115" t="inlineStr">
        <is>
          <t>27818699191</t>
        </is>
      </c>
    </row>
    <row r="3116">
      <c r="A3116" t="inlineStr">
        <is>
          <t>14947741</t>
        </is>
      </c>
      <c r="B3116" t="inlineStr">
        <is>
          <t>9672b61a-dca1-4105-8fe9-ffb6257f1cbd</t>
        </is>
      </c>
      <c r="D3116" t="inlineStr">
        <is>
          <t>30001087</t>
        </is>
      </c>
      <c r="E3116" t="inlineStr">
        <is>
          <t>ussd_funeral_leads_altitude_20260619</t>
        </is>
      </c>
      <c r="J3116" t="inlineStr">
        <is>
          <t>AA</t>
        </is>
      </c>
      <c r="K3116" t="inlineStr">
        <is>
          <t>Answering Machine Autodial</t>
        </is>
      </c>
      <c r="L3116" t="n">
        <v>3</v>
      </c>
      <c r="M3116" t="inlineStr">
        <is>
          <t>2026-06-23 12:28:27</t>
        </is>
      </c>
      <c r="N3116" t="inlineStr">
        <is>
          <t>system</t>
        </is>
      </c>
      <c r="O3116" t="inlineStr">
        <is>
          <t>2026-06-19 07:10:32</t>
        </is>
      </c>
      <c r="P3116" t="inlineStr">
        <is>
          <t>2026-06-19 07:10:32</t>
        </is>
      </c>
      <c r="Y3116" t="inlineStr">
        <is>
          <t>27729951742</t>
        </is>
      </c>
    </row>
    <row r="3117">
      <c r="A3117" t="inlineStr">
        <is>
          <t>14946701</t>
        </is>
      </c>
      <c r="B3117" t="inlineStr">
        <is>
          <t>c9902e45-c2f7-418a-ad9b-42f3958e34d1</t>
        </is>
      </c>
      <c r="D3117" t="inlineStr">
        <is>
          <t>30001087</t>
        </is>
      </c>
      <c r="E3117" t="inlineStr">
        <is>
          <t>ussd_funeral_leads_altitude_20260619</t>
        </is>
      </c>
      <c r="J3117" t="inlineStr">
        <is>
          <t>CU</t>
        </is>
      </c>
      <c r="K3117" t="inlineStr">
        <is>
          <t>Client Hung Up</t>
        </is>
      </c>
      <c r="L3117" t="n">
        <v>3</v>
      </c>
      <c r="M3117" t="inlineStr">
        <is>
          <t>2026-06-23 12:28:02</t>
        </is>
      </c>
      <c r="N3117" t="inlineStr">
        <is>
          <t>Dimakatso Nkomo</t>
        </is>
      </c>
      <c r="O3117" t="inlineStr">
        <is>
          <t>2026-06-19 07:10:32</t>
        </is>
      </c>
      <c r="P3117" t="inlineStr">
        <is>
          <t>2026-06-19 07:10:32</t>
        </is>
      </c>
      <c r="Y3117" t="inlineStr">
        <is>
          <t>27795269816</t>
        </is>
      </c>
    </row>
    <row r="3118">
      <c r="A3118" t="inlineStr">
        <is>
          <t>14946656</t>
        </is>
      </c>
      <c r="B3118" t="inlineStr">
        <is>
          <t>50a0f628-df45-415d-9f78-22b8f03c1e44</t>
        </is>
      </c>
      <c r="D3118" t="inlineStr">
        <is>
          <t>30001087</t>
        </is>
      </c>
      <c r="E3118" t="inlineStr">
        <is>
          <t>ussd_funeral_leads_altitude_20260619</t>
        </is>
      </c>
      <c r="J3118" t="inlineStr">
        <is>
          <t>ADC</t>
        </is>
      </c>
      <c r="K3118" t="inlineStr">
        <is>
          <t>Auto Dial Disconnected</t>
        </is>
      </c>
      <c r="L3118" t="n">
        <v>3</v>
      </c>
      <c r="M3118" t="inlineStr">
        <is>
          <t>2026-06-23 12:28:00</t>
        </is>
      </c>
      <c r="N3118" t="inlineStr">
        <is>
          <t>system</t>
        </is>
      </c>
      <c r="O3118" t="inlineStr">
        <is>
          <t>2026-06-19 07:10:32</t>
        </is>
      </c>
      <c r="P3118" t="inlineStr">
        <is>
          <t>2026-06-19 07:10:32</t>
        </is>
      </c>
      <c r="Y3118" t="inlineStr">
        <is>
          <t>27798549383</t>
        </is>
      </c>
    </row>
    <row r="3119">
      <c r="A3119" t="inlineStr">
        <is>
          <t>14947048</t>
        </is>
      </c>
      <c r="B3119" t="inlineStr">
        <is>
          <t>5229848a-e28e-4bd2-bf71-e137f6350b35</t>
        </is>
      </c>
      <c r="D3119" t="inlineStr">
        <is>
          <t>30001087</t>
        </is>
      </c>
      <c r="E3119" t="inlineStr">
        <is>
          <t>ussd_funeral_leads_altitude_20260619</t>
        </is>
      </c>
      <c r="J3119" t="inlineStr">
        <is>
          <t>AA</t>
        </is>
      </c>
      <c r="K3119" t="inlineStr">
        <is>
          <t>Answering Machine Autodial</t>
        </is>
      </c>
      <c r="L3119" t="n">
        <v>3</v>
      </c>
      <c r="M3119" t="inlineStr">
        <is>
          <t>2026-06-23 12:27:59</t>
        </is>
      </c>
      <c r="N3119" t="inlineStr">
        <is>
          <t>system</t>
        </is>
      </c>
      <c r="O3119" t="inlineStr">
        <is>
          <t>2026-06-19 07:10:32</t>
        </is>
      </c>
      <c r="P3119" t="inlineStr">
        <is>
          <t>2026-06-19 07:10:32</t>
        </is>
      </c>
      <c r="Y3119" t="inlineStr">
        <is>
          <t>27711325882</t>
        </is>
      </c>
    </row>
    <row r="3120">
      <c r="A3120" t="inlineStr">
        <is>
          <t>14946646</t>
        </is>
      </c>
      <c r="B3120" t="inlineStr">
        <is>
          <t>cf0484a7-7a93-4892-8abc-4a984cc897c2</t>
        </is>
      </c>
      <c r="D3120" t="inlineStr">
        <is>
          <t>30001087</t>
        </is>
      </c>
      <c r="E3120" t="inlineStr">
        <is>
          <t>ussd_funeral_leads_altitude_20260619</t>
        </is>
      </c>
      <c r="J3120" t="inlineStr">
        <is>
          <t>ADC</t>
        </is>
      </c>
      <c r="K3120" t="inlineStr">
        <is>
          <t>Auto Dial Disconnected</t>
        </is>
      </c>
      <c r="L3120" t="n">
        <v>3</v>
      </c>
      <c r="M3120" t="inlineStr">
        <is>
          <t>2026-06-23 12:27:58</t>
        </is>
      </c>
      <c r="N3120" t="inlineStr">
        <is>
          <t>system</t>
        </is>
      </c>
      <c r="O3120" t="inlineStr">
        <is>
          <t>2026-06-19 07:10:32</t>
        </is>
      </c>
      <c r="P3120" t="inlineStr">
        <is>
          <t>2026-06-19 07:10:32</t>
        </is>
      </c>
      <c r="Y3120" t="inlineStr">
        <is>
          <t>27763386134</t>
        </is>
      </c>
    </row>
    <row r="3121">
      <c r="A3121" t="inlineStr">
        <is>
          <t>14946700</t>
        </is>
      </c>
      <c r="B3121" t="inlineStr">
        <is>
          <t>d12bf29e-91ec-4319-848f-cd333ad53273</t>
        </is>
      </c>
      <c r="D3121" t="inlineStr">
        <is>
          <t>30001087</t>
        </is>
      </c>
      <c r="E3121" t="inlineStr">
        <is>
          <t>ussd_funeral_leads_altitude_20260619</t>
        </is>
      </c>
      <c r="J3121" t="inlineStr">
        <is>
          <t>ADC</t>
        </is>
      </c>
      <c r="K3121" t="inlineStr">
        <is>
          <t>Auto Dial Disconnected</t>
        </is>
      </c>
      <c r="L3121" t="n">
        <v>3</v>
      </c>
      <c r="M3121" t="inlineStr">
        <is>
          <t>2026-06-23 12:27:58</t>
        </is>
      </c>
      <c r="N3121" t="inlineStr">
        <is>
          <t>system</t>
        </is>
      </c>
      <c r="O3121" t="inlineStr">
        <is>
          <t>2026-06-19 07:10:32</t>
        </is>
      </c>
      <c r="P3121" t="inlineStr">
        <is>
          <t>2026-06-19 07:10:32</t>
        </is>
      </c>
      <c r="Y3121" t="inlineStr">
        <is>
          <t>27724392239</t>
        </is>
      </c>
    </row>
    <row r="3122">
      <c r="A3122" t="inlineStr">
        <is>
          <t>14947047</t>
        </is>
      </c>
      <c r="B3122" t="inlineStr">
        <is>
          <t>daec08ba-5631-4301-b542-a4fe5b8f8421</t>
        </is>
      </c>
      <c r="D3122" t="inlineStr">
        <is>
          <t>30001087</t>
        </is>
      </c>
      <c r="E3122" t="inlineStr">
        <is>
          <t>ussd_funeral_leads_altitude_20260619</t>
        </is>
      </c>
      <c r="J3122" t="inlineStr">
        <is>
          <t>AA</t>
        </is>
      </c>
      <c r="K3122" t="inlineStr">
        <is>
          <t>Answering Machine Autodial</t>
        </is>
      </c>
      <c r="L3122" t="n">
        <v>3</v>
      </c>
      <c r="M3122" t="inlineStr">
        <is>
          <t>2026-06-23 12:27:58</t>
        </is>
      </c>
      <c r="N3122" t="inlineStr">
        <is>
          <t>system</t>
        </is>
      </c>
      <c r="O3122" t="inlineStr">
        <is>
          <t>2026-06-19 07:10:32</t>
        </is>
      </c>
      <c r="P3122" t="inlineStr">
        <is>
          <t>2026-06-19 07:10:32</t>
        </is>
      </c>
      <c r="Y3122" t="inlineStr">
        <is>
          <t>27609448978</t>
        </is>
      </c>
    </row>
    <row r="3123">
      <c r="A3123" t="inlineStr">
        <is>
          <t>14946632</t>
        </is>
      </c>
      <c r="B3123" t="inlineStr">
        <is>
          <t>0edd9876-e466-4dac-8bf2-28d2856be831</t>
        </is>
      </c>
      <c r="D3123" t="inlineStr">
        <is>
          <t>30001087</t>
        </is>
      </c>
      <c r="E3123" t="inlineStr">
        <is>
          <t>ussd_funeral_leads_altitude_20260619</t>
        </is>
      </c>
      <c r="J3123" t="inlineStr">
        <is>
          <t>ADC</t>
        </is>
      </c>
      <c r="K3123" t="inlineStr">
        <is>
          <t>Auto Dial Disconnected</t>
        </is>
      </c>
      <c r="L3123" t="n">
        <v>3</v>
      </c>
      <c r="M3123" t="inlineStr">
        <is>
          <t>2026-06-23 12:27:55</t>
        </is>
      </c>
      <c r="N3123" t="inlineStr">
        <is>
          <t>system</t>
        </is>
      </c>
      <c r="O3123" t="inlineStr">
        <is>
          <t>2026-06-19 07:10:32</t>
        </is>
      </c>
      <c r="P3123" t="inlineStr">
        <is>
          <t>2026-06-19 07:10:32</t>
        </is>
      </c>
      <c r="Y3123" t="inlineStr">
        <is>
          <t>27794599115</t>
        </is>
      </c>
    </row>
    <row r="3124">
      <c r="A3124" t="inlineStr">
        <is>
          <t>14946697</t>
        </is>
      </c>
      <c r="B3124" t="inlineStr">
        <is>
          <t>22dbe0b3-b1c7-4ea9-a223-b4e90a87be09</t>
        </is>
      </c>
      <c r="D3124" t="inlineStr">
        <is>
          <t>30001087</t>
        </is>
      </c>
      <c r="E3124" t="inlineStr">
        <is>
          <t>ussd_funeral_leads_altitude_20260619</t>
        </is>
      </c>
      <c r="J3124" t="inlineStr">
        <is>
          <t>ADC</t>
        </is>
      </c>
      <c r="K3124" t="inlineStr">
        <is>
          <t>Auto Dial Disconnected</t>
        </is>
      </c>
      <c r="L3124" t="n">
        <v>3</v>
      </c>
      <c r="M3124" t="inlineStr">
        <is>
          <t>2026-06-23 12:27:54</t>
        </is>
      </c>
      <c r="N3124" t="inlineStr">
        <is>
          <t>system</t>
        </is>
      </c>
      <c r="O3124" t="inlineStr">
        <is>
          <t>2026-06-19 07:10:32</t>
        </is>
      </c>
      <c r="P3124" t="inlineStr">
        <is>
          <t>2026-06-19 07:10:32</t>
        </is>
      </c>
      <c r="Y3124" t="inlineStr">
        <is>
          <t>27825204774</t>
        </is>
      </c>
    </row>
    <row r="3125">
      <c r="A3125" t="inlineStr">
        <is>
          <t>14946631</t>
        </is>
      </c>
      <c r="B3125" t="inlineStr">
        <is>
          <t>ae32618c-3986-4d87-b62f-070bcb4b6596</t>
        </is>
      </c>
      <c r="D3125" t="inlineStr">
        <is>
          <t>30001087</t>
        </is>
      </c>
      <c r="E3125" t="inlineStr">
        <is>
          <t>ussd_funeral_leads_altitude_20260619</t>
        </is>
      </c>
      <c r="J3125" t="inlineStr">
        <is>
          <t>TDN</t>
        </is>
      </c>
      <c r="K3125" t="inlineStr">
        <is>
          <t>Temporary Disconnected Number</t>
        </is>
      </c>
      <c r="L3125" t="n">
        <v>3</v>
      </c>
      <c r="M3125" t="inlineStr">
        <is>
          <t>2026-06-23 12:27:53</t>
        </is>
      </c>
      <c r="N3125" t="inlineStr">
        <is>
          <t>system</t>
        </is>
      </c>
      <c r="O3125" t="inlineStr">
        <is>
          <t>2026-06-19 07:10:32</t>
        </is>
      </c>
      <c r="P3125" t="inlineStr">
        <is>
          <t>2026-06-19 07:10:32</t>
        </is>
      </c>
      <c r="Y3125" t="inlineStr">
        <is>
          <t>27768547264</t>
        </is>
      </c>
    </row>
    <row r="3126">
      <c r="A3126" t="inlineStr">
        <is>
          <t>14946664</t>
        </is>
      </c>
      <c r="B3126" t="inlineStr">
        <is>
          <t>6a51f7a7-2574-4cd5-b757-1973ab4b8e3a</t>
        </is>
      </c>
      <c r="D3126" t="inlineStr">
        <is>
          <t>30001087</t>
        </is>
      </c>
      <c r="E3126" t="inlineStr">
        <is>
          <t>ussd_funeral_leads_altitude_20260619</t>
        </is>
      </c>
      <c r="J3126" t="inlineStr">
        <is>
          <t>TDN</t>
        </is>
      </c>
      <c r="K3126" t="inlineStr">
        <is>
          <t>Temporary Disconnected Number</t>
        </is>
      </c>
      <c r="L3126" t="n">
        <v>3</v>
      </c>
      <c r="M3126" t="inlineStr">
        <is>
          <t>2026-06-23 12:27:53</t>
        </is>
      </c>
      <c r="N3126" t="inlineStr">
        <is>
          <t>system</t>
        </is>
      </c>
      <c r="O3126" t="inlineStr">
        <is>
          <t>2026-06-19 07:10:32</t>
        </is>
      </c>
      <c r="P3126" t="inlineStr">
        <is>
          <t>2026-06-19 07:10:32</t>
        </is>
      </c>
      <c r="Y3126" t="inlineStr">
        <is>
          <t>27711000572</t>
        </is>
      </c>
    </row>
    <row r="3127">
      <c r="A3127" t="inlineStr">
        <is>
          <t>14947043</t>
        </is>
      </c>
      <c r="B3127" t="inlineStr">
        <is>
          <t>188c0d43-66fb-48ad-a14a-0c8cb0edd018</t>
        </is>
      </c>
      <c r="D3127" t="inlineStr">
        <is>
          <t>30001087</t>
        </is>
      </c>
      <c r="E3127" t="inlineStr">
        <is>
          <t>ussd_funeral_leads_altitude_20260619</t>
        </is>
      </c>
      <c r="J3127" t="inlineStr">
        <is>
          <t>NA</t>
        </is>
      </c>
      <c r="K3127" t="inlineStr">
        <is>
          <t>No Answer Autodial</t>
        </is>
      </c>
      <c r="L3127" t="n">
        <v>3</v>
      </c>
      <c r="M3127" t="inlineStr">
        <is>
          <t>2026-06-23 12:27:53</t>
        </is>
      </c>
      <c r="N3127" t="inlineStr">
        <is>
          <t>system</t>
        </is>
      </c>
      <c r="O3127" t="inlineStr">
        <is>
          <t>2026-06-19 07:10:32</t>
        </is>
      </c>
      <c r="P3127" t="inlineStr">
        <is>
          <t>2026-06-19 07:10:32</t>
        </is>
      </c>
      <c r="Y3127" t="inlineStr">
        <is>
          <t>27665191293</t>
        </is>
      </c>
    </row>
    <row r="3128">
      <c r="A3128" t="inlineStr">
        <is>
          <t>14947044</t>
        </is>
      </c>
      <c r="B3128" t="inlineStr">
        <is>
          <t>d628a02f-9180-4895-8ad0-81da089ff5d5</t>
        </is>
      </c>
      <c r="D3128" t="inlineStr">
        <is>
          <t>30001087</t>
        </is>
      </c>
      <c r="E3128" t="inlineStr">
        <is>
          <t>ussd_funeral_leads_altitude_20260619</t>
        </is>
      </c>
      <c r="J3128" t="inlineStr">
        <is>
          <t>NA</t>
        </is>
      </c>
      <c r="K3128" t="inlineStr">
        <is>
          <t>No Answer Autodial</t>
        </is>
      </c>
      <c r="L3128" t="n">
        <v>3</v>
      </c>
      <c r="M3128" t="inlineStr">
        <is>
          <t>2026-06-23 12:27:53</t>
        </is>
      </c>
      <c r="N3128" t="inlineStr">
        <is>
          <t>system</t>
        </is>
      </c>
      <c r="O3128" t="inlineStr">
        <is>
          <t>2026-06-19 07:10:32</t>
        </is>
      </c>
      <c r="P3128" t="inlineStr">
        <is>
          <t>2026-06-19 07:10:32</t>
        </is>
      </c>
      <c r="Y3128" t="inlineStr">
        <is>
          <t>27636238517</t>
        </is>
      </c>
    </row>
    <row r="3129">
      <c r="A3129" t="inlineStr">
        <is>
          <t>14947045</t>
        </is>
      </c>
      <c r="B3129" t="inlineStr">
        <is>
          <t>ab3d3b1a-b59a-4012-a3d6-9a0957a3f1d4</t>
        </is>
      </c>
      <c r="D3129" t="inlineStr">
        <is>
          <t>30001087</t>
        </is>
      </c>
      <c r="E3129" t="inlineStr">
        <is>
          <t>ussd_funeral_leads_altitude_20260619</t>
        </is>
      </c>
      <c r="J3129" t="inlineStr">
        <is>
          <t>AA</t>
        </is>
      </c>
      <c r="K3129" t="inlineStr">
        <is>
          <t>Answering Machine Autodial</t>
        </is>
      </c>
      <c r="L3129" t="n">
        <v>3</v>
      </c>
      <c r="M3129" t="inlineStr">
        <is>
          <t>2026-06-23 12:27:53</t>
        </is>
      </c>
      <c r="N3129" t="inlineStr">
        <is>
          <t>system</t>
        </is>
      </c>
      <c r="O3129" t="inlineStr">
        <is>
          <t>2026-06-19 07:10:32</t>
        </is>
      </c>
      <c r="P3129" t="inlineStr">
        <is>
          <t>2026-06-19 07:10:32</t>
        </is>
      </c>
      <c r="Y3129" t="inlineStr">
        <is>
          <t>27818425901</t>
        </is>
      </c>
    </row>
    <row r="3130">
      <c r="A3130" t="inlineStr">
        <is>
          <t>14947046</t>
        </is>
      </c>
      <c r="B3130" t="inlineStr">
        <is>
          <t>8f285450-dee1-4e4b-81cb-963c99b76c76</t>
        </is>
      </c>
      <c r="D3130" t="inlineStr">
        <is>
          <t>30001087</t>
        </is>
      </c>
      <c r="E3130" t="inlineStr">
        <is>
          <t>ussd_funeral_leads_altitude_20260619</t>
        </is>
      </c>
      <c r="J3130" t="inlineStr">
        <is>
          <t>NA</t>
        </is>
      </c>
      <c r="K3130" t="inlineStr">
        <is>
          <t>No Answer Autodial</t>
        </is>
      </c>
      <c r="L3130" t="n">
        <v>3</v>
      </c>
      <c r="M3130" t="inlineStr">
        <is>
          <t>2026-06-23 12:27:53</t>
        </is>
      </c>
      <c r="N3130" t="inlineStr">
        <is>
          <t>system</t>
        </is>
      </c>
      <c r="O3130" t="inlineStr">
        <is>
          <t>2026-06-19 07:10:32</t>
        </is>
      </c>
      <c r="P3130" t="inlineStr">
        <is>
          <t>2026-06-19 07:10:32</t>
        </is>
      </c>
      <c r="Y3130" t="inlineStr">
        <is>
          <t>27721543245</t>
        </is>
      </c>
    </row>
    <row r="3131">
      <c r="A3131" t="inlineStr">
        <is>
          <t>14946959</t>
        </is>
      </c>
      <c r="B3131" t="inlineStr">
        <is>
          <t>0bf34459-f084-4b24-aa05-18ae14324614</t>
        </is>
      </c>
      <c r="D3131" t="inlineStr">
        <is>
          <t>30001087</t>
        </is>
      </c>
      <c r="E3131" t="inlineStr">
        <is>
          <t>ussd_funeral_leads_altitude_20260619</t>
        </is>
      </c>
      <c r="J3131" t="inlineStr">
        <is>
          <t>AA</t>
        </is>
      </c>
      <c r="K3131" t="inlineStr">
        <is>
          <t>Answering Machine Autodial</t>
        </is>
      </c>
      <c r="L3131" t="n">
        <v>3</v>
      </c>
      <c r="M3131" t="inlineStr">
        <is>
          <t>2026-06-23 12:27:53</t>
        </is>
      </c>
      <c r="N3131" t="inlineStr">
        <is>
          <t>system</t>
        </is>
      </c>
      <c r="O3131" t="inlineStr">
        <is>
          <t>2026-06-19 07:10:32</t>
        </is>
      </c>
      <c r="P3131" t="inlineStr">
        <is>
          <t>2026-06-19 07:10:32</t>
        </is>
      </c>
      <c r="Y3131" t="inlineStr">
        <is>
          <t>27713408893</t>
        </is>
      </c>
    </row>
    <row r="3132">
      <c r="A3132" t="inlineStr">
        <is>
          <t>14946973</t>
        </is>
      </c>
      <c r="B3132" t="inlineStr">
        <is>
          <t>0918ed18-f688-43fa-a129-e20ad4805530</t>
        </is>
      </c>
      <c r="D3132" t="inlineStr">
        <is>
          <t>30001087</t>
        </is>
      </c>
      <c r="E3132" t="inlineStr">
        <is>
          <t>ussd_funeral_leads_altitude_20260619</t>
        </is>
      </c>
      <c r="J3132" t="inlineStr">
        <is>
          <t>AA</t>
        </is>
      </c>
      <c r="K3132" t="inlineStr">
        <is>
          <t>Answering Machine Autodial</t>
        </is>
      </c>
      <c r="L3132" t="n">
        <v>3</v>
      </c>
      <c r="M3132" t="inlineStr">
        <is>
          <t>2026-06-23 12:27:53</t>
        </is>
      </c>
      <c r="N3132" t="inlineStr">
        <is>
          <t>system</t>
        </is>
      </c>
      <c r="O3132" t="inlineStr">
        <is>
          <t>2026-06-19 07:10:32</t>
        </is>
      </c>
      <c r="P3132" t="inlineStr">
        <is>
          <t>2026-06-19 07:10:32</t>
        </is>
      </c>
      <c r="Y3132" t="inlineStr">
        <is>
          <t>27727185752</t>
        </is>
      </c>
    </row>
    <row r="3133">
      <c r="A3133" t="inlineStr">
        <is>
          <t>14947029</t>
        </is>
      </c>
      <c r="B3133" t="inlineStr">
        <is>
          <t>67727552-b4ab-404d-9809-92cb7cb6462b</t>
        </is>
      </c>
      <c r="D3133" t="inlineStr">
        <is>
          <t>30001087</t>
        </is>
      </c>
      <c r="E3133" t="inlineStr">
        <is>
          <t>ussd_funeral_leads_altitude_20260619</t>
        </is>
      </c>
      <c r="J3133" t="inlineStr">
        <is>
          <t>AA</t>
        </is>
      </c>
      <c r="K3133" t="inlineStr">
        <is>
          <t>Answering Machine Autodial</t>
        </is>
      </c>
      <c r="L3133" t="n">
        <v>3</v>
      </c>
      <c r="M3133" t="inlineStr">
        <is>
          <t>2026-06-23 12:27:53</t>
        </is>
      </c>
      <c r="N3133" t="inlineStr">
        <is>
          <t>system</t>
        </is>
      </c>
      <c r="O3133" t="inlineStr">
        <is>
          <t>2026-06-19 07:10:32</t>
        </is>
      </c>
      <c r="P3133" t="inlineStr">
        <is>
          <t>2026-06-19 07:10:32</t>
        </is>
      </c>
      <c r="Y3133" t="inlineStr">
        <is>
          <t>27796502952</t>
        </is>
      </c>
    </row>
    <row r="3134">
      <c r="A3134" t="inlineStr">
        <is>
          <t>14947041</t>
        </is>
      </c>
      <c r="B3134" t="inlineStr">
        <is>
          <t>97af6896-707d-4852-96c5-eaadb15084b8</t>
        </is>
      </c>
      <c r="D3134" t="inlineStr">
        <is>
          <t>30001087</t>
        </is>
      </c>
      <c r="E3134" t="inlineStr">
        <is>
          <t>ussd_funeral_leads_altitude_20260619</t>
        </is>
      </c>
      <c r="J3134" t="inlineStr">
        <is>
          <t>BLQ</t>
        </is>
      </c>
      <c r="K3134" t="inlineStr">
        <is>
          <t>Bad Line Quality</t>
        </is>
      </c>
      <c r="L3134" t="n">
        <v>3</v>
      </c>
      <c r="M3134" t="inlineStr">
        <is>
          <t>2026-06-23 12:27:53</t>
        </is>
      </c>
      <c r="N3134" t="inlineStr">
        <is>
          <t>Goitsimang Mogwasa</t>
        </is>
      </c>
      <c r="O3134" t="inlineStr">
        <is>
          <t>2026-06-19 07:10:32</t>
        </is>
      </c>
      <c r="P3134" t="inlineStr">
        <is>
          <t>2026-06-19 07:10:32</t>
        </is>
      </c>
      <c r="Y3134" t="inlineStr">
        <is>
          <t>27714194116</t>
        </is>
      </c>
    </row>
    <row r="3135">
      <c r="A3135" t="inlineStr">
        <is>
          <t>14946972</t>
        </is>
      </c>
      <c r="B3135" t="inlineStr">
        <is>
          <t>070e6fff-4797-4dd3-b71c-a4365a0d16d9</t>
        </is>
      </c>
      <c r="D3135" t="inlineStr">
        <is>
          <t>30001087</t>
        </is>
      </c>
      <c r="E3135" t="inlineStr">
        <is>
          <t>ussd_funeral_leads_altitude_20260619</t>
        </is>
      </c>
      <c r="J3135" t="inlineStr">
        <is>
          <t>AA</t>
        </is>
      </c>
      <c r="K3135" t="inlineStr">
        <is>
          <t>Answering Machine Autodial</t>
        </is>
      </c>
      <c r="L3135" t="n">
        <v>3</v>
      </c>
      <c r="M3135" t="inlineStr">
        <is>
          <t>2026-06-23 12:27:52</t>
        </is>
      </c>
      <c r="N3135" t="inlineStr">
        <is>
          <t>system</t>
        </is>
      </c>
      <c r="O3135" t="inlineStr">
        <is>
          <t>2026-06-19 07:10:32</t>
        </is>
      </c>
      <c r="P3135" t="inlineStr">
        <is>
          <t>2026-06-19 07:10:32</t>
        </is>
      </c>
      <c r="Y3135" t="inlineStr">
        <is>
          <t>27660415068</t>
        </is>
      </c>
    </row>
    <row r="3136">
      <c r="A3136" t="inlineStr">
        <is>
          <t>14946957</t>
        </is>
      </c>
      <c r="B3136" t="inlineStr">
        <is>
          <t>a7a8e7bf-7ad7-45e0-879d-1a93bbbc3b60</t>
        </is>
      </c>
      <c r="D3136" t="inlineStr">
        <is>
          <t>30001087</t>
        </is>
      </c>
      <c r="E3136" t="inlineStr">
        <is>
          <t>ussd_funeral_leads_altitude_20260619</t>
        </is>
      </c>
      <c r="J3136" t="inlineStr">
        <is>
          <t>AA</t>
        </is>
      </c>
      <c r="K3136" t="inlineStr">
        <is>
          <t>Answering Machine Autodial</t>
        </is>
      </c>
      <c r="L3136" t="n">
        <v>3</v>
      </c>
      <c r="M3136" t="inlineStr">
        <is>
          <t>2026-06-23 12:27:50</t>
        </is>
      </c>
      <c r="N3136" t="inlineStr">
        <is>
          <t>system</t>
        </is>
      </c>
      <c r="O3136" t="inlineStr">
        <is>
          <t>2026-06-19 07:10:32</t>
        </is>
      </c>
      <c r="P3136" t="inlineStr">
        <is>
          <t>2026-06-19 07:10:32</t>
        </is>
      </c>
      <c r="Y3136" t="inlineStr">
        <is>
          <t>27649791510</t>
        </is>
      </c>
    </row>
    <row r="3137">
      <c r="A3137" t="inlineStr">
        <is>
          <t>14946958</t>
        </is>
      </c>
      <c r="B3137" t="inlineStr">
        <is>
          <t>55bfe000-34ac-4379-a550-bb7c81e4cd8f</t>
        </is>
      </c>
      <c r="D3137" t="inlineStr">
        <is>
          <t>30001087</t>
        </is>
      </c>
      <c r="E3137" t="inlineStr">
        <is>
          <t>ussd_funeral_leads_altitude_20260619</t>
        </is>
      </c>
      <c r="J3137" t="inlineStr">
        <is>
          <t>AA</t>
        </is>
      </c>
      <c r="K3137" t="inlineStr">
        <is>
          <t>Answering Machine Autodial</t>
        </is>
      </c>
      <c r="L3137" t="n">
        <v>3</v>
      </c>
      <c r="M3137" t="inlineStr">
        <is>
          <t>2026-06-23 12:27:50</t>
        </is>
      </c>
      <c r="N3137" t="inlineStr">
        <is>
          <t>system</t>
        </is>
      </c>
      <c r="O3137" t="inlineStr">
        <is>
          <t>2026-06-19 07:10:32</t>
        </is>
      </c>
      <c r="P3137" t="inlineStr">
        <is>
          <t>2026-06-19 07:10:32</t>
        </is>
      </c>
      <c r="Y3137" t="inlineStr">
        <is>
          <t>27818115471</t>
        </is>
      </c>
    </row>
    <row r="3138">
      <c r="A3138" t="inlineStr">
        <is>
          <t>14946787</t>
        </is>
      </c>
      <c r="B3138" t="inlineStr">
        <is>
          <t>15c4ea95-fd97-4652-a236-b16b6ddb0fb1</t>
        </is>
      </c>
      <c r="D3138" t="inlineStr">
        <is>
          <t>30001087</t>
        </is>
      </c>
      <c r="E3138" t="inlineStr">
        <is>
          <t>ussd_funeral_leads_altitude_20260619</t>
        </is>
      </c>
      <c r="J3138" t="inlineStr">
        <is>
          <t>ADC</t>
        </is>
      </c>
      <c r="K3138" t="inlineStr">
        <is>
          <t>Auto Dial Disconnected</t>
        </is>
      </c>
      <c r="L3138" t="n">
        <v>3</v>
      </c>
      <c r="M3138" t="inlineStr">
        <is>
          <t>2026-06-23 12:27:42</t>
        </is>
      </c>
      <c r="N3138" t="inlineStr">
        <is>
          <t>system</t>
        </is>
      </c>
      <c r="O3138" t="inlineStr">
        <is>
          <t>2026-06-19 07:10:32</t>
        </is>
      </c>
      <c r="P3138" t="inlineStr">
        <is>
          <t>2026-06-19 07:10:32</t>
        </is>
      </c>
      <c r="Y3138" t="inlineStr">
        <is>
          <t>27818426158</t>
        </is>
      </c>
    </row>
    <row r="3139">
      <c r="A3139" t="inlineStr">
        <is>
          <t>14946955</t>
        </is>
      </c>
      <c r="B3139" t="inlineStr">
        <is>
          <t>dbdfed26-e72b-47bc-9901-1975f8149857</t>
        </is>
      </c>
      <c r="D3139" t="inlineStr">
        <is>
          <t>30001087</t>
        </is>
      </c>
      <c r="E3139" t="inlineStr">
        <is>
          <t>ussd_funeral_leads_altitude_20260619</t>
        </is>
      </c>
      <c r="J3139" t="inlineStr">
        <is>
          <t>ADC</t>
        </is>
      </c>
      <c r="K3139" t="inlineStr">
        <is>
          <t>Auto Dial Disconnected</t>
        </is>
      </c>
      <c r="L3139" t="n">
        <v>3</v>
      </c>
      <c r="M3139" t="inlineStr">
        <is>
          <t>2026-06-23 12:27:42</t>
        </is>
      </c>
      <c r="N3139" t="inlineStr">
        <is>
          <t>system</t>
        </is>
      </c>
      <c r="O3139" t="inlineStr">
        <is>
          <t>2026-06-19 07:10:32</t>
        </is>
      </c>
      <c r="P3139" t="inlineStr">
        <is>
          <t>2026-06-19 07:10:32</t>
        </is>
      </c>
      <c r="Y3139" t="inlineStr">
        <is>
          <t>27729106652</t>
        </is>
      </c>
    </row>
    <row r="3140">
      <c r="A3140" t="inlineStr">
        <is>
          <t>14946784</t>
        </is>
      </c>
      <c r="B3140" t="inlineStr">
        <is>
          <t>1767b99e-2c5b-4aeb-913f-f39a7ed8699f</t>
        </is>
      </c>
      <c r="D3140" t="inlineStr">
        <is>
          <t>30001087</t>
        </is>
      </c>
      <c r="E3140" t="inlineStr">
        <is>
          <t>ussd_funeral_leads_altitude_20260619</t>
        </is>
      </c>
      <c r="J3140" t="inlineStr">
        <is>
          <t>NA</t>
        </is>
      </c>
      <c r="K3140" t="inlineStr">
        <is>
          <t>No Answer Autodial</t>
        </is>
      </c>
      <c r="L3140" t="n">
        <v>3</v>
      </c>
      <c r="M3140" t="inlineStr">
        <is>
          <t>2026-06-23 12:27:41</t>
        </is>
      </c>
      <c r="N3140" t="inlineStr">
        <is>
          <t>system</t>
        </is>
      </c>
      <c r="O3140" t="inlineStr">
        <is>
          <t>2026-06-19 07:10:32</t>
        </is>
      </c>
      <c r="P3140" t="inlineStr">
        <is>
          <t>2026-06-19 07:10:32</t>
        </is>
      </c>
      <c r="Y3140" t="inlineStr">
        <is>
          <t>27827088136</t>
        </is>
      </c>
    </row>
    <row r="3141">
      <c r="A3141" t="inlineStr">
        <is>
          <t>14946786</t>
        </is>
      </c>
      <c r="B3141" t="inlineStr">
        <is>
          <t>eee497c1-2d56-4721-af02-50727611d472</t>
        </is>
      </c>
      <c r="D3141" t="inlineStr">
        <is>
          <t>30001087</t>
        </is>
      </c>
      <c r="E3141" t="inlineStr">
        <is>
          <t>ussd_funeral_leads_altitude_20260619</t>
        </is>
      </c>
      <c r="J3141" t="inlineStr">
        <is>
          <t>ADC</t>
        </is>
      </c>
      <c r="K3141" t="inlineStr">
        <is>
          <t>Auto Dial Disconnected</t>
        </is>
      </c>
      <c r="L3141" t="n">
        <v>3</v>
      </c>
      <c r="M3141" t="inlineStr">
        <is>
          <t>2026-06-23 12:27:41</t>
        </is>
      </c>
      <c r="N3141" t="inlineStr">
        <is>
          <t>system</t>
        </is>
      </c>
      <c r="O3141" t="inlineStr">
        <is>
          <t>2026-06-19 07:10:32</t>
        </is>
      </c>
      <c r="P3141" t="inlineStr">
        <is>
          <t>2026-06-19 07:10:32</t>
        </is>
      </c>
      <c r="Y3141" t="inlineStr">
        <is>
          <t>27723575565</t>
        </is>
      </c>
    </row>
    <row r="3142">
      <c r="A3142" t="inlineStr">
        <is>
          <t>14946729</t>
        </is>
      </c>
      <c r="B3142" t="inlineStr">
        <is>
          <t>6664d161-d528-4406-bb1b-21a408bc1113</t>
        </is>
      </c>
      <c r="D3142" t="inlineStr">
        <is>
          <t>30001087</t>
        </is>
      </c>
      <c r="E3142" t="inlineStr">
        <is>
          <t>ussd_funeral_leads_altitude_20260619</t>
        </is>
      </c>
      <c r="J3142" t="inlineStr">
        <is>
          <t>ADC</t>
        </is>
      </c>
      <c r="K3142" t="inlineStr">
        <is>
          <t>Auto Dial Disconnected</t>
        </is>
      </c>
      <c r="L3142" t="n">
        <v>3</v>
      </c>
      <c r="M3142" t="inlineStr">
        <is>
          <t>2026-06-23 12:27:41</t>
        </is>
      </c>
      <c r="N3142" t="inlineStr">
        <is>
          <t>system</t>
        </is>
      </c>
      <c r="O3142" t="inlineStr">
        <is>
          <t>2026-06-19 07:10:32</t>
        </is>
      </c>
      <c r="P3142" t="inlineStr">
        <is>
          <t>2026-06-19 07:10:32</t>
        </is>
      </c>
      <c r="Y3142" t="inlineStr">
        <is>
          <t>27764964939</t>
        </is>
      </c>
    </row>
    <row r="3143">
      <c r="A3143" t="inlineStr">
        <is>
          <t>14946735</t>
        </is>
      </c>
      <c r="B3143" t="inlineStr">
        <is>
          <t>1b94f173-3a3b-4607-9ad4-db8f142fd42a</t>
        </is>
      </c>
      <c r="D3143" t="inlineStr">
        <is>
          <t>30001087</t>
        </is>
      </c>
      <c r="E3143" t="inlineStr">
        <is>
          <t>ussd_funeral_leads_altitude_20260619</t>
        </is>
      </c>
      <c r="J3143" t="inlineStr">
        <is>
          <t>ADC</t>
        </is>
      </c>
      <c r="K3143" t="inlineStr">
        <is>
          <t>Auto Dial Disconnected</t>
        </is>
      </c>
      <c r="L3143" t="n">
        <v>3</v>
      </c>
      <c r="M3143" t="inlineStr">
        <is>
          <t>2026-06-23 12:27:41</t>
        </is>
      </c>
      <c r="N3143" t="inlineStr">
        <is>
          <t>system</t>
        </is>
      </c>
      <c r="O3143" t="inlineStr">
        <is>
          <t>2026-06-19 07:10:32</t>
        </is>
      </c>
      <c r="P3143" t="inlineStr">
        <is>
          <t>2026-06-19 07:10:32</t>
        </is>
      </c>
      <c r="Y3143" t="inlineStr">
        <is>
          <t>27660554099</t>
        </is>
      </c>
    </row>
    <row r="3144">
      <c r="A3144" t="inlineStr">
        <is>
          <t>14946924</t>
        </is>
      </c>
      <c r="B3144" t="inlineStr">
        <is>
          <t>cb23139c-1386-4b9a-b40d-aa61e441d41e</t>
        </is>
      </c>
      <c r="D3144" t="inlineStr">
        <is>
          <t>30001087</t>
        </is>
      </c>
      <c r="E3144" t="inlineStr">
        <is>
          <t>ussd_funeral_leads_altitude_20260619</t>
        </is>
      </c>
      <c r="J3144" t="inlineStr">
        <is>
          <t>AA</t>
        </is>
      </c>
      <c r="K3144" t="inlineStr">
        <is>
          <t>Answering Machine Autodial</t>
        </is>
      </c>
      <c r="L3144" t="n">
        <v>3</v>
      </c>
      <c r="M3144" t="inlineStr">
        <is>
          <t>2026-06-23 12:27:41</t>
        </is>
      </c>
      <c r="N3144" t="inlineStr">
        <is>
          <t>system</t>
        </is>
      </c>
      <c r="O3144" t="inlineStr">
        <is>
          <t>2026-06-19 07:10:32</t>
        </is>
      </c>
      <c r="P3144" t="inlineStr">
        <is>
          <t>2026-06-19 07:10:32</t>
        </is>
      </c>
      <c r="Y3144" t="inlineStr">
        <is>
          <t>27760949187</t>
        </is>
      </c>
    </row>
    <row r="3145">
      <c r="A3145" t="inlineStr">
        <is>
          <t>14946925</t>
        </is>
      </c>
      <c r="B3145" t="inlineStr">
        <is>
          <t>f9d8fa2a-57fe-4a4a-9464-47a95f7ed4ff</t>
        </is>
      </c>
      <c r="D3145" t="inlineStr">
        <is>
          <t>30001087</t>
        </is>
      </c>
      <c r="E3145" t="inlineStr">
        <is>
          <t>ussd_funeral_leads_altitude_20260619</t>
        </is>
      </c>
      <c r="J3145" t="inlineStr">
        <is>
          <t>AA</t>
        </is>
      </c>
      <c r="K3145" t="inlineStr">
        <is>
          <t>Answering Machine Autodial</t>
        </is>
      </c>
      <c r="L3145" t="n">
        <v>3</v>
      </c>
      <c r="M3145" t="inlineStr">
        <is>
          <t>2026-06-23 12:27:41</t>
        </is>
      </c>
      <c r="N3145" t="inlineStr">
        <is>
          <t>system</t>
        </is>
      </c>
      <c r="O3145" t="inlineStr">
        <is>
          <t>2026-06-19 07:10:32</t>
        </is>
      </c>
      <c r="P3145" t="inlineStr">
        <is>
          <t>2026-06-19 07:10:32</t>
        </is>
      </c>
      <c r="Y3145" t="inlineStr">
        <is>
          <t>27715397036</t>
        </is>
      </c>
    </row>
    <row r="3146">
      <c r="A3146" t="inlineStr">
        <is>
          <t>14946927</t>
        </is>
      </c>
      <c r="B3146" t="inlineStr">
        <is>
          <t>b45e6699-858f-46b4-b360-c873c2116164</t>
        </is>
      </c>
      <c r="D3146" t="inlineStr">
        <is>
          <t>30001087</t>
        </is>
      </c>
      <c r="E3146" t="inlineStr">
        <is>
          <t>ussd_funeral_leads_altitude_20260619</t>
        </is>
      </c>
      <c r="J3146" t="inlineStr">
        <is>
          <t>AA</t>
        </is>
      </c>
      <c r="K3146" t="inlineStr">
        <is>
          <t>Answering Machine Autodial</t>
        </is>
      </c>
      <c r="L3146" t="n">
        <v>3</v>
      </c>
      <c r="M3146" t="inlineStr">
        <is>
          <t>2026-06-23 12:27:41</t>
        </is>
      </c>
      <c r="N3146" t="inlineStr">
        <is>
          <t>system</t>
        </is>
      </c>
      <c r="O3146" t="inlineStr">
        <is>
          <t>2026-06-19 07:10:32</t>
        </is>
      </c>
      <c r="P3146" t="inlineStr">
        <is>
          <t>2026-06-19 07:10:32</t>
        </is>
      </c>
      <c r="Y3146" t="inlineStr">
        <is>
          <t>27765140310</t>
        </is>
      </c>
    </row>
    <row r="3147">
      <c r="A3147" t="inlineStr">
        <is>
          <t>14946928</t>
        </is>
      </c>
      <c r="B3147" t="inlineStr">
        <is>
          <t>0cebfa42-d54c-430b-b149-731ed37662d0</t>
        </is>
      </c>
      <c r="D3147" t="inlineStr">
        <is>
          <t>30001087</t>
        </is>
      </c>
      <c r="E3147" t="inlineStr">
        <is>
          <t>ussd_funeral_leads_altitude_20260619</t>
        </is>
      </c>
      <c r="J3147" t="inlineStr">
        <is>
          <t>ADC</t>
        </is>
      </c>
      <c r="K3147" t="inlineStr">
        <is>
          <t>Auto Dial Disconnected</t>
        </is>
      </c>
      <c r="L3147" t="n">
        <v>3</v>
      </c>
      <c r="M3147" t="inlineStr">
        <is>
          <t>2026-06-23 12:27:41</t>
        </is>
      </c>
      <c r="N3147" t="inlineStr">
        <is>
          <t>system</t>
        </is>
      </c>
      <c r="O3147" t="inlineStr">
        <is>
          <t>2026-06-19 07:10:32</t>
        </is>
      </c>
      <c r="P3147" t="inlineStr">
        <is>
          <t>2026-06-19 07:10:32</t>
        </is>
      </c>
      <c r="Y3147" t="inlineStr">
        <is>
          <t>27649534168</t>
        </is>
      </c>
    </row>
    <row r="3148">
      <c r="A3148" t="inlineStr">
        <is>
          <t>14946931</t>
        </is>
      </c>
      <c r="B3148" t="inlineStr">
        <is>
          <t>497dadaf-4ec9-4bbd-b07a-baa793b81407</t>
        </is>
      </c>
      <c r="D3148" t="inlineStr">
        <is>
          <t>30001087</t>
        </is>
      </c>
      <c r="E3148" t="inlineStr">
        <is>
          <t>ussd_funeral_leads_altitude_20260619</t>
        </is>
      </c>
      <c r="J3148" t="inlineStr">
        <is>
          <t>TDN</t>
        </is>
      </c>
      <c r="K3148" t="inlineStr">
        <is>
          <t>Temporary Disconnected Number</t>
        </is>
      </c>
      <c r="L3148" t="n">
        <v>3</v>
      </c>
      <c r="M3148" t="inlineStr">
        <is>
          <t>2026-06-23 12:27:41</t>
        </is>
      </c>
      <c r="N3148" t="inlineStr">
        <is>
          <t>system</t>
        </is>
      </c>
      <c r="O3148" t="inlineStr">
        <is>
          <t>2026-06-19 07:10:32</t>
        </is>
      </c>
      <c r="P3148" t="inlineStr">
        <is>
          <t>2026-06-19 07:10:32</t>
        </is>
      </c>
      <c r="Y3148" t="inlineStr">
        <is>
          <t>27767778576</t>
        </is>
      </c>
    </row>
    <row r="3149">
      <c r="A3149" t="inlineStr">
        <is>
          <t>14946906</t>
        </is>
      </c>
      <c r="B3149" t="inlineStr">
        <is>
          <t>be99bad7-bbad-4c79-904e-8417f79bfe73</t>
        </is>
      </c>
      <c r="D3149" t="inlineStr">
        <is>
          <t>30001087</t>
        </is>
      </c>
      <c r="E3149" t="inlineStr">
        <is>
          <t>ussd_funeral_leads_altitude_20260619</t>
        </is>
      </c>
      <c r="J3149" t="inlineStr">
        <is>
          <t>CU</t>
        </is>
      </c>
      <c r="K3149" t="inlineStr">
        <is>
          <t>Client Hung Up</t>
        </is>
      </c>
      <c r="L3149" t="n">
        <v>3</v>
      </c>
      <c r="M3149" t="inlineStr">
        <is>
          <t>2026-06-23 12:27:40</t>
        </is>
      </c>
      <c r="N3149" t="inlineStr">
        <is>
          <t>Bongiwe Precious Cele</t>
        </is>
      </c>
      <c r="O3149" t="inlineStr">
        <is>
          <t>2026-06-19 07:10:32</t>
        </is>
      </c>
      <c r="P3149" t="inlineStr">
        <is>
          <t>2026-06-19 07:10:32</t>
        </is>
      </c>
      <c r="Y3149" t="inlineStr">
        <is>
          <t>27661040574</t>
        </is>
      </c>
    </row>
    <row r="3150">
      <c r="A3150" t="inlineStr">
        <is>
          <t>14946923</t>
        </is>
      </c>
      <c r="B3150" t="inlineStr">
        <is>
          <t>ced04a0c-aa53-4da7-bcff-4e549badb236</t>
        </is>
      </c>
      <c r="D3150" t="inlineStr">
        <is>
          <t>30001087</t>
        </is>
      </c>
      <c r="E3150" t="inlineStr">
        <is>
          <t>ussd_funeral_leads_altitude_20260619</t>
        </is>
      </c>
      <c r="J3150" t="inlineStr">
        <is>
          <t>AA</t>
        </is>
      </c>
      <c r="K3150" t="inlineStr">
        <is>
          <t>Answering Machine Autodial</t>
        </is>
      </c>
      <c r="L3150" t="n">
        <v>3</v>
      </c>
      <c r="M3150" t="inlineStr">
        <is>
          <t>2026-06-23 12:27:40</t>
        </is>
      </c>
      <c r="N3150" t="inlineStr">
        <is>
          <t>system</t>
        </is>
      </c>
      <c r="O3150" t="inlineStr">
        <is>
          <t>2026-06-19 07:10:32</t>
        </is>
      </c>
      <c r="P3150" t="inlineStr">
        <is>
          <t>2026-06-19 07:10:32</t>
        </is>
      </c>
      <c r="Y3150" t="inlineStr">
        <is>
          <t>27798621583</t>
        </is>
      </c>
    </row>
    <row r="3151">
      <c r="A3151" t="inlineStr">
        <is>
          <t>14946900</t>
        </is>
      </c>
      <c r="B3151" t="inlineStr">
        <is>
          <t>910e4d07-6455-432b-98fc-38ce3c9675ec</t>
        </is>
      </c>
      <c r="D3151" t="inlineStr">
        <is>
          <t>30001087</t>
        </is>
      </c>
      <c r="E3151" t="inlineStr">
        <is>
          <t>ussd_funeral_leads_altitude_20260619</t>
        </is>
      </c>
      <c r="J3151" t="inlineStr">
        <is>
          <t>A</t>
        </is>
      </c>
      <c r="K3151" t="inlineStr">
        <is>
          <t>Answering Machine</t>
        </is>
      </c>
      <c r="L3151" t="n">
        <v>3</v>
      </c>
      <c r="M3151" t="inlineStr">
        <is>
          <t>2026-06-23 12:27:38</t>
        </is>
      </c>
      <c r="N3151" t="inlineStr">
        <is>
          <t>Dimakatso Nkomo</t>
        </is>
      </c>
      <c r="O3151" t="inlineStr">
        <is>
          <t>2026-06-19 07:10:32</t>
        </is>
      </c>
      <c r="P3151" t="inlineStr">
        <is>
          <t>2026-06-19 07:10:32</t>
        </is>
      </c>
      <c r="Y3151" t="inlineStr">
        <is>
          <t>27674694197</t>
        </is>
      </c>
    </row>
    <row r="3152">
      <c r="A3152" t="inlineStr">
        <is>
          <t>14946727</t>
        </is>
      </c>
      <c r="B3152" t="inlineStr">
        <is>
          <t>ab407049-3759-42c1-98be-41e240a38c93</t>
        </is>
      </c>
      <c r="D3152" t="inlineStr">
        <is>
          <t>30001087</t>
        </is>
      </c>
      <c r="E3152" t="inlineStr">
        <is>
          <t>ussd_funeral_leads_altitude_20260619</t>
        </is>
      </c>
      <c r="J3152" t="inlineStr">
        <is>
          <t>ADC</t>
        </is>
      </c>
      <c r="K3152" t="inlineStr">
        <is>
          <t>Auto Dial Disconnected</t>
        </is>
      </c>
      <c r="L3152" t="n">
        <v>3</v>
      </c>
      <c r="M3152" t="inlineStr">
        <is>
          <t>2026-06-23 12:27:32</t>
        </is>
      </c>
      <c r="N3152" t="inlineStr">
        <is>
          <t>system</t>
        </is>
      </c>
      <c r="O3152" t="inlineStr">
        <is>
          <t>2026-06-19 07:10:32</t>
        </is>
      </c>
      <c r="P3152" t="inlineStr">
        <is>
          <t>2026-06-19 07:10:32</t>
        </is>
      </c>
      <c r="Y3152" t="inlineStr">
        <is>
          <t>27646611483</t>
        </is>
      </c>
    </row>
    <row r="3153">
      <c r="A3153" t="inlineStr">
        <is>
          <t>14946728</t>
        </is>
      </c>
      <c r="B3153" t="inlineStr">
        <is>
          <t>dba9f812-4001-4dd9-bc93-b5391b2019b2</t>
        </is>
      </c>
      <c r="D3153" t="inlineStr">
        <is>
          <t>30001087</t>
        </is>
      </c>
      <c r="E3153" t="inlineStr">
        <is>
          <t>ussd_funeral_leads_altitude_20260619</t>
        </is>
      </c>
      <c r="J3153" t="inlineStr">
        <is>
          <t>ADC</t>
        </is>
      </c>
      <c r="K3153" t="inlineStr">
        <is>
          <t>Auto Dial Disconnected</t>
        </is>
      </c>
      <c r="L3153" t="n">
        <v>3</v>
      </c>
      <c r="M3153" t="inlineStr">
        <is>
          <t>2026-06-23 12:27:32</t>
        </is>
      </c>
      <c r="N3153" t="inlineStr">
        <is>
          <t>system</t>
        </is>
      </c>
      <c r="O3153" t="inlineStr">
        <is>
          <t>2026-06-19 07:10:32</t>
        </is>
      </c>
      <c r="P3153" t="inlineStr">
        <is>
          <t>2026-06-19 07:10:32</t>
        </is>
      </c>
      <c r="Y3153" t="inlineStr">
        <is>
          <t>27820707148</t>
        </is>
      </c>
    </row>
    <row r="3154">
      <c r="A3154" t="inlineStr">
        <is>
          <t>14947742</t>
        </is>
      </c>
      <c r="B3154" t="inlineStr">
        <is>
          <t>d57938e0-46ab-476a-b7d4-f1fcb138195b</t>
        </is>
      </c>
      <c r="D3154" t="inlineStr">
        <is>
          <t>30001087</t>
        </is>
      </c>
      <c r="E3154" t="inlineStr">
        <is>
          <t>ussd_funeral_leads_altitude_20260619</t>
        </is>
      </c>
      <c r="J3154" t="inlineStr">
        <is>
          <t>ADC</t>
        </is>
      </c>
      <c r="K3154" t="inlineStr">
        <is>
          <t>Auto Dial Disconnected</t>
        </is>
      </c>
      <c r="L3154" t="n">
        <v>3</v>
      </c>
      <c r="M3154" t="inlineStr">
        <is>
          <t>2026-06-23 12:27:31</t>
        </is>
      </c>
      <c r="N3154" t="inlineStr">
        <is>
          <t>system</t>
        </is>
      </c>
      <c r="O3154" t="inlineStr">
        <is>
          <t>2026-06-19 07:10:32</t>
        </is>
      </c>
      <c r="P3154" t="inlineStr">
        <is>
          <t>2026-06-19 07:10:32</t>
        </is>
      </c>
      <c r="Y3154" t="inlineStr">
        <is>
          <t>27711946130</t>
        </is>
      </c>
    </row>
    <row r="3155">
      <c r="A3155" t="inlineStr">
        <is>
          <t>14945902</t>
        </is>
      </c>
      <c r="B3155" t="inlineStr">
        <is>
          <t>bd7efc0f-16d2-4db1-9009-4bb8dfe722e2</t>
        </is>
      </c>
      <c r="D3155" t="inlineStr">
        <is>
          <t>30001087</t>
        </is>
      </c>
      <c r="E3155" t="inlineStr">
        <is>
          <t>ussd_funeral_leads_altitude_20260619</t>
        </is>
      </c>
      <c r="J3155" t="inlineStr">
        <is>
          <t>AA</t>
        </is>
      </c>
      <c r="K3155" t="inlineStr">
        <is>
          <t>Answering Machine Autodial</t>
        </is>
      </c>
      <c r="L3155" t="n">
        <v>3</v>
      </c>
      <c r="M3155" t="inlineStr">
        <is>
          <t>2026-06-23 12:15:47</t>
        </is>
      </c>
      <c r="N3155" t="inlineStr">
        <is>
          <t>system</t>
        </is>
      </c>
      <c r="O3155" t="inlineStr">
        <is>
          <t>2026-06-19 07:10:32</t>
        </is>
      </c>
      <c r="P3155" t="inlineStr">
        <is>
          <t>2026-06-19 07:10:32</t>
        </is>
      </c>
      <c r="Y3155" t="inlineStr">
        <is>
          <t>27660013335</t>
        </is>
      </c>
    </row>
    <row r="3156">
      <c r="A3156" t="inlineStr">
        <is>
          <t>14945901</t>
        </is>
      </c>
      <c r="B3156" t="inlineStr">
        <is>
          <t>97ad2570-8ebe-472f-a761-1d92e3744966</t>
        </is>
      </c>
      <c r="D3156" t="inlineStr">
        <is>
          <t>30001087</t>
        </is>
      </c>
      <c r="E3156" t="inlineStr">
        <is>
          <t>ussd_funeral_leads_altitude_20260619</t>
        </is>
      </c>
      <c r="J3156" t="inlineStr">
        <is>
          <t>NA</t>
        </is>
      </c>
      <c r="K3156" t="inlineStr">
        <is>
          <t>No Answer Autodial</t>
        </is>
      </c>
      <c r="L3156" t="n">
        <v>3</v>
      </c>
      <c r="M3156" t="inlineStr">
        <is>
          <t>2026-06-23 12:15:46</t>
        </is>
      </c>
      <c r="N3156" t="inlineStr">
        <is>
          <t>system</t>
        </is>
      </c>
      <c r="O3156" t="inlineStr">
        <is>
          <t>2026-06-19 07:10:32</t>
        </is>
      </c>
      <c r="P3156" t="inlineStr">
        <is>
          <t>2026-06-19 07:10:32</t>
        </is>
      </c>
      <c r="Y3156" t="inlineStr">
        <is>
          <t>27663798994</t>
        </is>
      </c>
    </row>
    <row r="3157">
      <c r="A3157" t="inlineStr">
        <is>
          <t>14945900</t>
        </is>
      </c>
      <c r="B3157" t="inlineStr">
        <is>
          <t>711c42df-bef1-4413-a591-9efc45df6f13</t>
        </is>
      </c>
      <c r="D3157" t="inlineStr">
        <is>
          <t>30001087</t>
        </is>
      </c>
      <c r="E3157" t="inlineStr">
        <is>
          <t>ussd_funeral_leads_altitude_20260619</t>
        </is>
      </c>
      <c r="J3157" t="inlineStr">
        <is>
          <t>AA</t>
        </is>
      </c>
      <c r="K3157" t="inlineStr">
        <is>
          <t>Answering Machine Autodial</t>
        </is>
      </c>
      <c r="L3157" t="n">
        <v>3</v>
      </c>
      <c r="M3157" t="inlineStr">
        <is>
          <t>2026-06-23 12:15:35</t>
        </is>
      </c>
      <c r="N3157" t="inlineStr">
        <is>
          <t>system</t>
        </is>
      </c>
      <c r="O3157" t="inlineStr">
        <is>
          <t>2026-06-19 07:10:32</t>
        </is>
      </c>
      <c r="P3157" t="inlineStr">
        <is>
          <t>2026-06-19 07:10:32</t>
        </is>
      </c>
      <c r="Y3157" t="inlineStr">
        <is>
          <t>27712335750</t>
        </is>
      </c>
    </row>
    <row r="3158">
      <c r="A3158" t="inlineStr">
        <is>
          <t>14945899</t>
        </is>
      </c>
      <c r="B3158" t="inlineStr">
        <is>
          <t>c099e1a0-155e-4bbe-90e0-f1f505f8d0b3</t>
        </is>
      </c>
      <c r="D3158" t="inlineStr">
        <is>
          <t>30001087</t>
        </is>
      </c>
      <c r="E3158" t="inlineStr">
        <is>
          <t>ussd_funeral_leads_altitude_20260619</t>
        </is>
      </c>
      <c r="J3158" t="inlineStr">
        <is>
          <t>CU</t>
        </is>
      </c>
      <c r="K3158" t="inlineStr">
        <is>
          <t>Client Hung Up</t>
        </is>
      </c>
      <c r="L3158" t="n">
        <v>3</v>
      </c>
      <c r="M3158" t="inlineStr">
        <is>
          <t>2026-06-23 12:15:32</t>
        </is>
      </c>
      <c r="N3158" t="inlineStr">
        <is>
          <t>Vuyiswa Nxumalo</t>
        </is>
      </c>
      <c r="O3158" t="inlineStr">
        <is>
          <t>2026-06-19 07:10:32</t>
        </is>
      </c>
      <c r="P3158" t="inlineStr">
        <is>
          <t>2026-06-19 07:10:32</t>
        </is>
      </c>
      <c r="Y3158" t="inlineStr">
        <is>
          <t>27649229994</t>
        </is>
      </c>
    </row>
    <row r="3159">
      <c r="A3159" t="inlineStr">
        <is>
          <t>14945575</t>
        </is>
      </c>
      <c r="B3159" t="inlineStr">
        <is>
          <t>d5317cb9-7438-4233-803a-6e5cf94725e4</t>
        </is>
      </c>
      <c r="D3159" t="inlineStr">
        <is>
          <t>30001087</t>
        </is>
      </c>
      <c r="E3159" t="inlineStr">
        <is>
          <t>ussd_funeral_leads_altitude_20260619</t>
        </is>
      </c>
      <c r="J3159" t="inlineStr">
        <is>
          <t>GTTB</t>
        </is>
      </c>
      <c r="K3159" t="inlineStr">
        <is>
          <t>Go To The Branch</t>
        </is>
      </c>
      <c r="L3159" t="n">
        <v>5</v>
      </c>
      <c r="M3159" t="inlineStr">
        <is>
          <t>2026-06-23 12:03:04</t>
        </is>
      </c>
      <c r="N3159" t="inlineStr">
        <is>
          <t>Vuyiswa Nxumalo</t>
        </is>
      </c>
      <c r="O3159" t="inlineStr">
        <is>
          <t>2026-06-19 07:10:32</t>
        </is>
      </c>
      <c r="P3159" t="inlineStr">
        <is>
          <t>2026-06-19 07:10:32</t>
        </is>
      </c>
      <c r="Y3159" t="inlineStr">
        <is>
          <t>27607555724</t>
        </is>
      </c>
    </row>
    <row r="3160">
      <c r="A3160" t="inlineStr">
        <is>
          <t>14944053</t>
        </is>
      </c>
      <c r="B3160" t="inlineStr">
        <is>
          <t>de2bd3ca-596d-4a09-a61d-34af5addd9f4</t>
        </is>
      </c>
      <c r="D3160" t="inlineStr">
        <is>
          <t>30001087</t>
        </is>
      </c>
      <c r="E3160" t="inlineStr">
        <is>
          <t>ussd_funeral_leads_altitude_20260619</t>
        </is>
      </c>
      <c r="H3160" t="inlineStr">
        <is>
          <t>27663625000</t>
        </is>
      </c>
      <c r="J3160" t="inlineStr">
        <is>
          <t>CU</t>
        </is>
      </c>
      <c r="K3160" t="inlineStr">
        <is>
          <t>Client Hung Up</t>
        </is>
      </c>
      <c r="L3160" t="n">
        <v>2</v>
      </c>
      <c r="M3160" t="inlineStr">
        <is>
          <t>2026-06-23 11:55:25</t>
        </is>
      </c>
      <c r="N3160" t="inlineStr">
        <is>
          <t>Lebohang Mabotja</t>
        </is>
      </c>
      <c r="O3160" t="inlineStr">
        <is>
          <t>2026-06-19 07:10:32</t>
        </is>
      </c>
      <c r="P3160" t="inlineStr">
        <is>
          <t>2026-06-19 07:10:32</t>
        </is>
      </c>
      <c r="Y3160" t="inlineStr">
        <is>
          <t>27663625000</t>
        </is>
      </c>
    </row>
    <row r="3161">
      <c r="A3161" t="inlineStr">
        <is>
          <t>14947017</t>
        </is>
      </c>
      <c r="B3161" t="inlineStr">
        <is>
          <t>610bcdc0-9670-4d5f-8660-ff8a4606e049</t>
        </is>
      </c>
      <c r="D3161" t="inlineStr">
        <is>
          <t>30001087</t>
        </is>
      </c>
      <c r="E3161" t="inlineStr">
        <is>
          <t>ussd_funeral_leads_altitude_20260619</t>
        </is>
      </c>
      <c r="J3161" t="inlineStr">
        <is>
          <t>N</t>
        </is>
      </c>
      <c r="K3161" t="inlineStr">
        <is>
          <t>No Answer</t>
        </is>
      </c>
      <c r="L3161" t="n">
        <v>5</v>
      </c>
      <c r="M3161" t="inlineStr">
        <is>
          <t>2026-06-23 11:55:16</t>
        </is>
      </c>
      <c r="N3161" t="inlineStr">
        <is>
          <t>Lebohang Mabotja</t>
        </is>
      </c>
      <c r="O3161" t="inlineStr">
        <is>
          <t>2026-06-19 07:10:32</t>
        </is>
      </c>
      <c r="P3161" t="inlineStr">
        <is>
          <t>2026-06-19 07:10:32</t>
        </is>
      </c>
      <c r="Y3161" t="inlineStr">
        <is>
          <t>27713340796</t>
        </is>
      </c>
    </row>
    <row r="3162">
      <c r="A3162" t="inlineStr">
        <is>
          <t>14945690</t>
        </is>
      </c>
      <c r="B3162" t="inlineStr">
        <is>
          <t>a3ce4618-edee-4651-ab69-30a29e84fc27</t>
        </is>
      </c>
      <c r="D3162" t="inlineStr">
        <is>
          <t>30001087</t>
        </is>
      </c>
      <c r="E3162" t="inlineStr">
        <is>
          <t>ussd_funeral_leads_altitude_20260619</t>
        </is>
      </c>
      <c r="J3162" t="inlineStr">
        <is>
          <t>AA</t>
        </is>
      </c>
      <c r="K3162" t="inlineStr">
        <is>
          <t>Answering Machine Autodial</t>
        </is>
      </c>
      <c r="L3162" t="n">
        <v>3</v>
      </c>
      <c r="M3162" t="inlineStr">
        <is>
          <t>2026-06-23 11:51:18</t>
        </is>
      </c>
      <c r="N3162" t="inlineStr">
        <is>
          <t>system</t>
        </is>
      </c>
      <c r="O3162" t="inlineStr">
        <is>
          <t>2026-06-19 07:10:32</t>
        </is>
      </c>
      <c r="P3162" t="inlineStr">
        <is>
          <t>2026-06-19 07:10:32</t>
        </is>
      </c>
      <c r="Y3162" t="inlineStr">
        <is>
          <t>27711089707</t>
        </is>
      </c>
    </row>
    <row r="3163">
      <c r="A3163" t="inlineStr">
        <is>
          <t>14943219</t>
        </is>
      </c>
      <c r="B3163" t="inlineStr">
        <is>
          <t>fc33aab2-da4d-4b22-bfce-8e2b8bbfb957</t>
        </is>
      </c>
      <c r="D3163" t="inlineStr">
        <is>
          <t>30001087</t>
        </is>
      </c>
      <c r="E3163" t="inlineStr">
        <is>
          <t>ussd_funeral_leads_altitude_20260619</t>
        </is>
      </c>
      <c r="J3163" t="inlineStr">
        <is>
          <t>A</t>
        </is>
      </c>
      <c r="K3163" t="inlineStr">
        <is>
          <t>Answering Machine</t>
        </is>
      </c>
      <c r="L3163" t="n">
        <v>3</v>
      </c>
      <c r="M3163" t="inlineStr">
        <is>
          <t>2026-06-23 11:26:40</t>
        </is>
      </c>
      <c r="N3163" t="inlineStr">
        <is>
          <t>Goitsimang Mogwasa</t>
        </is>
      </c>
      <c r="O3163" t="inlineStr">
        <is>
          <t>2026-06-19 07:10:32</t>
        </is>
      </c>
      <c r="P3163" t="inlineStr">
        <is>
          <t>2026-06-19 07:10:32</t>
        </is>
      </c>
      <c r="Y3163" t="inlineStr">
        <is>
          <t>27772060801</t>
        </is>
      </c>
    </row>
    <row r="3164">
      <c r="A3164" t="inlineStr">
        <is>
          <t>14945898</t>
        </is>
      </c>
      <c r="B3164" t="inlineStr">
        <is>
          <t>6c214f82-f24b-4e0d-a707-4baa3a321b24</t>
        </is>
      </c>
      <c r="D3164" t="inlineStr">
        <is>
          <t>30001087</t>
        </is>
      </c>
      <c r="E3164" t="inlineStr">
        <is>
          <t>ussd_funeral_leads_altitude_20260619</t>
        </is>
      </c>
      <c r="J3164" t="inlineStr">
        <is>
          <t>ADC</t>
        </is>
      </c>
      <c r="K3164" t="inlineStr">
        <is>
          <t>Auto Dial Disconnected</t>
        </is>
      </c>
      <c r="L3164" t="n">
        <v>3</v>
      </c>
      <c r="M3164" t="inlineStr">
        <is>
          <t>2026-06-23 10:55:11</t>
        </is>
      </c>
      <c r="N3164" t="inlineStr">
        <is>
          <t>system</t>
        </is>
      </c>
      <c r="O3164" t="inlineStr">
        <is>
          <t>2026-06-19 07:10:32</t>
        </is>
      </c>
      <c r="P3164" t="inlineStr">
        <is>
          <t>2026-06-19 07:10:32</t>
        </is>
      </c>
      <c r="Y3164" t="inlineStr">
        <is>
          <t>27767354260</t>
        </is>
      </c>
    </row>
    <row r="3165">
      <c r="A3165" t="inlineStr">
        <is>
          <t>14945905</t>
        </is>
      </c>
      <c r="B3165" t="inlineStr">
        <is>
          <t>c6fea42e-4b68-42ca-a65e-277fc3269b0b</t>
        </is>
      </c>
      <c r="D3165" t="inlineStr">
        <is>
          <t>30001087</t>
        </is>
      </c>
      <c r="E3165" t="inlineStr">
        <is>
          <t>ussd_funeral_leads_altitude_20260619</t>
        </is>
      </c>
      <c r="J3165" t="inlineStr">
        <is>
          <t>TDN</t>
        </is>
      </c>
      <c r="K3165" t="inlineStr">
        <is>
          <t>Temporary Disconnected Number</t>
        </is>
      </c>
      <c r="L3165" t="n">
        <v>3</v>
      </c>
      <c r="M3165" t="inlineStr">
        <is>
          <t>2026-06-23 10:55:11</t>
        </is>
      </c>
      <c r="N3165" t="inlineStr">
        <is>
          <t>system</t>
        </is>
      </c>
      <c r="O3165" t="inlineStr">
        <is>
          <t>2026-06-19 07:10:32</t>
        </is>
      </c>
      <c r="P3165" t="inlineStr">
        <is>
          <t>2026-06-19 07:10:32</t>
        </is>
      </c>
      <c r="Y3165" t="inlineStr">
        <is>
          <t>27820597799</t>
        </is>
      </c>
    </row>
    <row r="3166">
      <c r="A3166" t="inlineStr">
        <is>
          <t>14945914</t>
        </is>
      </c>
      <c r="B3166" t="inlineStr">
        <is>
          <t>8a33e2cf-d18a-4096-b6f4-bd0963935772</t>
        </is>
      </c>
      <c r="D3166" t="inlineStr">
        <is>
          <t>30001087</t>
        </is>
      </c>
      <c r="E3166" t="inlineStr">
        <is>
          <t>ussd_funeral_leads_altitude_20260619</t>
        </is>
      </c>
      <c r="J3166" t="inlineStr">
        <is>
          <t>AA</t>
        </is>
      </c>
      <c r="K3166" t="inlineStr">
        <is>
          <t>Answering Machine Autodial</t>
        </is>
      </c>
      <c r="L3166" t="n">
        <v>3</v>
      </c>
      <c r="M3166" t="inlineStr">
        <is>
          <t>2026-06-23 10:55:11</t>
        </is>
      </c>
      <c r="N3166" t="inlineStr">
        <is>
          <t>system</t>
        </is>
      </c>
      <c r="O3166" t="inlineStr">
        <is>
          <t>2026-06-19 07:10:32</t>
        </is>
      </c>
      <c r="P3166" t="inlineStr">
        <is>
          <t>2026-06-19 07:10:32</t>
        </is>
      </c>
      <c r="Y3166" t="inlineStr">
        <is>
          <t>27794192458</t>
        </is>
      </c>
    </row>
    <row r="3167">
      <c r="A3167" t="inlineStr">
        <is>
          <t>14945915</t>
        </is>
      </c>
      <c r="B3167" t="inlineStr">
        <is>
          <t>ad7689e6-c792-4be1-999b-0a9471a01171</t>
        </is>
      </c>
      <c r="D3167" t="inlineStr">
        <is>
          <t>30001087</t>
        </is>
      </c>
      <c r="E3167" t="inlineStr">
        <is>
          <t>ussd_funeral_leads_altitude_20260619</t>
        </is>
      </c>
      <c r="J3167" t="inlineStr">
        <is>
          <t>AA</t>
        </is>
      </c>
      <c r="K3167" t="inlineStr">
        <is>
          <t>Answering Machine Autodial</t>
        </is>
      </c>
      <c r="L3167" t="n">
        <v>3</v>
      </c>
      <c r="M3167" t="inlineStr">
        <is>
          <t>2026-06-23 10:55:11</t>
        </is>
      </c>
      <c r="N3167" t="inlineStr">
        <is>
          <t>system</t>
        </is>
      </c>
      <c r="O3167" t="inlineStr">
        <is>
          <t>2026-06-19 07:10:32</t>
        </is>
      </c>
      <c r="P3167" t="inlineStr">
        <is>
          <t>2026-06-19 07:10:32</t>
        </is>
      </c>
      <c r="Y3167" t="inlineStr">
        <is>
          <t>27607799467</t>
        </is>
      </c>
    </row>
    <row r="3168">
      <c r="A3168" t="inlineStr">
        <is>
          <t>14946012</t>
        </is>
      </c>
      <c r="B3168" t="inlineStr">
        <is>
          <t>72b86245-810d-47b1-9ddc-ae5c26380547</t>
        </is>
      </c>
      <c r="D3168" t="inlineStr">
        <is>
          <t>30001087</t>
        </is>
      </c>
      <c r="E3168" t="inlineStr">
        <is>
          <t>ussd_funeral_leads_altitude_20260619</t>
        </is>
      </c>
      <c r="J3168" t="inlineStr">
        <is>
          <t>ADC</t>
        </is>
      </c>
      <c r="K3168" t="inlineStr">
        <is>
          <t>Auto Dial Disconnected</t>
        </is>
      </c>
      <c r="L3168" t="n">
        <v>3</v>
      </c>
      <c r="M3168" t="inlineStr">
        <is>
          <t>2026-06-23 10:55:11</t>
        </is>
      </c>
      <c r="N3168" t="inlineStr">
        <is>
          <t>system</t>
        </is>
      </c>
      <c r="O3168" t="inlineStr">
        <is>
          <t>2026-06-19 07:10:32</t>
        </is>
      </c>
      <c r="P3168" t="inlineStr">
        <is>
          <t>2026-06-19 07:10:32</t>
        </is>
      </c>
      <c r="Y3168" t="inlineStr">
        <is>
          <t>27711687033</t>
        </is>
      </c>
    </row>
    <row r="3169">
      <c r="A3169" t="inlineStr">
        <is>
          <t>14945894</t>
        </is>
      </c>
      <c r="B3169" t="inlineStr">
        <is>
          <t>848cb006-6d21-4863-baf6-20597adf8b1c</t>
        </is>
      </c>
      <c r="D3169" t="inlineStr">
        <is>
          <t>30001087</t>
        </is>
      </c>
      <c r="E3169" t="inlineStr">
        <is>
          <t>ussd_funeral_leads_altitude_20260619</t>
        </is>
      </c>
      <c r="J3169" t="inlineStr">
        <is>
          <t>AA</t>
        </is>
      </c>
      <c r="K3169" t="inlineStr">
        <is>
          <t>Answering Machine Autodial</t>
        </is>
      </c>
      <c r="L3169" t="n">
        <v>3</v>
      </c>
      <c r="M3169" t="inlineStr">
        <is>
          <t>2026-06-23 10:55:10</t>
        </is>
      </c>
      <c r="N3169" t="inlineStr">
        <is>
          <t>system</t>
        </is>
      </c>
      <c r="O3169" t="inlineStr">
        <is>
          <t>2026-06-19 07:10:32</t>
        </is>
      </c>
      <c r="P3169" t="inlineStr">
        <is>
          <t>2026-06-19 07:10:32</t>
        </is>
      </c>
      <c r="Y3169" t="inlineStr">
        <is>
          <t>27790825809</t>
        </is>
      </c>
    </row>
    <row r="3170">
      <c r="A3170" t="inlineStr">
        <is>
          <t>14945695</t>
        </is>
      </c>
      <c r="B3170" t="inlineStr">
        <is>
          <t>fef5491a-d8f6-483c-8f45-fe98a9ae07d1</t>
        </is>
      </c>
      <c r="D3170" t="inlineStr">
        <is>
          <t>30001087</t>
        </is>
      </c>
      <c r="E3170" t="inlineStr">
        <is>
          <t>ussd_funeral_leads_altitude_20260619</t>
        </is>
      </c>
      <c r="J3170" t="inlineStr">
        <is>
          <t>AE</t>
        </is>
      </c>
      <c r="K3170" t="inlineStr">
        <is>
          <t>Auto Engaged</t>
        </is>
      </c>
      <c r="L3170" t="n">
        <v>3</v>
      </c>
      <c r="M3170" t="inlineStr">
        <is>
          <t>2026-06-23 10:55:07</t>
        </is>
      </c>
      <c r="N3170" t="inlineStr">
        <is>
          <t>system</t>
        </is>
      </c>
      <c r="O3170" t="inlineStr">
        <is>
          <t>2026-06-19 07:10:32</t>
        </is>
      </c>
      <c r="P3170" t="inlineStr">
        <is>
          <t>2026-06-19 07:10:32</t>
        </is>
      </c>
      <c r="Y3170" t="inlineStr">
        <is>
          <t>27729884752</t>
        </is>
      </c>
    </row>
    <row r="3171">
      <c r="A3171" t="inlineStr">
        <is>
          <t>14945912</t>
        </is>
      </c>
      <c r="B3171" t="inlineStr">
        <is>
          <t>ca870853-90ca-4fa9-8028-170ac42d1f42</t>
        </is>
      </c>
      <c r="D3171" t="inlineStr">
        <is>
          <t>30001087</t>
        </is>
      </c>
      <c r="E3171" t="inlineStr">
        <is>
          <t>ussd_funeral_leads_altitude_20260619</t>
        </is>
      </c>
      <c r="J3171" t="inlineStr">
        <is>
          <t>CU</t>
        </is>
      </c>
      <c r="K3171" t="inlineStr">
        <is>
          <t>Client Hung Up</t>
        </is>
      </c>
      <c r="L3171" t="n">
        <v>3</v>
      </c>
      <c r="M3171" t="inlineStr">
        <is>
          <t>2026-06-23 10:54:13</t>
        </is>
      </c>
      <c r="N3171" t="inlineStr">
        <is>
          <t>Goitsimang Mogwasa</t>
        </is>
      </c>
      <c r="O3171" t="inlineStr">
        <is>
          <t>2026-06-19 07:10:32</t>
        </is>
      </c>
      <c r="P3171" t="inlineStr">
        <is>
          <t>2026-06-19 07:10:32</t>
        </is>
      </c>
      <c r="Y3171" t="inlineStr">
        <is>
          <t>27727316786</t>
        </is>
      </c>
    </row>
    <row r="3172">
      <c r="A3172" t="inlineStr">
        <is>
          <t>14946072</t>
        </is>
      </c>
      <c r="B3172" t="inlineStr">
        <is>
          <t>01f6cac0-19cc-4e57-947a-b2277b46872d</t>
        </is>
      </c>
      <c r="D3172" t="inlineStr">
        <is>
          <t>30001087</t>
        </is>
      </c>
      <c r="E3172" t="inlineStr">
        <is>
          <t>ussd_funeral_leads_altitude_20260619</t>
        </is>
      </c>
      <c r="J3172" t="inlineStr">
        <is>
          <t>AA</t>
        </is>
      </c>
      <c r="K3172" t="inlineStr">
        <is>
          <t>Answering Machine Autodial</t>
        </is>
      </c>
      <c r="L3172" t="n">
        <v>3</v>
      </c>
      <c r="M3172" t="inlineStr">
        <is>
          <t>2026-06-23 10:54:13</t>
        </is>
      </c>
      <c r="N3172" t="inlineStr">
        <is>
          <t>system</t>
        </is>
      </c>
      <c r="O3172" t="inlineStr">
        <is>
          <t>2026-06-19 07:10:32</t>
        </is>
      </c>
      <c r="P3172" t="inlineStr">
        <is>
          <t>2026-06-19 07:10:32</t>
        </is>
      </c>
      <c r="Y3172" t="inlineStr">
        <is>
          <t>27765416558</t>
        </is>
      </c>
    </row>
    <row r="3173">
      <c r="A3173" t="inlineStr">
        <is>
          <t>14945897</t>
        </is>
      </c>
      <c r="B3173" t="inlineStr">
        <is>
          <t>d473ecfd-3bed-410e-9085-68f43d1bfe77</t>
        </is>
      </c>
      <c r="D3173" t="inlineStr">
        <is>
          <t>30001087</t>
        </is>
      </c>
      <c r="E3173" t="inlineStr">
        <is>
          <t>ussd_funeral_leads_altitude_20260619</t>
        </is>
      </c>
      <c r="J3173" t="inlineStr">
        <is>
          <t>AA</t>
        </is>
      </c>
      <c r="K3173" t="inlineStr">
        <is>
          <t>Answering Machine Autodial</t>
        </is>
      </c>
      <c r="L3173" t="n">
        <v>3</v>
      </c>
      <c r="M3173" t="inlineStr">
        <is>
          <t>2026-06-23 10:54:12</t>
        </is>
      </c>
      <c r="N3173" t="inlineStr">
        <is>
          <t>system</t>
        </is>
      </c>
      <c r="O3173" t="inlineStr">
        <is>
          <t>2026-06-19 07:10:32</t>
        </is>
      </c>
      <c r="P3173" t="inlineStr">
        <is>
          <t>2026-06-19 07:10:32</t>
        </is>
      </c>
      <c r="Y3173" t="inlineStr">
        <is>
          <t>27793418396</t>
        </is>
      </c>
    </row>
    <row r="3174">
      <c r="A3174" t="inlineStr">
        <is>
          <t>14945903</t>
        </is>
      </c>
      <c r="B3174" t="inlineStr">
        <is>
          <t>44347ff7-d2cf-4d1d-96f6-3475791dba66</t>
        </is>
      </c>
      <c r="D3174" t="inlineStr">
        <is>
          <t>30001087</t>
        </is>
      </c>
      <c r="E3174" t="inlineStr">
        <is>
          <t>ussd_funeral_leads_altitude_20260619</t>
        </is>
      </c>
      <c r="J3174" t="inlineStr">
        <is>
          <t>AA</t>
        </is>
      </c>
      <c r="K3174" t="inlineStr">
        <is>
          <t>Answering Machine Autodial</t>
        </is>
      </c>
      <c r="L3174" t="n">
        <v>3</v>
      </c>
      <c r="M3174" t="inlineStr">
        <is>
          <t>2026-06-23 10:54:04</t>
        </is>
      </c>
      <c r="N3174" t="inlineStr">
        <is>
          <t>system</t>
        </is>
      </c>
      <c r="O3174" t="inlineStr">
        <is>
          <t>2026-06-19 07:10:32</t>
        </is>
      </c>
      <c r="P3174" t="inlineStr">
        <is>
          <t>2026-06-19 07:10:32</t>
        </is>
      </c>
      <c r="Y3174" t="inlineStr">
        <is>
          <t>27767945992</t>
        </is>
      </c>
    </row>
    <row r="3175">
      <c r="A3175" t="inlineStr">
        <is>
          <t>14945686</t>
        </is>
      </c>
      <c r="B3175" t="inlineStr">
        <is>
          <t>887cecb3-6d2d-4ef2-ae74-db040998a3ed</t>
        </is>
      </c>
      <c r="D3175" t="inlineStr">
        <is>
          <t>30001087</t>
        </is>
      </c>
      <c r="E3175" t="inlineStr">
        <is>
          <t>ussd_funeral_leads_altitude_20260619</t>
        </is>
      </c>
      <c r="J3175" t="inlineStr">
        <is>
          <t>AA</t>
        </is>
      </c>
      <c r="K3175" t="inlineStr">
        <is>
          <t>Answering Machine Autodial</t>
        </is>
      </c>
      <c r="L3175" t="n">
        <v>3</v>
      </c>
      <c r="M3175" t="inlineStr">
        <is>
          <t>2026-06-23 10:54:01</t>
        </is>
      </c>
      <c r="N3175" t="inlineStr">
        <is>
          <t>system</t>
        </is>
      </c>
      <c r="O3175" t="inlineStr">
        <is>
          <t>2026-06-19 07:10:32</t>
        </is>
      </c>
      <c r="P3175" t="inlineStr">
        <is>
          <t>2026-06-19 07:10:32</t>
        </is>
      </c>
      <c r="Y3175" t="inlineStr">
        <is>
          <t>27728160993</t>
        </is>
      </c>
    </row>
    <row r="3176">
      <c r="A3176" t="inlineStr">
        <is>
          <t>14945698</t>
        </is>
      </c>
      <c r="B3176" t="inlineStr">
        <is>
          <t>e27c1ca3-f4ce-4655-bc3e-50a9fbfd18b9</t>
        </is>
      </c>
      <c r="D3176" t="inlineStr">
        <is>
          <t>30001087</t>
        </is>
      </c>
      <c r="E3176" t="inlineStr">
        <is>
          <t>ussd_funeral_leads_altitude_20260619</t>
        </is>
      </c>
      <c r="J3176" t="inlineStr">
        <is>
          <t>DROP</t>
        </is>
      </c>
      <c r="K3176" t="inlineStr">
        <is>
          <t>Dropped</t>
        </is>
      </c>
      <c r="L3176" t="n">
        <v>3</v>
      </c>
      <c r="M3176" t="inlineStr">
        <is>
          <t>2026-06-23 10:54:01</t>
        </is>
      </c>
      <c r="N3176" t="inlineStr">
        <is>
          <t>system</t>
        </is>
      </c>
      <c r="O3176" t="inlineStr">
        <is>
          <t>2026-06-19 07:10:32</t>
        </is>
      </c>
      <c r="P3176" t="inlineStr">
        <is>
          <t>2026-06-19 07:10:32</t>
        </is>
      </c>
      <c r="Y3176" t="inlineStr">
        <is>
          <t>27649301903</t>
        </is>
      </c>
    </row>
    <row r="3177">
      <c r="A3177" t="inlineStr">
        <is>
          <t>14945685</t>
        </is>
      </c>
      <c r="B3177" t="inlineStr">
        <is>
          <t>1f874f29-374f-4c27-afee-8e74e672c5f1</t>
        </is>
      </c>
      <c r="D3177" t="inlineStr">
        <is>
          <t>30001087</t>
        </is>
      </c>
      <c r="E3177" t="inlineStr">
        <is>
          <t>ussd_funeral_leads_altitude_20260619</t>
        </is>
      </c>
      <c r="J3177" t="inlineStr">
        <is>
          <t>ADC</t>
        </is>
      </c>
      <c r="K3177" t="inlineStr">
        <is>
          <t>Auto Dial Disconnected</t>
        </is>
      </c>
      <c r="L3177" t="n">
        <v>3</v>
      </c>
      <c r="M3177" t="inlineStr">
        <is>
          <t>2026-06-23 10:54:00</t>
        </is>
      </c>
      <c r="N3177" t="inlineStr">
        <is>
          <t>system</t>
        </is>
      </c>
      <c r="O3177" t="inlineStr">
        <is>
          <t>2026-06-19 07:10:32</t>
        </is>
      </c>
      <c r="P3177" t="inlineStr">
        <is>
          <t>2026-06-19 07:10:32</t>
        </is>
      </c>
      <c r="Y3177" t="inlineStr">
        <is>
          <t>27664094700</t>
        </is>
      </c>
    </row>
    <row r="3178">
      <c r="A3178" t="inlineStr">
        <is>
          <t>14947665</t>
        </is>
      </c>
      <c r="B3178" t="inlineStr">
        <is>
          <t>beee7e15-bfdd-49a8-90d1-99ba3e065596</t>
        </is>
      </c>
      <c r="D3178" t="inlineStr">
        <is>
          <t>30001087</t>
        </is>
      </c>
      <c r="E3178" t="inlineStr">
        <is>
          <t>ussd_funeral_leads_altitude_20260619</t>
        </is>
      </c>
      <c r="J3178" t="inlineStr">
        <is>
          <t>AA</t>
        </is>
      </c>
      <c r="K3178" t="inlineStr">
        <is>
          <t>Answering Machine Autodial</t>
        </is>
      </c>
      <c r="L3178" t="n">
        <v>3</v>
      </c>
      <c r="M3178" t="inlineStr">
        <is>
          <t>2026-06-23 10:53:59</t>
        </is>
      </c>
      <c r="N3178" t="inlineStr">
        <is>
          <t>system</t>
        </is>
      </c>
      <c r="O3178" t="inlineStr">
        <is>
          <t>2026-06-19 07:10:32</t>
        </is>
      </c>
      <c r="P3178" t="inlineStr">
        <is>
          <t>2026-06-19 07:10:32</t>
        </is>
      </c>
      <c r="Y3178" t="inlineStr">
        <is>
          <t>27818683642</t>
        </is>
      </c>
    </row>
    <row r="3179">
      <c r="A3179" t="inlineStr">
        <is>
          <t>14945691</t>
        </is>
      </c>
      <c r="B3179" t="inlineStr">
        <is>
          <t>05521498-73bb-4089-a758-5d48c8f0e52a</t>
        </is>
      </c>
      <c r="D3179" t="inlineStr">
        <is>
          <t>30001087</t>
        </is>
      </c>
      <c r="E3179" t="inlineStr">
        <is>
          <t>ussd_funeral_leads_altitude_20260619</t>
        </is>
      </c>
      <c r="J3179" t="inlineStr">
        <is>
          <t>AA</t>
        </is>
      </c>
      <c r="K3179" t="inlineStr">
        <is>
          <t>Answering Machine Autodial</t>
        </is>
      </c>
      <c r="L3179" t="n">
        <v>3</v>
      </c>
      <c r="M3179" t="inlineStr">
        <is>
          <t>2026-06-23 10:53:12</t>
        </is>
      </c>
      <c r="N3179" t="inlineStr">
        <is>
          <t>system</t>
        </is>
      </c>
      <c r="O3179" t="inlineStr">
        <is>
          <t>2026-06-19 07:10:32</t>
        </is>
      </c>
      <c r="P3179" t="inlineStr">
        <is>
          <t>2026-06-19 07:10:32</t>
        </is>
      </c>
      <c r="Y3179" t="inlineStr">
        <is>
          <t>27608116362</t>
        </is>
      </c>
    </row>
    <row r="3180">
      <c r="A3180" t="inlineStr">
        <is>
          <t>14946230</t>
        </is>
      </c>
      <c r="B3180" t="inlineStr">
        <is>
          <t>2030bfd5-61e6-40b8-a863-6aceacb89f09</t>
        </is>
      </c>
      <c r="D3180" t="inlineStr">
        <is>
          <t>30001087</t>
        </is>
      </c>
      <c r="E3180" t="inlineStr">
        <is>
          <t>ussd_funeral_leads_altitude_20260619</t>
        </is>
      </c>
      <c r="H3180" t="inlineStr">
        <is>
          <t>27796067383</t>
        </is>
      </c>
      <c r="J3180" t="inlineStr">
        <is>
          <t>CU</t>
        </is>
      </c>
      <c r="K3180" t="inlineStr">
        <is>
          <t>Client Hung Up</t>
        </is>
      </c>
      <c r="L3180" t="n">
        <v>3</v>
      </c>
      <c r="M3180" t="inlineStr">
        <is>
          <t>2026-06-23 10:47:47</t>
        </is>
      </c>
      <c r="N3180" t="inlineStr">
        <is>
          <t>Goitsimang Mogwasa</t>
        </is>
      </c>
      <c r="O3180" t="inlineStr">
        <is>
          <t>2026-06-19 07:10:32</t>
        </is>
      </c>
      <c r="P3180" t="inlineStr">
        <is>
          <t>2026-06-19 07:10:32</t>
        </is>
      </c>
      <c r="Y3180" t="inlineStr">
        <is>
          <t>27796067383</t>
        </is>
      </c>
    </row>
    <row r="3181">
      <c r="A3181" t="inlineStr">
        <is>
          <t>14945964</t>
        </is>
      </c>
      <c r="B3181" t="inlineStr">
        <is>
          <t>b2b080ea-14d0-4140-9481-896922b7c71c</t>
        </is>
      </c>
      <c r="D3181" t="inlineStr">
        <is>
          <t>30001087</t>
        </is>
      </c>
      <c r="E3181" t="inlineStr">
        <is>
          <t>ussd_funeral_leads_altitude_20260619</t>
        </is>
      </c>
      <c r="J3181" t="inlineStr">
        <is>
          <t>AA</t>
        </is>
      </c>
      <c r="K3181" t="inlineStr">
        <is>
          <t>Answering Machine Autodial</t>
        </is>
      </c>
      <c r="L3181" t="n">
        <v>3</v>
      </c>
      <c r="M3181" t="inlineStr">
        <is>
          <t>2026-06-23 10:47:15</t>
        </is>
      </c>
      <c r="N3181" t="inlineStr">
        <is>
          <t>system</t>
        </is>
      </c>
      <c r="O3181" t="inlineStr">
        <is>
          <t>2026-06-19 07:10:32</t>
        </is>
      </c>
      <c r="P3181" t="inlineStr">
        <is>
          <t>2026-06-19 07:10:32</t>
        </is>
      </c>
      <c r="Y3181" t="inlineStr">
        <is>
          <t>27729844044</t>
        </is>
      </c>
    </row>
    <row r="3182">
      <c r="A3182" t="inlineStr">
        <is>
          <t>14946011</t>
        </is>
      </c>
      <c r="B3182" t="inlineStr">
        <is>
          <t>da5efbaf-8b73-4f43-b9e3-8f9ad2e1c225</t>
        </is>
      </c>
      <c r="D3182" t="inlineStr">
        <is>
          <t>30001087</t>
        </is>
      </c>
      <c r="E3182" t="inlineStr">
        <is>
          <t>ussd_funeral_leads_altitude_20260619</t>
        </is>
      </c>
      <c r="J3182" t="inlineStr">
        <is>
          <t>AE</t>
        </is>
      </c>
      <c r="K3182" t="inlineStr">
        <is>
          <t>Auto Engaged</t>
        </is>
      </c>
      <c r="L3182" t="n">
        <v>3</v>
      </c>
      <c r="M3182" t="inlineStr">
        <is>
          <t>2026-06-23 10:47:15</t>
        </is>
      </c>
      <c r="N3182" t="inlineStr">
        <is>
          <t>system</t>
        </is>
      </c>
      <c r="O3182" t="inlineStr">
        <is>
          <t>2026-06-19 07:10:32</t>
        </is>
      </c>
      <c r="P3182" t="inlineStr">
        <is>
          <t>2026-06-19 07:10:32</t>
        </is>
      </c>
      <c r="Y3182" t="inlineStr">
        <is>
          <t>27774953264</t>
        </is>
      </c>
    </row>
    <row r="3183">
      <c r="A3183" t="inlineStr">
        <is>
          <t>14945963</t>
        </is>
      </c>
      <c r="B3183" t="inlineStr">
        <is>
          <t>32315c7d-ab43-49bc-b09b-086fc770d105</t>
        </is>
      </c>
      <c r="D3183" t="inlineStr">
        <is>
          <t>30001087</t>
        </is>
      </c>
      <c r="E3183" t="inlineStr">
        <is>
          <t>ussd_funeral_leads_altitude_20260619</t>
        </is>
      </c>
      <c r="J3183" t="inlineStr">
        <is>
          <t>DROP</t>
        </is>
      </c>
      <c r="K3183" t="inlineStr">
        <is>
          <t>Dropped</t>
        </is>
      </c>
      <c r="L3183" t="n">
        <v>3</v>
      </c>
      <c r="M3183" t="inlineStr">
        <is>
          <t>2026-06-23 10:46:39</t>
        </is>
      </c>
      <c r="N3183" t="inlineStr">
        <is>
          <t>system</t>
        </is>
      </c>
      <c r="O3183" t="inlineStr">
        <is>
          <t>2026-06-19 07:10:32</t>
        </is>
      </c>
      <c r="P3183" t="inlineStr">
        <is>
          <t>2026-06-19 07:10:32</t>
        </is>
      </c>
      <c r="Y3183" t="inlineStr">
        <is>
          <t>27715124498</t>
        </is>
      </c>
    </row>
    <row r="3184">
      <c r="A3184" t="inlineStr">
        <is>
          <t>14945962</t>
        </is>
      </c>
      <c r="B3184" t="inlineStr">
        <is>
          <t>48a11b61-817a-4c3c-af8f-4505e3205d51</t>
        </is>
      </c>
      <c r="D3184" t="inlineStr">
        <is>
          <t>30001087</t>
        </is>
      </c>
      <c r="E3184" t="inlineStr">
        <is>
          <t>ussd_funeral_leads_altitude_20260619</t>
        </is>
      </c>
      <c r="J3184" t="inlineStr">
        <is>
          <t>NA</t>
        </is>
      </c>
      <c r="K3184" t="inlineStr">
        <is>
          <t>No Answer Autodial</t>
        </is>
      </c>
      <c r="L3184" t="n">
        <v>3</v>
      </c>
      <c r="M3184" t="inlineStr">
        <is>
          <t>2026-06-23 10:46:38</t>
        </is>
      </c>
      <c r="N3184" t="inlineStr">
        <is>
          <t>system</t>
        </is>
      </c>
      <c r="O3184" t="inlineStr">
        <is>
          <t>2026-06-19 07:10:32</t>
        </is>
      </c>
      <c r="P3184" t="inlineStr">
        <is>
          <t>2026-06-19 07:10:32</t>
        </is>
      </c>
      <c r="Y3184" t="inlineStr">
        <is>
          <t>27797723725</t>
        </is>
      </c>
    </row>
    <row r="3185">
      <c r="A3185" t="inlineStr">
        <is>
          <t>14900000</t>
        </is>
      </c>
      <c r="B3185" t="inlineStr">
        <is>
          <t>e6161cff-d39d-4853-a706-007ff830e12d</t>
        </is>
      </c>
      <c r="D3185" t="inlineStr">
        <is>
          <t>30001087</t>
        </is>
      </c>
      <c r="E3185" t="inlineStr">
        <is>
          <t>ussd_funeral_leads_altitude_20260619</t>
        </is>
      </c>
      <c r="J3185" t="inlineStr">
        <is>
          <t>DROP</t>
        </is>
      </c>
      <c r="K3185" t="inlineStr">
        <is>
          <t>Dropped</t>
        </is>
      </c>
      <c r="L3185" t="n">
        <v>3</v>
      </c>
      <c r="M3185" t="inlineStr">
        <is>
          <t>2026-06-23 10:46:34</t>
        </is>
      </c>
      <c r="N3185" t="inlineStr">
        <is>
          <t>system</t>
        </is>
      </c>
      <c r="O3185" t="inlineStr">
        <is>
          <t>2026-06-19 07:10:32</t>
        </is>
      </c>
      <c r="P3185" t="inlineStr">
        <is>
          <t>2026-06-19 07:10:32</t>
        </is>
      </c>
      <c r="Y3185" t="inlineStr">
        <is>
          <t>27637314383</t>
        </is>
      </c>
    </row>
    <row r="3186">
      <c r="A3186" t="inlineStr">
        <is>
          <t>14900000</t>
        </is>
      </c>
      <c r="B3186" t="inlineStr">
        <is>
          <t>e5228d39-0dd4-4976-a597-449c88a72508</t>
        </is>
      </c>
      <c r="D3186" t="inlineStr">
        <is>
          <t>30001087</t>
        </is>
      </c>
      <c r="E3186" t="inlineStr">
        <is>
          <t>ussd_funeral_leads_altitude_20260619</t>
        </is>
      </c>
      <c r="J3186" t="inlineStr">
        <is>
          <t>AA</t>
        </is>
      </c>
      <c r="K3186" t="inlineStr">
        <is>
          <t>Answering Machine Autodial</t>
        </is>
      </c>
      <c r="L3186" t="n">
        <v>3</v>
      </c>
      <c r="M3186" t="inlineStr">
        <is>
          <t>2026-06-23 10:46:34</t>
        </is>
      </c>
      <c r="N3186" t="inlineStr">
        <is>
          <t>system</t>
        </is>
      </c>
      <c r="O3186" t="inlineStr">
        <is>
          <t>2026-06-19 07:10:32</t>
        </is>
      </c>
      <c r="P3186" t="inlineStr">
        <is>
          <t>2026-06-19 07:10:32</t>
        </is>
      </c>
      <c r="Y3186" t="inlineStr">
        <is>
          <t>27763325710</t>
        </is>
      </c>
    </row>
    <row r="3187">
      <c r="A3187" t="inlineStr">
        <is>
          <t>14945961</t>
        </is>
      </c>
      <c r="B3187" t="inlineStr">
        <is>
          <t>0b058831-cb9b-4475-9d3d-13cfbaef8b05</t>
        </is>
      </c>
      <c r="D3187" t="inlineStr">
        <is>
          <t>30001087</t>
        </is>
      </c>
      <c r="E3187" t="inlineStr">
        <is>
          <t>ussd_funeral_leads_altitude_20260619</t>
        </is>
      </c>
      <c r="J3187" t="inlineStr">
        <is>
          <t>CU</t>
        </is>
      </c>
      <c r="K3187" t="inlineStr">
        <is>
          <t>Client Hung Up</t>
        </is>
      </c>
      <c r="L3187" t="n">
        <v>3</v>
      </c>
      <c r="M3187" t="inlineStr">
        <is>
          <t>2026-06-23 10:46:34</t>
        </is>
      </c>
      <c r="N3187" t="inlineStr">
        <is>
          <t>Vuyiswa Nxumalo</t>
        </is>
      </c>
      <c r="O3187" t="inlineStr">
        <is>
          <t>2026-06-19 07:10:32</t>
        </is>
      </c>
      <c r="P3187" t="inlineStr">
        <is>
          <t>2026-06-19 07:10:32</t>
        </is>
      </c>
      <c r="Y3187" t="inlineStr">
        <is>
          <t>27727485631</t>
        </is>
      </c>
    </row>
    <row r="3188">
      <c r="A3188" t="inlineStr">
        <is>
          <t>14945957</t>
        </is>
      </c>
      <c r="B3188" t="inlineStr">
        <is>
          <t>2478da27-0e6a-4c24-85de-954129eeb2fa</t>
        </is>
      </c>
      <c r="D3188" t="inlineStr">
        <is>
          <t>30001087</t>
        </is>
      </c>
      <c r="E3188" t="inlineStr">
        <is>
          <t>ussd_funeral_leads_altitude_20260619</t>
        </is>
      </c>
      <c r="J3188" t="inlineStr">
        <is>
          <t>AA</t>
        </is>
      </c>
      <c r="K3188" t="inlineStr">
        <is>
          <t>Answering Machine Autodial</t>
        </is>
      </c>
      <c r="L3188" t="n">
        <v>3</v>
      </c>
      <c r="M3188" t="inlineStr">
        <is>
          <t>2026-06-23 10:46:33</t>
        </is>
      </c>
      <c r="N3188" t="inlineStr">
        <is>
          <t>system</t>
        </is>
      </c>
      <c r="O3188" t="inlineStr">
        <is>
          <t>2026-06-19 07:10:32</t>
        </is>
      </c>
      <c r="P3188" t="inlineStr">
        <is>
          <t>2026-06-19 07:10:32</t>
        </is>
      </c>
      <c r="Y3188" t="inlineStr">
        <is>
          <t>27664583125</t>
        </is>
      </c>
    </row>
    <row r="3189">
      <c r="A3189" t="inlineStr">
        <is>
          <t>14945958</t>
        </is>
      </c>
      <c r="B3189" t="inlineStr">
        <is>
          <t>98d90604-0117-42b8-ab11-3b54a7030abc</t>
        </is>
      </c>
      <c r="D3189" t="inlineStr">
        <is>
          <t>30001087</t>
        </is>
      </c>
      <c r="E3189" t="inlineStr">
        <is>
          <t>ussd_funeral_leads_altitude_20260619</t>
        </is>
      </c>
      <c r="J3189" t="inlineStr">
        <is>
          <t>ADC</t>
        </is>
      </c>
      <c r="K3189" t="inlineStr">
        <is>
          <t>Auto Dial Disconnected</t>
        </is>
      </c>
      <c r="L3189" t="n">
        <v>3</v>
      </c>
      <c r="M3189" t="inlineStr">
        <is>
          <t>2026-06-23 10:46:33</t>
        </is>
      </c>
      <c r="N3189" t="inlineStr">
        <is>
          <t>system</t>
        </is>
      </c>
      <c r="O3189" t="inlineStr">
        <is>
          <t>2026-06-19 07:10:32</t>
        </is>
      </c>
      <c r="P3189" t="inlineStr">
        <is>
          <t>2026-06-19 07:10:32</t>
        </is>
      </c>
      <c r="Y3189" t="inlineStr">
        <is>
          <t>27793946029</t>
        </is>
      </c>
    </row>
    <row r="3190">
      <c r="A3190" t="inlineStr">
        <is>
          <t>14945933</t>
        </is>
      </c>
      <c r="B3190" t="inlineStr">
        <is>
          <t>b819d656-b5de-427c-ae7c-9822aa49f01e</t>
        </is>
      </c>
      <c r="D3190" t="inlineStr">
        <is>
          <t>30001087</t>
        </is>
      </c>
      <c r="E3190" t="inlineStr">
        <is>
          <t>ussd_funeral_leads_altitude_20260619</t>
        </is>
      </c>
      <c r="J3190" t="inlineStr">
        <is>
          <t>AE</t>
        </is>
      </c>
      <c r="K3190" t="inlineStr">
        <is>
          <t>Auto Engaged</t>
        </is>
      </c>
      <c r="L3190" t="n">
        <v>3</v>
      </c>
      <c r="M3190" t="inlineStr">
        <is>
          <t>2026-06-23 10:46:31</t>
        </is>
      </c>
      <c r="N3190" t="inlineStr">
        <is>
          <t>system</t>
        </is>
      </c>
      <c r="O3190" t="inlineStr">
        <is>
          <t>2026-06-19 07:10:32</t>
        </is>
      </c>
      <c r="P3190" t="inlineStr">
        <is>
          <t>2026-06-19 07:10:32</t>
        </is>
      </c>
      <c r="Y3190" t="inlineStr">
        <is>
          <t>27608687267</t>
        </is>
      </c>
    </row>
    <row r="3191">
      <c r="A3191" t="inlineStr">
        <is>
          <t>14945930</t>
        </is>
      </c>
      <c r="B3191" t="inlineStr">
        <is>
          <t>0322450f-3b1b-4a28-a092-5aa83e64a8e5</t>
        </is>
      </c>
      <c r="D3191" t="inlineStr">
        <is>
          <t>30001087</t>
        </is>
      </c>
      <c r="E3191" t="inlineStr">
        <is>
          <t>ussd_funeral_leads_altitude_20260619</t>
        </is>
      </c>
      <c r="J3191" t="inlineStr">
        <is>
          <t>AA</t>
        </is>
      </c>
      <c r="K3191" t="inlineStr">
        <is>
          <t>Answering Machine Autodial</t>
        </is>
      </c>
      <c r="L3191" t="n">
        <v>3</v>
      </c>
      <c r="M3191" t="inlineStr">
        <is>
          <t>2026-06-23 10:46:29</t>
        </is>
      </c>
      <c r="N3191" t="inlineStr">
        <is>
          <t>system</t>
        </is>
      </c>
      <c r="O3191" t="inlineStr">
        <is>
          <t>2026-06-19 07:10:32</t>
        </is>
      </c>
      <c r="P3191" t="inlineStr">
        <is>
          <t>2026-06-19 07:10:32</t>
        </is>
      </c>
      <c r="Y3191" t="inlineStr">
        <is>
          <t>27712229507</t>
        </is>
      </c>
    </row>
    <row r="3192">
      <c r="A3192" t="inlineStr">
        <is>
          <t>14945932</t>
        </is>
      </c>
      <c r="B3192" t="inlineStr">
        <is>
          <t>891dd230-64d8-45bc-913c-019034029bf0</t>
        </is>
      </c>
      <c r="D3192" t="inlineStr">
        <is>
          <t>30001087</t>
        </is>
      </c>
      <c r="E3192" t="inlineStr">
        <is>
          <t>ussd_funeral_leads_altitude_20260619</t>
        </is>
      </c>
      <c r="J3192" t="inlineStr">
        <is>
          <t>CU</t>
        </is>
      </c>
      <c r="K3192" t="inlineStr">
        <is>
          <t>Client Hung Up</t>
        </is>
      </c>
      <c r="L3192" t="n">
        <v>3</v>
      </c>
      <c r="M3192" t="inlineStr">
        <is>
          <t>2026-06-23 10:46:29</t>
        </is>
      </c>
      <c r="N3192" t="inlineStr">
        <is>
          <t>Dimakatso Nkomo</t>
        </is>
      </c>
      <c r="O3192" t="inlineStr">
        <is>
          <t>2026-06-19 07:10:32</t>
        </is>
      </c>
      <c r="P3192" t="inlineStr">
        <is>
          <t>2026-06-19 07:10:32</t>
        </is>
      </c>
      <c r="Y3192" t="inlineStr">
        <is>
          <t>27711662748</t>
        </is>
      </c>
    </row>
    <row r="3193">
      <c r="A3193" t="inlineStr">
        <is>
          <t>14945925</t>
        </is>
      </c>
      <c r="B3193" t="inlineStr">
        <is>
          <t>b26e1dd8-a105-44ea-b0c8-56f053b44d67</t>
        </is>
      </c>
      <c r="D3193" t="inlineStr">
        <is>
          <t>30001087</t>
        </is>
      </c>
      <c r="E3193" t="inlineStr">
        <is>
          <t>ussd_funeral_leads_altitude_20260619</t>
        </is>
      </c>
      <c r="J3193" t="inlineStr">
        <is>
          <t>AE</t>
        </is>
      </c>
      <c r="K3193" t="inlineStr">
        <is>
          <t>Auto Engaged</t>
        </is>
      </c>
      <c r="L3193" t="n">
        <v>3</v>
      </c>
      <c r="M3193" t="inlineStr">
        <is>
          <t>2026-06-23 10:46:28</t>
        </is>
      </c>
      <c r="N3193" t="inlineStr">
        <is>
          <t>system</t>
        </is>
      </c>
      <c r="O3193" t="inlineStr">
        <is>
          <t>2026-06-19 07:10:32</t>
        </is>
      </c>
      <c r="P3193" t="inlineStr">
        <is>
          <t>2026-06-19 07:10:32</t>
        </is>
      </c>
      <c r="Y3193" t="inlineStr">
        <is>
          <t>27762435383</t>
        </is>
      </c>
    </row>
    <row r="3194">
      <c r="A3194" t="inlineStr">
        <is>
          <t>14945927</t>
        </is>
      </c>
      <c r="B3194" t="inlineStr">
        <is>
          <t>e2e42d82-e473-4e55-bacf-321a39b59d22</t>
        </is>
      </c>
      <c r="D3194" t="inlineStr">
        <is>
          <t>30001087</t>
        </is>
      </c>
      <c r="E3194" t="inlineStr">
        <is>
          <t>ussd_funeral_leads_altitude_20260619</t>
        </is>
      </c>
      <c r="J3194" t="inlineStr">
        <is>
          <t>AA</t>
        </is>
      </c>
      <c r="K3194" t="inlineStr">
        <is>
          <t>Answering Machine Autodial</t>
        </is>
      </c>
      <c r="L3194" t="n">
        <v>3</v>
      </c>
      <c r="M3194" t="inlineStr">
        <is>
          <t>2026-06-23 10:46:28</t>
        </is>
      </c>
      <c r="N3194" t="inlineStr">
        <is>
          <t>system</t>
        </is>
      </c>
      <c r="O3194" t="inlineStr">
        <is>
          <t>2026-06-19 07:10:32</t>
        </is>
      </c>
      <c r="P3194" t="inlineStr">
        <is>
          <t>2026-06-19 07:10:32</t>
        </is>
      </c>
      <c r="Y3194" t="inlineStr">
        <is>
          <t>27791738911</t>
        </is>
      </c>
    </row>
    <row r="3195">
      <c r="A3195" t="inlineStr">
        <is>
          <t>14945928</t>
        </is>
      </c>
      <c r="B3195" t="inlineStr">
        <is>
          <t>872a9f54-054c-4c10-8b19-cf81c77729c1</t>
        </is>
      </c>
      <c r="D3195" t="inlineStr">
        <is>
          <t>30001087</t>
        </is>
      </c>
      <c r="E3195" t="inlineStr">
        <is>
          <t>ussd_funeral_leads_altitude_20260619</t>
        </is>
      </c>
      <c r="J3195" t="inlineStr">
        <is>
          <t>AA</t>
        </is>
      </c>
      <c r="K3195" t="inlineStr">
        <is>
          <t>Answering Machine Autodial</t>
        </is>
      </c>
      <c r="L3195" t="n">
        <v>3</v>
      </c>
      <c r="M3195" t="inlineStr">
        <is>
          <t>2026-06-23 10:46:28</t>
        </is>
      </c>
      <c r="N3195" t="inlineStr">
        <is>
          <t>system</t>
        </is>
      </c>
      <c r="O3195" t="inlineStr">
        <is>
          <t>2026-06-19 07:10:32</t>
        </is>
      </c>
      <c r="P3195" t="inlineStr">
        <is>
          <t>2026-06-19 07:10:32</t>
        </is>
      </c>
      <c r="Y3195" t="inlineStr">
        <is>
          <t>27774202294</t>
        </is>
      </c>
    </row>
    <row r="3196">
      <c r="A3196" t="inlineStr">
        <is>
          <t>14945931</t>
        </is>
      </c>
      <c r="B3196" t="inlineStr">
        <is>
          <t>d65f50e5-3a64-46ea-a9bf-e03bb997ff16</t>
        </is>
      </c>
      <c r="D3196" t="inlineStr">
        <is>
          <t>30001087</t>
        </is>
      </c>
      <c r="E3196" t="inlineStr">
        <is>
          <t>ussd_funeral_leads_altitude_20260619</t>
        </is>
      </c>
      <c r="J3196" t="inlineStr">
        <is>
          <t>AA</t>
        </is>
      </c>
      <c r="K3196" t="inlineStr">
        <is>
          <t>Answering Machine Autodial</t>
        </is>
      </c>
      <c r="L3196" t="n">
        <v>3</v>
      </c>
      <c r="M3196" t="inlineStr">
        <is>
          <t>2026-06-23 10:46:28</t>
        </is>
      </c>
      <c r="N3196" t="inlineStr">
        <is>
          <t>system</t>
        </is>
      </c>
      <c r="O3196" t="inlineStr">
        <is>
          <t>2026-06-19 07:10:32</t>
        </is>
      </c>
      <c r="P3196" t="inlineStr">
        <is>
          <t>2026-06-19 07:10:32</t>
        </is>
      </c>
      <c r="Y3196" t="inlineStr">
        <is>
          <t>27763845943</t>
        </is>
      </c>
    </row>
    <row r="3197">
      <c r="A3197" t="inlineStr">
        <is>
          <t>14945924</t>
        </is>
      </c>
      <c r="B3197" t="inlineStr">
        <is>
          <t>9417ef11-1fb6-4f1c-a0f8-1640c5b246c5</t>
        </is>
      </c>
      <c r="D3197" t="inlineStr">
        <is>
          <t>30001087</t>
        </is>
      </c>
      <c r="E3197" t="inlineStr">
        <is>
          <t>ussd_funeral_leads_altitude_20260619</t>
        </is>
      </c>
      <c r="J3197" t="inlineStr">
        <is>
          <t>AA</t>
        </is>
      </c>
      <c r="K3197" t="inlineStr">
        <is>
          <t>Answering Machine Autodial</t>
        </is>
      </c>
      <c r="L3197" t="n">
        <v>3</v>
      </c>
      <c r="M3197" t="inlineStr">
        <is>
          <t>2026-06-23 10:46:25</t>
        </is>
      </c>
      <c r="N3197" t="inlineStr">
        <is>
          <t>system</t>
        </is>
      </c>
      <c r="O3197" t="inlineStr">
        <is>
          <t>2026-06-19 07:10:32</t>
        </is>
      </c>
      <c r="P3197" t="inlineStr">
        <is>
          <t>2026-06-19 07:10:32</t>
        </is>
      </c>
      <c r="Y3197" t="inlineStr">
        <is>
          <t>27649535329</t>
        </is>
      </c>
    </row>
    <row r="3198">
      <c r="A3198" t="inlineStr">
        <is>
          <t>14945923</t>
        </is>
      </c>
      <c r="B3198" t="inlineStr">
        <is>
          <t>1ef688c4-b1af-4757-bf88-ee84884367b7</t>
        </is>
      </c>
      <c r="D3198" t="inlineStr">
        <is>
          <t>30001087</t>
        </is>
      </c>
      <c r="E3198" t="inlineStr">
        <is>
          <t>ussd_funeral_leads_altitude_20260619</t>
        </is>
      </c>
      <c r="J3198" t="inlineStr">
        <is>
          <t>AA</t>
        </is>
      </c>
      <c r="K3198" t="inlineStr">
        <is>
          <t>Answering Machine Autodial</t>
        </is>
      </c>
      <c r="L3198" t="n">
        <v>3</v>
      </c>
      <c r="M3198" t="inlineStr">
        <is>
          <t>2026-06-23 10:46:24</t>
        </is>
      </c>
      <c r="N3198" t="inlineStr">
        <is>
          <t>system</t>
        </is>
      </c>
      <c r="O3198" t="inlineStr">
        <is>
          <t>2026-06-19 07:10:32</t>
        </is>
      </c>
      <c r="P3198" t="inlineStr">
        <is>
          <t>2026-06-19 07:10:32</t>
        </is>
      </c>
      <c r="Y3198" t="inlineStr">
        <is>
          <t>27606117798</t>
        </is>
      </c>
    </row>
    <row r="3199">
      <c r="A3199" t="inlineStr">
        <is>
          <t>14945922</t>
        </is>
      </c>
      <c r="B3199" t="inlineStr">
        <is>
          <t>ed6d6a57-88e2-4369-9a84-682290cb7bb4</t>
        </is>
      </c>
      <c r="D3199" t="inlineStr">
        <is>
          <t>30001087</t>
        </is>
      </c>
      <c r="E3199" t="inlineStr">
        <is>
          <t>ussd_funeral_leads_altitude_20260619</t>
        </is>
      </c>
      <c r="J3199" t="inlineStr">
        <is>
          <t>AA</t>
        </is>
      </c>
      <c r="K3199" t="inlineStr">
        <is>
          <t>Answering Machine Autodial</t>
        </is>
      </c>
      <c r="L3199" t="n">
        <v>3</v>
      </c>
      <c r="M3199" t="inlineStr">
        <is>
          <t>2026-06-23 10:46:23</t>
        </is>
      </c>
      <c r="N3199" t="inlineStr">
        <is>
          <t>system</t>
        </is>
      </c>
      <c r="O3199" t="inlineStr">
        <is>
          <t>2026-06-19 07:10:32</t>
        </is>
      </c>
      <c r="P3199" t="inlineStr">
        <is>
          <t>2026-06-19 07:10:32</t>
        </is>
      </c>
      <c r="Y3199" t="inlineStr">
        <is>
          <t>27798158851</t>
        </is>
      </c>
    </row>
    <row r="3200">
      <c r="A3200" t="inlineStr">
        <is>
          <t>14945917</t>
        </is>
      </c>
      <c r="B3200" t="inlineStr">
        <is>
          <t>f3d6167c-e77c-4008-bbb1-4f2a222e9c71</t>
        </is>
      </c>
      <c r="D3200" t="inlineStr">
        <is>
          <t>30001087</t>
        </is>
      </c>
      <c r="E3200" t="inlineStr">
        <is>
          <t>ussd_funeral_leads_altitude_20260619</t>
        </is>
      </c>
      <c r="J3200" t="inlineStr">
        <is>
          <t>AA</t>
        </is>
      </c>
      <c r="K3200" t="inlineStr">
        <is>
          <t>Answering Machine Autodial</t>
        </is>
      </c>
      <c r="L3200" t="n">
        <v>3</v>
      </c>
      <c r="M3200" t="inlineStr">
        <is>
          <t>2026-06-23 10:46:18</t>
        </is>
      </c>
      <c r="N3200" t="inlineStr">
        <is>
          <t>system</t>
        </is>
      </c>
      <c r="O3200" t="inlineStr">
        <is>
          <t>2026-06-19 07:10:32</t>
        </is>
      </c>
      <c r="P3200" t="inlineStr">
        <is>
          <t>2026-06-19 07:10:32</t>
        </is>
      </c>
      <c r="Y3200" t="inlineStr">
        <is>
          <t>27765289935</t>
        </is>
      </c>
    </row>
    <row r="3201">
      <c r="A3201" t="inlineStr">
        <is>
          <t>14945918</t>
        </is>
      </c>
      <c r="B3201" t="inlineStr">
        <is>
          <t>81f95765-2555-497f-a553-7d447209e779</t>
        </is>
      </c>
      <c r="D3201" t="inlineStr">
        <is>
          <t>30001087</t>
        </is>
      </c>
      <c r="E3201" t="inlineStr">
        <is>
          <t>ussd_funeral_leads_altitude_20260619</t>
        </is>
      </c>
      <c r="J3201" t="inlineStr">
        <is>
          <t>NA</t>
        </is>
      </c>
      <c r="K3201" t="inlineStr">
        <is>
          <t>No Answer Autodial</t>
        </is>
      </c>
      <c r="L3201" t="n">
        <v>3</v>
      </c>
      <c r="M3201" t="inlineStr">
        <is>
          <t>2026-06-23 10:46:18</t>
        </is>
      </c>
      <c r="N3201" t="inlineStr">
        <is>
          <t>system</t>
        </is>
      </c>
      <c r="O3201" t="inlineStr">
        <is>
          <t>2026-06-19 07:10:32</t>
        </is>
      </c>
      <c r="P3201" t="inlineStr">
        <is>
          <t>2026-06-19 07:10:32</t>
        </is>
      </c>
      <c r="Y3201" t="inlineStr">
        <is>
          <t>27824471539</t>
        </is>
      </c>
    </row>
    <row r="3202">
      <c r="A3202" t="inlineStr">
        <is>
          <t>14945921</t>
        </is>
      </c>
      <c r="B3202" t="inlineStr">
        <is>
          <t>aa26dda8-d360-40dd-9517-8ddcbf4a0b29</t>
        </is>
      </c>
      <c r="D3202" t="inlineStr">
        <is>
          <t>30001087</t>
        </is>
      </c>
      <c r="E3202" t="inlineStr">
        <is>
          <t>ussd_funeral_leads_altitude_20260619</t>
        </is>
      </c>
      <c r="J3202" t="inlineStr">
        <is>
          <t>AA</t>
        </is>
      </c>
      <c r="K3202" t="inlineStr">
        <is>
          <t>Answering Machine Autodial</t>
        </is>
      </c>
      <c r="L3202" t="n">
        <v>3</v>
      </c>
      <c r="M3202" t="inlineStr">
        <is>
          <t>2026-06-23 10:46:18</t>
        </is>
      </c>
      <c r="N3202" t="inlineStr">
        <is>
          <t>system</t>
        </is>
      </c>
      <c r="O3202" t="inlineStr">
        <is>
          <t>2026-06-19 07:10:32</t>
        </is>
      </c>
      <c r="P3202" t="inlineStr">
        <is>
          <t>2026-06-19 07:10:32</t>
        </is>
      </c>
      <c r="Y3202" t="inlineStr">
        <is>
          <t>27794726709</t>
        </is>
      </c>
    </row>
    <row r="3203">
      <c r="A3203" t="inlineStr">
        <is>
          <t>14900000</t>
        </is>
      </c>
      <c r="B3203" t="inlineStr">
        <is>
          <t>e1305ed2-eaa1-4f08-bc74-f03272ef1d2c</t>
        </is>
      </c>
      <c r="D3203" t="inlineStr">
        <is>
          <t>30001087</t>
        </is>
      </c>
      <c r="E3203" t="inlineStr">
        <is>
          <t>ussd_funeral_leads_altitude_20260619</t>
        </is>
      </c>
      <c r="J3203" t="inlineStr">
        <is>
          <t>TDN</t>
        </is>
      </c>
      <c r="K3203" t="inlineStr">
        <is>
          <t>Temporary Disconnected Number</t>
        </is>
      </c>
      <c r="L3203" t="n">
        <v>3</v>
      </c>
      <c r="M3203" t="inlineStr">
        <is>
          <t>2026-06-23 10:45:57</t>
        </is>
      </c>
      <c r="N3203" t="inlineStr">
        <is>
          <t>system</t>
        </is>
      </c>
      <c r="O3203" t="inlineStr">
        <is>
          <t>2026-06-19 07:10:32</t>
        </is>
      </c>
      <c r="P3203" t="inlineStr">
        <is>
          <t>2026-06-19 07:10:32</t>
        </is>
      </c>
      <c r="Y3203" t="inlineStr">
        <is>
          <t>27793043424</t>
        </is>
      </c>
    </row>
    <row r="3204">
      <c r="A3204" t="inlineStr">
        <is>
          <t>14945919</t>
        </is>
      </c>
      <c r="B3204" t="inlineStr">
        <is>
          <t>f1b88b9c-737e-40fd-b1ba-69ca151483a7</t>
        </is>
      </c>
      <c r="D3204" t="inlineStr">
        <is>
          <t>30001087</t>
        </is>
      </c>
      <c r="E3204" t="inlineStr">
        <is>
          <t>ussd_funeral_leads_altitude_20260619</t>
        </is>
      </c>
      <c r="J3204" t="inlineStr">
        <is>
          <t>AA</t>
        </is>
      </c>
      <c r="K3204" t="inlineStr">
        <is>
          <t>Answering Machine Autodial</t>
        </is>
      </c>
      <c r="L3204" t="n">
        <v>3</v>
      </c>
      <c r="M3204" t="inlineStr">
        <is>
          <t>2026-06-23 10:45:57</t>
        </is>
      </c>
      <c r="N3204" t="inlineStr">
        <is>
          <t>system</t>
        </is>
      </c>
      <c r="O3204" t="inlineStr">
        <is>
          <t>2026-06-19 07:10:32</t>
        </is>
      </c>
      <c r="P3204" t="inlineStr">
        <is>
          <t>2026-06-19 07:10:32</t>
        </is>
      </c>
      <c r="Y3204" t="inlineStr">
        <is>
          <t>27826207977</t>
        </is>
      </c>
    </row>
    <row r="3205">
      <c r="A3205" t="inlineStr">
        <is>
          <t>14945708</t>
        </is>
      </c>
      <c r="B3205" t="inlineStr">
        <is>
          <t>8f00d9d3-1652-421b-bef9-77383434e8ac</t>
        </is>
      </c>
      <c r="D3205" t="inlineStr">
        <is>
          <t>30001087</t>
        </is>
      </c>
      <c r="E3205" t="inlineStr">
        <is>
          <t>ussd_funeral_leads_altitude_20260619</t>
        </is>
      </c>
      <c r="J3205" t="inlineStr">
        <is>
          <t>CU</t>
        </is>
      </c>
      <c r="K3205" t="inlineStr">
        <is>
          <t>Client Hung Up</t>
        </is>
      </c>
      <c r="L3205" t="n">
        <v>3</v>
      </c>
      <c r="M3205" t="inlineStr">
        <is>
          <t>2026-06-23 10:45:16</t>
        </is>
      </c>
      <c r="N3205" t="inlineStr">
        <is>
          <t>Vuyiswa Nxumalo</t>
        </is>
      </c>
      <c r="O3205" t="inlineStr">
        <is>
          <t>2026-06-19 07:10:32</t>
        </is>
      </c>
      <c r="P3205" t="inlineStr">
        <is>
          <t>2026-06-19 07:10:32</t>
        </is>
      </c>
      <c r="Y3205" t="inlineStr">
        <is>
          <t>27649346527</t>
        </is>
      </c>
    </row>
    <row r="3206">
      <c r="A3206" t="inlineStr">
        <is>
          <t>14945712</t>
        </is>
      </c>
      <c r="B3206" t="inlineStr">
        <is>
          <t>1a435ac7-15c3-407f-9bd1-48472cc9d53d</t>
        </is>
      </c>
      <c r="D3206" t="inlineStr">
        <is>
          <t>30001087</t>
        </is>
      </c>
      <c r="E3206" t="inlineStr">
        <is>
          <t>ussd_funeral_leads_altitude_20260619</t>
        </is>
      </c>
      <c r="J3206" t="inlineStr">
        <is>
          <t>AA</t>
        </is>
      </c>
      <c r="K3206" t="inlineStr">
        <is>
          <t>Answering Machine Autodial</t>
        </is>
      </c>
      <c r="L3206" t="n">
        <v>3</v>
      </c>
      <c r="M3206" t="inlineStr">
        <is>
          <t>2026-06-23 10:45:15</t>
        </is>
      </c>
      <c r="N3206" t="inlineStr">
        <is>
          <t>system</t>
        </is>
      </c>
      <c r="O3206" t="inlineStr">
        <is>
          <t>2026-06-19 07:10:32</t>
        </is>
      </c>
      <c r="P3206" t="inlineStr">
        <is>
          <t>2026-06-19 07:10:32</t>
        </is>
      </c>
      <c r="Y3206" t="inlineStr">
        <is>
          <t>27662169956</t>
        </is>
      </c>
    </row>
    <row r="3207">
      <c r="A3207" t="inlineStr">
        <is>
          <t>14945630</t>
        </is>
      </c>
      <c r="B3207" t="inlineStr">
        <is>
          <t>c86605e9-5c41-4a20-bea6-4b98c276a440</t>
        </is>
      </c>
      <c r="D3207" t="inlineStr">
        <is>
          <t>30001087</t>
        </is>
      </c>
      <c r="E3207" t="inlineStr">
        <is>
          <t>ussd_funeral_leads_altitude_20260619</t>
        </is>
      </c>
      <c r="J3207" t="inlineStr">
        <is>
          <t>DROP</t>
        </is>
      </c>
      <c r="K3207" t="inlineStr">
        <is>
          <t>Dropped</t>
        </is>
      </c>
      <c r="L3207" t="n">
        <v>3</v>
      </c>
      <c r="M3207" t="inlineStr">
        <is>
          <t>2026-06-23 10:43:19</t>
        </is>
      </c>
      <c r="N3207" t="inlineStr">
        <is>
          <t>system</t>
        </is>
      </c>
      <c r="O3207" t="inlineStr">
        <is>
          <t>2026-06-19 07:10:32</t>
        </is>
      </c>
      <c r="P3207" t="inlineStr">
        <is>
          <t>2026-06-19 07:10:32</t>
        </is>
      </c>
      <c r="Y3207" t="inlineStr">
        <is>
          <t>27824051192</t>
        </is>
      </c>
    </row>
    <row r="3208">
      <c r="A3208" t="inlineStr">
        <is>
          <t>14945631</t>
        </is>
      </c>
      <c r="B3208" t="inlineStr">
        <is>
          <t>82578058-0a5a-41cc-8e8d-9f09bb77e6dd</t>
        </is>
      </c>
      <c r="D3208" t="inlineStr">
        <is>
          <t>30001087</t>
        </is>
      </c>
      <c r="E3208" t="inlineStr">
        <is>
          <t>ussd_funeral_leads_altitude_20260619</t>
        </is>
      </c>
      <c r="J3208" t="inlineStr">
        <is>
          <t>AA</t>
        </is>
      </c>
      <c r="K3208" t="inlineStr">
        <is>
          <t>Answering Machine Autodial</t>
        </is>
      </c>
      <c r="L3208" t="n">
        <v>3</v>
      </c>
      <c r="M3208" t="inlineStr">
        <is>
          <t>2026-06-23 10:43:19</t>
        </is>
      </c>
      <c r="N3208" t="inlineStr">
        <is>
          <t>system</t>
        </is>
      </c>
      <c r="O3208" t="inlineStr">
        <is>
          <t>2026-06-19 07:10:32</t>
        </is>
      </c>
      <c r="P3208" t="inlineStr">
        <is>
          <t>2026-06-19 07:10:32</t>
        </is>
      </c>
      <c r="Y3208" t="inlineStr">
        <is>
          <t>27762991071</t>
        </is>
      </c>
    </row>
    <row r="3209">
      <c r="A3209" t="inlineStr">
        <is>
          <t>14945956</t>
        </is>
      </c>
      <c r="B3209" t="inlineStr">
        <is>
          <t>8967cf39-42fc-47dd-a6df-e85ef1153111</t>
        </is>
      </c>
      <c r="D3209" t="inlineStr">
        <is>
          <t>30001087</t>
        </is>
      </c>
      <c r="E3209" t="inlineStr">
        <is>
          <t>ussd_funeral_leads_altitude_20260619</t>
        </is>
      </c>
      <c r="J3209" t="inlineStr">
        <is>
          <t>AA</t>
        </is>
      </c>
      <c r="K3209" t="inlineStr">
        <is>
          <t>Answering Machine Autodial</t>
        </is>
      </c>
      <c r="L3209" t="n">
        <v>3</v>
      </c>
      <c r="M3209" t="inlineStr">
        <is>
          <t>2026-06-23 10:43:17</t>
        </is>
      </c>
      <c r="N3209" t="inlineStr">
        <is>
          <t>system</t>
        </is>
      </c>
      <c r="O3209" t="inlineStr">
        <is>
          <t>2026-06-19 07:10:32</t>
        </is>
      </c>
      <c r="P3209" t="inlineStr">
        <is>
          <t>2026-06-19 07:10:32</t>
        </is>
      </c>
      <c r="Y3209" t="inlineStr">
        <is>
          <t>27794541694</t>
        </is>
      </c>
    </row>
    <row r="3210">
      <c r="A3210" t="inlineStr">
        <is>
          <t>14900000</t>
        </is>
      </c>
      <c r="B3210" t="inlineStr">
        <is>
          <t>577e605b-6a9d-4255-9594-6f5a54794adc</t>
        </is>
      </c>
      <c r="D3210" t="inlineStr">
        <is>
          <t>30001087</t>
        </is>
      </c>
      <c r="E3210" t="inlineStr">
        <is>
          <t>ussd_funeral_leads_altitude_20260619</t>
        </is>
      </c>
      <c r="J3210" t="inlineStr">
        <is>
          <t>AA</t>
        </is>
      </c>
      <c r="K3210" t="inlineStr">
        <is>
          <t>Answering Machine Autodial</t>
        </is>
      </c>
      <c r="L3210" t="n">
        <v>3</v>
      </c>
      <c r="M3210" t="inlineStr">
        <is>
          <t>2026-06-23 10:43:13</t>
        </is>
      </c>
      <c r="N3210" t="inlineStr">
        <is>
          <t>system</t>
        </is>
      </c>
      <c r="O3210" t="inlineStr">
        <is>
          <t>2026-06-19 07:10:32</t>
        </is>
      </c>
      <c r="P3210" t="inlineStr">
        <is>
          <t>2026-06-19 07:10:32</t>
        </is>
      </c>
      <c r="Y3210" t="inlineStr">
        <is>
          <t>27725030910</t>
        </is>
      </c>
    </row>
    <row r="3211">
      <c r="A3211" t="inlineStr">
        <is>
          <t>14945955</t>
        </is>
      </c>
      <c r="B3211" t="inlineStr">
        <is>
          <t>a891e4d6-d035-4464-9556-93e47830aabc</t>
        </is>
      </c>
      <c r="D3211" t="inlineStr">
        <is>
          <t>30001087</t>
        </is>
      </c>
      <c r="E3211" t="inlineStr">
        <is>
          <t>ussd_funeral_leads_altitude_20260619</t>
        </is>
      </c>
      <c r="J3211" t="inlineStr">
        <is>
          <t>AA</t>
        </is>
      </c>
      <c r="K3211" t="inlineStr">
        <is>
          <t>Answering Machine Autodial</t>
        </is>
      </c>
      <c r="L3211" t="n">
        <v>3</v>
      </c>
      <c r="M3211" t="inlineStr">
        <is>
          <t>2026-06-23 10:43:13</t>
        </is>
      </c>
      <c r="N3211" t="inlineStr">
        <is>
          <t>system</t>
        </is>
      </c>
      <c r="O3211" t="inlineStr">
        <is>
          <t>2026-06-19 07:10:32</t>
        </is>
      </c>
      <c r="P3211" t="inlineStr">
        <is>
          <t>2026-06-19 07:10:32</t>
        </is>
      </c>
      <c r="Y3211" t="inlineStr">
        <is>
          <t>27769247179</t>
        </is>
      </c>
    </row>
    <row r="3212">
      <c r="A3212" t="inlineStr">
        <is>
          <t>14945951</t>
        </is>
      </c>
      <c r="B3212" t="inlineStr">
        <is>
          <t>f4667f08-8cef-4dbc-a67c-4f9db7c10eb9</t>
        </is>
      </c>
      <c r="D3212" t="inlineStr">
        <is>
          <t>30001087</t>
        </is>
      </c>
      <c r="E3212" t="inlineStr">
        <is>
          <t>ussd_funeral_leads_altitude_20260619</t>
        </is>
      </c>
      <c r="J3212" t="inlineStr">
        <is>
          <t>AA</t>
        </is>
      </c>
      <c r="K3212" t="inlineStr">
        <is>
          <t>Answering Machine Autodial</t>
        </is>
      </c>
      <c r="L3212" t="n">
        <v>3</v>
      </c>
      <c r="M3212" t="inlineStr">
        <is>
          <t>2026-06-23 10:43:08</t>
        </is>
      </c>
      <c r="N3212" t="inlineStr">
        <is>
          <t>system</t>
        </is>
      </c>
      <c r="O3212" t="inlineStr">
        <is>
          <t>2026-06-19 07:10:32</t>
        </is>
      </c>
      <c r="P3212" t="inlineStr">
        <is>
          <t>2026-06-19 07:10:32</t>
        </is>
      </c>
      <c r="Y3212" t="inlineStr">
        <is>
          <t>27796984972</t>
        </is>
      </c>
    </row>
    <row r="3213">
      <c r="A3213" t="inlineStr">
        <is>
          <t>14945952</t>
        </is>
      </c>
      <c r="B3213" t="inlineStr">
        <is>
          <t>bb37d50b-9c32-4ec8-93fc-75aba539d626</t>
        </is>
      </c>
      <c r="D3213" t="inlineStr">
        <is>
          <t>30001087</t>
        </is>
      </c>
      <c r="E3213" t="inlineStr">
        <is>
          <t>ussd_funeral_leads_altitude_20260619</t>
        </is>
      </c>
      <c r="J3213" t="inlineStr">
        <is>
          <t>AA</t>
        </is>
      </c>
      <c r="K3213" t="inlineStr">
        <is>
          <t>Answering Machine Autodial</t>
        </is>
      </c>
      <c r="L3213" t="n">
        <v>3</v>
      </c>
      <c r="M3213" t="inlineStr">
        <is>
          <t>2026-06-23 10:43:08</t>
        </is>
      </c>
      <c r="N3213" t="inlineStr">
        <is>
          <t>system</t>
        </is>
      </c>
      <c r="O3213" t="inlineStr">
        <is>
          <t>2026-06-19 07:10:32</t>
        </is>
      </c>
      <c r="P3213" t="inlineStr">
        <is>
          <t>2026-06-19 07:10:32</t>
        </is>
      </c>
      <c r="Y3213" t="inlineStr">
        <is>
          <t>27793253840</t>
        </is>
      </c>
    </row>
    <row r="3214">
      <c r="A3214" t="inlineStr">
        <is>
          <t>14945953</t>
        </is>
      </c>
      <c r="B3214" t="inlineStr">
        <is>
          <t>4eacd53e-d8ab-45e9-ab7f-da2a1d568ed8</t>
        </is>
      </c>
      <c r="D3214" t="inlineStr">
        <is>
          <t>30001087</t>
        </is>
      </c>
      <c r="E3214" t="inlineStr">
        <is>
          <t>ussd_funeral_leads_altitude_20260619</t>
        </is>
      </c>
      <c r="J3214" t="inlineStr">
        <is>
          <t>AA</t>
        </is>
      </c>
      <c r="K3214" t="inlineStr">
        <is>
          <t>Answering Machine Autodial</t>
        </is>
      </c>
      <c r="L3214" t="n">
        <v>3</v>
      </c>
      <c r="M3214" t="inlineStr">
        <is>
          <t>2026-06-23 10:43:08</t>
        </is>
      </c>
      <c r="N3214" t="inlineStr">
        <is>
          <t>system</t>
        </is>
      </c>
      <c r="O3214" t="inlineStr">
        <is>
          <t>2026-06-19 07:10:32</t>
        </is>
      </c>
      <c r="P3214" t="inlineStr">
        <is>
          <t>2026-06-19 07:10:32</t>
        </is>
      </c>
      <c r="Y3214" t="inlineStr">
        <is>
          <t>27722755178</t>
        </is>
      </c>
    </row>
    <row r="3215">
      <c r="A3215" t="inlineStr">
        <is>
          <t>14945949</t>
        </is>
      </c>
      <c r="B3215" t="inlineStr">
        <is>
          <t>4d6c2a72-d4dd-46de-854c-b2e7a4f5d2f3</t>
        </is>
      </c>
      <c r="D3215" t="inlineStr">
        <is>
          <t>30001087</t>
        </is>
      </c>
      <c r="E3215" t="inlineStr">
        <is>
          <t>ussd_funeral_leads_altitude_20260619</t>
        </is>
      </c>
      <c r="J3215" t="inlineStr">
        <is>
          <t>CU</t>
        </is>
      </c>
      <c r="K3215" t="inlineStr">
        <is>
          <t>Client Hung Up</t>
        </is>
      </c>
      <c r="L3215" t="n">
        <v>3</v>
      </c>
      <c r="M3215" t="inlineStr">
        <is>
          <t>2026-06-23 10:43:07</t>
        </is>
      </c>
      <c r="N3215" t="inlineStr">
        <is>
          <t>Vuyiswa Nxumalo</t>
        </is>
      </c>
      <c r="O3215" t="inlineStr">
        <is>
          <t>2026-06-19 07:10:32</t>
        </is>
      </c>
      <c r="P3215" t="inlineStr">
        <is>
          <t>2026-06-19 07:10:32</t>
        </is>
      </c>
      <c r="Y3215" t="inlineStr">
        <is>
          <t>27646262494</t>
        </is>
      </c>
    </row>
    <row r="3216">
      <c r="A3216" t="inlineStr">
        <is>
          <t>14945950</t>
        </is>
      </c>
      <c r="B3216" t="inlineStr">
        <is>
          <t>10bd21a2-92bc-4b44-b645-3ddd7480d5c9</t>
        </is>
      </c>
      <c r="D3216" t="inlineStr">
        <is>
          <t>30001087</t>
        </is>
      </c>
      <c r="E3216" t="inlineStr">
        <is>
          <t>ussd_funeral_leads_altitude_20260619</t>
        </is>
      </c>
      <c r="J3216" t="inlineStr">
        <is>
          <t>NA</t>
        </is>
      </c>
      <c r="K3216" t="inlineStr">
        <is>
          <t>No Answer Autodial</t>
        </is>
      </c>
      <c r="L3216" t="n">
        <v>3</v>
      </c>
      <c r="M3216" t="inlineStr">
        <is>
          <t>2026-06-23 10:43:07</t>
        </is>
      </c>
      <c r="N3216" t="inlineStr">
        <is>
          <t>system</t>
        </is>
      </c>
      <c r="O3216" t="inlineStr">
        <is>
          <t>2026-06-19 07:10:32</t>
        </is>
      </c>
      <c r="P3216" t="inlineStr">
        <is>
          <t>2026-06-19 07:10:32</t>
        </is>
      </c>
      <c r="Y3216" t="inlineStr">
        <is>
          <t>27712957825</t>
        </is>
      </c>
    </row>
    <row r="3217">
      <c r="A3217" t="inlineStr">
        <is>
          <t>14945945</t>
        </is>
      </c>
      <c r="B3217" t="inlineStr">
        <is>
          <t>5effe9b6-5163-4174-8991-bd28c3272d02</t>
        </is>
      </c>
      <c r="D3217" t="inlineStr">
        <is>
          <t>30001087</t>
        </is>
      </c>
      <c r="E3217" t="inlineStr">
        <is>
          <t>ussd_funeral_leads_altitude_20260619</t>
        </is>
      </c>
      <c r="J3217" t="inlineStr">
        <is>
          <t>AA</t>
        </is>
      </c>
      <c r="K3217" t="inlineStr">
        <is>
          <t>Answering Machine Autodial</t>
        </is>
      </c>
      <c r="L3217" t="n">
        <v>3</v>
      </c>
      <c r="M3217" t="inlineStr">
        <is>
          <t>2026-06-23 10:43:02</t>
        </is>
      </c>
      <c r="N3217" t="inlineStr">
        <is>
          <t>system</t>
        </is>
      </c>
      <c r="O3217" t="inlineStr">
        <is>
          <t>2026-06-19 07:10:32</t>
        </is>
      </c>
      <c r="P3217" t="inlineStr">
        <is>
          <t>2026-06-19 07:10:32</t>
        </is>
      </c>
      <c r="Y3217" t="inlineStr">
        <is>
          <t>27663528662</t>
        </is>
      </c>
    </row>
    <row r="3218">
      <c r="A3218" t="inlineStr">
        <is>
          <t>14945947</t>
        </is>
      </c>
      <c r="B3218" t="inlineStr">
        <is>
          <t>15aeae03-9f21-4b96-a254-7217fe9910a8</t>
        </is>
      </c>
      <c r="D3218" t="inlineStr">
        <is>
          <t>30001087</t>
        </is>
      </c>
      <c r="E3218" t="inlineStr">
        <is>
          <t>ussd_funeral_leads_altitude_20260619</t>
        </is>
      </c>
      <c r="J3218" t="inlineStr">
        <is>
          <t>AA</t>
        </is>
      </c>
      <c r="K3218" t="inlineStr">
        <is>
          <t>Answering Machine Autodial</t>
        </is>
      </c>
      <c r="L3218" t="n">
        <v>3</v>
      </c>
      <c r="M3218" t="inlineStr">
        <is>
          <t>2026-06-23 10:43:02</t>
        </is>
      </c>
      <c r="N3218" t="inlineStr">
        <is>
          <t>system</t>
        </is>
      </c>
      <c r="O3218" t="inlineStr">
        <is>
          <t>2026-06-19 07:10:32</t>
        </is>
      </c>
      <c r="P3218" t="inlineStr">
        <is>
          <t>2026-06-19 07:10:32</t>
        </is>
      </c>
      <c r="Y3218" t="inlineStr">
        <is>
          <t>27798236207</t>
        </is>
      </c>
    </row>
    <row r="3219">
      <c r="A3219" t="inlineStr">
        <is>
          <t>14945948</t>
        </is>
      </c>
      <c r="B3219" t="inlineStr">
        <is>
          <t>be452cfe-6100-4c51-93ef-8617dfa23bbb</t>
        </is>
      </c>
      <c r="D3219" t="inlineStr">
        <is>
          <t>30001087</t>
        </is>
      </c>
      <c r="E3219" t="inlineStr">
        <is>
          <t>ussd_funeral_leads_altitude_20260619</t>
        </is>
      </c>
      <c r="J3219" t="inlineStr">
        <is>
          <t>AA</t>
        </is>
      </c>
      <c r="K3219" t="inlineStr">
        <is>
          <t>Answering Machine Autodial</t>
        </is>
      </c>
      <c r="L3219" t="n">
        <v>3</v>
      </c>
      <c r="M3219" t="inlineStr">
        <is>
          <t>2026-06-23 10:43:02</t>
        </is>
      </c>
      <c r="N3219" t="inlineStr">
        <is>
          <t>system</t>
        </is>
      </c>
      <c r="O3219" t="inlineStr">
        <is>
          <t>2026-06-19 07:10:32</t>
        </is>
      </c>
      <c r="P3219" t="inlineStr">
        <is>
          <t>2026-06-19 07:10:32</t>
        </is>
      </c>
      <c r="Y3219" t="inlineStr">
        <is>
          <t>27728943956</t>
        </is>
      </c>
    </row>
    <row r="3220">
      <c r="A3220" t="inlineStr">
        <is>
          <t>14945938</t>
        </is>
      </c>
      <c r="B3220" t="inlineStr">
        <is>
          <t>86c8b765-f8bb-4bd6-a4c8-01f1da211d4b</t>
        </is>
      </c>
      <c r="D3220" t="inlineStr">
        <is>
          <t>30001087</t>
        </is>
      </c>
      <c r="E3220" t="inlineStr">
        <is>
          <t>ussd_funeral_leads_altitude_20260619</t>
        </is>
      </c>
      <c r="J3220" t="inlineStr">
        <is>
          <t>AA</t>
        </is>
      </c>
      <c r="K3220" t="inlineStr">
        <is>
          <t>Answering Machine Autodial</t>
        </is>
      </c>
      <c r="L3220" t="n">
        <v>3</v>
      </c>
      <c r="M3220" t="inlineStr">
        <is>
          <t>2026-06-23 10:43:02</t>
        </is>
      </c>
      <c r="N3220" t="inlineStr">
        <is>
          <t>system</t>
        </is>
      </c>
      <c r="O3220" t="inlineStr">
        <is>
          <t>2026-06-19 07:10:32</t>
        </is>
      </c>
      <c r="P3220" t="inlineStr">
        <is>
          <t>2026-06-19 07:10:32</t>
        </is>
      </c>
      <c r="Y3220" t="inlineStr">
        <is>
          <t>27665707581</t>
        </is>
      </c>
    </row>
    <row r="3221">
      <c r="A3221" t="inlineStr">
        <is>
          <t>14945944</t>
        </is>
      </c>
      <c r="B3221" t="inlineStr">
        <is>
          <t>5b6c66fb-82a3-436e-82ee-abecf67f3785</t>
        </is>
      </c>
      <c r="D3221" t="inlineStr">
        <is>
          <t>30001087</t>
        </is>
      </c>
      <c r="E3221" t="inlineStr">
        <is>
          <t>ussd_funeral_leads_altitude_20260619</t>
        </is>
      </c>
      <c r="J3221" t="inlineStr">
        <is>
          <t>TDN</t>
        </is>
      </c>
      <c r="K3221" t="inlineStr">
        <is>
          <t>Temporary Disconnected Number</t>
        </is>
      </c>
      <c r="L3221" t="n">
        <v>3</v>
      </c>
      <c r="M3221" t="inlineStr">
        <is>
          <t>2026-06-23 10:43:02</t>
        </is>
      </c>
      <c r="N3221" t="inlineStr">
        <is>
          <t>system</t>
        </is>
      </c>
      <c r="O3221" t="inlineStr">
        <is>
          <t>2026-06-19 07:10:32</t>
        </is>
      </c>
      <c r="P3221" t="inlineStr">
        <is>
          <t>2026-06-19 07:10:32</t>
        </is>
      </c>
      <c r="Y3221" t="inlineStr">
        <is>
          <t>27723894647</t>
        </is>
      </c>
    </row>
    <row r="3222">
      <c r="A3222" t="inlineStr">
        <is>
          <t>14945936</t>
        </is>
      </c>
      <c r="B3222" t="inlineStr">
        <is>
          <t>626a52da-1b6d-44eb-bec2-ab3fde2c2c39</t>
        </is>
      </c>
      <c r="D3222" t="inlineStr">
        <is>
          <t>30001087</t>
        </is>
      </c>
      <c r="E3222" t="inlineStr">
        <is>
          <t>ussd_funeral_leads_altitude_20260619</t>
        </is>
      </c>
      <c r="J3222" t="inlineStr">
        <is>
          <t>AA</t>
        </is>
      </c>
      <c r="K3222" t="inlineStr">
        <is>
          <t>Answering Machine Autodial</t>
        </is>
      </c>
      <c r="L3222" t="n">
        <v>3</v>
      </c>
      <c r="M3222" t="inlineStr">
        <is>
          <t>2026-06-23 10:43:01</t>
        </is>
      </c>
      <c r="N3222" t="inlineStr">
        <is>
          <t>system</t>
        </is>
      </c>
      <c r="O3222" t="inlineStr">
        <is>
          <t>2026-06-19 07:10:32</t>
        </is>
      </c>
      <c r="P3222" t="inlineStr">
        <is>
          <t>2026-06-19 07:10:32</t>
        </is>
      </c>
      <c r="Y3222" t="inlineStr">
        <is>
          <t>27664692854</t>
        </is>
      </c>
    </row>
    <row r="3223">
      <c r="A3223" t="inlineStr">
        <is>
          <t>14945937</t>
        </is>
      </c>
      <c r="B3223" t="inlineStr">
        <is>
          <t>ba4e6c35-8ce2-40f8-85f2-8a7d802b9f44</t>
        </is>
      </c>
      <c r="D3223" t="inlineStr">
        <is>
          <t>30001087</t>
        </is>
      </c>
      <c r="E3223" t="inlineStr">
        <is>
          <t>ussd_funeral_leads_altitude_20260619</t>
        </is>
      </c>
      <c r="J3223" t="inlineStr">
        <is>
          <t>AA</t>
        </is>
      </c>
      <c r="K3223" t="inlineStr">
        <is>
          <t>Answering Machine Autodial</t>
        </is>
      </c>
      <c r="L3223" t="n">
        <v>3</v>
      </c>
      <c r="M3223" t="inlineStr">
        <is>
          <t>2026-06-23 10:43:01</t>
        </is>
      </c>
      <c r="N3223" t="inlineStr">
        <is>
          <t>system</t>
        </is>
      </c>
      <c r="O3223" t="inlineStr">
        <is>
          <t>2026-06-19 07:10:32</t>
        </is>
      </c>
      <c r="P3223" t="inlineStr">
        <is>
          <t>2026-06-19 07:10:32</t>
        </is>
      </c>
      <c r="Y3223" t="inlineStr">
        <is>
          <t>27725687676</t>
        </is>
      </c>
    </row>
    <row r="3224">
      <c r="A3224" t="inlineStr">
        <is>
          <t>14945935</t>
        </is>
      </c>
      <c r="B3224" t="inlineStr">
        <is>
          <t>92cdfcc3-6b14-41a8-bcfb-dc5b3c155193</t>
        </is>
      </c>
      <c r="D3224" t="inlineStr">
        <is>
          <t>30001087</t>
        </is>
      </c>
      <c r="E3224" t="inlineStr">
        <is>
          <t>ussd_funeral_leads_altitude_20260619</t>
        </is>
      </c>
      <c r="J3224" t="inlineStr">
        <is>
          <t>ADC</t>
        </is>
      </c>
      <c r="K3224" t="inlineStr">
        <is>
          <t>Auto Dial Disconnected</t>
        </is>
      </c>
      <c r="L3224" t="n">
        <v>3</v>
      </c>
      <c r="M3224" t="inlineStr">
        <is>
          <t>2026-06-23 10:42:35</t>
        </is>
      </c>
      <c r="N3224" t="inlineStr">
        <is>
          <t>system</t>
        </is>
      </c>
      <c r="O3224" t="inlineStr">
        <is>
          <t>2026-06-19 07:10:32</t>
        </is>
      </c>
      <c r="P3224" t="inlineStr">
        <is>
          <t>2026-06-19 07:10:32</t>
        </is>
      </c>
      <c r="Y3224" t="inlineStr">
        <is>
          <t>27797312483</t>
        </is>
      </c>
    </row>
    <row r="3225">
      <c r="A3225" t="inlineStr">
        <is>
          <t>14945934</t>
        </is>
      </c>
      <c r="B3225" t="inlineStr">
        <is>
          <t>1abdb4cc-624a-47a4-bc47-b5c7af3f2a95</t>
        </is>
      </c>
      <c r="D3225" t="inlineStr">
        <is>
          <t>30001087</t>
        </is>
      </c>
      <c r="E3225" t="inlineStr">
        <is>
          <t>ussd_funeral_leads_altitude_20260619</t>
        </is>
      </c>
      <c r="J3225" t="inlineStr">
        <is>
          <t>AA</t>
        </is>
      </c>
      <c r="K3225" t="inlineStr">
        <is>
          <t>Answering Machine Autodial</t>
        </is>
      </c>
      <c r="L3225" t="n">
        <v>3</v>
      </c>
      <c r="M3225" t="inlineStr">
        <is>
          <t>2026-06-23 10:42:34</t>
        </is>
      </c>
      <c r="N3225" t="inlineStr">
        <is>
          <t>system</t>
        </is>
      </c>
      <c r="O3225" t="inlineStr">
        <is>
          <t>2026-06-19 07:10:32</t>
        </is>
      </c>
      <c r="P3225" t="inlineStr">
        <is>
          <t>2026-06-19 07:10:32</t>
        </is>
      </c>
      <c r="Y3225" t="inlineStr">
        <is>
          <t>27818672364</t>
        </is>
      </c>
    </row>
    <row r="3226">
      <c r="A3226" t="inlineStr">
        <is>
          <t>14945726</t>
        </is>
      </c>
      <c r="B3226" t="inlineStr">
        <is>
          <t>8dc42052-df57-4737-8ac0-42e94d7fbe0a</t>
        </is>
      </c>
      <c r="D3226" t="inlineStr">
        <is>
          <t>30001087</t>
        </is>
      </c>
      <c r="E3226" t="inlineStr">
        <is>
          <t>ussd_funeral_leads_altitude_20260619</t>
        </is>
      </c>
      <c r="J3226" t="inlineStr">
        <is>
          <t>ADC</t>
        </is>
      </c>
      <c r="K3226" t="inlineStr">
        <is>
          <t>Auto Dial Disconnected</t>
        </is>
      </c>
      <c r="L3226" t="n">
        <v>3</v>
      </c>
      <c r="M3226" t="inlineStr">
        <is>
          <t>2026-06-23 10:42:33</t>
        </is>
      </c>
      <c r="N3226" t="inlineStr">
        <is>
          <t>system</t>
        </is>
      </c>
      <c r="O3226" t="inlineStr">
        <is>
          <t>2026-06-19 07:10:32</t>
        </is>
      </c>
      <c r="P3226" t="inlineStr">
        <is>
          <t>2026-06-19 07:10:32</t>
        </is>
      </c>
      <c r="Y3226" t="inlineStr">
        <is>
          <t>27822848344</t>
        </is>
      </c>
    </row>
    <row r="3227">
      <c r="A3227" t="inlineStr">
        <is>
          <t>14945943</t>
        </is>
      </c>
      <c r="B3227" t="inlineStr">
        <is>
          <t>137ea638-42a7-4cbd-b62c-9339a69e64c8</t>
        </is>
      </c>
      <c r="D3227" t="inlineStr">
        <is>
          <t>30001087</t>
        </is>
      </c>
      <c r="E3227" t="inlineStr">
        <is>
          <t>ussd_funeral_leads_altitude_20260619</t>
        </is>
      </c>
      <c r="J3227" t="inlineStr">
        <is>
          <t>ADC</t>
        </is>
      </c>
      <c r="K3227" t="inlineStr">
        <is>
          <t>Auto Dial Disconnected</t>
        </is>
      </c>
      <c r="L3227" t="n">
        <v>3</v>
      </c>
      <c r="M3227" t="inlineStr">
        <is>
          <t>2026-06-23 10:42:09</t>
        </is>
      </c>
      <c r="N3227" t="inlineStr">
        <is>
          <t>system</t>
        </is>
      </c>
      <c r="O3227" t="inlineStr">
        <is>
          <t>2026-06-19 07:10:32</t>
        </is>
      </c>
      <c r="P3227" t="inlineStr">
        <is>
          <t>2026-06-19 07:10:32</t>
        </is>
      </c>
      <c r="Y3227" t="inlineStr">
        <is>
          <t>27606923211</t>
        </is>
      </c>
    </row>
    <row r="3228">
      <c r="A3228" t="inlineStr">
        <is>
          <t>14945942</t>
        </is>
      </c>
      <c r="B3228" t="inlineStr">
        <is>
          <t>6b7f1ae8-5627-4fb4-900b-35acb19a29ce</t>
        </is>
      </c>
      <c r="D3228" t="inlineStr">
        <is>
          <t>30001087</t>
        </is>
      </c>
      <c r="E3228" t="inlineStr">
        <is>
          <t>ussd_funeral_leads_altitude_20260619</t>
        </is>
      </c>
      <c r="J3228" t="inlineStr">
        <is>
          <t>AA</t>
        </is>
      </c>
      <c r="K3228" t="inlineStr">
        <is>
          <t>Answering Machine Autodial</t>
        </is>
      </c>
      <c r="L3228" t="n">
        <v>3</v>
      </c>
      <c r="M3228" t="inlineStr">
        <is>
          <t>2026-06-23 10:42:08</t>
        </is>
      </c>
      <c r="N3228" t="inlineStr">
        <is>
          <t>system</t>
        </is>
      </c>
      <c r="O3228" t="inlineStr">
        <is>
          <t>2026-06-19 07:10:32</t>
        </is>
      </c>
      <c r="P3228" t="inlineStr">
        <is>
          <t>2026-06-19 07:10:32</t>
        </is>
      </c>
      <c r="Y3228" t="inlineStr">
        <is>
          <t>27714383505</t>
        </is>
      </c>
    </row>
    <row r="3229">
      <c r="A3229" t="inlineStr">
        <is>
          <t>14945941</t>
        </is>
      </c>
      <c r="B3229" t="inlineStr">
        <is>
          <t>9c69336f-edc6-4848-aaa4-209689531cb1</t>
        </is>
      </c>
      <c r="D3229" t="inlineStr">
        <is>
          <t>30001087</t>
        </is>
      </c>
      <c r="E3229" t="inlineStr">
        <is>
          <t>ussd_funeral_leads_altitude_20260619</t>
        </is>
      </c>
      <c r="J3229" t="inlineStr">
        <is>
          <t>AA</t>
        </is>
      </c>
      <c r="K3229" t="inlineStr">
        <is>
          <t>Answering Machine Autodial</t>
        </is>
      </c>
      <c r="L3229" t="n">
        <v>3</v>
      </c>
      <c r="M3229" t="inlineStr">
        <is>
          <t>2026-06-23 10:42:07</t>
        </is>
      </c>
      <c r="N3229" t="inlineStr">
        <is>
          <t>system</t>
        </is>
      </c>
      <c r="O3229" t="inlineStr">
        <is>
          <t>2026-06-19 07:10:32</t>
        </is>
      </c>
      <c r="P3229" t="inlineStr">
        <is>
          <t>2026-06-19 07:10:32</t>
        </is>
      </c>
      <c r="Y3229" t="inlineStr">
        <is>
          <t>27661777693</t>
        </is>
      </c>
    </row>
    <row r="3230">
      <c r="A3230" t="inlineStr">
        <is>
          <t>14945940</t>
        </is>
      </c>
      <c r="B3230" t="inlineStr">
        <is>
          <t>5c3e1228-462c-4047-a8a6-ebaa2bd83ff8</t>
        </is>
      </c>
      <c r="D3230" t="inlineStr">
        <is>
          <t>30001087</t>
        </is>
      </c>
      <c r="E3230" t="inlineStr">
        <is>
          <t>ussd_funeral_leads_altitude_20260619</t>
        </is>
      </c>
      <c r="J3230" t="inlineStr">
        <is>
          <t>AA</t>
        </is>
      </c>
      <c r="K3230" t="inlineStr">
        <is>
          <t>Answering Machine Autodial</t>
        </is>
      </c>
      <c r="L3230" t="n">
        <v>3</v>
      </c>
      <c r="M3230" t="inlineStr">
        <is>
          <t>2026-06-23 10:42:03</t>
        </is>
      </c>
      <c r="N3230" t="inlineStr">
        <is>
          <t>system</t>
        </is>
      </c>
      <c r="O3230" t="inlineStr">
        <is>
          <t>2026-06-19 07:10:32</t>
        </is>
      </c>
      <c r="P3230" t="inlineStr">
        <is>
          <t>2026-06-19 07:10:32</t>
        </is>
      </c>
      <c r="Y3230" t="inlineStr">
        <is>
          <t>27713263639</t>
        </is>
      </c>
    </row>
    <row r="3231">
      <c r="A3231" t="inlineStr">
        <is>
          <t>14945939</t>
        </is>
      </c>
      <c r="B3231" t="inlineStr">
        <is>
          <t>d04805c8-b2fd-42d6-b5d6-0f0ee26bac12</t>
        </is>
      </c>
      <c r="D3231" t="inlineStr">
        <is>
          <t>30001087</t>
        </is>
      </c>
      <c r="E3231" t="inlineStr">
        <is>
          <t>ussd_funeral_leads_altitude_20260619</t>
        </is>
      </c>
      <c r="J3231" t="inlineStr">
        <is>
          <t>AA</t>
        </is>
      </c>
      <c r="K3231" t="inlineStr">
        <is>
          <t>Answering Machine Autodial</t>
        </is>
      </c>
      <c r="L3231" t="n">
        <v>3</v>
      </c>
      <c r="M3231" t="inlineStr">
        <is>
          <t>2026-06-23 10:41:58</t>
        </is>
      </c>
      <c r="N3231" t="inlineStr">
        <is>
          <t>system</t>
        </is>
      </c>
      <c r="O3231" t="inlineStr">
        <is>
          <t>2026-06-19 07:10:32</t>
        </is>
      </c>
      <c r="P3231" t="inlineStr">
        <is>
          <t>2026-06-19 07:10:32</t>
        </is>
      </c>
      <c r="Y3231" t="inlineStr">
        <is>
          <t>27767795898</t>
        </is>
      </c>
    </row>
    <row r="3232">
      <c r="A3232" t="inlineStr">
        <is>
          <t>14945730</t>
        </is>
      </c>
      <c r="B3232" t="inlineStr">
        <is>
          <t>7d82b61a-e0ff-4557-ac81-dc91edbae794</t>
        </is>
      </c>
      <c r="D3232" t="inlineStr">
        <is>
          <t>30001087</t>
        </is>
      </c>
      <c r="E3232" t="inlineStr">
        <is>
          <t>ussd_funeral_leads_altitude_20260619</t>
        </is>
      </c>
      <c r="J3232" t="inlineStr">
        <is>
          <t>AA</t>
        </is>
      </c>
      <c r="K3232" t="inlineStr">
        <is>
          <t>Answering Machine Autodial</t>
        </is>
      </c>
      <c r="L3232" t="n">
        <v>3</v>
      </c>
      <c r="M3232" t="inlineStr">
        <is>
          <t>2026-06-23 10:41:55</t>
        </is>
      </c>
      <c r="N3232" t="inlineStr">
        <is>
          <t>system</t>
        </is>
      </c>
      <c r="O3232" t="inlineStr">
        <is>
          <t>2026-06-19 07:10:32</t>
        </is>
      </c>
      <c r="P3232" t="inlineStr">
        <is>
          <t>2026-06-19 07:10:32</t>
        </is>
      </c>
      <c r="Y3232" t="inlineStr">
        <is>
          <t>27846208462</t>
        </is>
      </c>
    </row>
    <row r="3233">
      <c r="A3233" t="inlineStr">
        <is>
          <t>14946004</t>
        </is>
      </c>
      <c r="B3233" t="inlineStr">
        <is>
          <t>283b1438-02cf-42c1-a4cd-9360d8f4a62d</t>
        </is>
      </c>
      <c r="D3233" t="inlineStr">
        <is>
          <t>30001087</t>
        </is>
      </c>
      <c r="E3233" t="inlineStr">
        <is>
          <t>ussd_funeral_leads_altitude_20260619</t>
        </is>
      </c>
      <c r="J3233" t="inlineStr">
        <is>
          <t>AA</t>
        </is>
      </c>
      <c r="K3233" t="inlineStr">
        <is>
          <t>Answering Machine Autodial</t>
        </is>
      </c>
      <c r="L3233" t="n">
        <v>3</v>
      </c>
      <c r="M3233" t="inlineStr">
        <is>
          <t>2026-06-23 10:41:17</t>
        </is>
      </c>
      <c r="N3233" t="inlineStr">
        <is>
          <t>system</t>
        </is>
      </c>
      <c r="O3233" t="inlineStr">
        <is>
          <t>2026-06-19 07:10:32</t>
        </is>
      </c>
      <c r="P3233" t="inlineStr">
        <is>
          <t>2026-06-19 07:10:32</t>
        </is>
      </c>
      <c r="Y3233" t="inlineStr">
        <is>
          <t>27713642651</t>
        </is>
      </c>
    </row>
    <row r="3234">
      <c r="A3234" t="inlineStr">
        <is>
          <t>14946007</t>
        </is>
      </c>
      <c r="B3234" t="inlineStr">
        <is>
          <t>f9352867-1ac9-4dce-8ba5-81d90a647d14</t>
        </is>
      </c>
      <c r="D3234" t="inlineStr">
        <is>
          <t>30001087</t>
        </is>
      </c>
      <c r="E3234" t="inlineStr">
        <is>
          <t>ussd_funeral_leads_altitude_20260619</t>
        </is>
      </c>
      <c r="J3234" t="inlineStr">
        <is>
          <t>NA</t>
        </is>
      </c>
      <c r="K3234" t="inlineStr">
        <is>
          <t>No Answer Autodial</t>
        </is>
      </c>
      <c r="L3234" t="n">
        <v>3</v>
      </c>
      <c r="M3234" t="inlineStr">
        <is>
          <t>2026-06-23 10:41:17</t>
        </is>
      </c>
      <c r="N3234" t="inlineStr">
        <is>
          <t>system</t>
        </is>
      </c>
      <c r="O3234" t="inlineStr">
        <is>
          <t>2026-06-19 07:10:32</t>
        </is>
      </c>
      <c r="P3234" t="inlineStr">
        <is>
          <t>2026-06-19 07:10:32</t>
        </is>
      </c>
      <c r="Y3234" t="inlineStr">
        <is>
          <t>27609751537</t>
        </is>
      </c>
    </row>
    <row r="3235">
      <c r="A3235" t="inlineStr">
        <is>
          <t>14946009</t>
        </is>
      </c>
      <c r="B3235" t="inlineStr">
        <is>
          <t>b847956d-c3c3-4620-a907-3c43efa7422a</t>
        </is>
      </c>
      <c r="D3235" t="inlineStr">
        <is>
          <t>30001087</t>
        </is>
      </c>
      <c r="E3235" t="inlineStr">
        <is>
          <t>ussd_funeral_leads_altitude_20260619</t>
        </is>
      </c>
      <c r="J3235" t="inlineStr">
        <is>
          <t>AA</t>
        </is>
      </c>
      <c r="K3235" t="inlineStr">
        <is>
          <t>Answering Machine Autodial</t>
        </is>
      </c>
      <c r="L3235" t="n">
        <v>3</v>
      </c>
      <c r="M3235" t="inlineStr">
        <is>
          <t>2026-06-23 10:41:17</t>
        </is>
      </c>
      <c r="N3235" t="inlineStr">
        <is>
          <t>system</t>
        </is>
      </c>
      <c r="O3235" t="inlineStr">
        <is>
          <t>2026-06-19 07:10:32</t>
        </is>
      </c>
      <c r="P3235" t="inlineStr">
        <is>
          <t>2026-06-19 07:10:32</t>
        </is>
      </c>
      <c r="Y3235" t="inlineStr">
        <is>
          <t>27795095825</t>
        </is>
      </c>
    </row>
    <row r="3236">
      <c r="A3236" t="inlineStr">
        <is>
          <t>14946010</t>
        </is>
      </c>
      <c r="B3236" t="inlineStr">
        <is>
          <t>8afc8aea-3ad8-46d8-bbc4-3e513f29a4ea</t>
        </is>
      </c>
      <c r="D3236" t="inlineStr">
        <is>
          <t>30001087</t>
        </is>
      </c>
      <c r="E3236" t="inlineStr">
        <is>
          <t>ussd_funeral_leads_altitude_20260619</t>
        </is>
      </c>
      <c r="J3236" t="inlineStr">
        <is>
          <t>AA</t>
        </is>
      </c>
      <c r="K3236" t="inlineStr">
        <is>
          <t>Answering Machine Autodial</t>
        </is>
      </c>
      <c r="L3236" t="n">
        <v>3</v>
      </c>
      <c r="M3236" t="inlineStr">
        <is>
          <t>2026-06-23 10:41:17</t>
        </is>
      </c>
      <c r="N3236" t="inlineStr">
        <is>
          <t>system</t>
        </is>
      </c>
      <c r="O3236" t="inlineStr">
        <is>
          <t>2026-06-19 07:10:32</t>
        </is>
      </c>
      <c r="P3236" t="inlineStr">
        <is>
          <t>2026-06-19 07:10:32</t>
        </is>
      </c>
      <c r="Y3236" t="inlineStr">
        <is>
          <t>27795304409</t>
        </is>
      </c>
    </row>
    <row r="3237">
      <c r="A3237" t="inlineStr">
        <is>
          <t>14946003</t>
        </is>
      </c>
      <c r="B3237" t="inlineStr">
        <is>
          <t>4556047c-d447-4144-bc23-2b2c9d0bf7d6</t>
        </is>
      </c>
      <c r="D3237" t="inlineStr">
        <is>
          <t>30001087</t>
        </is>
      </c>
      <c r="E3237" t="inlineStr">
        <is>
          <t>ussd_funeral_leads_altitude_20260619</t>
        </is>
      </c>
      <c r="H3237" t="inlineStr">
        <is>
          <t>27725175240</t>
        </is>
      </c>
      <c r="J3237" t="inlineStr">
        <is>
          <t>NA</t>
        </is>
      </c>
      <c r="K3237" t="inlineStr">
        <is>
          <t>No Answer Autodial</t>
        </is>
      </c>
      <c r="L3237" t="n">
        <v>3</v>
      </c>
      <c r="M3237" t="inlineStr">
        <is>
          <t>2026-06-23 10:41:16</t>
        </is>
      </c>
      <c r="N3237" t="inlineStr">
        <is>
          <t>system</t>
        </is>
      </c>
      <c r="O3237" t="inlineStr">
        <is>
          <t>2026-06-19 07:10:32</t>
        </is>
      </c>
      <c r="P3237" t="inlineStr">
        <is>
          <t>2026-06-19 07:10:32</t>
        </is>
      </c>
      <c r="Y3237" t="inlineStr">
        <is>
          <t>27725175240</t>
        </is>
      </c>
    </row>
    <row r="3238">
      <c r="A3238" t="inlineStr">
        <is>
          <t>14945970</t>
        </is>
      </c>
      <c r="B3238" t="inlineStr">
        <is>
          <t>74d63ffc-52cf-4c12-9a88-a7ad34b31a56</t>
        </is>
      </c>
      <c r="D3238" t="inlineStr">
        <is>
          <t>30001087</t>
        </is>
      </c>
      <c r="E3238" t="inlineStr">
        <is>
          <t>ussd_funeral_leads_altitude_20260619</t>
        </is>
      </c>
      <c r="J3238" t="inlineStr">
        <is>
          <t>AA</t>
        </is>
      </c>
      <c r="K3238" t="inlineStr">
        <is>
          <t>Answering Machine Autodial</t>
        </is>
      </c>
      <c r="L3238" t="n">
        <v>3</v>
      </c>
      <c r="M3238" t="inlineStr">
        <is>
          <t>2026-06-23 10:41:13</t>
        </is>
      </c>
      <c r="N3238" t="inlineStr">
        <is>
          <t>system</t>
        </is>
      </c>
      <c r="O3238" t="inlineStr">
        <is>
          <t>2026-06-19 07:10:32</t>
        </is>
      </c>
      <c r="P3238" t="inlineStr">
        <is>
          <t>2026-06-19 07:10:32</t>
        </is>
      </c>
      <c r="Y3238" t="inlineStr">
        <is>
          <t>27636854848</t>
        </is>
      </c>
    </row>
    <row r="3239">
      <c r="A3239" t="inlineStr">
        <is>
          <t>14946002</t>
        </is>
      </c>
      <c r="B3239" t="inlineStr">
        <is>
          <t>9c24c307-286d-4107-8910-8a0e75918f06</t>
        </is>
      </c>
      <c r="D3239" t="inlineStr">
        <is>
          <t>30001087</t>
        </is>
      </c>
      <c r="E3239" t="inlineStr">
        <is>
          <t>ussd_funeral_leads_altitude_20260619</t>
        </is>
      </c>
      <c r="J3239" t="inlineStr">
        <is>
          <t>ADC</t>
        </is>
      </c>
      <c r="K3239" t="inlineStr">
        <is>
          <t>Auto Dial Disconnected</t>
        </is>
      </c>
      <c r="L3239" t="n">
        <v>3</v>
      </c>
      <c r="M3239" t="inlineStr">
        <is>
          <t>2026-06-23 10:41:13</t>
        </is>
      </c>
      <c r="N3239" t="inlineStr">
        <is>
          <t>system</t>
        </is>
      </c>
      <c r="O3239" t="inlineStr">
        <is>
          <t>2026-06-19 07:10:32</t>
        </is>
      </c>
      <c r="P3239" t="inlineStr">
        <is>
          <t>2026-06-19 07:10:32</t>
        </is>
      </c>
      <c r="Y3239" t="inlineStr">
        <is>
          <t>27822111870</t>
        </is>
      </c>
    </row>
    <row r="3240">
      <c r="A3240" t="inlineStr">
        <is>
          <t>14945966</t>
        </is>
      </c>
      <c r="B3240" t="inlineStr">
        <is>
          <t>136cd681-6bc1-4977-94f1-87aa653be64e</t>
        </is>
      </c>
      <c r="D3240" t="inlineStr">
        <is>
          <t>30001087</t>
        </is>
      </c>
      <c r="E3240" t="inlineStr">
        <is>
          <t>ussd_funeral_leads_altitude_20260619</t>
        </is>
      </c>
      <c r="J3240" t="inlineStr">
        <is>
          <t>AA</t>
        </is>
      </c>
      <c r="K3240" t="inlineStr">
        <is>
          <t>Answering Machine Autodial</t>
        </is>
      </c>
      <c r="L3240" t="n">
        <v>3</v>
      </c>
      <c r="M3240" t="inlineStr">
        <is>
          <t>2026-06-23 10:41:07</t>
        </is>
      </c>
      <c r="N3240" t="inlineStr">
        <is>
          <t>system</t>
        </is>
      </c>
      <c r="O3240" t="inlineStr">
        <is>
          <t>2026-06-19 07:10:32</t>
        </is>
      </c>
      <c r="P3240" t="inlineStr">
        <is>
          <t>2026-06-19 07:10:32</t>
        </is>
      </c>
      <c r="Y3240" t="inlineStr">
        <is>
          <t>27795072460</t>
        </is>
      </c>
    </row>
    <row r="3241">
      <c r="A3241" t="inlineStr">
        <is>
          <t>14945967</t>
        </is>
      </c>
      <c r="B3241" t="inlineStr">
        <is>
          <t>5d1fee55-7650-479d-9736-74ea59fdb077</t>
        </is>
      </c>
      <c r="D3241" t="inlineStr">
        <is>
          <t>30001087</t>
        </is>
      </c>
      <c r="E3241" t="inlineStr">
        <is>
          <t>ussd_funeral_leads_altitude_20260619</t>
        </is>
      </c>
      <c r="J3241" t="inlineStr">
        <is>
          <t>ADC</t>
        </is>
      </c>
      <c r="K3241" t="inlineStr">
        <is>
          <t>Auto Dial Disconnected</t>
        </is>
      </c>
      <c r="L3241" t="n">
        <v>3</v>
      </c>
      <c r="M3241" t="inlineStr">
        <is>
          <t>2026-06-23 10:41:07</t>
        </is>
      </c>
      <c r="N3241" t="inlineStr">
        <is>
          <t>system</t>
        </is>
      </c>
      <c r="O3241" t="inlineStr">
        <is>
          <t>2026-06-19 07:10:32</t>
        </is>
      </c>
      <c r="P3241" t="inlineStr">
        <is>
          <t>2026-06-19 07:10:32</t>
        </is>
      </c>
      <c r="Y3241" t="inlineStr">
        <is>
          <t>27664446408</t>
        </is>
      </c>
    </row>
    <row r="3242">
      <c r="A3242" t="inlineStr">
        <is>
          <t>14945968</t>
        </is>
      </c>
      <c r="B3242" t="inlineStr">
        <is>
          <t>ea6512da-785b-4508-8515-7df5fd0ae4a1</t>
        </is>
      </c>
      <c r="D3242" t="inlineStr">
        <is>
          <t>30001087</t>
        </is>
      </c>
      <c r="E3242" t="inlineStr">
        <is>
          <t>ussd_funeral_leads_altitude_20260619</t>
        </is>
      </c>
      <c r="J3242" t="inlineStr">
        <is>
          <t>NA</t>
        </is>
      </c>
      <c r="K3242" t="inlineStr">
        <is>
          <t>No Answer Autodial</t>
        </is>
      </c>
      <c r="L3242" t="n">
        <v>3</v>
      </c>
      <c r="M3242" t="inlineStr">
        <is>
          <t>2026-06-23 10:41:07</t>
        </is>
      </c>
      <c r="N3242" t="inlineStr">
        <is>
          <t>system</t>
        </is>
      </c>
      <c r="O3242" t="inlineStr">
        <is>
          <t>2026-06-19 07:10:32</t>
        </is>
      </c>
      <c r="P3242" t="inlineStr">
        <is>
          <t>2026-06-19 07:10:32</t>
        </is>
      </c>
      <c r="Y3242" t="inlineStr">
        <is>
          <t>27799315015</t>
        </is>
      </c>
    </row>
    <row r="3243">
      <c r="A3243" t="inlineStr">
        <is>
          <t>14945969</t>
        </is>
      </c>
      <c r="B3243" t="inlineStr">
        <is>
          <t>d02e0e25-8cf1-42f0-bb6a-a007429de809</t>
        </is>
      </c>
      <c r="D3243" t="inlineStr">
        <is>
          <t>30001087</t>
        </is>
      </c>
      <c r="E3243" t="inlineStr">
        <is>
          <t>ussd_funeral_leads_altitude_20260619</t>
        </is>
      </c>
      <c r="J3243" t="inlineStr">
        <is>
          <t>AA</t>
        </is>
      </c>
      <c r="K3243" t="inlineStr">
        <is>
          <t>Answering Machine Autodial</t>
        </is>
      </c>
      <c r="L3243" t="n">
        <v>3</v>
      </c>
      <c r="M3243" t="inlineStr">
        <is>
          <t>2026-06-23 10:41:07</t>
        </is>
      </c>
      <c r="N3243" t="inlineStr">
        <is>
          <t>system</t>
        </is>
      </c>
      <c r="O3243" t="inlineStr">
        <is>
          <t>2026-06-19 07:10:32</t>
        </is>
      </c>
      <c r="P3243" t="inlineStr">
        <is>
          <t>2026-06-19 07:10:32</t>
        </is>
      </c>
      <c r="Y3243" t="inlineStr">
        <is>
          <t>27637444933</t>
        </is>
      </c>
    </row>
    <row r="3244">
      <c r="A3244" t="inlineStr">
        <is>
          <t>14945965</t>
        </is>
      </c>
      <c r="B3244" t="inlineStr">
        <is>
          <t>91fabbbf-2bad-41ad-84e2-ebcdc7490e3b</t>
        </is>
      </c>
      <c r="D3244" t="inlineStr">
        <is>
          <t>30001087</t>
        </is>
      </c>
      <c r="E3244" t="inlineStr">
        <is>
          <t>ussd_funeral_leads_altitude_20260619</t>
        </is>
      </c>
      <c r="J3244" t="inlineStr">
        <is>
          <t>AA</t>
        </is>
      </c>
      <c r="K3244" t="inlineStr">
        <is>
          <t>Answering Machine Autodial</t>
        </is>
      </c>
      <c r="L3244" t="n">
        <v>3</v>
      </c>
      <c r="M3244" t="inlineStr">
        <is>
          <t>2026-06-23 10:40:36</t>
        </is>
      </c>
      <c r="N3244" t="inlineStr">
        <is>
          <t>system</t>
        </is>
      </c>
      <c r="O3244" t="inlineStr">
        <is>
          <t>2026-06-19 07:10:32</t>
        </is>
      </c>
      <c r="P3244" t="inlineStr">
        <is>
          <t>2026-06-19 07:10:32</t>
        </is>
      </c>
      <c r="Y3244" t="inlineStr">
        <is>
          <t>27822626487</t>
        </is>
      </c>
    </row>
    <row r="3245">
      <c r="A3245" t="inlineStr">
        <is>
          <t>14947666</t>
        </is>
      </c>
      <c r="B3245" t="inlineStr">
        <is>
          <t>c5594d1e-c06d-48d1-ae91-40d46f026ada</t>
        </is>
      </c>
      <c r="D3245" t="inlineStr">
        <is>
          <t>30001087</t>
        </is>
      </c>
      <c r="E3245" t="inlineStr">
        <is>
          <t>ussd_funeral_leads_altitude_20260619</t>
        </is>
      </c>
      <c r="J3245" t="inlineStr">
        <is>
          <t>TDN</t>
        </is>
      </c>
      <c r="K3245" t="inlineStr">
        <is>
          <t>Temporary Disconnected Number</t>
        </is>
      </c>
      <c r="L3245" t="n">
        <v>3</v>
      </c>
      <c r="M3245" t="inlineStr">
        <is>
          <t>2026-06-23 10:40:35</t>
        </is>
      </c>
      <c r="N3245" t="inlineStr">
        <is>
          <t>system</t>
        </is>
      </c>
      <c r="O3245" t="inlineStr">
        <is>
          <t>2026-06-19 07:10:32</t>
        </is>
      </c>
      <c r="P3245" t="inlineStr">
        <is>
          <t>2026-06-19 07:10:32</t>
        </is>
      </c>
      <c r="Y3245" t="inlineStr">
        <is>
          <t>27636749072</t>
        </is>
      </c>
    </row>
    <row r="3246">
      <c r="A3246" t="inlineStr">
        <is>
          <t>14946000</t>
        </is>
      </c>
      <c r="B3246" t="inlineStr">
        <is>
          <t>77fd1e98-310a-494d-820e-39b2512eb360</t>
        </is>
      </c>
      <c r="D3246" t="inlineStr">
        <is>
          <t>30001087</t>
        </is>
      </c>
      <c r="E3246" t="inlineStr">
        <is>
          <t>ussd_funeral_leads_altitude_20260619</t>
        </is>
      </c>
      <c r="J3246" t="inlineStr">
        <is>
          <t>CU</t>
        </is>
      </c>
      <c r="K3246" t="inlineStr">
        <is>
          <t>Client Hung Up</t>
        </is>
      </c>
      <c r="L3246" t="n">
        <v>3</v>
      </c>
      <c r="M3246" t="inlineStr">
        <is>
          <t>2026-06-23 10:38:16</t>
        </is>
      </c>
      <c r="N3246" t="inlineStr">
        <is>
          <t>Gontse Monageng</t>
        </is>
      </c>
      <c r="O3246" t="inlineStr">
        <is>
          <t>2026-06-19 07:10:32</t>
        </is>
      </c>
      <c r="P3246" t="inlineStr">
        <is>
          <t>2026-06-19 07:10:32</t>
        </is>
      </c>
      <c r="Y3246" t="inlineStr">
        <is>
          <t>27663791074</t>
        </is>
      </c>
    </row>
    <row r="3247">
      <c r="A3247" t="inlineStr">
        <is>
          <t>14946001</t>
        </is>
      </c>
      <c r="B3247" t="inlineStr">
        <is>
          <t>9c52ea89-ed70-44ac-9122-4bf16f7dfa08</t>
        </is>
      </c>
      <c r="D3247" t="inlineStr">
        <is>
          <t>30001087</t>
        </is>
      </c>
      <c r="E3247" t="inlineStr">
        <is>
          <t>ussd_funeral_leads_altitude_20260619</t>
        </is>
      </c>
      <c r="J3247" t="inlineStr">
        <is>
          <t>AA</t>
        </is>
      </c>
      <c r="K3247" t="inlineStr">
        <is>
          <t>Answering Machine Autodial</t>
        </is>
      </c>
      <c r="L3247" t="n">
        <v>3</v>
      </c>
      <c r="M3247" t="inlineStr">
        <is>
          <t>2026-06-23 10:38:16</t>
        </is>
      </c>
      <c r="N3247" t="inlineStr">
        <is>
          <t>system</t>
        </is>
      </c>
      <c r="O3247" t="inlineStr">
        <is>
          <t>2026-06-19 07:10:32</t>
        </is>
      </c>
      <c r="P3247" t="inlineStr">
        <is>
          <t>2026-06-19 07:10:32</t>
        </is>
      </c>
      <c r="Y3247" t="inlineStr">
        <is>
          <t>27662799693</t>
        </is>
      </c>
    </row>
    <row r="3248">
      <c r="A3248" t="inlineStr">
        <is>
          <t>14945996</t>
        </is>
      </c>
      <c r="B3248" t="inlineStr">
        <is>
          <t>540c448a-9430-4435-8bc5-80482ae44c75</t>
        </is>
      </c>
      <c r="D3248" t="inlineStr">
        <is>
          <t>30001087</t>
        </is>
      </c>
      <c r="E3248" t="inlineStr">
        <is>
          <t>ussd_funeral_leads_altitude_20260619</t>
        </is>
      </c>
      <c r="J3248" t="inlineStr">
        <is>
          <t>AE</t>
        </is>
      </c>
      <c r="K3248" t="inlineStr">
        <is>
          <t>Auto Engaged</t>
        </is>
      </c>
      <c r="L3248" t="n">
        <v>3</v>
      </c>
      <c r="M3248" t="inlineStr">
        <is>
          <t>2026-06-23 10:38:00</t>
        </is>
      </c>
      <c r="N3248" t="inlineStr">
        <is>
          <t>system</t>
        </is>
      </c>
      <c r="O3248" t="inlineStr">
        <is>
          <t>2026-06-19 07:10:32</t>
        </is>
      </c>
      <c r="P3248" t="inlineStr">
        <is>
          <t>2026-06-19 07:10:32</t>
        </is>
      </c>
      <c r="Y3248" t="inlineStr">
        <is>
          <t>27820899099</t>
        </is>
      </c>
    </row>
    <row r="3249">
      <c r="A3249" t="inlineStr">
        <is>
          <t>14945998</t>
        </is>
      </c>
      <c r="B3249" t="inlineStr">
        <is>
          <t>c1277ee8-d8c2-461b-bf47-0f4a31482175</t>
        </is>
      </c>
      <c r="D3249" t="inlineStr">
        <is>
          <t>30001087</t>
        </is>
      </c>
      <c r="E3249" t="inlineStr">
        <is>
          <t>ussd_funeral_leads_altitude_20260619</t>
        </is>
      </c>
      <c r="J3249" t="inlineStr">
        <is>
          <t>AA</t>
        </is>
      </c>
      <c r="K3249" t="inlineStr">
        <is>
          <t>Answering Machine Autodial</t>
        </is>
      </c>
      <c r="L3249" t="n">
        <v>3</v>
      </c>
      <c r="M3249" t="inlineStr">
        <is>
          <t>2026-06-23 10:38:00</t>
        </is>
      </c>
      <c r="N3249" t="inlineStr">
        <is>
          <t>system</t>
        </is>
      </c>
      <c r="O3249" t="inlineStr">
        <is>
          <t>2026-06-19 07:10:32</t>
        </is>
      </c>
      <c r="P3249" t="inlineStr">
        <is>
          <t>2026-06-19 07:10:32</t>
        </is>
      </c>
      <c r="Y3249" t="inlineStr">
        <is>
          <t>27818508373</t>
        </is>
      </c>
    </row>
    <row r="3250">
      <c r="A3250" t="inlineStr">
        <is>
          <t>14945999</t>
        </is>
      </c>
      <c r="B3250" t="inlineStr">
        <is>
          <t>8c60c13d-541f-4640-9dac-aa7ead1f764a</t>
        </is>
      </c>
      <c r="D3250" t="inlineStr">
        <is>
          <t>30001087</t>
        </is>
      </c>
      <c r="E3250" t="inlineStr">
        <is>
          <t>ussd_funeral_leads_altitude_20260619</t>
        </is>
      </c>
      <c r="J3250" t="inlineStr">
        <is>
          <t>TDN</t>
        </is>
      </c>
      <c r="K3250" t="inlineStr">
        <is>
          <t>Temporary Disconnected Number</t>
        </is>
      </c>
      <c r="L3250" t="n">
        <v>3</v>
      </c>
      <c r="M3250" t="inlineStr">
        <is>
          <t>2026-06-23 10:38:00</t>
        </is>
      </c>
      <c r="N3250" t="inlineStr">
        <is>
          <t>system</t>
        </is>
      </c>
      <c r="O3250" t="inlineStr">
        <is>
          <t>2026-06-19 07:10:32</t>
        </is>
      </c>
      <c r="P3250" t="inlineStr">
        <is>
          <t>2026-06-19 07:10:32</t>
        </is>
      </c>
      <c r="Y3250" t="inlineStr">
        <is>
          <t>27822202284</t>
        </is>
      </c>
    </row>
    <row r="3251">
      <c r="A3251" t="inlineStr">
        <is>
          <t>14945994</t>
        </is>
      </c>
      <c r="B3251" t="inlineStr">
        <is>
          <t>97a3ec7f-160e-423b-a23a-355d447ce852</t>
        </is>
      </c>
      <c r="D3251" t="inlineStr">
        <is>
          <t>30001087</t>
        </is>
      </c>
      <c r="E3251" t="inlineStr">
        <is>
          <t>ussd_funeral_leads_altitude_20260619</t>
        </is>
      </c>
      <c r="J3251" t="inlineStr">
        <is>
          <t>AA</t>
        </is>
      </c>
      <c r="K3251" t="inlineStr">
        <is>
          <t>Answering Machine Autodial</t>
        </is>
      </c>
      <c r="L3251" t="n">
        <v>3</v>
      </c>
      <c r="M3251" t="inlineStr">
        <is>
          <t>2026-06-23 10:37:59</t>
        </is>
      </c>
      <c r="N3251" t="inlineStr">
        <is>
          <t>system</t>
        </is>
      </c>
      <c r="O3251" t="inlineStr">
        <is>
          <t>2026-06-19 07:10:32</t>
        </is>
      </c>
      <c r="P3251" t="inlineStr">
        <is>
          <t>2026-06-19 07:10:32</t>
        </is>
      </c>
      <c r="Y3251" t="inlineStr">
        <is>
          <t>27607527878</t>
        </is>
      </c>
    </row>
    <row r="3252">
      <c r="A3252" t="inlineStr">
        <is>
          <t>14945989</t>
        </is>
      </c>
      <c r="B3252" t="inlineStr">
        <is>
          <t>34a03d9b-b46a-45ff-a7a8-2ff192147c67</t>
        </is>
      </c>
      <c r="D3252" t="inlineStr">
        <is>
          <t>30001087</t>
        </is>
      </c>
      <c r="E3252" t="inlineStr">
        <is>
          <t>ussd_funeral_leads_altitude_20260619</t>
        </is>
      </c>
      <c r="J3252" t="inlineStr">
        <is>
          <t>TDN</t>
        </is>
      </c>
      <c r="K3252" t="inlineStr">
        <is>
          <t>Temporary Disconnected Number</t>
        </is>
      </c>
      <c r="L3252" t="n">
        <v>3</v>
      </c>
      <c r="M3252" t="inlineStr">
        <is>
          <t>2026-06-23 10:37:53</t>
        </is>
      </c>
      <c r="N3252" t="inlineStr">
        <is>
          <t>system</t>
        </is>
      </c>
      <c r="O3252" t="inlineStr">
        <is>
          <t>2026-06-19 07:10:32</t>
        </is>
      </c>
      <c r="P3252" t="inlineStr">
        <is>
          <t>2026-06-19 07:10:32</t>
        </is>
      </c>
      <c r="Y3252" t="inlineStr">
        <is>
          <t>27818172336</t>
        </is>
      </c>
    </row>
    <row r="3253">
      <c r="A3253" t="inlineStr">
        <is>
          <t>14945990</t>
        </is>
      </c>
      <c r="B3253" t="inlineStr">
        <is>
          <t>931b662a-ef17-486a-86ca-bf0ad9deb0dc</t>
        </is>
      </c>
      <c r="D3253" t="inlineStr">
        <is>
          <t>30001087</t>
        </is>
      </c>
      <c r="E3253" t="inlineStr">
        <is>
          <t>ussd_funeral_leads_altitude_20260619</t>
        </is>
      </c>
      <c r="J3253" t="inlineStr">
        <is>
          <t>AA</t>
        </is>
      </c>
      <c r="K3253" t="inlineStr">
        <is>
          <t>Answering Machine Autodial</t>
        </is>
      </c>
      <c r="L3253" t="n">
        <v>3</v>
      </c>
      <c r="M3253" t="inlineStr">
        <is>
          <t>2026-06-23 10:37:53</t>
        </is>
      </c>
      <c r="N3253" t="inlineStr">
        <is>
          <t>system</t>
        </is>
      </c>
      <c r="O3253" t="inlineStr">
        <is>
          <t>2026-06-19 07:10:32</t>
        </is>
      </c>
      <c r="P3253" t="inlineStr">
        <is>
          <t>2026-06-19 07:10:32</t>
        </is>
      </c>
      <c r="Y3253" t="inlineStr">
        <is>
          <t>27769990299</t>
        </is>
      </c>
    </row>
    <row r="3254">
      <c r="A3254" t="inlineStr">
        <is>
          <t>14945992</t>
        </is>
      </c>
      <c r="B3254" t="inlineStr">
        <is>
          <t>fdb6c34f-e5bd-47e6-a144-5cfec2c76b70</t>
        </is>
      </c>
      <c r="D3254" t="inlineStr">
        <is>
          <t>30001087</t>
        </is>
      </c>
      <c r="E3254" t="inlineStr">
        <is>
          <t>ussd_funeral_leads_altitude_20260619</t>
        </is>
      </c>
      <c r="J3254" t="inlineStr">
        <is>
          <t>AA</t>
        </is>
      </c>
      <c r="K3254" t="inlineStr">
        <is>
          <t>Answering Machine Autodial</t>
        </is>
      </c>
      <c r="L3254" t="n">
        <v>3</v>
      </c>
      <c r="M3254" t="inlineStr">
        <is>
          <t>2026-06-23 10:37:53</t>
        </is>
      </c>
      <c r="N3254" t="inlineStr">
        <is>
          <t>system</t>
        </is>
      </c>
      <c r="O3254" t="inlineStr">
        <is>
          <t>2026-06-19 07:10:32</t>
        </is>
      </c>
      <c r="P3254" t="inlineStr">
        <is>
          <t>2026-06-19 07:10:32</t>
        </is>
      </c>
      <c r="Y3254" t="inlineStr">
        <is>
          <t>27796163262</t>
        </is>
      </c>
    </row>
    <row r="3255">
      <c r="A3255" t="inlineStr">
        <is>
          <t>14945993</t>
        </is>
      </c>
      <c r="B3255" t="inlineStr">
        <is>
          <t>f5ce5884-01ad-46b2-a92e-2ba02f2fb8e5</t>
        </is>
      </c>
      <c r="D3255" t="inlineStr">
        <is>
          <t>30001087</t>
        </is>
      </c>
      <c r="E3255" t="inlineStr">
        <is>
          <t>ussd_funeral_leads_altitude_20260619</t>
        </is>
      </c>
      <c r="J3255" t="inlineStr">
        <is>
          <t>AA</t>
        </is>
      </c>
      <c r="K3255" t="inlineStr">
        <is>
          <t>Answering Machine Autodial</t>
        </is>
      </c>
      <c r="L3255" t="n">
        <v>3</v>
      </c>
      <c r="M3255" t="inlineStr">
        <is>
          <t>2026-06-23 10:37:53</t>
        </is>
      </c>
      <c r="N3255" t="inlineStr">
        <is>
          <t>system</t>
        </is>
      </c>
      <c r="O3255" t="inlineStr">
        <is>
          <t>2026-06-19 07:10:32</t>
        </is>
      </c>
      <c r="P3255" t="inlineStr">
        <is>
          <t>2026-06-19 07:10:32</t>
        </is>
      </c>
      <c r="Y3255" t="inlineStr">
        <is>
          <t>27797799062</t>
        </is>
      </c>
    </row>
    <row r="3256">
      <c r="A3256" t="inlineStr">
        <is>
          <t>14945988</t>
        </is>
      </c>
      <c r="B3256" t="inlineStr">
        <is>
          <t>ee8215d8-0ade-4e2d-b7e3-4ab17b9be86d</t>
        </is>
      </c>
      <c r="D3256" t="inlineStr">
        <is>
          <t>30001087</t>
        </is>
      </c>
      <c r="E3256" t="inlineStr">
        <is>
          <t>ussd_funeral_leads_altitude_20260619</t>
        </is>
      </c>
      <c r="J3256" t="inlineStr">
        <is>
          <t>A</t>
        </is>
      </c>
      <c r="K3256" t="inlineStr">
        <is>
          <t>Answering Machine</t>
        </is>
      </c>
      <c r="L3256" t="n">
        <v>3</v>
      </c>
      <c r="M3256" t="inlineStr">
        <is>
          <t>2026-06-23 10:37:52</t>
        </is>
      </c>
      <c r="N3256" t="inlineStr">
        <is>
          <t>Goitsimang Mogwasa</t>
        </is>
      </c>
      <c r="O3256" t="inlineStr">
        <is>
          <t>2026-06-19 07:10:32</t>
        </is>
      </c>
      <c r="P3256" t="inlineStr">
        <is>
          <t>2026-06-19 07:10:32</t>
        </is>
      </c>
      <c r="Y3256" t="inlineStr">
        <is>
          <t>27724181057</t>
        </is>
      </c>
    </row>
    <row r="3257">
      <c r="A3257" t="inlineStr">
        <is>
          <t>14945987</t>
        </is>
      </c>
      <c r="B3257" t="inlineStr">
        <is>
          <t>20c4a017-b933-40e8-8a40-aa42e475eba4</t>
        </is>
      </c>
      <c r="D3257" t="inlineStr">
        <is>
          <t>30001087</t>
        </is>
      </c>
      <c r="E3257" t="inlineStr">
        <is>
          <t>ussd_funeral_leads_altitude_20260619</t>
        </is>
      </c>
      <c r="J3257" t="inlineStr">
        <is>
          <t>CUA</t>
        </is>
      </c>
      <c r="K3257" t="inlineStr">
        <is>
          <t>Client Underage</t>
        </is>
      </c>
      <c r="L3257" t="n">
        <v>3</v>
      </c>
      <c r="M3257" t="inlineStr">
        <is>
          <t>2026-06-23 10:37:47</t>
        </is>
      </c>
      <c r="N3257" t="inlineStr">
        <is>
          <t>Lebohang Mabotja</t>
        </is>
      </c>
      <c r="O3257" t="inlineStr">
        <is>
          <t>2026-06-19 07:10:32</t>
        </is>
      </c>
      <c r="P3257" t="inlineStr">
        <is>
          <t>2026-06-19 07:10:32</t>
        </is>
      </c>
      <c r="Y3257" t="inlineStr">
        <is>
          <t>27660936562</t>
        </is>
      </c>
    </row>
    <row r="3258">
      <c r="A3258" t="inlineStr">
        <is>
          <t>14945986</t>
        </is>
      </c>
      <c r="B3258" t="inlineStr">
        <is>
          <t>29b57b91-a467-44db-890d-91f6ca5dde9a</t>
        </is>
      </c>
      <c r="D3258" t="inlineStr">
        <is>
          <t>30001087</t>
        </is>
      </c>
      <c r="E3258" t="inlineStr">
        <is>
          <t>ussd_funeral_leads_altitude_20260619</t>
        </is>
      </c>
      <c r="J3258" t="inlineStr">
        <is>
          <t>NA</t>
        </is>
      </c>
      <c r="K3258" t="inlineStr">
        <is>
          <t>No Answer Autodial</t>
        </is>
      </c>
      <c r="L3258" t="n">
        <v>3</v>
      </c>
      <c r="M3258" t="inlineStr">
        <is>
          <t>2026-06-23 10:37:46</t>
        </is>
      </c>
      <c r="N3258" t="inlineStr">
        <is>
          <t>system</t>
        </is>
      </c>
      <c r="O3258" t="inlineStr">
        <is>
          <t>2026-06-19 07:10:32</t>
        </is>
      </c>
      <c r="P3258" t="inlineStr">
        <is>
          <t>2026-06-19 07:10:32</t>
        </is>
      </c>
      <c r="Y3258" t="inlineStr">
        <is>
          <t>27660966528</t>
        </is>
      </c>
    </row>
    <row r="3259">
      <c r="A3259" t="inlineStr">
        <is>
          <t>14945976</t>
        </is>
      </c>
      <c r="B3259" t="inlineStr">
        <is>
          <t>edc2e3dd-f38a-4d33-965d-809e0d367179</t>
        </is>
      </c>
      <c r="D3259" t="inlineStr">
        <is>
          <t>30001087</t>
        </is>
      </c>
      <c r="E3259" t="inlineStr">
        <is>
          <t>ussd_funeral_leads_altitude_20260619</t>
        </is>
      </c>
      <c r="J3259" t="inlineStr">
        <is>
          <t>AA</t>
        </is>
      </c>
      <c r="K3259" t="inlineStr">
        <is>
          <t>Answering Machine Autodial</t>
        </is>
      </c>
      <c r="L3259" t="n">
        <v>3</v>
      </c>
      <c r="M3259" t="inlineStr">
        <is>
          <t>2026-06-23 10:37:27</t>
        </is>
      </c>
      <c r="N3259" t="inlineStr">
        <is>
          <t>system</t>
        </is>
      </c>
      <c r="O3259" t="inlineStr">
        <is>
          <t>2026-06-19 07:10:32</t>
        </is>
      </c>
      <c r="P3259" t="inlineStr">
        <is>
          <t>2026-06-19 07:10:32</t>
        </is>
      </c>
      <c r="Y3259" t="inlineStr">
        <is>
          <t>27762748138</t>
        </is>
      </c>
    </row>
    <row r="3260">
      <c r="A3260" t="inlineStr">
        <is>
          <t>14945758</t>
        </is>
      </c>
      <c r="B3260" t="inlineStr">
        <is>
          <t>5b9551d9-d438-4629-89e6-93252e7861f0</t>
        </is>
      </c>
      <c r="D3260" t="inlineStr">
        <is>
          <t>30001087</t>
        </is>
      </c>
      <c r="E3260" t="inlineStr">
        <is>
          <t>ussd_funeral_leads_altitude_20260619</t>
        </is>
      </c>
      <c r="J3260" t="inlineStr">
        <is>
          <t>AA</t>
        </is>
      </c>
      <c r="K3260" t="inlineStr">
        <is>
          <t>Answering Machine Autodial</t>
        </is>
      </c>
      <c r="L3260" t="n">
        <v>3</v>
      </c>
      <c r="M3260" t="inlineStr">
        <is>
          <t>2026-06-23 10:37:22</t>
        </is>
      </c>
      <c r="N3260" t="inlineStr">
        <is>
          <t>system</t>
        </is>
      </c>
      <c r="O3260" t="inlineStr">
        <is>
          <t>2026-06-19 07:10:32</t>
        </is>
      </c>
      <c r="P3260" t="inlineStr">
        <is>
          <t>2026-06-19 07:10:32</t>
        </is>
      </c>
      <c r="Y3260" t="inlineStr">
        <is>
          <t>27674485683</t>
        </is>
      </c>
    </row>
    <row r="3261">
      <c r="A3261" t="inlineStr">
        <is>
          <t>14945971</t>
        </is>
      </c>
      <c r="B3261" t="inlineStr">
        <is>
          <t>af353c65-d8be-4540-9dee-d0ccd4fdb158</t>
        </is>
      </c>
      <c r="D3261" t="inlineStr">
        <is>
          <t>30001087</t>
        </is>
      </c>
      <c r="E3261" t="inlineStr">
        <is>
          <t>ussd_funeral_leads_altitude_20260619</t>
        </is>
      </c>
      <c r="J3261" t="inlineStr">
        <is>
          <t>A</t>
        </is>
      </c>
      <c r="K3261" t="inlineStr">
        <is>
          <t>Answering Machine</t>
        </is>
      </c>
      <c r="L3261" t="n">
        <v>3</v>
      </c>
      <c r="M3261" t="inlineStr">
        <is>
          <t>2026-06-23 10:37:22</t>
        </is>
      </c>
      <c r="N3261" t="inlineStr">
        <is>
          <t>Goitsimang Mogwasa</t>
        </is>
      </c>
      <c r="O3261" t="inlineStr">
        <is>
          <t>2026-06-19 07:10:32</t>
        </is>
      </c>
      <c r="P3261" t="inlineStr">
        <is>
          <t>2026-06-19 07:10:32</t>
        </is>
      </c>
      <c r="Y3261" t="inlineStr">
        <is>
          <t>27729349904</t>
        </is>
      </c>
    </row>
    <row r="3262">
      <c r="A3262" t="inlineStr">
        <is>
          <t>14945973</t>
        </is>
      </c>
      <c r="B3262" t="inlineStr">
        <is>
          <t>0fa1b136-aeb0-43e4-844e-85ca491672bf</t>
        </is>
      </c>
      <c r="D3262" t="inlineStr">
        <is>
          <t>30001087</t>
        </is>
      </c>
      <c r="E3262" t="inlineStr">
        <is>
          <t>ussd_funeral_leads_altitude_20260619</t>
        </is>
      </c>
      <c r="J3262" t="inlineStr">
        <is>
          <t>AA</t>
        </is>
      </c>
      <c r="K3262" t="inlineStr">
        <is>
          <t>Answering Machine Autodial</t>
        </is>
      </c>
      <c r="L3262" t="n">
        <v>3</v>
      </c>
      <c r="M3262" t="inlineStr">
        <is>
          <t>2026-06-23 10:37:22</t>
        </is>
      </c>
      <c r="N3262" t="inlineStr">
        <is>
          <t>system</t>
        </is>
      </c>
      <c r="O3262" t="inlineStr">
        <is>
          <t>2026-06-19 07:10:32</t>
        </is>
      </c>
      <c r="P3262" t="inlineStr">
        <is>
          <t>2026-06-19 07:10:32</t>
        </is>
      </c>
      <c r="Y3262" t="inlineStr">
        <is>
          <t>27793608300</t>
        </is>
      </c>
    </row>
    <row r="3263">
      <c r="A3263" t="inlineStr">
        <is>
          <t>14945974</t>
        </is>
      </c>
      <c r="B3263" t="inlineStr">
        <is>
          <t>eda17e54-3194-4b01-9b24-0618042f04ac</t>
        </is>
      </c>
      <c r="D3263" t="inlineStr">
        <is>
          <t>30001087</t>
        </is>
      </c>
      <c r="E3263" t="inlineStr">
        <is>
          <t>ussd_funeral_leads_altitude_20260619</t>
        </is>
      </c>
      <c r="J3263" t="inlineStr">
        <is>
          <t>NA</t>
        </is>
      </c>
      <c r="K3263" t="inlineStr">
        <is>
          <t>No Answer Autodial</t>
        </is>
      </c>
      <c r="L3263" t="n">
        <v>3</v>
      </c>
      <c r="M3263" t="inlineStr">
        <is>
          <t>2026-06-23 10:37:22</t>
        </is>
      </c>
      <c r="N3263" t="inlineStr">
        <is>
          <t>system</t>
        </is>
      </c>
      <c r="O3263" t="inlineStr">
        <is>
          <t>2026-06-19 07:10:32</t>
        </is>
      </c>
      <c r="P3263" t="inlineStr">
        <is>
          <t>2026-06-19 07:10:32</t>
        </is>
      </c>
      <c r="Y3263" t="inlineStr">
        <is>
          <t>27662760584</t>
        </is>
      </c>
    </row>
    <row r="3264">
      <c r="A3264" t="inlineStr">
        <is>
          <t>14945975</t>
        </is>
      </c>
      <c r="B3264" t="inlineStr">
        <is>
          <t>719347e2-5729-4ac6-a707-f8405c9330f5</t>
        </is>
      </c>
      <c r="D3264" t="inlineStr">
        <is>
          <t>30001087</t>
        </is>
      </c>
      <c r="E3264" t="inlineStr">
        <is>
          <t>ussd_funeral_leads_altitude_20260619</t>
        </is>
      </c>
      <c r="J3264" t="inlineStr">
        <is>
          <t>AA</t>
        </is>
      </c>
      <c r="K3264" t="inlineStr">
        <is>
          <t>Answering Machine Autodial</t>
        </is>
      </c>
      <c r="L3264" t="n">
        <v>3</v>
      </c>
      <c r="M3264" t="inlineStr">
        <is>
          <t>2026-06-23 10:37:22</t>
        </is>
      </c>
      <c r="N3264" t="inlineStr">
        <is>
          <t>system</t>
        </is>
      </c>
      <c r="O3264" t="inlineStr">
        <is>
          <t>2026-06-19 07:10:32</t>
        </is>
      </c>
      <c r="P3264" t="inlineStr">
        <is>
          <t>2026-06-19 07:10:32</t>
        </is>
      </c>
      <c r="Y3264" t="inlineStr">
        <is>
          <t>27727943608</t>
        </is>
      </c>
    </row>
    <row r="3265">
      <c r="A3265" t="inlineStr">
        <is>
          <t>14945984</t>
        </is>
      </c>
      <c r="B3265" t="inlineStr">
        <is>
          <t>d727998d-1288-4710-965b-d0d4cd8da7b4</t>
        </is>
      </c>
      <c r="D3265" t="inlineStr">
        <is>
          <t>30001087</t>
        </is>
      </c>
      <c r="E3265" t="inlineStr">
        <is>
          <t>ussd_funeral_leads_altitude_20260619</t>
        </is>
      </c>
      <c r="J3265" t="inlineStr">
        <is>
          <t>NA</t>
        </is>
      </c>
      <c r="K3265" t="inlineStr">
        <is>
          <t>No Answer Autodial</t>
        </is>
      </c>
      <c r="L3265" t="n">
        <v>3</v>
      </c>
      <c r="M3265" t="inlineStr">
        <is>
          <t>2026-06-23 10:35:13</t>
        </is>
      </c>
      <c r="N3265" t="inlineStr">
        <is>
          <t>system</t>
        </is>
      </c>
      <c r="O3265" t="inlineStr">
        <is>
          <t>2026-06-19 07:10:32</t>
        </is>
      </c>
      <c r="P3265" t="inlineStr">
        <is>
          <t>2026-06-19 07:10:32</t>
        </is>
      </c>
      <c r="Y3265" t="inlineStr">
        <is>
          <t>27793835703</t>
        </is>
      </c>
    </row>
    <row r="3266">
      <c r="A3266" t="inlineStr">
        <is>
          <t>14945985</t>
        </is>
      </c>
      <c r="B3266" t="inlineStr">
        <is>
          <t>a678bfda-6c83-4edf-9e73-4a22df809e8e</t>
        </is>
      </c>
      <c r="D3266" t="inlineStr">
        <is>
          <t>30001087</t>
        </is>
      </c>
      <c r="E3266" t="inlineStr">
        <is>
          <t>ussd_funeral_leads_altitude_20260619</t>
        </is>
      </c>
      <c r="J3266" t="inlineStr">
        <is>
          <t>AA</t>
        </is>
      </c>
      <c r="K3266" t="inlineStr">
        <is>
          <t>Answering Machine Autodial</t>
        </is>
      </c>
      <c r="L3266" t="n">
        <v>3</v>
      </c>
      <c r="M3266" t="inlineStr">
        <is>
          <t>2026-06-23 10:35:13</t>
        </is>
      </c>
      <c r="N3266" t="inlineStr">
        <is>
          <t>system</t>
        </is>
      </c>
      <c r="O3266" t="inlineStr">
        <is>
          <t>2026-06-19 07:10:32</t>
        </is>
      </c>
      <c r="P3266" t="inlineStr">
        <is>
          <t>2026-06-19 07:10:32</t>
        </is>
      </c>
      <c r="Y3266" t="inlineStr">
        <is>
          <t>27761511834</t>
        </is>
      </c>
    </row>
    <row r="3267">
      <c r="A3267" t="inlineStr">
        <is>
          <t>14945980</t>
        </is>
      </c>
      <c r="B3267" t="inlineStr">
        <is>
          <t>b6b7cb36-fc4f-4b32-8bf1-d48f38f5e476</t>
        </is>
      </c>
      <c r="D3267" t="inlineStr">
        <is>
          <t>30001087</t>
        </is>
      </c>
      <c r="E3267" t="inlineStr">
        <is>
          <t>ussd_funeral_leads_altitude_20260619</t>
        </is>
      </c>
      <c r="J3267" t="inlineStr">
        <is>
          <t>AA</t>
        </is>
      </c>
      <c r="K3267" t="inlineStr">
        <is>
          <t>Answering Machine Autodial</t>
        </is>
      </c>
      <c r="L3267" t="n">
        <v>3</v>
      </c>
      <c r="M3267" t="inlineStr">
        <is>
          <t>2026-06-23 10:35:12</t>
        </is>
      </c>
      <c r="N3267" t="inlineStr">
        <is>
          <t>system</t>
        </is>
      </c>
      <c r="O3267" t="inlineStr">
        <is>
          <t>2026-06-19 07:10:32</t>
        </is>
      </c>
      <c r="P3267" t="inlineStr">
        <is>
          <t>2026-06-19 07:10:32</t>
        </is>
      </c>
      <c r="Y3267" t="inlineStr">
        <is>
          <t>27714500335</t>
        </is>
      </c>
    </row>
    <row r="3268">
      <c r="A3268" t="inlineStr">
        <is>
          <t>14945981</t>
        </is>
      </c>
      <c r="B3268" t="inlineStr">
        <is>
          <t>48ef056f-aaae-4e7e-81ba-7236093024a4</t>
        </is>
      </c>
      <c r="D3268" t="inlineStr">
        <is>
          <t>30001087</t>
        </is>
      </c>
      <c r="E3268" t="inlineStr">
        <is>
          <t>ussd_funeral_leads_altitude_20260619</t>
        </is>
      </c>
      <c r="J3268" t="inlineStr">
        <is>
          <t>ADC</t>
        </is>
      </c>
      <c r="K3268" t="inlineStr">
        <is>
          <t>Auto Dial Disconnected</t>
        </is>
      </c>
      <c r="L3268" t="n">
        <v>3</v>
      </c>
      <c r="M3268" t="inlineStr">
        <is>
          <t>2026-06-23 10:35:12</t>
        </is>
      </c>
      <c r="N3268" t="inlineStr">
        <is>
          <t>system</t>
        </is>
      </c>
      <c r="O3268" t="inlineStr">
        <is>
          <t>2026-06-19 07:10:32</t>
        </is>
      </c>
      <c r="P3268" t="inlineStr">
        <is>
          <t>2026-06-19 07:10:32</t>
        </is>
      </c>
      <c r="Y3268" t="inlineStr">
        <is>
          <t>27797009469</t>
        </is>
      </c>
    </row>
    <row r="3269">
      <c r="A3269" t="inlineStr">
        <is>
          <t>14945983</t>
        </is>
      </c>
      <c r="B3269" t="inlineStr">
        <is>
          <t>6b5a93a4-b610-4f4f-8497-dfdda0004fcb</t>
        </is>
      </c>
      <c r="D3269" t="inlineStr">
        <is>
          <t>30001087</t>
        </is>
      </c>
      <c r="E3269" t="inlineStr">
        <is>
          <t>ussd_funeral_leads_altitude_20260619</t>
        </is>
      </c>
      <c r="J3269" t="inlineStr">
        <is>
          <t>TDN</t>
        </is>
      </c>
      <c r="K3269" t="inlineStr">
        <is>
          <t>Temporary Disconnected Number</t>
        </is>
      </c>
      <c r="L3269" t="n">
        <v>3</v>
      </c>
      <c r="M3269" t="inlineStr">
        <is>
          <t>2026-06-23 10:35:12</t>
        </is>
      </c>
      <c r="N3269" t="inlineStr">
        <is>
          <t>system</t>
        </is>
      </c>
      <c r="O3269" t="inlineStr">
        <is>
          <t>2026-06-19 07:10:32</t>
        </is>
      </c>
      <c r="P3269" t="inlineStr">
        <is>
          <t>2026-06-19 07:10:32</t>
        </is>
      </c>
      <c r="Y3269" t="inlineStr">
        <is>
          <t>27795310525</t>
        </is>
      </c>
    </row>
    <row r="3270">
      <c r="A3270" t="inlineStr">
        <is>
          <t>14945763</t>
        </is>
      </c>
      <c r="B3270" t="inlineStr">
        <is>
          <t>981c6a94-5d71-4101-be9e-efb95b0705e0</t>
        </is>
      </c>
      <c r="D3270" t="inlineStr">
        <is>
          <t>30001087</t>
        </is>
      </c>
      <c r="E3270" t="inlineStr">
        <is>
          <t>ussd_funeral_leads_altitude_20260619</t>
        </is>
      </c>
      <c r="J3270" t="inlineStr">
        <is>
          <t>AA</t>
        </is>
      </c>
      <c r="K3270" t="inlineStr">
        <is>
          <t>Answering Machine Autodial</t>
        </is>
      </c>
      <c r="L3270" t="n">
        <v>3</v>
      </c>
      <c r="M3270" t="inlineStr">
        <is>
          <t>2026-06-23 10:35:11</t>
        </is>
      </c>
      <c r="N3270" t="inlineStr">
        <is>
          <t>system</t>
        </is>
      </c>
      <c r="O3270" t="inlineStr">
        <is>
          <t>2026-06-19 07:10:32</t>
        </is>
      </c>
      <c r="P3270" t="inlineStr">
        <is>
          <t>2026-06-19 07:10:32</t>
        </is>
      </c>
      <c r="Y3270" t="inlineStr">
        <is>
          <t>27729833425</t>
        </is>
      </c>
    </row>
    <row r="3271">
      <c r="A3271" t="inlineStr">
        <is>
          <t>14945978</t>
        </is>
      </c>
      <c r="B3271" t="inlineStr">
        <is>
          <t>1756b551-1736-4b0b-8cce-6b0627571a53</t>
        </is>
      </c>
      <c r="D3271" t="inlineStr">
        <is>
          <t>30001087</t>
        </is>
      </c>
      <c r="E3271" t="inlineStr">
        <is>
          <t>ussd_funeral_leads_altitude_20260619</t>
        </is>
      </c>
      <c r="J3271" t="inlineStr">
        <is>
          <t>ADC</t>
        </is>
      </c>
      <c r="K3271" t="inlineStr">
        <is>
          <t>Auto Dial Disconnected</t>
        </is>
      </c>
      <c r="L3271" t="n">
        <v>3</v>
      </c>
      <c r="M3271" t="inlineStr">
        <is>
          <t>2026-06-23 10:35:11</t>
        </is>
      </c>
      <c r="N3271" t="inlineStr">
        <is>
          <t>system</t>
        </is>
      </c>
      <c r="O3271" t="inlineStr">
        <is>
          <t>2026-06-19 07:10:32</t>
        </is>
      </c>
      <c r="P3271" t="inlineStr">
        <is>
          <t>2026-06-19 07:10:32</t>
        </is>
      </c>
      <c r="Y3271" t="inlineStr">
        <is>
          <t>27649181995</t>
        </is>
      </c>
    </row>
    <row r="3272">
      <c r="A3272" t="inlineStr">
        <is>
          <t>14945995</t>
        </is>
      </c>
      <c r="B3272" t="inlineStr">
        <is>
          <t>ffc00ea9-e445-4763-8073-b78d2182dbe5</t>
        </is>
      </c>
      <c r="D3272" t="inlineStr">
        <is>
          <t>30001087</t>
        </is>
      </c>
      <c r="E3272" t="inlineStr">
        <is>
          <t>ussd_funeral_leads_altitude_20260619</t>
        </is>
      </c>
      <c r="J3272" t="inlineStr">
        <is>
          <t>AA</t>
        </is>
      </c>
      <c r="K3272" t="inlineStr">
        <is>
          <t>Answering Machine Autodial</t>
        </is>
      </c>
      <c r="L3272" t="n">
        <v>3</v>
      </c>
      <c r="M3272" t="inlineStr">
        <is>
          <t>2026-06-23 10:34:01</t>
        </is>
      </c>
      <c r="N3272" t="inlineStr">
        <is>
          <t>system</t>
        </is>
      </c>
      <c r="O3272" t="inlineStr">
        <is>
          <t>2026-06-19 07:10:32</t>
        </is>
      </c>
      <c r="P3272" t="inlineStr">
        <is>
          <t>2026-06-19 07:10:32</t>
        </is>
      </c>
      <c r="Y3272" t="inlineStr">
        <is>
          <t>27774852848</t>
        </is>
      </c>
    </row>
    <row r="3273">
      <c r="A3273" t="inlineStr">
        <is>
          <t>14947667</t>
        </is>
      </c>
      <c r="B3273" t="inlineStr">
        <is>
          <t>b3aea47b-00fb-4f88-a436-dbb74644138b</t>
        </is>
      </c>
      <c r="D3273" t="inlineStr">
        <is>
          <t>30001087</t>
        </is>
      </c>
      <c r="E3273" t="inlineStr">
        <is>
          <t>ussd_funeral_leads_altitude_20260619</t>
        </is>
      </c>
      <c r="J3273" t="inlineStr">
        <is>
          <t>AA</t>
        </is>
      </c>
      <c r="K3273" t="inlineStr">
        <is>
          <t>Answering Machine Autodial</t>
        </is>
      </c>
      <c r="L3273" t="n">
        <v>3</v>
      </c>
      <c r="M3273" t="inlineStr">
        <is>
          <t>2026-06-23 10:34:01</t>
        </is>
      </c>
      <c r="N3273" t="inlineStr">
        <is>
          <t>system</t>
        </is>
      </c>
      <c r="O3273" t="inlineStr">
        <is>
          <t>2026-06-19 07:10:32</t>
        </is>
      </c>
      <c r="P3273" t="inlineStr">
        <is>
          <t>2026-06-19 07:10:32</t>
        </is>
      </c>
      <c r="Y3273" t="inlineStr">
        <is>
          <t>27797432240</t>
        </is>
      </c>
    </row>
    <row r="3274">
      <c r="A3274" t="inlineStr">
        <is>
          <t>14946067</t>
        </is>
      </c>
      <c r="B3274" t="inlineStr">
        <is>
          <t>8d55989b-5fd5-49e5-aa11-a5be2c468736</t>
        </is>
      </c>
      <c r="D3274" t="inlineStr">
        <is>
          <t>30001087</t>
        </is>
      </c>
      <c r="E3274" t="inlineStr">
        <is>
          <t>ussd_funeral_leads_altitude_20260619</t>
        </is>
      </c>
      <c r="J3274" t="inlineStr">
        <is>
          <t>ADC</t>
        </is>
      </c>
      <c r="K3274" t="inlineStr">
        <is>
          <t>Auto Dial Disconnected</t>
        </is>
      </c>
      <c r="L3274" t="n">
        <v>3</v>
      </c>
      <c r="M3274" t="inlineStr">
        <is>
          <t>2026-06-23 10:33:16</t>
        </is>
      </c>
      <c r="N3274" t="inlineStr">
        <is>
          <t>system</t>
        </is>
      </c>
      <c r="O3274" t="inlineStr">
        <is>
          <t>2026-06-19 07:10:32</t>
        </is>
      </c>
      <c r="P3274" t="inlineStr">
        <is>
          <t>2026-06-19 07:10:32</t>
        </is>
      </c>
      <c r="Y3274" t="inlineStr">
        <is>
          <t>27766468467</t>
        </is>
      </c>
    </row>
    <row r="3275">
      <c r="A3275" t="inlineStr">
        <is>
          <t>14946063</t>
        </is>
      </c>
      <c r="B3275" t="inlineStr">
        <is>
          <t>6652beef-bee4-4974-a8ba-215ea2e6e183</t>
        </is>
      </c>
      <c r="D3275" t="inlineStr">
        <is>
          <t>30001087</t>
        </is>
      </c>
      <c r="E3275" t="inlineStr">
        <is>
          <t>ussd_funeral_leads_altitude_20260619</t>
        </is>
      </c>
      <c r="J3275" t="inlineStr">
        <is>
          <t>AA</t>
        </is>
      </c>
      <c r="K3275" t="inlineStr">
        <is>
          <t>Answering Machine Autodial</t>
        </is>
      </c>
      <c r="L3275" t="n">
        <v>3</v>
      </c>
      <c r="M3275" t="inlineStr">
        <is>
          <t>2026-06-23 10:33:15</t>
        </is>
      </c>
      <c r="N3275" t="inlineStr">
        <is>
          <t>system</t>
        </is>
      </c>
      <c r="O3275" t="inlineStr">
        <is>
          <t>2026-06-19 07:10:32</t>
        </is>
      </c>
      <c r="P3275" t="inlineStr">
        <is>
          <t>2026-06-19 07:10:32</t>
        </is>
      </c>
      <c r="Y3275" t="inlineStr">
        <is>
          <t>27724929351</t>
        </is>
      </c>
    </row>
    <row r="3276">
      <c r="A3276" t="inlineStr">
        <is>
          <t>14946065</t>
        </is>
      </c>
      <c r="B3276" t="inlineStr">
        <is>
          <t>5257c331-f891-4a45-bc4e-1bd0be21cef0</t>
        </is>
      </c>
      <c r="D3276" t="inlineStr">
        <is>
          <t>30001087</t>
        </is>
      </c>
      <c r="E3276" t="inlineStr">
        <is>
          <t>ussd_funeral_leads_altitude_20260619</t>
        </is>
      </c>
      <c r="J3276" t="inlineStr">
        <is>
          <t>TDN</t>
        </is>
      </c>
      <c r="K3276" t="inlineStr">
        <is>
          <t>Temporary Disconnected Number</t>
        </is>
      </c>
      <c r="L3276" t="n">
        <v>3</v>
      </c>
      <c r="M3276" t="inlineStr">
        <is>
          <t>2026-06-23 10:33:15</t>
        </is>
      </c>
      <c r="N3276" t="inlineStr">
        <is>
          <t>system</t>
        </is>
      </c>
      <c r="O3276" t="inlineStr">
        <is>
          <t>2026-06-19 07:10:32</t>
        </is>
      </c>
      <c r="P3276" t="inlineStr">
        <is>
          <t>2026-06-19 07:10:32</t>
        </is>
      </c>
      <c r="Y3276" t="inlineStr">
        <is>
          <t>27799347949</t>
        </is>
      </c>
    </row>
    <row r="3277">
      <c r="A3277" t="inlineStr">
        <is>
          <t>14946066</t>
        </is>
      </c>
      <c r="B3277" t="inlineStr">
        <is>
          <t>f1ee978f-4b61-4165-8d8d-668fab53a103</t>
        </is>
      </c>
      <c r="D3277" t="inlineStr">
        <is>
          <t>30001087</t>
        </is>
      </c>
      <c r="E3277" t="inlineStr">
        <is>
          <t>ussd_funeral_leads_altitude_20260619</t>
        </is>
      </c>
      <c r="J3277" t="inlineStr">
        <is>
          <t>AE</t>
        </is>
      </c>
      <c r="K3277" t="inlineStr">
        <is>
          <t>Auto Engaged</t>
        </is>
      </c>
      <c r="L3277" t="n">
        <v>3</v>
      </c>
      <c r="M3277" t="inlineStr">
        <is>
          <t>2026-06-23 10:33:15</t>
        </is>
      </c>
      <c r="N3277" t="inlineStr">
        <is>
          <t>system</t>
        </is>
      </c>
      <c r="O3277" t="inlineStr">
        <is>
          <t>2026-06-19 07:10:32</t>
        </is>
      </c>
      <c r="P3277" t="inlineStr">
        <is>
          <t>2026-06-19 07:10:32</t>
        </is>
      </c>
      <c r="Y3277" t="inlineStr">
        <is>
          <t>27636859021</t>
        </is>
      </c>
    </row>
    <row r="3278">
      <c r="A3278" t="inlineStr">
        <is>
          <t>14946062</t>
        </is>
      </c>
      <c r="B3278" t="inlineStr">
        <is>
          <t>7246b2e8-ca71-4f50-8681-6b643b2d9177</t>
        </is>
      </c>
      <c r="D3278" t="inlineStr">
        <is>
          <t>30001087</t>
        </is>
      </c>
      <c r="E3278" t="inlineStr">
        <is>
          <t>ussd_funeral_leads_altitude_20260619</t>
        </is>
      </c>
      <c r="J3278" t="inlineStr">
        <is>
          <t>CU</t>
        </is>
      </c>
      <c r="K3278" t="inlineStr">
        <is>
          <t>Client Hung Up</t>
        </is>
      </c>
      <c r="L3278" t="n">
        <v>3</v>
      </c>
      <c r="M3278" t="inlineStr">
        <is>
          <t>2026-06-23 10:32:19</t>
        </is>
      </c>
      <c r="N3278" t="inlineStr">
        <is>
          <t>Lebohang Mabotja</t>
        </is>
      </c>
      <c r="O3278" t="inlineStr">
        <is>
          <t>2026-06-19 07:10:32</t>
        </is>
      </c>
      <c r="P3278" t="inlineStr">
        <is>
          <t>2026-06-19 07:10:32</t>
        </is>
      </c>
      <c r="Y3278" t="inlineStr">
        <is>
          <t>27722056516</t>
        </is>
      </c>
    </row>
    <row r="3279">
      <c r="A3279" t="inlineStr">
        <is>
          <t>14900000</t>
        </is>
      </c>
      <c r="B3279" t="inlineStr">
        <is>
          <t>e4556ff6-2137-4eb3-a431-2f925e75d236</t>
        </is>
      </c>
      <c r="D3279" t="inlineStr">
        <is>
          <t>30001087</t>
        </is>
      </c>
      <c r="E3279" t="inlineStr">
        <is>
          <t>ussd_funeral_leads_altitude_20260619</t>
        </is>
      </c>
      <c r="J3279" t="inlineStr">
        <is>
          <t>AE</t>
        </is>
      </c>
      <c r="K3279" t="inlineStr">
        <is>
          <t>Auto Engaged</t>
        </is>
      </c>
      <c r="L3279" t="n">
        <v>3</v>
      </c>
      <c r="M3279" t="inlineStr">
        <is>
          <t>2026-06-23 10:32:16</t>
        </is>
      </c>
      <c r="N3279" t="inlineStr">
        <is>
          <t>system</t>
        </is>
      </c>
      <c r="O3279" t="inlineStr">
        <is>
          <t>2026-06-19 07:10:32</t>
        </is>
      </c>
      <c r="P3279" t="inlineStr">
        <is>
          <t>2026-06-19 07:10:32</t>
        </is>
      </c>
      <c r="Y3279" t="inlineStr">
        <is>
          <t>27665018030</t>
        </is>
      </c>
    </row>
    <row r="3280">
      <c r="A3280" t="inlineStr">
        <is>
          <t>14946059</t>
        </is>
      </c>
      <c r="B3280" t="inlineStr">
        <is>
          <t>8fe83568-8a32-4e3d-bd8b-dac9ad004f38</t>
        </is>
      </c>
      <c r="D3280" t="inlineStr">
        <is>
          <t>30001087</t>
        </is>
      </c>
      <c r="E3280" t="inlineStr">
        <is>
          <t>ussd_funeral_leads_altitude_20260619</t>
        </is>
      </c>
      <c r="J3280" t="inlineStr">
        <is>
          <t>AA</t>
        </is>
      </c>
      <c r="K3280" t="inlineStr">
        <is>
          <t>Answering Machine Autodial</t>
        </is>
      </c>
      <c r="L3280" t="n">
        <v>3</v>
      </c>
      <c r="M3280" t="inlineStr">
        <is>
          <t>2026-06-23 10:32:15</t>
        </is>
      </c>
      <c r="N3280" t="inlineStr">
        <is>
          <t>system</t>
        </is>
      </c>
      <c r="O3280" t="inlineStr">
        <is>
          <t>2026-06-19 07:10:32</t>
        </is>
      </c>
      <c r="P3280" t="inlineStr">
        <is>
          <t>2026-06-19 07:10:32</t>
        </is>
      </c>
      <c r="Y3280" t="inlineStr">
        <is>
          <t>27772870448</t>
        </is>
      </c>
    </row>
    <row r="3281">
      <c r="A3281" t="inlineStr">
        <is>
          <t>14946060</t>
        </is>
      </c>
      <c r="B3281" t="inlineStr">
        <is>
          <t>cc93a0eb-d010-4ab6-af9c-b1171c3dc545</t>
        </is>
      </c>
      <c r="D3281" t="inlineStr">
        <is>
          <t>30001087</t>
        </is>
      </c>
      <c r="E3281" t="inlineStr">
        <is>
          <t>ussd_funeral_leads_altitude_20260619</t>
        </is>
      </c>
      <c r="J3281" t="inlineStr">
        <is>
          <t>TDN</t>
        </is>
      </c>
      <c r="K3281" t="inlineStr">
        <is>
          <t>Temporary Disconnected Number</t>
        </is>
      </c>
      <c r="L3281" t="n">
        <v>3</v>
      </c>
      <c r="M3281" t="inlineStr">
        <is>
          <t>2026-06-23 10:32:15</t>
        </is>
      </c>
      <c r="N3281" t="inlineStr">
        <is>
          <t>system</t>
        </is>
      </c>
      <c r="O3281" t="inlineStr">
        <is>
          <t>2026-06-19 07:10:32</t>
        </is>
      </c>
      <c r="P3281" t="inlineStr">
        <is>
          <t>2026-06-19 07:10:32</t>
        </is>
      </c>
      <c r="Y3281" t="inlineStr">
        <is>
          <t>27637491149</t>
        </is>
      </c>
    </row>
    <row r="3282">
      <c r="A3282" t="inlineStr">
        <is>
          <t>14946057</t>
        </is>
      </c>
      <c r="B3282" t="inlineStr">
        <is>
          <t>de50474b-b307-4bc9-b17e-ed181bb2b0af</t>
        </is>
      </c>
      <c r="D3282" t="inlineStr">
        <is>
          <t>30001087</t>
        </is>
      </c>
      <c r="E3282" t="inlineStr">
        <is>
          <t>ussd_funeral_leads_altitude_20260619</t>
        </is>
      </c>
      <c r="J3282" t="inlineStr">
        <is>
          <t>AA</t>
        </is>
      </c>
      <c r="K3282" t="inlineStr">
        <is>
          <t>Answering Machine Autodial</t>
        </is>
      </c>
      <c r="L3282" t="n">
        <v>3</v>
      </c>
      <c r="M3282" t="inlineStr">
        <is>
          <t>2026-06-23 10:32:14</t>
        </is>
      </c>
      <c r="N3282" t="inlineStr">
        <is>
          <t>system</t>
        </is>
      </c>
      <c r="O3282" t="inlineStr">
        <is>
          <t>2026-06-19 07:10:32</t>
        </is>
      </c>
      <c r="P3282" t="inlineStr">
        <is>
          <t>2026-06-19 07:10:32</t>
        </is>
      </c>
      <c r="Y3282" t="inlineStr">
        <is>
          <t>27820787614</t>
        </is>
      </c>
    </row>
    <row r="3283">
      <c r="A3283" t="inlineStr">
        <is>
          <t>14946058</t>
        </is>
      </c>
      <c r="B3283" t="inlineStr">
        <is>
          <t>44e23cb7-6e73-4722-ae12-ce754acc4af5</t>
        </is>
      </c>
      <c r="D3283" t="inlineStr">
        <is>
          <t>30001087</t>
        </is>
      </c>
      <c r="E3283" t="inlineStr">
        <is>
          <t>ussd_funeral_leads_altitude_20260619</t>
        </is>
      </c>
      <c r="J3283" t="inlineStr">
        <is>
          <t>DROP</t>
        </is>
      </c>
      <c r="K3283" t="inlineStr">
        <is>
          <t>Dropped</t>
        </is>
      </c>
      <c r="L3283" t="n">
        <v>3</v>
      </c>
      <c r="M3283" t="inlineStr">
        <is>
          <t>2026-06-23 10:32:14</t>
        </is>
      </c>
      <c r="N3283" t="inlineStr">
        <is>
          <t>system</t>
        </is>
      </c>
      <c r="O3283" t="inlineStr">
        <is>
          <t>2026-06-19 07:10:32</t>
        </is>
      </c>
      <c r="P3283" t="inlineStr">
        <is>
          <t>2026-06-19 07:10:32</t>
        </is>
      </c>
      <c r="Y3283" t="inlineStr">
        <is>
          <t>27660252220</t>
        </is>
      </c>
    </row>
    <row r="3284">
      <c r="A3284" t="inlineStr">
        <is>
          <t>14946055</t>
        </is>
      </c>
      <c r="B3284" t="inlineStr">
        <is>
          <t>85162da7-3e7c-4e1f-b91c-b11a811c8eec</t>
        </is>
      </c>
      <c r="D3284" t="inlineStr">
        <is>
          <t>30001087</t>
        </is>
      </c>
      <c r="E3284" t="inlineStr">
        <is>
          <t>ussd_funeral_leads_altitude_20260619</t>
        </is>
      </c>
      <c r="J3284" t="inlineStr">
        <is>
          <t>NA</t>
        </is>
      </c>
      <c r="K3284" t="inlineStr">
        <is>
          <t>No Answer Autodial</t>
        </is>
      </c>
      <c r="L3284" t="n">
        <v>3</v>
      </c>
      <c r="M3284" t="inlineStr">
        <is>
          <t>2026-06-23 10:32:12</t>
        </is>
      </c>
      <c r="N3284" t="inlineStr">
        <is>
          <t>system</t>
        </is>
      </c>
      <c r="O3284" t="inlineStr">
        <is>
          <t>2026-06-19 07:10:32</t>
        </is>
      </c>
      <c r="P3284" t="inlineStr">
        <is>
          <t>2026-06-19 07:10:32</t>
        </is>
      </c>
      <c r="Y3284" t="inlineStr">
        <is>
          <t>27716121857</t>
        </is>
      </c>
    </row>
    <row r="3285">
      <c r="A3285" t="inlineStr">
        <is>
          <t>14946056</t>
        </is>
      </c>
      <c r="B3285" t="inlineStr">
        <is>
          <t>b8ae1ddf-2c6d-4efe-91b2-cff8f46989c1</t>
        </is>
      </c>
      <c r="D3285" t="inlineStr">
        <is>
          <t>30001087</t>
        </is>
      </c>
      <c r="E3285" t="inlineStr">
        <is>
          <t>ussd_funeral_leads_altitude_20260619</t>
        </is>
      </c>
      <c r="J3285" t="inlineStr">
        <is>
          <t>AA</t>
        </is>
      </c>
      <c r="K3285" t="inlineStr">
        <is>
          <t>Answering Machine Autodial</t>
        </is>
      </c>
      <c r="L3285" t="n">
        <v>3</v>
      </c>
      <c r="M3285" t="inlineStr">
        <is>
          <t>2026-06-23 10:32:12</t>
        </is>
      </c>
      <c r="N3285" t="inlineStr">
        <is>
          <t>system</t>
        </is>
      </c>
      <c r="O3285" t="inlineStr">
        <is>
          <t>2026-06-19 07:10:32</t>
        </is>
      </c>
      <c r="P3285" t="inlineStr">
        <is>
          <t>2026-06-19 07:10:32</t>
        </is>
      </c>
      <c r="Y3285" t="inlineStr">
        <is>
          <t>27799982054</t>
        </is>
      </c>
    </row>
    <row r="3286">
      <c r="A3286" t="inlineStr">
        <is>
          <t>14946047</t>
        </is>
      </c>
      <c r="B3286" t="inlineStr">
        <is>
          <t>6b6e5d5f-8b4b-4145-8d53-fbf5bbe3114f</t>
        </is>
      </c>
      <c r="D3286" t="inlineStr">
        <is>
          <t>30001087</t>
        </is>
      </c>
      <c r="E3286" t="inlineStr">
        <is>
          <t>ussd_funeral_leads_altitude_20260619</t>
        </is>
      </c>
      <c r="J3286" t="inlineStr">
        <is>
          <t>ADC</t>
        </is>
      </c>
      <c r="K3286" t="inlineStr">
        <is>
          <t>Auto Dial Disconnected</t>
        </is>
      </c>
      <c r="L3286" t="n">
        <v>3</v>
      </c>
      <c r="M3286" t="inlineStr">
        <is>
          <t>2026-06-23 10:32:11</t>
        </is>
      </c>
      <c r="N3286" t="inlineStr">
        <is>
          <t>system</t>
        </is>
      </c>
      <c r="O3286" t="inlineStr">
        <is>
          <t>2026-06-19 07:10:32</t>
        </is>
      </c>
      <c r="P3286" t="inlineStr">
        <is>
          <t>2026-06-19 07:10:32</t>
        </is>
      </c>
      <c r="Y3286" t="inlineStr">
        <is>
          <t>27791533199</t>
        </is>
      </c>
    </row>
    <row r="3287">
      <c r="A3287" t="inlineStr">
        <is>
          <t>14946051</t>
        </is>
      </c>
      <c r="B3287" t="inlineStr">
        <is>
          <t>01585a5c-d93b-453c-b08e-3822951880d2</t>
        </is>
      </c>
      <c r="D3287" t="inlineStr">
        <is>
          <t>30001087</t>
        </is>
      </c>
      <c r="E3287" t="inlineStr">
        <is>
          <t>ussd_funeral_leads_altitude_20260619</t>
        </is>
      </c>
      <c r="J3287" t="inlineStr">
        <is>
          <t>TDN</t>
        </is>
      </c>
      <c r="K3287" t="inlineStr">
        <is>
          <t>Temporary Disconnected Number</t>
        </is>
      </c>
      <c r="L3287" t="n">
        <v>3</v>
      </c>
      <c r="M3287" t="inlineStr">
        <is>
          <t>2026-06-23 10:32:11</t>
        </is>
      </c>
      <c r="N3287" t="inlineStr">
        <is>
          <t>system</t>
        </is>
      </c>
      <c r="O3287" t="inlineStr">
        <is>
          <t>2026-06-19 07:10:32</t>
        </is>
      </c>
      <c r="P3287" t="inlineStr">
        <is>
          <t>2026-06-19 07:10:32</t>
        </is>
      </c>
      <c r="Y3287" t="inlineStr">
        <is>
          <t>27661075132</t>
        </is>
      </c>
    </row>
    <row r="3288">
      <c r="A3288" t="inlineStr">
        <is>
          <t>14946052</t>
        </is>
      </c>
      <c r="B3288" t="inlineStr">
        <is>
          <t>b6f02f37-1fba-4c8b-8694-c5404d7816f0</t>
        </is>
      </c>
      <c r="D3288" t="inlineStr">
        <is>
          <t>30001087</t>
        </is>
      </c>
      <c r="E3288" t="inlineStr">
        <is>
          <t>ussd_funeral_leads_altitude_20260619</t>
        </is>
      </c>
      <c r="J3288" t="inlineStr">
        <is>
          <t>NA</t>
        </is>
      </c>
      <c r="K3288" t="inlineStr">
        <is>
          <t>No Answer Autodial</t>
        </is>
      </c>
      <c r="L3288" t="n">
        <v>3</v>
      </c>
      <c r="M3288" t="inlineStr">
        <is>
          <t>2026-06-23 10:32:11</t>
        </is>
      </c>
      <c r="N3288" t="inlineStr">
        <is>
          <t>system</t>
        </is>
      </c>
      <c r="O3288" t="inlineStr">
        <is>
          <t>2026-06-19 07:10:32</t>
        </is>
      </c>
      <c r="P3288" t="inlineStr">
        <is>
          <t>2026-06-19 07:10:32</t>
        </is>
      </c>
      <c r="Y3288" t="inlineStr">
        <is>
          <t>27723072468</t>
        </is>
      </c>
    </row>
    <row r="3289">
      <c r="A3289" t="inlineStr">
        <is>
          <t>14946053</t>
        </is>
      </c>
      <c r="B3289" t="inlineStr">
        <is>
          <t>21485e8b-2239-487e-b34a-e8b55c148282</t>
        </is>
      </c>
      <c r="D3289" t="inlineStr">
        <is>
          <t>30001087</t>
        </is>
      </c>
      <c r="E3289" t="inlineStr">
        <is>
          <t>ussd_funeral_leads_altitude_20260619</t>
        </is>
      </c>
      <c r="J3289" t="inlineStr">
        <is>
          <t>ADC</t>
        </is>
      </c>
      <c r="K3289" t="inlineStr">
        <is>
          <t>Auto Dial Disconnected</t>
        </is>
      </c>
      <c r="L3289" t="n">
        <v>3</v>
      </c>
      <c r="M3289" t="inlineStr">
        <is>
          <t>2026-06-23 10:32:11</t>
        </is>
      </c>
      <c r="N3289" t="inlineStr">
        <is>
          <t>system</t>
        </is>
      </c>
      <c r="O3289" t="inlineStr">
        <is>
          <t>2026-06-19 07:10:32</t>
        </is>
      </c>
      <c r="P3289" t="inlineStr">
        <is>
          <t>2026-06-19 07:10:32</t>
        </is>
      </c>
      <c r="Y3289" t="inlineStr">
        <is>
          <t>27649467818</t>
        </is>
      </c>
    </row>
    <row r="3290">
      <c r="A3290" t="inlineStr">
        <is>
          <t>14946054</t>
        </is>
      </c>
      <c r="B3290" t="inlineStr">
        <is>
          <t>3e2c1ece-e7db-4a6f-a054-6fb35df15e6f</t>
        </is>
      </c>
      <c r="D3290" t="inlineStr">
        <is>
          <t>30001087</t>
        </is>
      </c>
      <c r="E3290" t="inlineStr">
        <is>
          <t>ussd_funeral_leads_altitude_20260619</t>
        </is>
      </c>
      <c r="J3290" t="inlineStr">
        <is>
          <t>NA</t>
        </is>
      </c>
      <c r="K3290" t="inlineStr">
        <is>
          <t>No Answer Autodial</t>
        </is>
      </c>
      <c r="L3290" t="n">
        <v>3</v>
      </c>
      <c r="M3290" t="inlineStr">
        <is>
          <t>2026-06-23 10:32:11</t>
        </is>
      </c>
      <c r="N3290" t="inlineStr">
        <is>
          <t>system</t>
        </is>
      </c>
      <c r="O3290" t="inlineStr">
        <is>
          <t>2026-06-19 07:10:32</t>
        </is>
      </c>
      <c r="P3290" t="inlineStr">
        <is>
          <t>2026-06-19 07:10:32</t>
        </is>
      </c>
      <c r="Y3290" t="inlineStr">
        <is>
          <t>27647758227</t>
        </is>
      </c>
    </row>
    <row r="3291">
      <c r="A3291" t="inlineStr">
        <is>
          <t>14946041</t>
        </is>
      </c>
      <c r="B3291" t="inlineStr">
        <is>
          <t>51c0a27e-bc8b-4bf0-91d5-3b4444d3fef1</t>
        </is>
      </c>
      <c r="D3291" t="inlineStr">
        <is>
          <t>30001087</t>
        </is>
      </c>
      <c r="E3291" t="inlineStr">
        <is>
          <t>ussd_funeral_leads_altitude_20260619</t>
        </is>
      </c>
      <c r="J3291" t="inlineStr">
        <is>
          <t>ADC</t>
        </is>
      </c>
      <c r="K3291" t="inlineStr">
        <is>
          <t>Auto Dial Disconnected</t>
        </is>
      </c>
      <c r="L3291" t="n">
        <v>3</v>
      </c>
      <c r="M3291" t="inlineStr">
        <is>
          <t>2026-06-23 10:32:10</t>
        </is>
      </c>
      <c r="N3291" t="inlineStr">
        <is>
          <t>system</t>
        </is>
      </c>
      <c r="O3291" t="inlineStr">
        <is>
          <t>2026-06-19 07:10:32</t>
        </is>
      </c>
      <c r="P3291" t="inlineStr">
        <is>
          <t>2026-06-19 07:10:32</t>
        </is>
      </c>
      <c r="Y3291" t="inlineStr">
        <is>
          <t>27798745708</t>
        </is>
      </c>
    </row>
    <row r="3292">
      <c r="A3292" t="inlineStr">
        <is>
          <t>14946037</t>
        </is>
      </c>
      <c r="B3292" t="inlineStr">
        <is>
          <t>b6656a39-c59d-4a21-8a73-107dcd9e5068</t>
        </is>
      </c>
      <c r="D3292" t="inlineStr">
        <is>
          <t>30001087</t>
        </is>
      </c>
      <c r="E3292" t="inlineStr">
        <is>
          <t>ussd_funeral_leads_altitude_20260619</t>
        </is>
      </c>
      <c r="J3292" t="inlineStr">
        <is>
          <t>CBACK</t>
        </is>
      </c>
      <c r="K3292" t="inlineStr">
        <is>
          <t>Callback</t>
        </is>
      </c>
      <c r="L3292" t="n">
        <v>3</v>
      </c>
      <c r="M3292" t="inlineStr">
        <is>
          <t>2026-06-23 10:32:10</t>
        </is>
      </c>
      <c r="N3292" t="inlineStr">
        <is>
          <t>Vuyiswa Nxumalo</t>
        </is>
      </c>
      <c r="O3292" t="inlineStr">
        <is>
          <t>2026-06-19 07:10:32</t>
        </is>
      </c>
      <c r="P3292" t="inlineStr">
        <is>
          <t>2026-06-19 07:10:32</t>
        </is>
      </c>
      <c r="Y3292" t="inlineStr">
        <is>
          <t>27774118154</t>
        </is>
      </c>
    </row>
    <row r="3293">
      <c r="A3293" t="inlineStr">
        <is>
          <t>14946029</t>
        </is>
      </c>
      <c r="B3293" t="inlineStr">
        <is>
          <t>6e30d097-07ac-4e57-a1f2-89b8a57854b4</t>
        </is>
      </c>
      <c r="D3293" t="inlineStr">
        <is>
          <t>30001087</t>
        </is>
      </c>
      <c r="E3293" t="inlineStr">
        <is>
          <t>ussd_funeral_leads_altitude_20260619</t>
        </is>
      </c>
      <c r="J3293" t="inlineStr">
        <is>
          <t>CU</t>
        </is>
      </c>
      <c r="K3293" t="inlineStr">
        <is>
          <t>Client Hung Up</t>
        </is>
      </c>
      <c r="L3293" t="n">
        <v>3</v>
      </c>
      <c r="M3293" t="inlineStr">
        <is>
          <t>2026-06-23 10:32:09</t>
        </is>
      </c>
      <c r="N3293" t="inlineStr">
        <is>
          <t>Dimakatso Nkomo</t>
        </is>
      </c>
      <c r="O3293" t="inlineStr">
        <is>
          <t>2026-06-19 07:10:32</t>
        </is>
      </c>
      <c r="P3293" t="inlineStr">
        <is>
          <t>2026-06-19 07:10:32</t>
        </is>
      </c>
      <c r="Y3293" t="inlineStr">
        <is>
          <t>27714924588</t>
        </is>
      </c>
    </row>
    <row r="3294">
      <c r="A3294" t="inlineStr">
        <is>
          <t>14946030</t>
        </is>
      </c>
      <c r="B3294" t="inlineStr">
        <is>
          <t>f61b52c4-0fdc-4aa7-a0fc-5d45d2dda411</t>
        </is>
      </c>
      <c r="D3294" t="inlineStr">
        <is>
          <t>30001087</t>
        </is>
      </c>
      <c r="E3294" t="inlineStr">
        <is>
          <t>ussd_funeral_leads_altitude_20260619</t>
        </is>
      </c>
      <c r="J3294" t="inlineStr">
        <is>
          <t>AA</t>
        </is>
      </c>
      <c r="K3294" t="inlineStr">
        <is>
          <t>Answering Machine Autodial</t>
        </is>
      </c>
      <c r="L3294" t="n">
        <v>3</v>
      </c>
      <c r="M3294" t="inlineStr">
        <is>
          <t>2026-06-23 10:32:09</t>
        </is>
      </c>
      <c r="N3294" t="inlineStr">
        <is>
          <t>system</t>
        </is>
      </c>
      <c r="O3294" t="inlineStr">
        <is>
          <t>2026-06-19 07:10:32</t>
        </is>
      </c>
      <c r="P3294" t="inlineStr">
        <is>
          <t>2026-06-19 07:10:32</t>
        </is>
      </c>
      <c r="Y3294" t="inlineStr">
        <is>
          <t>27726552606</t>
        </is>
      </c>
    </row>
    <row r="3295">
      <c r="A3295" t="inlineStr">
        <is>
          <t>14946031</t>
        </is>
      </c>
      <c r="B3295" t="inlineStr">
        <is>
          <t>05dc90da-a995-4e64-816d-f47dbc0e45e8</t>
        </is>
      </c>
      <c r="D3295" t="inlineStr">
        <is>
          <t>30001087</t>
        </is>
      </c>
      <c r="E3295" t="inlineStr">
        <is>
          <t>ussd_funeral_leads_altitude_20260619</t>
        </is>
      </c>
      <c r="J3295" t="inlineStr">
        <is>
          <t>AA</t>
        </is>
      </c>
      <c r="K3295" t="inlineStr">
        <is>
          <t>Answering Machine Autodial</t>
        </is>
      </c>
      <c r="L3295" t="n">
        <v>3</v>
      </c>
      <c r="M3295" t="inlineStr">
        <is>
          <t>2026-06-23 10:32:09</t>
        </is>
      </c>
      <c r="N3295" t="inlineStr">
        <is>
          <t>system</t>
        </is>
      </c>
      <c r="O3295" t="inlineStr">
        <is>
          <t>2026-06-19 07:10:32</t>
        </is>
      </c>
      <c r="P3295" t="inlineStr">
        <is>
          <t>2026-06-19 07:10:32</t>
        </is>
      </c>
      <c r="Y3295" t="inlineStr">
        <is>
          <t>27649053783</t>
        </is>
      </c>
    </row>
    <row r="3296">
      <c r="A3296" t="inlineStr">
        <is>
          <t>14946032</t>
        </is>
      </c>
      <c r="B3296" t="inlineStr">
        <is>
          <t>0fde9648-f85a-4df7-8b88-3b268aedf0b0</t>
        </is>
      </c>
      <c r="D3296" t="inlineStr">
        <is>
          <t>30001087</t>
        </is>
      </c>
      <c r="E3296" t="inlineStr">
        <is>
          <t>ussd_funeral_leads_altitude_20260619</t>
        </is>
      </c>
      <c r="J3296" t="inlineStr">
        <is>
          <t>AA</t>
        </is>
      </c>
      <c r="K3296" t="inlineStr">
        <is>
          <t>Answering Machine Autodial</t>
        </is>
      </c>
      <c r="L3296" t="n">
        <v>3</v>
      </c>
      <c r="M3296" t="inlineStr">
        <is>
          <t>2026-06-23 10:32:09</t>
        </is>
      </c>
      <c r="N3296" t="inlineStr">
        <is>
          <t>system</t>
        </is>
      </c>
      <c r="O3296" t="inlineStr">
        <is>
          <t>2026-06-19 07:10:32</t>
        </is>
      </c>
      <c r="P3296" t="inlineStr">
        <is>
          <t>2026-06-19 07:10:32</t>
        </is>
      </c>
      <c r="Y3296" t="inlineStr">
        <is>
          <t>27606576816</t>
        </is>
      </c>
    </row>
    <row r="3297">
      <c r="A3297" t="inlineStr">
        <is>
          <t>14946034</t>
        </is>
      </c>
      <c r="B3297" t="inlineStr">
        <is>
          <t>6f452d04-d25c-4db1-82b5-9d27f2cd84e6</t>
        </is>
      </c>
      <c r="D3297" t="inlineStr">
        <is>
          <t>30001087</t>
        </is>
      </c>
      <c r="E3297" t="inlineStr">
        <is>
          <t>ussd_funeral_leads_altitude_20260619</t>
        </is>
      </c>
      <c r="J3297" t="inlineStr">
        <is>
          <t>ADC</t>
        </is>
      </c>
      <c r="K3297" t="inlineStr">
        <is>
          <t>Auto Dial Disconnected</t>
        </is>
      </c>
      <c r="L3297" t="n">
        <v>3</v>
      </c>
      <c r="M3297" t="inlineStr">
        <is>
          <t>2026-06-23 10:32:09</t>
        </is>
      </c>
      <c r="N3297" t="inlineStr">
        <is>
          <t>system</t>
        </is>
      </c>
      <c r="O3297" t="inlineStr">
        <is>
          <t>2026-06-19 07:10:32</t>
        </is>
      </c>
      <c r="P3297" t="inlineStr">
        <is>
          <t>2026-06-19 07:10:32</t>
        </is>
      </c>
      <c r="Y3297" t="inlineStr">
        <is>
          <t>27791175590</t>
        </is>
      </c>
    </row>
    <row r="3298">
      <c r="A3298" t="inlineStr">
        <is>
          <t>14946024</t>
        </is>
      </c>
      <c r="B3298" t="inlineStr">
        <is>
          <t>ec42eb0c-a064-409b-bab8-c393a9071f05</t>
        </is>
      </c>
      <c r="D3298" t="inlineStr">
        <is>
          <t>30001087</t>
        </is>
      </c>
      <c r="E3298" t="inlineStr">
        <is>
          <t>ussd_funeral_leads_altitude_20260619</t>
        </is>
      </c>
      <c r="J3298" t="inlineStr">
        <is>
          <t>AE</t>
        </is>
      </c>
      <c r="K3298" t="inlineStr">
        <is>
          <t>Auto Engaged</t>
        </is>
      </c>
      <c r="L3298" t="n">
        <v>3</v>
      </c>
      <c r="M3298" t="inlineStr">
        <is>
          <t>2026-06-23 10:32:08</t>
        </is>
      </c>
      <c r="N3298" t="inlineStr">
        <is>
          <t>system</t>
        </is>
      </c>
      <c r="O3298" t="inlineStr">
        <is>
          <t>2026-06-19 07:10:32</t>
        </is>
      </c>
      <c r="P3298" t="inlineStr">
        <is>
          <t>2026-06-19 07:10:32</t>
        </is>
      </c>
      <c r="Y3298" t="inlineStr">
        <is>
          <t>27842646503</t>
        </is>
      </c>
    </row>
    <row r="3299">
      <c r="A3299" t="inlineStr">
        <is>
          <t>14946025</t>
        </is>
      </c>
      <c r="B3299" t="inlineStr">
        <is>
          <t>b2f81d15-d824-4e72-a59d-9023132b9c6e</t>
        </is>
      </c>
      <c r="D3299" t="inlineStr">
        <is>
          <t>30001087</t>
        </is>
      </c>
      <c r="E3299" t="inlineStr">
        <is>
          <t>ussd_funeral_leads_altitude_20260619</t>
        </is>
      </c>
      <c r="J3299" t="inlineStr">
        <is>
          <t>ADC</t>
        </is>
      </c>
      <c r="K3299" t="inlineStr">
        <is>
          <t>Auto Dial Disconnected</t>
        </is>
      </c>
      <c r="L3299" t="n">
        <v>3</v>
      </c>
      <c r="M3299" t="inlineStr">
        <is>
          <t>2026-06-23 10:32:08</t>
        </is>
      </c>
      <c r="N3299" t="inlineStr">
        <is>
          <t>system</t>
        </is>
      </c>
      <c r="O3299" t="inlineStr">
        <is>
          <t>2026-06-19 07:10:32</t>
        </is>
      </c>
      <c r="P3299" t="inlineStr">
        <is>
          <t>2026-06-19 07:10:32</t>
        </is>
      </c>
      <c r="Y3299" t="inlineStr">
        <is>
          <t>27765358313</t>
        </is>
      </c>
    </row>
    <row r="3300">
      <c r="A3300" t="inlineStr">
        <is>
          <t>14946026</t>
        </is>
      </c>
      <c r="B3300" t="inlineStr">
        <is>
          <t>50150592-a6d1-4214-bd1d-ff9f455021b0</t>
        </is>
      </c>
      <c r="D3300" t="inlineStr">
        <is>
          <t>30001087</t>
        </is>
      </c>
      <c r="E3300" t="inlineStr">
        <is>
          <t>ussd_funeral_leads_altitude_20260619</t>
        </is>
      </c>
      <c r="J3300" t="inlineStr">
        <is>
          <t>AA</t>
        </is>
      </c>
      <c r="K3300" t="inlineStr">
        <is>
          <t>Answering Machine Autodial</t>
        </is>
      </c>
      <c r="L3300" t="n">
        <v>3</v>
      </c>
      <c r="M3300" t="inlineStr">
        <is>
          <t>2026-06-23 10:32:08</t>
        </is>
      </c>
      <c r="N3300" t="inlineStr">
        <is>
          <t>system</t>
        </is>
      </c>
      <c r="O3300" t="inlineStr">
        <is>
          <t>2026-06-19 07:10:32</t>
        </is>
      </c>
      <c r="P3300" t="inlineStr">
        <is>
          <t>2026-06-19 07:10:32</t>
        </is>
      </c>
      <c r="Y3300" t="inlineStr">
        <is>
          <t>27799869029</t>
        </is>
      </c>
    </row>
    <row r="3301">
      <c r="A3301" t="inlineStr">
        <is>
          <t>14946027</t>
        </is>
      </c>
      <c r="B3301" t="inlineStr">
        <is>
          <t>9d1b6ba1-921c-4e10-8ee4-9f9ad52c5544</t>
        </is>
      </c>
      <c r="D3301" t="inlineStr">
        <is>
          <t>30001087</t>
        </is>
      </c>
      <c r="E3301" t="inlineStr">
        <is>
          <t>ussd_funeral_leads_altitude_20260619</t>
        </is>
      </c>
      <c r="J3301" t="inlineStr">
        <is>
          <t>ADC</t>
        </is>
      </c>
      <c r="K3301" t="inlineStr">
        <is>
          <t>Auto Dial Disconnected</t>
        </is>
      </c>
      <c r="L3301" t="n">
        <v>3</v>
      </c>
      <c r="M3301" t="inlineStr">
        <is>
          <t>2026-06-23 10:32:08</t>
        </is>
      </c>
      <c r="N3301" t="inlineStr">
        <is>
          <t>system</t>
        </is>
      </c>
      <c r="O3301" t="inlineStr">
        <is>
          <t>2026-06-19 07:10:32</t>
        </is>
      </c>
      <c r="P3301" t="inlineStr">
        <is>
          <t>2026-06-19 07:10:32</t>
        </is>
      </c>
      <c r="Y3301" t="inlineStr">
        <is>
          <t>27607048162</t>
        </is>
      </c>
    </row>
    <row r="3302">
      <c r="A3302" t="inlineStr">
        <is>
          <t>14946028</t>
        </is>
      </c>
      <c r="B3302" t="inlineStr">
        <is>
          <t>b4c25c0f-7979-4ac2-a5d0-9aa7bd63a4c9</t>
        </is>
      </c>
      <c r="D3302" t="inlineStr">
        <is>
          <t>30001087</t>
        </is>
      </c>
      <c r="E3302" t="inlineStr">
        <is>
          <t>ussd_funeral_leads_altitude_20260619</t>
        </is>
      </c>
      <c r="J3302" t="inlineStr">
        <is>
          <t>AA</t>
        </is>
      </c>
      <c r="K3302" t="inlineStr">
        <is>
          <t>Answering Machine Autodial</t>
        </is>
      </c>
      <c r="L3302" t="n">
        <v>3</v>
      </c>
      <c r="M3302" t="inlineStr">
        <is>
          <t>2026-06-23 10:32:08</t>
        </is>
      </c>
      <c r="N3302" t="inlineStr">
        <is>
          <t>system</t>
        </is>
      </c>
      <c r="O3302" t="inlineStr">
        <is>
          <t>2026-06-19 07:10:32</t>
        </is>
      </c>
      <c r="P3302" t="inlineStr">
        <is>
          <t>2026-06-19 07:10:32</t>
        </is>
      </c>
      <c r="Y3302" t="inlineStr">
        <is>
          <t>27793499204</t>
        </is>
      </c>
    </row>
    <row r="3303">
      <c r="A3303" t="inlineStr">
        <is>
          <t>14946023</t>
        </is>
      </c>
      <c r="B3303" t="inlineStr">
        <is>
          <t>735f1df7-8048-460c-983b-8138db8970f0</t>
        </is>
      </c>
      <c r="D3303" t="inlineStr">
        <is>
          <t>30001087</t>
        </is>
      </c>
      <c r="E3303" t="inlineStr">
        <is>
          <t>ussd_funeral_leads_altitude_20260619</t>
        </is>
      </c>
      <c r="J3303" t="inlineStr">
        <is>
          <t>ADC</t>
        </is>
      </c>
      <c r="K3303" t="inlineStr">
        <is>
          <t>Auto Dial Disconnected</t>
        </is>
      </c>
      <c r="L3303" t="n">
        <v>3</v>
      </c>
      <c r="M3303" t="inlineStr">
        <is>
          <t>2026-06-23 10:32:05</t>
        </is>
      </c>
      <c r="N3303" t="inlineStr">
        <is>
          <t>system</t>
        </is>
      </c>
      <c r="O3303" t="inlineStr">
        <is>
          <t>2026-06-19 07:10:32</t>
        </is>
      </c>
      <c r="P3303" t="inlineStr">
        <is>
          <t>2026-06-19 07:10:32</t>
        </is>
      </c>
      <c r="Y3303" t="inlineStr">
        <is>
          <t>27799536990</t>
        </is>
      </c>
    </row>
    <row r="3304">
      <c r="A3304" t="inlineStr">
        <is>
          <t>14946019</t>
        </is>
      </c>
      <c r="B3304" t="inlineStr">
        <is>
          <t>7c33fbab-0835-4efa-b81b-c36452a7bb55</t>
        </is>
      </c>
      <c r="D3304" t="inlineStr">
        <is>
          <t>30001087</t>
        </is>
      </c>
      <c r="E3304" t="inlineStr">
        <is>
          <t>ussd_funeral_leads_altitude_20260619</t>
        </is>
      </c>
      <c r="J3304" t="inlineStr">
        <is>
          <t>AA</t>
        </is>
      </c>
      <c r="K3304" t="inlineStr">
        <is>
          <t>Answering Machine Autodial</t>
        </is>
      </c>
      <c r="L3304" t="n">
        <v>3</v>
      </c>
      <c r="M3304" t="inlineStr">
        <is>
          <t>2026-06-23 10:32:03</t>
        </is>
      </c>
      <c r="N3304" t="inlineStr">
        <is>
          <t>system</t>
        </is>
      </c>
      <c r="O3304" t="inlineStr">
        <is>
          <t>2026-06-19 07:10:32</t>
        </is>
      </c>
      <c r="P3304" t="inlineStr">
        <is>
          <t>2026-06-19 07:10:32</t>
        </is>
      </c>
      <c r="Y3304" t="inlineStr">
        <is>
          <t>27674600591</t>
        </is>
      </c>
    </row>
    <row r="3305">
      <c r="A3305" t="inlineStr">
        <is>
          <t>14946021</t>
        </is>
      </c>
      <c r="B3305" t="inlineStr">
        <is>
          <t>74d57070-5b1f-4bd9-8fbb-f0dc5e89bee3</t>
        </is>
      </c>
      <c r="D3305" t="inlineStr">
        <is>
          <t>30001087</t>
        </is>
      </c>
      <c r="E3305" t="inlineStr">
        <is>
          <t>ussd_funeral_leads_altitude_20260619</t>
        </is>
      </c>
      <c r="J3305" t="inlineStr">
        <is>
          <t>TDN</t>
        </is>
      </c>
      <c r="K3305" t="inlineStr">
        <is>
          <t>Temporary Disconnected Number</t>
        </is>
      </c>
      <c r="L3305" t="n">
        <v>3</v>
      </c>
      <c r="M3305" t="inlineStr">
        <is>
          <t>2026-06-23 10:32:03</t>
        </is>
      </c>
      <c r="N3305" t="inlineStr">
        <is>
          <t>system</t>
        </is>
      </c>
      <c r="O3305" t="inlineStr">
        <is>
          <t>2026-06-19 07:10:32</t>
        </is>
      </c>
      <c r="P3305" t="inlineStr">
        <is>
          <t>2026-06-19 07:10:32</t>
        </is>
      </c>
      <c r="Y3305" t="inlineStr">
        <is>
          <t>27791893226</t>
        </is>
      </c>
    </row>
    <row r="3306">
      <c r="A3306" t="inlineStr">
        <is>
          <t>14946022</t>
        </is>
      </c>
      <c r="B3306" t="inlineStr">
        <is>
          <t>62d63aff-3603-482b-9b9d-0c57069caf6e</t>
        </is>
      </c>
      <c r="D3306" t="inlineStr">
        <is>
          <t>30001087</t>
        </is>
      </c>
      <c r="E3306" t="inlineStr">
        <is>
          <t>ussd_funeral_leads_altitude_20260619</t>
        </is>
      </c>
      <c r="J3306" t="inlineStr">
        <is>
          <t>AA</t>
        </is>
      </c>
      <c r="K3306" t="inlineStr">
        <is>
          <t>Answering Machine Autodial</t>
        </is>
      </c>
      <c r="L3306" t="n">
        <v>3</v>
      </c>
      <c r="M3306" t="inlineStr">
        <is>
          <t>2026-06-23 10:32:03</t>
        </is>
      </c>
      <c r="N3306" t="inlineStr">
        <is>
          <t>system</t>
        </is>
      </c>
      <c r="O3306" t="inlineStr">
        <is>
          <t>2026-06-19 07:10:32</t>
        </is>
      </c>
      <c r="P3306" t="inlineStr">
        <is>
          <t>2026-06-19 07:10:32</t>
        </is>
      </c>
      <c r="Y3306" t="inlineStr">
        <is>
          <t>27773630514</t>
        </is>
      </c>
    </row>
    <row r="3307">
      <c r="A3307" t="inlineStr">
        <is>
          <t>14947671</t>
        </is>
      </c>
      <c r="B3307" t="inlineStr">
        <is>
          <t>c1d57fad-10fd-400d-b0ab-fc41eee636f6</t>
        </is>
      </c>
      <c r="D3307" t="inlineStr">
        <is>
          <t>30001087</t>
        </is>
      </c>
      <c r="E3307" t="inlineStr">
        <is>
          <t>ussd_funeral_leads_altitude_20260619</t>
        </is>
      </c>
      <c r="J3307" t="inlineStr">
        <is>
          <t>ADC</t>
        </is>
      </c>
      <c r="K3307" t="inlineStr">
        <is>
          <t>Auto Dial Disconnected</t>
        </is>
      </c>
      <c r="L3307" t="n">
        <v>3</v>
      </c>
      <c r="M3307" t="inlineStr">
        <is>
          <t>2026-06-23 10:32:03</t>
        </is>
      </c>
      <c r="N3307" t="inlineStr">
        <is>
          <t>system</t>
        </is>
      </c>
      <c r="O3307" t="inlineStr">
        <is>
          <t>2026-06-19 07:10:32</t>
        </is>
      </c>
      <c r="P3307" t="inlineStr">
        <is>
          <t>2026-06-19 07:10:32</t>
        </is>
      </c>
      <c r="Y3307" t="inlineStr">
        <is>
          <t>27711818659</t>
        </is>
      </c>
    </row>
    <row r="3308">
      <c r="A3308" t="inlineStr">
        <is>
          <t>14947040</t>
        </is>
      </c>
      <c r="B3308" t="inlineStr">
        <is>
          <t>659127c0-0f71-4e1a-9c71-2c4c794b5fe3</t>
        </is>
      </c>
      <c r="D3308" t="inlineStr">
        <is>
          <t>30001087</t>
        </is>
      </c>
      <c r="E3308" t="inlineStr">
        <is>
          <t>ussd_funeral_leads_altitude_20260619</t>
        </is>
      </c>
      <c r="J3308" t="inlineStr">
        <is>
          <t>AA</t>
        </is>
      </c>
      <c r="K3308" t="inlineStr">
        <is>
          <t>Answering Machine Autodial</t>
        </is>
      </c>
      <c r="L3308" t="n">
        <v>3</v>
      </c>
      <c r="M3308" t="inlineStr">
        <is>
          <t>2026-06-23 10:29:14</t>
        </is>
      </c>
      <c r="N3308" t="inlineStr">
        <is>
          <t>system</t>
        </is>
      </c>
      <c r="O3308" t="inlineStr">
        <is>
          <t>2026-06-19 07:10:32</t>
        </is>
      </c>
      <c r="P3308" t="inlineStr">
        <is>
          <t>2026-06-19 07:10:32</t>
        </is>
      </c>
      <c r="Y3308" t="inlineStr">
        <is>
          <t>27774942793</t>
        </is>
      </c>
    </row>
    <row r="3309">
      <c r="A3309" t="inlineStr">
        <is>
          <t>14947039</t>
        </is>
      </c>
      <c r="B3309" t="inlineStr">
        <is>
          <t>d4977f2b-6921-4610-ab7f-d151fd221703</t>
        </is>
      </c>
      <c r="D3309" t="inlineStr">
        <is>
          <t>30001087</t>
        </is>
      </c>
      <c r="E3309" t="inlineStr">
        <is>
          <t>ussd_funeral_leads_altitude_20260619</t>
        </is>
      </c>
      <c r="J3309" t="inlineStr">
        <is>
          <t>TDN</t>
        </is>
      </c>
      <c r="K3309" t="inlineStr">
        <is>
          <t>Temporary Disconnected Number</t>
        </is>
      </c>
      <c r="L3309" t="n">
        <v>3</v>
      </c>
      <c r="M3309" t="inlineStr">
        <is>
          <t>2026-06-23 10:29:05</t>
        </is>
      </c>
      <c r="N3309" t="inlineStr">
        <is>
          <t>system</t>
        </is>
      </c>
      <c r="O3309" t="inlineStr">
        <is>
          <t>2026-06-19 07:10:32</t>
        </is>
      </c>
      <c r="P3309" t="inlineStr">
        <is>
          <t>2026-06-19 07:10:32</t>
        </is>
      </c>
      <c r="Y3309" t="inlineStr">
        <is>
          <t>27769182638</t>
        </is>
      </c>
    </row>
    <row r="3310">
      <c r="A3310" t="inlineStr">
        <is>
          <t>14947038</t>
        </is>
      </c>
      <c r="B3310" t="inlineStr">
        <is>
          <t>d569719c-74af-481b-9d2e-3994ba0ab04b</t>
        </is>
      </c>
      <c r="D3310" t="inlineStr">
        <is>
          <t>30001087</t>
        </is>
      </c>
      <c r="E3310" t="inlineStr">
        <is>
          <t>ussd_funeral_leads_altitude_20260619</t>
        </is>
      </c>
      <c r="J3310" t="inlineStr">
        <is>
          <t>A</t>
        </is>
      </c>
      <c r="K3310" t="inlineStr">
        <is>
          <t>Answering Machine</t>
        </is>
      </c>
      <c r="L3310" t="n">
        <v>3</v>
      </c>
      <c r="M3310" t="inlineStr">
        <is>
          <t>2026-06-23 10:29:02</t>
        </is>
      </c>
      <c r="N3310" t="inlineStr">
        <is>
          <t>Goitsimang Mogwasa</t>
        </is>
      </c>
      <c r="O3310" t="inlineStr">
        <is>
          <t>2026-06-19 07:10:32</t>
        </is>
      </c>
      <c r="P3310" t="inlineStr">
        <is>
          <t>2026-06-19 07:10:32</t>
        </is>
      </c>
      <c r="Y3310" t="inlineStr">
        <is>
          <t>27729293801</t>
        </is>
      </c>
    </row>
    <row r="3311">
      <c r="A3311" t="inlineStr">
        <is>
          <t>14947037</t>
        </is>
      </c>
      <c r="B3311" t="inlineStr">
        <is>
          <t>c15e21e3-35fe-482b-96b1-745a49da49ce</t>
        </is>
      </c>
      <c r="D3311" t="inlineStr">
        <is>
          <t>30001087</t>
        </is>
      </c>
      <c r="E3311" t="inlineStr">
        <is>
          <t>ussd_funeral_leads_altitude_20260619</t>
        </is>
      </c>
      <c r="J3311" t="inlineStr">
        <is>
          <t>AA</t>
        </is>
      </c>
      <c r="K3311" t="inlineStr">
        <is>
          <t>Answering Machine Autodial</t>
        </is>
      </c>
      <c r="L3311" t="n">
        <v>3</v>
      </c>
      <c r="M3311" t="inlineStr">
        <is>
          <t>2026-06-23 10:29:01</t>
        </is>
      </c>
      <c r="N3311" t="inlineStr">
        <is>
          <t>system</t>
        </is>
      </c>
      <c r="O3311" t="inlineStr">
        <is>
          <t>2026-06-19 07:10:32</t>
        </is>
      </c>
      <c r="P3311" t="inlineStr">
        <is>
          <t>2026-06-19 07:10:32</t>
        </is>
      </c>
      <c r="Y3311" t="inlineStr">
        <is>
          <t>27767182234</t>
        </is>
      </c>
    </row>
    <row r="3312">
      <c r="A3312" t="inlineStr">
        <is>
          <t>14947036</t>
        </is>
      </c>
      <c r="B3312" t="inlineStr">
        <is>
          <t>ba96ecb9-baea-490a-a211-2ce2a4044650</t>
        </is>
      </c>
      <c r="D3312" t="inlineStr">
        <is>
          <t>30001087</t>
        </is>
      </c>
      <c r="E3312" t="inlineStr">
        <is>
          <t>ussd_funeral_leads_altitude_20260619</t>
        </is>
      </c>
      <c r="J3312" t="inlineStr">
        <is>
          <t>AA</t>
        </is>
      </c>
      <c r="K3312" t="inlineStr">
        <is>
          <t>Answering Machine Autodial</t>
        </is>
      </c>
      <c r="L3312" t="n">
        <v>3</v>
      </c>
      <c r="M3312" t="inlineStr">
        <is>
          <t>2026-06-23 10:28:59</t>
        </is>
      </c>
      <c r="N3312" t="inlineStr">
        <is>
          <t>system</t>
        </is>
      </c>
      <c r="O3312" t="inlineStr">
        <is>
          <t>2026-06-19 07:10:32</t>
        </is>
      </c>
      <c r="P3312" t="inlineStr">
        <is>
          <t>2026-06-19 07:10:32</t>
        </is>
      </c>
      <c r="Y3312" t="inlineStr">
        <is>
          <t>27763086922</t>
        </is>
      </c>
    </row>
    <row r="3313">
      <c r="A3313" t="inlineStr">
        <is>
          <t>14947034</t>
        </is>
      </c>
      <c r="B3313" t="inlineStr">
        <is>
          <t>6ff6865f-470e-4165-b234-8766e94e8be4</t>
        </is>
      </c>
      <c r="D3313" t="inlineStr">
        <is>
          <t>30001087</t>
        </is>
      </c>
      <c r="E3313" t="inlineStr">
        <is>
          <t>ussd_funeral_leads_altitude_20260619</t>
        </is>
      </c>
      <c r="J3313" t="inlineStr">
        <is>
          <t>ADC</t>
        </is>
      </c>
      <c r="K3313" t="inlineStr">
        <is>
          <t>Auto Dial Disconnected</t>
        </is>
      </c>
      <c r="L3313" t="n">
        <v>3</v>
      </c>
      <c r="M3313" t="inlineStr">
        <is>
          <t>2026-06-23 10:28:58</t>
        </is>
      </c>
      <c r="N3313" t="inlineStr">
        <is>
          <t>system</t>
        </is>
      </c>
      <c r="O3313" t="inlineStr">
        <is>
          <t>2026-06-19 07:10:32</t>
        </is>
      </c>
      <c r="P3313" t="inlineStr">
        <is>
          <t>2026-06-19 07:10:32</t>
        </is>
      </c>
      <c r="Y3313" t="inlineStr">
        <is>
          <t>27721730105</t>
        </is>
      </c>
    </row>
    <row r="3314">
      <c r="A3314" t="inlineStr">
        <is>
          <t>14947035</t>
        </is>
      </c>
      <c r="B3314" t="inlineStr">
        <is>
          <t>f2f68a81-a68f-4a78-8833-18b771f7911a</t>
        </is>
      </c>
      <c r="D3314" t="inlineStr">
        <is>
          <t>30001087</t>
        </is>
      </c>
      <c r="E3314" t="inlineStr">
        <is>
          <t>ussd_funeral_leads_altitude_20260619</t>
        </is>
      </c>
      <c r="J3314" t="inlineStr">
        <is>
          <t>TDN</t>
        </is>
      </c>
      <c r="K3314" t="inlineStr">
        <is>
          <t>Temporary Disconnected Number</t>
        </is>
      </c>
      <c r="L3314" t="n">
        <v>3</v>
      </c>
      <c r="M3314" t="inlineStr">
        <is>
          <t>2026-06-23 10:28:57</t>
        </is>
      </c>
      <c r="N3314" t="inlineStr">
        <is>
          <t>system</t>
        </is>
      </c>
      <c r="O3314" t="inlineStr">
        <is>
          <t>2026-06-19 07:10:32</t>
        </is>
      </c>
      <c r="P3314" t="inlineStr">
        <is>
          <t>2026-06-19 07:10:32</t>
        </is>
      </c>
      <c r="Y3314" t="inlineStr">
        <is>
          <t>27726865904</t>
        </is>
      </c>
    </row>
    <row r="3315">
      <c r="A3315" t="inlineStr">
        <is>
          <t>14947033</t>
        </is>
      </c>
      <c r="B3315" t="inlineStr">
        <is>
          <t>3aef5062-6d49-4f21-979f-05c7eef88cd6</t>
        </is>
      </c>
      <c r="D3315" t="inlineStr">
        <is>
          <t>30001087</t>
        </is>
      </c>
      <c r="E3315" t="inlineStr">
        <is>
          <t>ussd_funeral_leads_altitude_20260619</t>
        </is>
      </c>
      <c r="J3315" t="inlineStr">
        <is>
          <t>AA</t>
        </is>
      </c>
      <c r="K3315" t="inlineStr">
        <is>
          <t>Answering Machine Autodial</t>
        </is>
      </c>
      <c r="L3315" t="n">
        <v>3</v>
      </c>
      <c r="M3315" t="inlineStr">
        <is>
          <t>2026-06-23 10:28:49</t>
        </is>
      </c>
      <c r="N3315" t="inlineStr">
        <is>
          <t>system</t>
        </is>
      </c>
      <c r="O3315" t="inlineStr">
        <is>
          <t>2026-06-19 07:10:32</t>
        </is>
      </c>
      <c r="P3315" t="inlineStr">
        <is>
          <t>2026-06-19 07:10:32</t>
        </is>
      </c>
      <c r="Y3315" t="inlineStr">
        <is>
          <t>27766186754</t>
        </is>
      </c>
    </row>
    <row r="3316">
      <c r="A3316" t="inlineStr">
        <is>
          <t>14947032</t>
        </is>
      </c>
      <c r="B3316" t="inlineStr">
        <is>
          <t>de357f3d-a5ef-441d-a695-5655a93f615c</t>
        </is>
      </c>
      <c r="D3316" t="inlineStr">
        <is>
          <t>30001087</t>
        </is>
      </c>
      <c r="E3316" t="inlineStr">
        <is>
          <t>ussd_funeral_leads_altitude_20260619</t>
        </is>
      </c>
      <c r="J3316" t="inlineStr">
        <is>
          <t>AA</t>
        </is>
      </c>
      <c r="K3316" t="inlineStr">
        <is>
          <t>Answering Machine Autodial</t>
        </is>
      </c>
      <c r="L3316" t="n">
        <v>3</v>
      </c>
      <c r="M3316" t="inlineStr">
        <is>
          <t>2026-06-23 10:28:48</t>
        </is>
      </c>
      <c r="N3316" t="inlineStr">
        <is>
          <t>system</t>
        </is>
      </c>
      <c r="O3316" t="inlineStr">
        <is>
          <t>2026-06-19 07:10:32</t>
        </is>
      </c>
      <c r="P3316" t="inlineStr">
        <is>
          <t>2026-06-19 07:10:32</t>
        </is>
      </c>
      <c r="Y3316" t="inlineStr">
        <is>
          <t>27647805904</t>
        </is>
      </c>
    </row>
    <row r="3317">
      <c r="A3317" t="inlineStr">
        <is>
          <t>14946533</t>
        </is>
      </c>
      <c r="B3317" t="inlineStr">
        <is>
          <t>bafc5fb9-dddd-4e4f-910a-60f807b357da</t>
        </is>
      </c>
      <c r="D3317" t="inlineStr">
        <is>
          <t>30001087</t>
        </is>
      </c>
      <c r="E3317" t="inlineStr">
        <is>
          <t>ussd_funeral_leads_altitude_20260619</t>
        </is>
      </c>
      <c r="J3317" t="inlineStr">
        <is>
          <t>ADC</t>
        </is>
      </c>
      <c r="K3317" t="inlineStr">
        <is>
          <t>Auto Dial Disconnected</t>
        </is>
      </c>
      <c r="L3317" t="n">
        <v>3</v>
      </c>
      <c r="M3317" t="inlineStr">
        <is>
          <t>2026-06-23 10:28:44</t>
        </is>
      </c>
      <c r="N3317" t="inlineStr">
        <is>
          <t>system</t>
        </is>
      </c>
      <c r="O3317" t="inlineStr">
        <is>
          <t>2026-06-19 07:10:32</t>
        </is>
      </c>
      <c r="P3317" t="inlineStr">
        <is>
          <t>2026-06-19 07:10:32</t>
        </is>
      </c>
      <c r="Y3317" t="inlineStr">
        <is>
          <t>27799105246</t>
        </is>
      </c>
    </row>
    <row r="3318">
      <c r="A3318" t="inlineStr">
        <is>
          <t>14946956</t>
        </is>
      </c>
      <c r="B3318" t="inlineStr">
        <is>
          <t>4f58b8c0-8126-4159-b32f-5cc5333520e8</t>
        </is>
      </c>
      <c r="D3318" t="inlineStr">
        <is>
          <t>30001087</t>
        </is>
      </c>
      <c r="E3318" t="inlineStr">
        <is>
          <t>ussd_funeral_leads_altitude_20260619</t>
        </is>
      </c>
      <c r="J3318" t="inlineStr">
        <is>
          <t>CU</t>
        </is>
      </c>
      <c r="K3318" t="inlineStr">
        <is>
          <t>Client Hung Up</t>
        </is>
      </c>
      <c r="L3318" t="n">
        <v>3</v>
      </c>
      <c r="M3318" t="inlineStr">
        <is>
          <t>2026-06-23 10:28:44</t>
        </is>
      </c>
      <c r="N3318" t="inlineStr">
        <is>
          <t>Lebohang Mabotja</t>
        </is>
      </c>
      <c r="O3318" t="inlineStr">
        <is>
          <t>2026-06-19 07:10:32</t>
        </is>
      </c>
      <c r="P3318" t="inlineStr">
        <is>
          <t>2026-06-19 07:10:32</t>
        </is>
      </c>
      <c r="Y3318" t="inlineStr">
        <is>
          <t>27606880617</t>
        </is>
      </c>
    </row>
    <row r="3319">
      <c r="A3319" t="inlineStr">
        <is>
          <t>14946960</t>
        </is>
      </c>
      <c r="B3319" t="inlineStr">
        <is>
          <t>27457bae-6f73-4110-b4dd-001e1c46e561</t>
        </is>
      </c>
      <c r="D3319" t="inlineStr">
        <is>
          <t>30001087</t>
        </is>
      </c>
      <c r="E3319" t="inlineStr">
        <is>
          <t>ussd_funeral_leads_altitude_20260619</t>
        </is>
      </c>
      <c r="J3319" t="inlineStr">
        <is>
          <t>ADC</t>
        </is>
      </c>
      <c r="K3319" t="inlineStr">
        <is>
          <t>Auto Dial Disconnected</t>
        </is>
      </c>
      <c r="L3319" t="n">
        <v>3</v>
      </c>
      <c r="M3319" t="inlineStr">
        <is>
          <t>2026-06-23 10:28:44</t>
        </is>
      </c>
      <c r="N3319" t="inlineStr">
        <is>
          <t>system</t>
        </is>
      </c>
      <c r="O3319" t="inlineStr">
        <is>
          <t>2026-06-19 07:10:32</t>
        </is>
      </c>
      <c r="P3319" t="inlineStr">
        <is>
          <t>2026-06-19 07:10:32</t>
        </is>
      </c>
      <c r="Y3319" t="inlineStr">
        <is>
          <t>27714450963</t>
        </is>
      </c>
    </row>
    <row r="3320">
      <c r="A3320" t="inlineStr">
        <is>
          <t>14947031</t>
        </is>
      </c>
      <c r="B3320" t="inlineStr">
        <is>
          <t>1333ab6e-51f3-4872-a613-ca197a547b64</t>
        </is>
      </c>
      <c r="D3320" t="inlineStr">
        <is>
          <t>30001087</t>
        </is>
      </c>
      <c r="E3320" t="inlineStr">
        <is>
          <t>ussd_funeral_leads_altitude_20260619</t>
        </is>
      </c>
      <c r="J3320" t="inlineStr">
        <is>
          <t>ADC</t>
        </is>
      </c>
      <c r="K3320" t="inlineStr">
        <is>
          <t>Auto Dial Disconnected</t>
        </is>
      </c>
      <c r="L3320" t="n">
        <v>3</v>
      </c>
      <c r="M3320" t="inlineStr">
        <is>
          <t>2026-06-23 10:28:44</t>
        </is>
      </c>
      <c r="N3320" t="inlineStr">
        <is>
          <t>system</t>
        </is>
      </c>
      <c r="O3320" t="inlineStr">
        <is>
          <t>2026-06-19 07:10:32</t>
        </is>
      </c>
      <c r="P3320" t="inlineStr">
        <is>
          <t>2026-06-19 07:10:32</t>
        </is>
      </c>
      <c r="Y3320" t="inlineStr">
        <is>
          <t>27767583772</t>
        </is>
      </c>
    </row>
    <row r="3321">
      <c r="A3321" t="inlineStr">
        <is>
          <t>14946455</t>
        </is>
      </c>
      <c r="B3321" t="inlineStr">
        <is>
          <t>07fc153d-dc04-4139-bdcf-da0b35789a58</t>
        </is>
      </c>
      <c r="D3321" t="inlineStr">
        <is>
          <t>30001087</t>
        </is>
      </c>
      <c r="E3321" t="inlineStr">
        <is>
          <t>ussd_funeral_leads_altitude_20260619</t>
        </is>
      </c>
      <c r="J3321" t="inlineStr">
        <is>
          <t>AA</t>
        </is>
      </c>
      <c r="K3321" t="inlineStr">
        <is>
          <t>Answering Machine Autodial</t>
        </is>
      </c>
      <c r="L3321" t="n">
        <v>3</v>
      </c>
      <c r="M3321" t="inlineStr">
        <is>
          <t>2026-06-23 10:28:42</t>
        </is>
      </c>
      <c r="N3321" t="inlineStr">
        <is>
          <t>system</t>
        </is>
      </c>
      <c r="O3321" t="inlineStr">
        <is>
          <t>2026-06-19 07:10:32</t>
        </is>
      </c>
      <c r="P3321" t="inlineStr">
        <is>
          <t>2026-06-19 07:10:32</t>
        </is>
      </c>
      <c r="Y3321" t="inlineStr">
        <is>
          <t>27728524262</t>
        </is>
      </c>
    </row>
    <row r="3322">
      <c r="A3322" t="inlineStr">
        <is>
          <t>14946456</t>
        </is>
      </c>
      <c r="B3322" t="inlineStr">
        <is>
          <t>e4d044b7-cac9-4cab-9502-d6828a98bdae</t>
        </is>
      </c>
      <c r="D3322" t="inlineStr">
        <is>
          <t>30001087</t>
        </is>
      </c>
      <c r="E3322" t="inlineStr">
        <is>
          <t>ussd_funeral_leads_altitude_20260619</t>
        </is>
      </c>
      <c r="J3322" t="inlineStr">
        <is>
          <t>NA</t>
        </is>
      </c>
      <c r="K3322" t="inlineStr">
        <is>
          <t>No Answer Autodial</t>
        </is>
      </c>
      <c r="L3322" t="n">
        <v>3</v>
      </c>
      <c r="M3322" t="inlineStr">
        <is>
          <t>2026-06-23 10:28:42</t>
        </is>
      </c>
      <c r="N3322" t="inlineStr">
        <is>
          <t>system</t>
        </is>
      </c>
      <c r="O3322" t="inlineStr">
        <is>
          <t>2026-06-19 07:10:32</t>
        </is>
      </c>
      <c r="P3322" t="inlineStr">
        <is>
          <t>2026-06-19 07:10:32</t>
        </is>
      </c>
      <c r="Y3322" t="inlineStr">
        <is>
          <t>27723698753</t>
        </is>
      </c>
    </row>
    <row r="3323">
      <c r="A3323" t="inlineStr">
        <is>
          <t>14946525</t>
        </is>
      </c>
      <c r="B3323" t="inlineStr">
        <is>
          <t>76abb7b7-0fc7-471c-be25-9679cf214e5a</t>
        </is>
      </c>
      <c r="D3323" t="inlineStr">
        <is>
          <t>30001087</t>
        </is>
      </c>
      <c r="E3323" t="inlineStr">
        <is>
          <t>ussd_funeral_leads_altitude_20260619</t>
        </is>
      </c>
      <c r="J3323" t="inlineStr">
        <is>
          <t>ADC</t>
        </is>
      </c>
      <c r="K3323" t="inlineStr">
        <is>
          <t>Auto Dial Disconnected</t>
        </is>
      </c>
      <c r="L3323" t="n">
        <v>3</v>
      </c>
      <c r="M3323" t="inlineStr">
        <is>
          <t>2026-06-23 10:28:42</t>
        </is>
      </c>
      <c r="N3323" t="inlineStr">
        <is>
          <t>system</t>
        </is>
      </c>
      <c r="O3323" t="inlineStr">
        <is>
          <t>2026-06-19 07:10:32</t>
        </is>
      </c>
      <c r="P3323" t="inlineStr">
        <is>
          <t>2026-06-19 07:10:32</t>
        </is>
      </c>
      <c r="Y3323" t="inlineStr">
        <is>
          <t>27773572744</t>
        </is>
      </c>
    </row>
    <row r="3324">
      <c r="A3324" t="inlineStr">
        <is>
          <t>14946526</t>
        </is>
      </c>
      <c r="B3324" t="inlineStr">
        <is>
          <t>a315e06d-feff-4594-b6a6-8d3bbd2989de</t>
        </is>
      </c>
      <c r="D3324" t="inlineStr">
        <is>
          <t>30001087</t>
        </is>
      </c>
      <c r="E3324" t="inlineStr">
        <is>
          <t>ussd_funeral_leads_altitude_20260619</t>
        </is>
      </c>
      <c r="J3324" t="inlineStr">
        <is>
          <t>ADC</t>
        </is>
      </c>
      <c r="K3324" t="inlineStr">
        <is>
          <t>Auto Dial Disconnected</t>
        </is>
      </c>
      <c r="L3324" t="n">
        <v>3</v>
      </c>
      <c r="M3324" t="inlineStr">
        <is>
          <t>2026-06-23 10:28:42</t>
        </is>
      </c>
      <c r="N3324" t="inlineStr">
        <is>
          <t>system</t>
        </is>
      </c>
      <c r="O3324" t="inlineStr">
        <is>
          <t>2026-06-19 07:10:32</t>
        </is>
      </c>
      <c r="P3324" t="inlineStr">
        <is>
          <t>2026-06-19 07:10:32</t>
        </is>
      </c>
      <c r="Y3324" t="inlineStr">
        <is>
          <t>27773759845</t>
        </is>
      </c>
    </row>
    <row r="3325">
      <c r="A3325" t="inlineStr">
        <is>
          <t>14946454</t>
        </is>
      </c>
      <c r="B3325" t="inlineStr">
        <is>
          <t>b6510865-3bea-423c-ba4c-e7c1e228ce7e</t>
        </is>
      </c>
      <c r="D3325" t="inlineStr">
        <is>
          <t>30001087</t>
        </is>
      </c>
      <c r="E3325" t="inlineStr">
        <is>
          <t>ussd_funeral_leads_altitude_20260619</t>
        </is>
      </c>
      <c r="J3325" t="inlineStr">
        <is>
          <t>AA</t>
        </is>
      </c>
      <c r="K3325" t="inlineStr">
        <is>
          <t>Answering Machine Autodial</t>
        </is>
      </c>
      <c r="L3325" t="n">
        <v>3</v>
      </c>
      <c r="M3325" t="inlineStr">
        <is>
          <t>2026-06-23 10:28:41</t>
        </is>
      </c>
      <c r="N3325" t="inlineStr">
        <is>
          <t>system</t>
        </is>
      </c>
      <c r="O3325" t="inlineStr">
        <is>
          <t>2026-06-19 07:10:32</t>
        </is>
      </c>
      <c r="P3325" t="inlineStr">
        <is>
          <t>2026-06-19 07:10:32</t>
        </is>
      </c>
      <c r="Y3325" t="inlineStr">
        <is>
          <t>27765690048</t>
        </is>
      </c>
    </row>
    <row r="3326">
      <c r="A3326" t="inlineStr">
        <is>
          <t>14946453</t>
        </is>
      </c>
      <c r="B3326" t="inlineStr">
        <is>
          <t>fbb3ecc1-9ab4-4c6c-a1e2-946e4a0f6e51</t>
        </is>
      </c>
      <c r="D3326" t="inlineStr">
        <is>
          <t>30001087</t>
        </is>
      </c>
      <c r="E3326" t="inlineStr">
        <is>
          <t>ussd_funeral_leads_altitude_20260619</t>
        </is>
      </c>
      <c r="J3326" t="inlineStr">
        <is>
          <t>AA</t>
        </is>
      </c>
      <c r="K3326" t="inlineStr">
        <is>
          <t>Answering Machine Autodial</t>
        </is>
      </c>
      <c r="L3326" t="n">
        <v>3</v>
      </c>
      <c r="M3326" t="inlineStr">
        <is>
          <t>2026-06-23 10:28:39</t>
        </is>
      </c>
      <c r="N3326" t="inlineStr">
        <is>
          <t>system</t>
        </is>
      </c>
      <c r="O3326" t="inlineStr">
        <is>
          <t>2026-06-19 07:10:32</t>
        </is>
      </c>
      <c r="P3326" t="inlineStr">
        <is>
          <t>2026-06-19 07:10:32</t>
        </is>
      </c>
      <c r="Y3326" t="inlineStr">
        <is>
          <t>27711990721</t>
        </is>
      </c>
    </row>
    <row r="3327">
      <c r="A3327" t="inlineStr">
        <is>
          <t>14946452</t>
        </is>
      </c>
      <c r="B3327" t="inlineStr">
        <is>
          <t>4cb0f731-1a97-446e-b1bf-700e7615ae76</t>
        </is>
      </c>
      <c r="D3327" t="inlineStr">
        <is>
          <t>30001087</t>
        </is>
      </c>
      <c r="E3327" t="inlineStr">
        <is>
          <t>ussd_funeral_leads_altitude_20260619</t>
        </is>
      </c>
      <c r="J3327" t="inlineStr">
        <is>
          <t>AA</t>
        </is>
      </c>
      <c r="K3327" t="inlineStr">
        <is>
          <t>Answering Machine Autodial</t>
        </is>
      </c>
      <c r="L3327" t="n">
        <v>3</v>
      </c>
      <c r="M3327" t="inlineStr">
        <is>
          <t>2026-06-23 10:28:37</t>
        </is>
      </c>
      <c r="N3327" t="inlineStr">
        <is>
          <t>system</t>
        </is>
      </c>
      <c r="O3327" t="inlineStr">
        <is>
          <t>2026-06-19 07:10:32</t>
        </is>
      </c>
      <c r="P3327" t="inlineStr">
        <is>
          <t>2026-06-19 07:10:32</t>
        </is>
      </c>
      <c r="Y3327" t="inlineStr">
        <is>
          <t>27673480372</t>
        </is>
      </c>
    </row>
    <row r="3328">
      <c r="A3328" t="inlineStr">
        <is>
          <t>14946248</t>
        </is>
      </c>
      <c r="B3328" t="inlineStr">
        <is>
          <t>708a98c3-e0ee-4063-a747-1242e7fd3b5a</t>
        </is>
      </c>
      <c r="D3328" t="inlineStr">
        <is>
          <t>30001087</t>
        </is>
      </c>
      <c r="E3328" t="inlineStr">
        <is>
          <t>ussd_funeral_leads_altitude_20260619</t>
        </is>
      </c>
      <c r="J3328" t="inlineStr">
        <is>
          <t>AA</t>
        </is>
      </c>
      <c r="K3328" t="inlineStr">
        <is>
          <t>Answering Machine Autodial</t>
        </is>
      </c>
      <c r="L3328" t="n">
        <v>3</v>
      </c>
      <c r="M3328" t="inlineStr">
        <is>
          <t>2026-06-23 10:28:33</t>
        </is>
      </c>
      <c r="N3328" t="inlineStr">
        <is>
          <t>system</t>
        </is>
      </c>
      <c r="O3328" t="inlineStr">
        <is>
          <t>2026-06-19 07:10:32</t>
        </is>
      </c>
      <c r="P3328" t="inlineStr">
        <is>
          <t>2026-06-19 07:10:32</t>
        </is>
      </c>
      <c r="Y3328" t="inlineStr">
        <is>
          <t>27607361727</t>
        </is>
      </c>
    </row>
    <row r="3329">
      <c r="A3329" t="inlineStr">
        <is>
          <t>14946247</t>
        </is>
      </c>
      <c r="B3329" t="inlineStr">
        <is>
          <t>97e6cc7f-45dc-4c70-ba8b-4ebecb23abd5</t>
        </is>
      </c>
      <c r="D3329" t="inlineStr">
        <is>
          <t>30001087</t>
        </is>
      </c>
      <c r="E3329" t="inlineStr">
        <is>
          <t>ussd_funeral_leads_altitude_20260619</t>
        </is>
      </c>
      <c r="J3329" t="inlineStr">
        <is>
          <t>AA</t>
        </is>
      </c>
      <c r="K3329" t="inlineStr">
        <is>
          <t>Answering Machine Autodial</t>
        </is>
      </c>
      <c r="L3329" t="n">
        <v>3</v>
      </c>
      <c r="M3329" t="inlineStr">
        <is>
          <t>2026-06-23 10:28:31</t>
        </is>
      </c>
      <c r="N3329" t="inlineStr">
        <is>
          <t>system</t>
        </is>
      </c>
      <c r="O3329" t="inlineStr">
        <is>
          <t>2026-06-19 07:10:32</t>
        </is>
      </c>
      <c r="P3329" t="inlineStr">
        <is>
          <t>2026-06-19 07:10:32</t>
        </is>
      </c>
      <c r="Y3329" t="inlineStr">
        <is>
          <t>27607411122</t>
        </is>
      </c>
    </row>
    <row r="3330">
      <c r="A3330" t="inlineStr">
        <is>
          <t>14946197</t>
        </is>
      </c>
      <c r="B3330" t="inlineStr">
        <is>
          <t>f897232e-2c15-4233-b453-5400105db403</t>
        </is>
      </c>
      <c r="D3330" t="inlineStr">
        <is>
          <t>30001087</t>
        </is>
      </c>
      <c r="E3330" t="inlineStr">
        <is>
          <t>ussd_funeral_leads_altitude_20260619</t>
        </is>
      </c>
      <c r="J3330" t="inlineStr">
        <is>
          <t>ADC</t>
        </is>
      </c>
      <c r="K3330" t="inlineStr">
        <is>
          <t>Auto Dial Disconnected</t>
        </is>
      </c>
      <c r="L3330" t="n">
        <v>3</v>
      </c>
      <c r="M3330" t="inlineStr">
        <is>
          <t>2026-06-23 10:28:21</t>
        </is>
      </c>
      <c r="N3330" t="inlineStr">
        <is>
          <t>system</t>
        </is>
      </c>
      <c r="O3330" t="inlineStr">
        <is>
          <t>2026-06-19 07:10:32</t>
        </is>
      </c>
      <c r="P3330" t="inlineStr">
        <is>
          <t>2026-06-19 07:10:32</t>
        </is>
      </c>
      <c r="Y3330" t="inlineStr">
        <is>
          <t>27799925840</t>
        </is>
      </c>
    </row>
    <row r="3331">
      <c r="A3331" t="inlineStr">
        <is>
          <t>14946196</t>
        </is>
      </c>
      <c r="B3331" t="inlineStr">
        <is>
          <t>70fce517-313f-45ec-a85b-6b26e11a6dae</t>
        </is>
      </c>
      <c r="D3331" t="inlineStr">
        <is>
          <t>30001087</t>
        </is>
      </c>
      <c r="E3331" t="inlineStr">
        <is>
          <t>ussd_funeral_leads_altitude_20260619</t>
        </is>
      </c>
      <c r="J3331" t="inlineStr">
        <is>
          <t>NA</t>
        </is>
      </c>
      <c r="K3331" t="inlineStr">
        <is>
          <t>No Answer Autodial</t>
        </is>
      </c>
      <c r="L3331" t="n">
        <v>3</v>
      </c>
      <c r="M3331" t="inlineStr">
        <is>
          <t>2026-06-23 10:28:20</t>
        </is>
      </c>
      <c r="N3331" t="inlineStr">
        <is>
          <t>system</t>
        </is>
      </c>
      <c r="O3331" t="inlineStr">
        <is>
          <t>2026-06-19 07:10:32</t>
        </is>
      </c>
      <c r="P3331" t="inlineStr">
        <is>
          <t>2026-06-19 07:10:32</t>
        </is>
      </c>
      <c r="Y3331" t="inlineStr">
        <is>
          <t>27660671290</t>
        </is>
      </c>
    </row>
    <row r="3332">
      <c r="A3332" t="inlineStr">
        <is>
          <t>14946195</t>
        </is>
      </c>
      <c r="B3332" t="inlineStr">
        <is>
          <t>7e8a951b-3a9d-4893-9dd9-dc408f1b220c</t>
        </is>
      </c>
      <c r="D3332" t="inlineStr">
        <is>
          <t>30001087</t>
        </is>
      </c>
      <c r="E3332" t="inlineStr">
        <is>
          <t>ussd_funeral_leads_altitude_20260619</t>
        </is>
      </c>
      <c r="J3332" t="inlineStr">
        <is>
          <t>AA</t>
        </is>
      </c>
      <c r="K3332" t="inlineStr">
        <is>
          <t>Answering Machine Autodial</t>
        </is>
      </c>
      <c r="L3332" t="n">
        <v>3</v>
      </c>
      <c r="M3332" t="inlineStr">
        <is>
          <t>2026-06-23 10:28:15</t>
        </is>
      </c>
      <c r="N3332" t="inlineStr">
        <is>
          <t>system</t>
        </is>
      </c>
      <c r="O3332" t="inlineStr">
        <is>
          <t>2026-06-19 07:10:32</t>
        </is>
      </c>
      <c r="P3332" t="inlineStr">
        <is>
          <t>2026-06-19 07:10:32</t>
        </is>
      </c>
      <c r="Y3332" t="inlineStr">
        <is>
          <t>27818512619</t>
        </is>
      </c>
    </row>
    <row r="3333">
      <c r="A3333" t="inlineStr">
        <is>
          <t>14946163</t>
        </is>
      </c>
      <c r="B3333" t="inlineStr">
        <is>
          <t>2ea42298-baa0-4ff2-9af5-21cafc8afa34</t>
        </is>
      </c>
      <c r="D3333" t="inlineStr">
        <is>
          <t>30001087</t>
        </is>
      </c>
      <c r="E3333" t="inlineStr">
        <is>
          <t>ussd_funeral_leads_altitude_20260619</t>
        </is>
      </c>
      <c r="J3333" t="inlineStr">
        <is>
          <t>AA</t>
        </is>
      </c>
      <c r="K3333" t="inlineStr">
        <is>
          <t>Answering Machine Autodial</t>
        </is>
      </c>
      <c r="L3333" t="n">
        <v>3</v>
      </c>
      <c r="M3333" t="inlineStr">
        <is>
          <t>2026-06-23 10:28:13</t>
        </is>
      </c>
      <c r="N3333" t="inlineStr">
        <is>
          <t>system</t>
        </is>
      </c>
      <c r="O3333" t="inlineStr">
        <is>
          <t>2026-06-19 07:10:32</t>
        </is>
      </c>
      <c r="P3333" t="inlineStr">
        <is>
          <t>2026-06-19 07:10:32</t>
        </is>
      </c>
      <c r="Y3333" t="inlineStr">
        <is>
          <t>27765538042</t>
        </is>
      </c>
    </row>
    <row r="3334">
      <c r="A3334" t="inlineStr">
        <is>
          <t>14946168</t>
        </is>
      </c>
      <c r="B3334" t="inlineStr">
        <is>
          <t>3f88d76f-188d-4ddd-b1b3-ea71bdb7cb84</t>
        </is>
      </c>
      <c r="D3334" t="inlineStr">
        <is>
          <t>30001087</t>
        </is>
      </c>
      <c r="E3334" t="inlineStr">
        <is>
          <t>ussd_funeral_leads_altitude_20260619</t>
        </is>
      </c>
      <c r="J3334" t="inlineStr">
        <is>
          <t>AA</t>
        </is>
      </c>
      <c r="K3334" t="inlineStr">
        <is>
          <t>Answering Machine Autodial</t>
        </is>
      </c>
      <c r="L3334" t="n">
        <v>3</v>
      </c>
      <c r="M3334" t="inlineStr">
        <is>
          <t>2026-06-23 10:28:13</t>
        </is>
      </c>
      <c r="N3334" t="inlineStr">
        <is>
          <t>system</t>
        </is>
      </c>
      <c r="O3334" t="inlineStr">
        <is>
          <t>2026-06-19 07:10:32</t>
        </is>
      </c>
      <c r="P3334" t="inlineStr">
        <is>
          <t>2026-06-19 07:10:32</t>
        </is>
      </c>
      <c r="Y3334" t="inlineStr">
        <is>
          <t>27663154144</t>
        </is>
      </c>
    </row>
    <row r="3335">
      <c r="A3335" t="inlineStr">
        <is>
          <t>14946178</t>
        </is>
      </c>
      <c r="B3335" t="inlineStr">
        <is>
          <t>c61df7b0-0199-4818-85bc-acfef0a96b2e</t>
        </is>
      </c>
      <c r="D3335" t="inlineStr">
        <is>
          <t>30001087</t>
        </is>
      </c>
      <c r="E3335" t="inlineStr">
        <is>
          <t>ussd_funeral_leads_altitude_20260619</t>
        </is>
      </c>
      <c r="J3335" t="inlineStr">
        <is>
          <t>AA</t>
        </is>
      </c>
      <c r="K3335" t="inlineStr">
        <is>
          <t>Answering Machine Autodial</t>
        </is>
      </c>
      <c r="L3335" t="n">
        <v>3</v>
      </c>
      <c r="M3335" t="inlineStr">
        <is>
          <t>2026-06-23 10:28:13</t>
        </is>
      </c>
      <c r="N3335" t="inlineStr">
        <is>
          <t>system</t>
        </is>
      </c>
      <c r="O3335" t="inlineStr">
        <is>
          <t>2026-06-19 07:10:32</t>
        </is>
      </c>
      <c r="P3335" t="inlineStr">
        <is>
          <t>2026-06-19 07:10:32</t>
        </is>
      </c>
      <c r="Y3335" t="inlineStr">
        <is>
          <t>27793771160</t>
        </is>
      </c>
    </row>
    <row r="3336">
      <c r="A3336" t="inlineStr">
        <is>
          <t>14946193</t>
        </is>
      </c>
      <c r="B3336" t="inlineStr">
        <is>
          <t>e61ac9a0-af30-4db2-a47a-cd1f011d3f5e</t>
        </is>
      </c>
      <c r="D3336" t="inlineStr">
        <is>
          <t>30001087</t>
        </is>
      </c>
      <c r="E3336" t="inlineStr">
        <is>
          <t>ussd_funeral_leads_altitude_20260619</t>
        </is>
      </c>
      <c r="J3336" t="inlineStr">
        <is>
          <t>NA</t>
        </is>
      </c>
      <c r="K3336" t="inlineStr">
        <is>
          <t>No Answer Autodial</t>
        </is>
      </c>
      <c r="L3336" t="n">
        <v>3</v>
      </c>
      <c r="M3336" t="inlineStr">
        <is>
          <t>2026-06-23 10:28:13</t>
        </is>
      </c>
      <c r="N3336" t="inlineStr">
        <is>
          <t>system</t>
        </is>
      </c>
      <c r="O3336" t="inlineStr">
        <is>
          <t>2026-06-19 07:10:32</t>
        </is>
      </c>
      <c r="P3336" t="inlineStr">
        <is>
          <t>2026-06-19 07:10:32</t>
        </is>
      </c>
      <c r="Y3336" t="inlineStr">
        <is>
          <t>27609260022</t>
        </is>
      </c>
    </row>
    <row r="3337">
      <c r="A3337" t="inlineStr">
        <is>
          <t>14946194</t>
        </is>
      </c>
      <c r="B3337" t="inlineStr">
        <is>
          <t>07483168-5e2f-4ac5-9b0e-897941e8a217</t>
        </is>
      </c>
      <c r="D3337" t="inlineStr">
        <is>
          <t>30001087</t>
        </is>
      </c>
      <c r="E3337" t="inlineStr">
        <is>
          <t>ussd_funeral_leads_altitude_20260619</t>
        </is>
      </c>
      <c r="J3337" t="inlineStr">
        <is>
          <t>AA</t>
        </is>
      </c>
      <c r="K3337" t="inlineStr">
        <is>
          <t>Answering Machine Autodial</t>
        </is>
      </c>
      <c r="L3337" t="n">
        <v>3</v>
      </c>
      <c r="M3337" t="inlineStr">
        <is>
          <t>2026-06-23 10:28:13</t>
        </is>
      </c>
      <c r="N3337" t="inlineStr">
        <is>
          <t>system</t>
        </is>
      </c>
      <c r="O3337" t="inlineStr">
        <is>
          <t>2026-06-19 07:10:32</t>
        </is>
      </c>
      <c r="P3337" t="inlineStr">
        <is>
          <t>2026-06-19 07:10:32</t>
        </is>
      </c>
      <c r="Y3337" t="inlineStr">
        <is>
          <t>27822656316</t>
        </is>
      </c>
    </row>
    <row r="3338">
      <c r="A3338" t="inlineStr">
        <is>
          <t>14946156</t>
        </is>
      </c>
      <c r="B3338" t="inlineStr">
        <is>
          <t>a9eff930-2790-4a18-856b-2926b186146f</t>
        </is>
      </c>
      <c r="D3338" t="inlineStr">
        <is>
          <t>30001087</t>
        </is>
      </c>
      <c r="E3338" t="inlineStr">
        <is>
          <t>ussd_funeral_leads_altitude_20260619</t>
        </is>
      </c>
      <c r="J3338" t="inlineStr">
        <is>
          <t>ADC</t>
        </is>
      </c>
      <c r="K3338" t="inlineStr">
        <is>
          <t>Auto Dial Disconnected</t>
        </is>
      </c>
      <c r="L3338" t="n">
        <v>3</v>
      </c>
      <c r="M3338" t="inlineStr">
        <is>
          <t>2026-06-23 10:28:10</t>
        </is>
      </c>
      <c r="N3338" t="inlineStr">
        <is>
          <t>system</t>
        </is>
      </c>
      <c r="O3338" t="inlineStr">
        <is>
          <t>2026-06-19 07:10:32</t>
        </is>
      </c>
      <c r="P3338" t="inlineStr">
        <is>
          <t>2026-06-19 07:10:32</t>
        </is>
      </c>
      <c r="Y3338" t="inlineStr">
        <is>
          <t>27715883620</t>
        </is>
      </c>
    </row>
    <row r="3339">
      <c r="A3339" t="inlineStr">
        <is>
          <t>14946158</t>
        </is>
      </c>
      <c r="B3339" t="inlineStr">
        <is>
          <t>af48a803-5f97-4023-818c-a574ca57018d</t>
        </is>
      </c>
      <c r="D3339" t="inlineStr">
        <is>
          <t>30001087</t>
        </is>
      </c>
      <c r="E3339" t="inlineStr">
        <is>
          <t>ussd_funeral_leads_altitude_20260619</t>
        </is>
      </c>
      <c r="J3339" t="inlineStr">
        <is>
          <t>ADC</t>
        </is>
      </c>
      <c r="K3339" t="inlineStr">
        <is>
          <t>Auto Dial Disconnected</t>
        </is>
      </c>
      <c r="L3339" t="n">
        <v>3</v>
      </c>
      <c r="M3339" t="inlineStr">
        <is>
          <t>2026-06-23 10:28:10</t>
        </is>
      </c>
      <c r="N3339" t="inlineStr">
        <is>
          <t>system</t>
        </is>
      </c>
      <c r="O3339" t="inlineStr">
        <is>
          <t>2026-06-19 07:10:32</t>
        </is>
      </c>
      <c r="P3339" t="inlineStr">
        <is>
          <t>2026-06-19 07:10:32</t>
        </is>
      </c>
      <c r="Y3339" t="inlineStr">
        <is>
          <t>27797895017</t>
        </is>
      </c>
    </row>
    <row r="3340">
      <c r="A3340" t="inlineStr">
        <is>
          <t>14946152</t>
        </is>
      </c>
      <c r="B3340" t="inlineStr">
        <is>
          <t>9840b36e-0ed7-4efa-9b63-820b37aee472</t>
        </is>
      </c>
      <c r="D3340" t="inlineStr">
        <is>
          <t>30001087</t>
        </is>
      </c>
      <c r="E3340" t="inlineStr">
        <is>
          <t>ussd_funeral_leads_altitude_20260619</t>
        </is>
      </c>
      <c r="J3340" t="inlineStr">
        <is>
          <t>TDN</t>
        </is>
      </c>
      <c r="K3340" t="inlineStr">
        <is>
          <t>Temporary Disconnected Number</t>
        </is>
      </c>
      <c r="L3340" t="n">
        <v>3</v>
      </c>
      <c r="M3340" t="inlineStr">
        <is>
          <t>2026-06-23 10:27:57</t>
        </is>
      </c>
      <c r="N3340" t="inlineStr">
        <is>
          <t>system</t>
        </is>
      </c>
      <c r="O3340" t="inlineStr">
        <is>
          <t>2026-06-19 07:10:32</t>
        </is>
      </c>
      <c r="P3340" t="inlineStr">
        <is>
          <t>2026-06-19 07:10:32</t>
        </is>
      </c>
      <c r="Y3340" t="inlineStr">
        <is>
          <t>27793354911</t>
        </is>
      </c>
    </row>
    <row r="3341">
      <c r="A3341" t="inlineStr">
        <is>
          <t>14946154</t>
        </is>
      </c>
      <c r="B3341" t="inlineStr">
        <is>
          <t>cd36d2f3-181f-43cb-93fd-3706752b67c6</t>
        </is>
      </c>
      <c r="D3341" t="inlineStr">
        <is>
          <t>30001087</t>
        </is>
      </c>
      <c r="E3341" t="inlineStr">
        <is>
          <t>ussd_funeral_leads_altitude_20260619</t>
        </is>
      </c>
      <c r="H3341" t="inlineStr">
        <is>
          <t>27648453305</t>
        </is>
      </c>
      <c r="J3341" t="inlineStr">
        <is>
          <t>AA</t>
        </is>
      </c>
      <c r="K3341" t="inlineStr">
        <is>
          <t>Answering Machine Autodial</t>
        </is>
      </c>
      <c r="L3341" t="n">
        <v>3</v>
      </c>
      <c r="M3341" t="inlineStr">
        <is>
          <t>2026-06-23 10:27:56</t>
        </is>
      </c>
      <c r="N3341" t="inlineStr">
        <is>
          <t>system</t>
        </is>
      </c>
      <c r="O3341" t="inlineStr">
        <is>
          <t>2026-06-19 07:10:32</t>
        </is>
      </c>
      <c r="P3341" t="inlineStr">
        <is>
          <t>2026-06-19 07:10:32</t>
        </is>
      </c>
      <c r="Y3341" t="inlineStr">
        <is>
          <t>27648453305</t>
        </is>
      </c>
    </row>
    <row r="3342">
      <c r="A3342" t="inlineStr">
        <is>
          <t>14946151</t>
        </is>
      </c>
      <c r="B3342" t="inlineStr">
        <is>
          <t>0ebd0aad-1a2f-4ffe-afc3-8a1e154f145c</t>
        </is>
      </c>
      <c r="D3342" t="inlineStr">
        <is>
          <t>30001087</t>
        </is>
      </c>
      <c r="E3342" t="inlineStr">
        <is>
          <t>ussd_funeral_leads_altitude_20260619</t>
        </is>
      </c>
      <c r="J3342" t="inlineStr">
        <is>
          <t>AA</t>
        </is>
      </c>
      <c r="K3342" t="inlineStr">
        <is>
          <t>Answering Machine Autodial</t>
        </is>
      </c>
      <c r="L3342" t="n">
        <v>3</v>
      </c>
      <c r="M3342" t="inlineStr">
        <is>
          <t>2026-06-23 10:27:51</t>
        </is>
      </c>
      <c r="N3342" t="inlineStr">
        <is>
          <t>system</t>
        </is>
      </c>
      <c r="O3342" t="inlineStr">
        <is>
          <t>2026-06-19 07:10:32</t>
        </is>
      </c>
      <c r="P3342" t="inlineStr">
        <is>
          <t>2026-06-19 07:10:32</t>
        </is>
      </c>
      <c r="Y3342" t="inlineStr">
        <is>
          <t>27823477757</t>
        </is>
      </c>
    </row>
    <row r="3343">
      <c r="A3343" t="inlineStr">
        <is>
          <t>14946150</t>
        </is>
      </c>
      <c r="B3343" t="inlineStr">
        <is>
          <t>7cb71ec3-66fb-450f-b656-272a802dcf03</t>
        </is>
      </c>
      <c r="D3343" t="inlineStr">
        <is>
          <t>30001087</t>
        </is>
      </c>
      <c r="E3343" t="inlineStr">
        <is>
          <t>ussd_funeral_leads_altitude_20260619</t>
        </is>
      </c>
      <c r="J3343" t="inlineStr">
        <is>
          <t>NA</t>
        </is>
      </c>
      <c r="K3343" t="inlineStr">
        <is>
          <t>No Answer Autodial</t>
        </is>
      </c>
      <c r="L3343" t="n">
        <v>3</v>
      </c>
      <c r="M3343" t="inlineStr">
        <is>
          <t>2026-06-23 10:27:47</t>
        </is>
      </c>
      <c r="N3343" t="inlineStr">
        <is>
          <t>system</t>
        </is>
      </c>
      <c r="O3343" t="inlineStr">
        <is>
          <t>2026-06-19 07:10:32</t>
        </is>
      </c>
      <c r="P3343" t="inlineStr">
        <is>
          <t>2026-06-19 07:10:32</t>
        </is>
      </c>
      <c r="Y3343" t="inlineStr">
        <is>
          <t>27792548928</t>
        </is>
      </c>
    </row>
    <row r="3344">
      <c r="A3344" t="inlineStr">
        <is>
          <t>14946107</t>
        </is>
      </c>
      <c r="B3344" t="inlineStr">
        <is>
          <t>035de88b-c22e-4e21-a507-7213a3338a51</t>
        </is>
      </c>
      <c r="D3344" t="inlineStr">
        <is>
          <t>30001087</t>
        </is>
      </c>
      <c r="E3344" t="inlineStr">
        <is>
          <t>ussd_funeral_leads_altitude_20260619</t>
        </is>
      </c>
      <c r="J3344" t="inlineStr">
        <is>
          <t>NA</t>
        </is>
      </c>
      <c r="K3344" t="inlineStr">
        <is>
          <t>No Answer Autodial</t>
        </is>
      </c>
      <c r="L3344" t="n">
        <v>3</v>
      </c>
      <c r="M3344" t="inlineStr">
        <is>
          <t>2026-06-23 10:27:42</t>
        </is>
      </c>
      <c r="N3344" t="inlineStr">
        <is>
          <t>system</t>
        </is>
      </c>
      <c r="O3344" t="inlineStr">
        <is>
          <t>2026-06-19 07:10:32</t>
        </is>
      </c>
      <c r="P3344" t="inlineStr">
        <is>
          <t>2026-06-19 07:10:32</t>
        </is>
      </c>
      <c r="Y3344" t="inlineStr">
        <is>
          <t>27818515372</t>
        </is>
      </c>
    </row>
    <row r="3345">
      <c r="A3345" t="inlineStr">
        <is>
          <t>14946108</t>
        </is>
      </c>
      <c r="B3345" t="inlineStr">
        <is>
          <t>995d1b19-0f44-47d5-9030-2a2ff2b112de</t>
        </is>
      </c>
      <c r="D3345" t="inlineStr">
        <is>
          <t>30001087</t>
        </is>
      </c>
      <c r="E3345" t="inlineStr">
        <is>
          <t>ussd_funeral_leads_altitude_20260619</t>
        </is>
      </c>
      <c r="J3345" t="inlineStr">
        <is>
          <t>CU</t>
        </is>
      </c>
      <c r="K3345" t="inlineStr">
        <is>
          <t>Client Hung Up</t>
        </is>
      </c>
      <c r="L3345" t="n">
        <v>3</v>
      </c>
      <c r="M3345" t="inlineStr">
        <is>
          <t>2026-06-23 10:27:42</t>
        </is>
      </c>
      <c r="N3345" t="inlineStr">
        <is>
          <t>Lebohang Mabotja</t>
        </is>
      </c>
      <c r="O3345" t="inlineStr">
        <is>
          <t>2026-06-19 07:10:32</t>
        </is>
      </c>
      <c r="P3345" t="inlineStr">
        <is>
          <t>2026-06-19 07:10:32</t>
        </is>
      </c>
      <c r="Y3345" t="inlineStr">
        <is>
          <t>27794242130</t>
        </is>
      </c>
    </row>
    <row r="3346">
      <c r="A3346" t="inlineStr">
        <is>
          <t>14946109</t>
        </is>
      </c>
      <c r="B3346" t="inlineStr">
        <is>
          <t>d621f188-0ed2-4136-95d7-38d8c85c435b</t>
        </is>
      </c>
      <c r="D3346" t="inlineStr">
        <is>
          <t>30001087</t>
        </is>
      </c>
      <c r="E3346" t="inlineStr">
        <is>
          <t>ussd_funeral_leads_altitude_20260619</t>
        </is>
      </c>
      <c r="J3346" t="inlineStr">
        <is>
          <t>DROP</t>
        </is>
      </c>
      <c r="K3346" t="inlineStr">
        <is>
          <t>Dropped</t>
        </is>
      </c>
      <c r="L3346" t="n">
        <v>3</v>
      </c>
      <c r="M3346" t="inlineStr">
        <is>
          <t>2026-06-23 10:27:42</t>
        </is>
      </c>
      <c r="N3346" t="inlineStr">
        <is>
          <t>system</t>
        </is>
      </c>
      <c r="O3346" t="inlineStr">
        <is>
          <t>2026-06-19 07:10:32</t>
        </is>
      </c>
      <c r="P3346" t="inlineStr">
        <is>
          <t>2026-06-19 07:10:32</t>
        </is>
      </c>
      <c r="Y3346" t="inlineStr">
        <is>
          <t>27799858776</t>
        </is>
      </c>
    </row>
    <row r="3347">
      <c r="A3347" t="inlineStr">
        <is>
          <t>14946106</t>
        </is>
      </c>
      <c r="B3347" t="inlineStr">
        <is>
          <t>7057bbf4-5a73-43a8-8118-18884d9f1c61</t>
        </is>
      </c>
      <c r="D3347" t="inlineStr">
        <is>
          <t>30001087</t>
        </is>
      </c>
      <c r="E3347" t="inlineStr">
        <is>
          <t>ussd_funeral_leads_altitude_20260619</t>
        </is>
      </c>
      <c r="J3347" t="inlineStr">
        <is>
          <t>AA</t>
        </is>
      </c>
      <c r="K3347" t="inlineStr">
        <is>
          <t>Answering Machine Autodial</t>
        </is>
      </c>
      <c r="L3347" t="n">
        <v>3</v>
      </c>
      <c r="M3347" t="inlineStr">
        <is>
          <t>2026-06-23 10:27:36</t>
        </is>
      </c>
      <c r="N3347" t="inlineStr">
        <is>
          <t>system</t>
        </is>
      </c>
      <c r="O3347" t="inlineStr">
        <is>
          <t>2026-06-19 07:10:32</t>
        </is>
      </c>
      <c r="P3347" t="inlineStr">
        <is>
          <t>2026-06-19 07:10:32</t>
        </is>
      </c>
      <c r="Y3347" t="inlineStr">
        <is>
          <t>27765493470</t>
        </is>
      </c>
    </row>
    <row r="3348">
      <c r="A3348" t="inlineStr">
        <is>
          <t>14946105</t>
        </is>
      </c>
      <c r="B3348" t="inlineStr">
        <is>
          <t>0afa2080-f33c-4c19-bf69-5668cce5a363</t>
        </is>
      </c>
      <c r="D3348" t="inlineStr">
        <is>
          <t>30001087</t>
        </is>
      </c>
      <c r="E3348" t="inlineStr">
        <is>
          <t>ussd_funeral_leads_altitude_20260619</t>
        </is>
      </c>
      <c r="J3348" t="inlineStr">
        <is>
          <t>AA</t>
        </is>
      </c>
      <c r="K3348" t="inlineStr">
        <is>
          <t>Answering Machine Autodial</t>
        </is>
      </c>
      <c r="L3348" t="n">
        <v>3</v>
      </c>
      <c r="M3348" t="inlineStr">
        <is>
          <t>2026-06-23 10:27:32</t>
        </is>
      </c>
      <c r="N3348" t="inlineStr">
        <is>
          <t>system</t>
        </is>
      </c>
      <c r="O3348" t="inlineStr">
        <is>
          <t>2026-06-19 07:10:32</t>
        </is>
      </c>
      <c r="P3348" t="inlineStr">
        <is>
          <t>2026-06-19 07:10:32</t>
        </is>
      </c>
      <c r="Y3348" t="inlineStr">
        <is>
          <t>27711125393</t>
        </is>
      </c>
    </row>
    <row r="3349">
      <c r="A3349" t="inlineStr">
        <is>
          <t>14946080</t>
        </is>
      </c>
      <c r="B3349" t="inlineStr">
        <is>
          <t>4d18b151-068c-4aba-8896-19e1a2b640cc</t>
        </is>
      </c>
      <c r="D3349" t="inlineStr">
        <is>
          <t>30001087</t>
        </is>
      </c>
      <c r="E3349" t="inlineStr">
        <is>
          <t>ussd_funeral_leads_altitude_20260619</t>
        </is>
      </c>
      <c r="J3349" t="inlineStr">
        <is>
          <t>TDN</t>
        </is>
      </c>
      <c r="K3349" t="inlineStr">
        <is>
          <t>Temporary Disconnected Number</t>
        </is>
      </c>
      <c r="L3349" t="n">
        <v>3</v>
      </c>
      <c r="M3349" t="inlineStr">
        <is>
          <t>2026-06-23 10:27:29</t>
        </is>
      </c>
      <c r="N3349" t="inlineStr">
        <is>
          <t>system</t>
        </is>
      </c>
      <c r="O3349" t="inlineStr">
        <is>
          <t>2026-06-19 07:10:32</t>
        </is>
      </c>
      <c r="P3349" t="inlineStr">
        <is>
          <t>2026-06-19 07:10:32</t>
        </is>
      </c>
      <c r="Y3349" t="inlineStr">
        <is>
          <t>27722955217</t>
        </is>
      </c>
    </row>
    <row r="3350">
      <c r="A3350" t="inlineStr">
        <is>
          <t>14946084</t>
        </is>
      </c>
      <c r="B3350" t="inlineStr">
        <is>
          <t>9c86ba35-24a0-4729-a312-cfc063ed6691</t>
        </is>
      </c>
      <c r="D3350" t="inlineStr">
        <is>
          <t>30001087</t>
        </is>
      </c>
      <c r="E3350" t="inlineStr">
        <is>
          <t>ussd_funeral_leads_altitude_20260619</t>
        </is>
      </c>
      <c r="J3350" t="inlineStr">
        <is>
          <t>DROP</t>
        </is>
      </c>
      <c r="K3350" t="inlineStr">
        <is>
          <t>Dropped</t>
        </is>
      </c>
      <c r="L3350" t="n">
        <v>3</v>
      </c>
      <c r="M3350" t="inlineStr">
        <is>
          <t>2026-06-23 10:27:29</t>
        </is>
      </c>
      <c r="N3350" t="inlineStr">
        <is>
          <t>system</t>
        </is>
      </c>
      <c r="O3350" t="inlineStr">
        <is>
          <t>2026-06-19 07:10:32</t>
        </is>
      </c>
      <c r="P3350" t="inlineStr">
        <is>
          <t>2026-06-19 07:10:32</t>
        </is>
      </c>
      <c r="Y3350" t="inlineStr">
        <is>
          <t>27799645704</t>
        </is>
      </c>
    </row>
    <row r="3351">
      <c r="A3351" t="inlineStr">
        <is>
          <t>14946104</t>
        </is>
      </c>
      <c r="B3351" t="inlineStr">
        <is>
          <t>93c8fcbd-a377-4409-8f7c-038ae977e354</t>
        </is>
      </c>
      <c r="D3351" t="inlineStr">
        <is>
          <t>30001087</t>
        </is>
      </c>
      <c r="E3351" t="inlineStr">
        <is>
          <t>ussd_funeral_leads_altitude_20260619</t>
        </is>
      </c>
      <c r="J3351" t="inlineStr">
        <is>
          <t>CB</t>
        </is>
      </c>
      <c r="K3351" t="inlineStr">
        <is>
          <t>Busy Tone</t>
        </is>
      </c>
      <c r="L3351" t="n">
        <v>3</v>
      </c>
      <c r="M3351" t="inlineStr">
        <is>
          <t>2026-06-23 10:27:29</t>
        </is>
      </c>
      <c r="N3351" t="inlineStr">
        <is>
          <t>Bongiwe Precious Cele</t>
        </is>
      </c>
      <c r="O3351" t="inlineStr">
        <is>
          <t>2026-06-19 07:10:32</t>
        </is>
      </c>
      <c r="P3351" t="inlineStr">
        <is>
          <t>2026-06-19 07:10:32</t>
        </is>
      </c>
      <c r="Y3351" t="inlineStr">
        <is>
          <t>27716482430</t>
        </is>
      </c>
    </row>
    <row r="3352">
      <c r="A3352" t="inlineStr">
        <is>
          <t>14947674</t>
        </is>
      </c>
      <c r="B3352" t="inlineStr">
        <is>
          <t>20fdf587-0370-43a9-be35-a835acc65fda</t>
        </is>
      </c>
      <c r="D3352" t="inlineStr">
        <is>
          <t>30001087</t>
        </is>
      </c>
      <c r="E3352" t="inlineStr">
        <is>
          <t>ussd_funeral_leads_altitude_20260619</t>
        </is>
      </c>
      <c r="J3352" t="inlineStr">
        <is>
          <t>ADC</t>
        </is>
      </c>
      <c r="K3352" t="inlineStr">
        <is>
          <t>Auto Dial Disconnected</t>
        </is>
      </c>
      <c r="L3352" t="n">
        <v>3</v>
      </c>
      <c r="M3352" t="inlineStr">
        <is>
          <t>2026-06-23 10:27:29</t>
        </is>
      </c>
      <c r="N3352" t="inlineStr">
        <is>
          <t>system</t>
        </is>
      </c>
      <c r="O3352" t="inlineStr">
        <is>
          <t>2026-06-19 07:10:32</t>
        </is>
      </c>
      <c r="P3352" t="inlineStr">
        <is>
          <t>2026-06-19 07:10:32</t>
        </is>
      </c>
      <c r="Y3352" t="inlineStr">
        <is>
          <t>27797080966</t>
        </is>
      </c>
    </row>
    <row r="3353">
      <c r="A3353" t="inlineStr">
        <is>
          <t>14946083</t>
        </is>
      </c>
      <c r="B3353" t="inlineStr">
        <is>
          <t>0a602b23-26b9-49ce-94a7-750a436e40c9</t>
        </is>
      </c>
      <c r="D3353" t="inlineStr">
        <is>
          <t>30001087</t>
        </is>
      </c>
      <c r="E3353" t="inlineStr">
        <is>
          <t>ussd_funeral_leads_altitude_20260619</t>
        </is>
      </c>
      <c r="J3353" t="inlineStr">
        <is>
          <t>AA</t>
        </is>
      </c>
      <c r="K3353" t="inlineStr">
        <is>
          <t>Answering Machine Autodial</t>
        </is>
      </c>
      <c r="L3353" t="n">
        <v>3</v>
      </c>
      <c r="M3353" t="inlineStr">
        <is>
          <t>2026-06-23 10:27:28</t>
        </is>
      </c>
      <c r="N3353" t="inlineStr">
        <is>
          <t>system</t>
        </is>
      </c>
      <c r="O3353" t="inlineStr">
        <is>
          <t>2026-06-19 07:10:32</t>
        </is>
      </c>
      <c r="P3353" t="inlineStr">
        <is>
          <t>2026-06-19 07:10:32</t>
        </is>
      </c>
      <c r="Y3353" t="inlineStr">
        <is>
          <t>27826379304</t>
        </is>
      </c>
    </row>
    <row r="3354">
      <c r="A3354" t="inlineStr">
        <is>
          <t>14946103</t>
        </is>
      </c>
      <c r="B3354" t="inlineStr">
        <is>
          <t>9f496b23-c488-4dc1-992e-e3aca63e2fed</t>
        </is>
      </c>
      <c r="D3354" t="inlineStr">
        <is>
          <t>30001087</t>
        </is>
      </c>
      <c r="E3354" t="inlineStr">
        <is>
          <t>ussd_funeral_leads_altitude_20260619</t>
        </is>
      </c>
      <c r="J3354" t="inlineStr">
        <is>
          <t>AA</t>
        </is>
      </c>
      <c r="K3354" t="inlineStr">
        <is>
          <t>Answering Machine Autodial</t>
        </is>
      </c>
      <c r="L3354" t="n">
        <v>3</v>
      </c>
      <c r="M3354" t="inlineStr">
        <is>
          <t>2026-06-23 10:27:00</t>
        </is>
      </c>
      <c r="N3354" t="inlineStr">
        <is>
          <t>system</t>
        </is>
      </c>
      <c r="O3354" t="inlineStr">
        <is>
          <t>2026-06-19 07:10:32</t>
        </is>
      </c>
      <c r="P3354" t="inlineStr">
        <is>
          <t>2026-06-19 07:10:32</t>
        </is>
      </c>
      <c r="Y3354" t="inlineStr">
        <is>
          <t>27797473649</t>
        </is>
      </c>
    </row>
    <row r="3355">
      <c r="A3355" t="inlineStr">
        <is>
          <t>14947675</t>
        </is>
      </c>
      <c r="B3355" t="inlineStr">
        <is>
          <t>ea03ee51-9768-45a6-b228-1fbb3c1d4562</t>
        </is>
      </c>
      <c r="D3355" t="inlineStr">
        <is>
          <t>30001087</t>
        </is>
      </c>
      <c r="E3355" t="inlineStr">
        <is>
          <t>ussd_funeral_leads_altitude_20260619</t>
        </is>
      </c>
      <c r="J3355" t="inlineStr">
        <is>
          <t>NI</t>
        </is>
      </c>
      <c r="K3355" t="inlineStr">
        <is>
          <t>Not Interested</t>
        </is>
      </c>
      <c r="L3355" t="n">
        <v>3</v>
      </c>
      <c r="M3355" t="inlineStr">
        <is>
          <t>2026-06-23 10:26:58</t>
        </is>
      </c>
      <c r="N3355" t="inlineStr">
        <is>
          <t>Dimakatso Nkomo</t>
        </is>
      </c>
      <c r="O3355" t="inlineStr">
        <is>
          <t>2026-06-19 07:10:32</t>
        </is>
      </c>
      <c r="P3355" t="inlineStr">
        <is>
          <t>2026-06-19 07:10:32</t>
        </is>
      </c>
      <c r="Y3355" t="inlineStr">
        <is>
          <t>27637240489</t>
        </is>
      </c>
    </row>
    <row r="3356">
      <c r="A3356" t="inlineStr">
        <is>
          <t>14946087</t>
        </is>
      </c>
      <c r="B3356" t="inlineStr">
        <is>
          <t>58c023eb-752b-4460-bc30-d3a950d388d0</t>
        </is>
      </c>
      <c r="D3356" t="inlineStr">
        <is>
          <t>30001087</t>
        </is>
      </c>
      <c r="E3356" t="inlineStr">
        <is>
          <t>ussd_funeral_leads_altitude_20260619</t>
        </is>
      </c>
      <c r="J3356" t="inlineStr">
        <is>
          <t>AA</t>
        </is>
      </c>
      <c r="K3356" t="inlineStr">
        <is>
          <t>Answering Machine Autodial</t>
        </is>
      </c>
      <c r="L3356" t="n">
        <v>3</v>
      </c>
      <c r="M3356" t="inlineStr">
        <is>
          <t>2026-06-23 10:26:17</t>
        </is>
      </c>
      <c r="N3356" t="inlineStr">
        <is>
          <t>system</t>
        </is>
      </c>
      <c r="O3356" t="inlineStr">
        <is>
          <t>2026-06-19 07:10:32</t>
        </is>
      </c>
      <c r="P3356" t="inlineStr">
        <is>
          <t>2026-06-19 07:10:32</t>
        </is>
      </c>
      <c r="Y3356" t="inlineStr">
        <is>
          <t>27795448121</t>
        </is>
      </c>
    </row>
    <row r="3357">
      <c r="A3357" t="inlineStr">
        <is>
          <t>14946086</t>
        </is>
      </c>
      <c r="B3357" t="inlineStr">
        <is>
          <t>597be2fb-44d0-43a4-b572-3465f0519fb1</t>
        </is>
      </c>
      <c r="D3357" t="inlineStr">
        <is>
          <t>30001087</t>
        </is>
      </c>
      <c r="E3357" t="inlineStr">
        <is>
          <t>ussd_funeral_leads_altitude_20260619</t>
        </is>
      </c>
      <c r="J3357" t="inlineStr">
        <is>
          <t>NA</t>
        </is>
      </c>
      <c r="K3357" t="inlineStr">
        <is>
          <t>No Answer Autodial</t>
        </is>
      </c>
      <c r="L3357" t="n">
        <v>3</v>
      </c>
      <c r="M3357" t="inlineStr">
        <is>
          <t>2026-06-23 10:26:16</t>
        </is>
      </c>
      <c r="N3357" t="inlineStr">
        <is>
          <t>system</t>
        </is>
      </c>
      <c r="O3357" t="inlineStr">
        <is>
          <t>2026-06-19 07:10:32</t>
        </is>
      </c>
      <c r="P3357" t="inlineStr">
        <is>
          <t>2026-06-19 07:10:32</t>
        </is>
      </c>
      <c r="Y3357" t="inlineStr">
        <is>
          <t>27823185175</t>
        </is>
      </c>
    </row>
    <row r="3358">
      <c r="A3358" t="inlineStr">
        <is>
          <t>14946092</t>
        </is>
      </c>
      <c r="B3358" t="inlineStr">
        <is>
          <t>88294dae-b8ad-4ebe-a368-119f00d9790e</t>
        </is>
      </c>
      <c r="D3358" t="inlineStr">
        <is>
          <t>30001087</t>
        </is>
      </c>
      <c r="E3358" t="inlineStr">
        <is>
          <t>ussd_funeral_leads_altitude_20260619</t>
        </is>
      </c>
      <c r="J3358" t="inlineStr">
        <is>
          <t>AA</t>
        </is>
      </c>
      <c r="K3358" t="inlineStr">
        <is>
          <t>Answering Machine Autodial</t>
        </is>
      </c>
      <c r="L3358" t="n">
        <v>3</v>
      </c>
      <c r="M3358" t="inlineStr">
        <is>
          <t>2026-06-23 10:26:16</t>
        </is>
      </c>
      <c r="N3358" t="inlineStr">
        <is>
          <t>system</t>
        </is>
      </c>
      <c r="O3358" t="inlineStr">
        <is>
          <t>2026-06-19 07:10:32</t>
        </is>
      </c>
      <c r="P3358" t="inlineStr">
        <is>
          <t>2026-06-19 07:10:32</t>
        </is>
      </c>
      <c r="Y3358" t="inlineStr">
        <is>
          <t>27769068850</t>
        </is>
      </c>
    </row>
    <row r="3359">
      <c r="A3359" t="inlineStr">
        <is>
          <t>14946093</t>
        </is>
      </c>
      <c r="B3359" t="inlineStr">
        <is>
          <t>d358f966-cdbe-4b97-8866-12af41f4e3b6</t>
        </is>
      </c>
      <c r="D3359" t="inlineStr">
        <is>
          <t>30001087</t>
        </is>
      </c>
      <c r="E3359" t="inlineStr">
        <is>
          <t>ussd_funeral_leads_altitude_20260619</t>
        </is>
      </c>
      <c r="J3359" t="inlineStr">
        <is>
          <t>AA</t>
        </is>
      </c>
      <c r="K3359" t="inlineStr">
        <is>
          <t>Answering Machine Autodial</t>
        </is>
      </c>
      <c r="L3359" t="n">
        <v>3</v>
      </c>
      <c r="M3359" t="inlineStr">
        <is>
          <t>2026-06-23 10:26:16</t>
        </is>
      </c>
      <c r="N3359" t="inlineStr">
        <is>
          <t>system</t>
        </is>
      </c>
      <c r="O3359" t="inlineStr">
        <is>
          <t>2026-06-19 07:10:32</t>
        </is>
      </c>
      <c r="P3359" t="inlineStr">
        <is>
          <t>2026-06-19 07:10:32</t>
        </is>
      </c>
      <c r="Y3359" t="inlineStr">
        <is>
          <t>27720705107</t>
        </is>
      </c>
    </row>
    <row r="3360">
      <c r="A3360" t="inlineStr">
        <is>
          <t>14946094</t>
        </is>
      </c>
      <c r="B3360" t="inlineStr">
        <is>
          <t>588ff686-8ab1-4c41-ae0c-884186f638e3</t>
        </is>
      </c>
      <c r="D3360" t="inlineStr">
        <is>
          <t>30001087</t>
        </is>
      </c>
      <c r="E3360" t="inlineStr">
        <is>
          <t>ussd_funeral_leads_altitude_20260619</t>
        </is>
      </c>
      <c r="J3360" t="inlineStr">
        <is>
          <t>NA</t>
        </is>
      </c>
      <c r="K3360" t="inlineStr">
        <is>
          <t>No Answer Autodial</t>
        </is>
      </c>
      <c r="L3360" t="n">
        <v>3</v>
      </c>
      <c r="M3360" t="inlineStr">
        <is>
          <t>2026-06-23 10:26:16</t>
        </is>
      </c>
      <c r="N3360" t="inlineStr">
        <is>
          <t>system</t>
        </is>
      </c>
      <c r="O3360" t="inlineStr">
        <is>
          <t>2026-06-19 07:10:32</t>
        </is>
      </c>
      <c r="P3360" t="inlineStr">
        <is>
          <t>2026-06-19 07:10:32</t>
        </is>
      </c>
      <c r="Y3360" t="inlineStr">
        <is>
          <t>27762279704</t>
        </is>
      </c>
    </row>
    <row r="3361">
      <c r="A3361" t="inlineStr">
        <is>
          <t>14946095</t>
        </is>
      </c>
      <c r="B3361" t="inlineStr">
        <is>
          <t>df9a3bf2-1f3f-4c38-94c5-62069bf18eda</t>
        </is>
      </c>
      <c r="D3361" t="inlineStr">
        <is>
          <t>30001087</t>
        </is>
      </c>
      <c r="E3361" t="inlineStr">
        <is>
          <t>ussd_funeral_leads_altitude_20260619</t>
        </is>
      </c>
      <c r="J3361" t="inlineStr">
        <is>
          <t>NA</t>
        </is>
      </c>
      <c r="K3361" t="inlineStr">
        <is>
          <t>No Answer Autodial</t>
        </is>
      </c>
      <c r="L3361" t="n">
        <v>3</v>
      </c>
      <c r="M3361" t="inlineStr">
        <is>
          <t>2026-06-23 10:26:15</t>
        </is>
      </c>
      <c r="N3361" t="inlineStr">
        <is>
          <t>system</t>
        </is>
      </c>
      <c r="O3361" t="inlineStr">
        <is>
          <t>2026-06-19 07:10:32</t>
        </is>
      </c>
      <c r="P3361" t="inlineStr">
        <is>
          <t>2026-06-19 07:10:32</t>
        </is>
      </c>
      <c r="Y3361" t="inlineStr">
        <is>
          <t>27791229679</t>
        </is>
      </c>
    </row>
    <row r="3362">
      <c r="A3362" t="inlineStr">
        <is>
          <t>14946085</t>
        </is>
      </c>
      <c r="B3362" t="inlineStr">
        <is>
          <t>251f2fb0-8db8-4e82-aff4-c80b4d56f2df</t>
        </is>
      </c>
      <c r="D3362" t="inlineStr">
        <is>
          <t>30001087</t>
        </is>
      </c>
      <c r="E3362" t="inlineStr">
        <is>
          <t>ussd_funeral_leads_altitude_20260619</t>
        </is>
      </c>
      <c r="J3362" t="inlineStr">
        <is>
          <t>AA</t>
        </is>
      </c>
      <c r="K3362" t="inlineStr">
        <is>
          <t>Answering Machine Autodial</t>
        </is>
      </c>
      <c r="L3362" t="n">
        <v>3</v>
      </c>
      <c r="M3362" t="inlineStr">
        <is>
          <t>2026-06-23 10:25:17</t>
        </is>
      </c>
      <c r="N3362" t="inlineStr">
        <is>
          <t>system</t>
        </is>
      </c>
      <c r="O3362" t="inlineStr">
        <is>
          <t>2026-06-19 07:10:32</t>
        </is>
      </c>
      <c r="P3362" t="inlineStr">
        <is>
          <t>2026-06-19 07:10:32</t>
        </is>
      </c>
      <c r="Y3362" t="inlineStr">
        <is>
          <t>27713247620</t>
        </is>
      </c>
    </row>
    <row r="3363">
      <c r="A3363" t="inlineStr">
        <is>
          <t>14946088</t>
        </is>
      </c>
      <c r="B3363" t="inlineStr">
        <is>
          <t>d8ddf7ef-ed10-42e4-8229-a215822053da</t>
        </is>
      </c>
      <c r="D3363" t="inlineStr">
        <is>
          <t>30001087</t>
        </is>
      </c>
      <c r="E3363" t="inlineStr">
        <is>
          <t>ussd_funeral_leads_altitude_20260619</t>
        </is>
      </c>
      <c r="J3363" t="inlineStr">
        <is>
          <t>ADC</t>
        </is>
      </c>
      <c r="K3363" t="inlineStr">
        <is>
          <t>Auto Dial Disconnected</t>
        </is>
      </c>
      <c r="L3363" t="n">
        <v>3</v>
      </c>
      <c r="M3363" t="inlineStr">
        <is>
          <t>2026-06-23 10:25:17</t>
        </is>
      </c>
      <c r="N3363" t="inlineStr">
        <is>
          <t>system</t>
        </is>
      </c>
      <c r="O3363" t="inlineStr">
        <is>
          <t>2026-06-19 07:10:32</t>
        </is>
      </c>
      <c r="P3363" t="inlineStr">
        <is>
          <t>2026-06-19 07:10:32</t>
        </is>
      </c>
      <c r="Y3363" t="inlineStr">
        <is>
          <t>27663879982</t>
        </is>
      </c>
    </row>
    <row r="3364">
      <c r="A3364" t="inlineStr">
        <is>
          <t>14946091</t>
        </is>
      </c>
      <c r="B3364" t="inlineStr">
        <is>
          <t>35ae7927-d7ce-4560-9510-5dbf6faae30c</t>
        </is>
      </c>
      <c r="D3364" t="inlineStr">
        <is>
          <t>30001087</t>
        </is>
      </c>
      <c r="E3364" t="inlineStr">
        <is>
          <t>ussd_funeral_leads_altitude_20260619</t>
        </is>
      </c>
      <c r="J3364" t="inlineStr">
        <is>
          <t>AA</t>
        </is>
      </c>
      <c r="K3364" t="inlineStr">
        <is>
          <t>Answering Machine Autodial</t>
        </is>
      </c>
      <c r="L3364" t="n">
        <v>3</v>
      </c>
      <c r="M3364" t="inlineStr">
        <is>
          <t>2026-06-23 10:25:17</t>
        </is>
      </c>
      <c r="N3364" t="inlineStr">
        <is>
          <t>system</t>
        </is>
      </c>
      <c r="O3364" t="inlineStr">
        <is>
          <t>2026-06-19 07:10:32</t>
        </is>
      </c>
      <c r="P3364" t="inlineStr">
        <is>
          <t>2026-06-19 07:10:32</t>
        </is>
      </c>
      <c r="Y3364" t="inlineStr">
        <is>
          <t>27799446164</t>
        </is>
      </c>
    </row>
    <row r="3365">
      <c r="A3365" t="inlineStr">
        <is>
          <t>14947716</t>
        </is>
      </c>
      <c r="B3365" t="inlineStr">
        <is>
          <t>ae8ab08b-a011-4fbd-8438-b62f841017ae</t>
        </is>
      </c>
      <c r="D3365" t="inlineStr">
        <is>
          <t>30001087</t>
        </is>
      </c>
      <c r="E3365" t="inlineStr">
        <is>
          <t>ussd_funeral_leads_altitude_20260619</t>
        </is>
      </c>
      <c r="J3365" t="inlineStr">
        <is>
          <t>ADC</t>
        </is>
      </c>
      <c r="K3365" t="inlineStr">
        <is>
          <t>Auto Dial Disconnected</t>
        </is>
      </c>
      <c r="L3365" t="n">
        <v>3</v>
      </c>
      <c r="M3365" t="inlineStr">
        <is>
          <t>2026-06-23 10:25:16</t>
        </is>
      </c>
      <c r="N3365" t="inlineStr">
        <is>
          <t>system</t>
        </is>
      </c>
      <c r="O3365" t="inlineStr">
        <is>
          <t>2026-06-19 07:10:32</t>
        </is>
      </c>
      <c r="P3365" t="inlineStr">
        <is>
          <t>2026-06-19 07:10:32</t>
        </is>
      </c>
      <c r="Y3365" t="inlineStr">
        <is>
          <t>27675798114</t>
        </is>
      </c>
    </row>
    <row r="3366">
      <c r="A3366" t="inlineStr">
        <is>
          <t>14946089</t>
        </is>
      </c>
      <c r="B3366" t="inlineStr">
        <is>
          <t>60f090b4-3e71-4fb6-a36a-2dd02f025a1a</t>
        </is>
      </c>
      <c r="D3366" t="inlineStr">
        <is>
          <t>30001087</t>
        </is>
      </c>
      <c r="E3366" t="inlineStr">
        <is>
          <t>ussd_funeral_leads_altitude_20260619</t>
        </is>
      </c>
      <c r="J3366" t="inlineStr">
        <is>
          <t>ADC</t>
        </is>
      </c>
      <c r="K3366" t="inlineStr">
        <is>
          <t>Auto Dial Disconnected</t>
        </is>
      </c>
      <c r="L3366" t="n">
        <v>3</v>
      </c>
      <c r="M3366" t="inlineStr">
        <is>
          <t>2026-06-23 10:19:14</t>
        </is>
      </c>
      <c r="N3366" t="inlineStr">
        <is>
          <t>system</t>
        </is>
      </c>
      <c r="O3366" t="inlineStr">
        <is>
          <t>2026-06-19 07:10:32</t>
        </is>
      </c>
      <c r="P3366" t="inlineStr">
        <is>
          <t>2026-06-19 07:10:32</t>
        </is>
      </c>
      <c r="Y3366" t="inlineStr">
        <is>
          <t>27765920332</t>
        </is>
      </c>
    </row>
    <row r="3367">
      <c r="A3367" t="inlineStr">
        <is>
          <t>14946090</t>
        </is>
      </c>
      <c r="B3367" t="inlineStr">
        <is>
          <t>13428f05-0ffb-4c0f-98d2-c8a323aa4d67</t>
        </is>
      </c>
      <c r="D3367" t="inlineStr">
        <is>
          <t>30001087</t>
        </is>
      </c>
      <c r="E3367" t="inlineStr">
        <is>
          <t>ussd_funeral_leads_altitude_20260619</t>
        </is>
      </c>
      <c r="J3367" t="inlineStr">
        <is>
          <t>AA</t>
        </is>
      </c>
      <c r="K3367" t="inlineStr">
        <is>
          <t>Answering Machine Autodial</t>
        </is>
      </c>
      <c r="L3367" t="n">
        <v>3</v>
      </c>
      <c r="M3367" t="inlineStr">
        <is>
          <t>2026-06-23 10:18:16</t>
        </is>
      </c>
      <c r="N3367" t="inlineStr">
        <is>
          <t>system</t>
        </is>
      </c>
      <c r="O3367" t="inlineStr">
        <is>
          <t>2026-06-19 07:10:32</t>
        </is>
      </c>
      <c r="P3367" t="inlineStr">
        <is>
          <t>2026-06-19 07:10:32</t>
        </is>
      </c>
      <c r="Y3367" t="inlineStr">
        <is>
          <t>27774472868</t>
        </is>
      </c>
    </row>
    <row r="3368">
      <c r="A3368" t="inlineStr">
        <is>
          <t>14947715</t>
        </is>
      </c>
      <c r="B3368" t="inlineStr">
        <is>
          <t>03244849-92f4-48a0-8795-1d942590900f</t>
        </is>
      </c>
      <c r="D3368" t="inlineStr">
        <is>
          <t>30001087</t>
        </is>
      </c>
      <c r="E3368" t="inlineStr">
        <is>
          <t>ussd_funeral_leads_altitude_20260619</t>
        </is>
      </c>
      <c r="J3368" t="inlineStr">
        <is>
          <t>ADC</t>
        </is>
      </c>
      <c r="K3368" t="inlineStr">
        <is>
          <t>Auto Dial Disconnected</t>
        </is>
      </c>
      <c r="L3368" t="n">
        <v>3</v>
      </c>
      <c r="M3368" t="inlineStr">
        <is>
          <t>2026-06-23 10:18:16</t>
        </is>
      </c>
      <c r="N3368" t="inlineStr">
        <is>
          <t>system</t>
        </is>
      </c>
      <c r="O3368" t="inlineStr">
        <is>
          <t>2026-06-19 07:10:32</t>
        </is>
      </c>
      <c r="P3368" t="inlineStr">
        <is>
          <t>2026-06-19 07:10:32</t>
        </is>
      </c>
      <c r="Y3368" t="inlineStr">
        <is>
          <t>27715347763</t>
        </is>
      </c>
    </row>
    <row r="3369">
      <c r="A3369" t="inlineStr">
        <is>
          <t>14947676</t>
        </is>
      </c>
      <c r="B3369" t="inlineStr">
        <is>
          <t>de596306-e8c6-4d36-9d9e-90f4188d4d7e</t>
        </is>
      </c>
      <c r="D3369" t="inlineStr">
        <is>
          <t>30001087</t>
        </is>
      </c>
      <c r="E3369" t="inlineStr">
        <is>
          <t>ussd_funeral_leads_altitude_20260619</t>
        </is>
      </c>
      <c r="J3369" t="inlineStr">
        <is>
          <t>AA</t>
        </is>
      </c>
      <c r="K3369" t="inlineStr">
        <is>
          <t>Answering Machine Autodial</t>
        </is>
      </c>
      <c r="L3369" t="n">
        <v>3</v>
      </c>
      <c r="M3369" t="inlineStr">
        <is>
          <t>2026-06-23 10:17:22</t>
        </is>
      </c>
      <c r="N3369" t="inlineStr">
        <is>
          <t>system</t>
        </is>
      </c>
      <c r="O3369" t="inlineStr">
        <is>
          <t>2026-06-19 07:10:32</t>
        </is>
      </c>
      <c r="P3369" t="inlineStr">
        <is>
          <t>2026-06-19 07:10:32</t>
        </is>
      </c>
      <c r="Y3369" t="inlineStr">
        <is>
          <t>27764884327</t>
        </is>
      </c>
    </row>
    <row r="3370">
      <c r="A3370" t="inlineStr">
        <is>
          <t>14946101</t>
        </is>
      </c>
      <c r="B3370" t="inlineStr">
        <is>
          <t>e8c82012-f49e-47ee-9fc6-127f2a1ef1e4</t>
        </is>
      </c>
      <c r="D3370" t="inlineStr">
        <is>
          <t>30001087</t>
        </is>
      </c>
      <c r="E3370" t="inlineStr">
        <is>
          <t>ussd_funeral_leads_altitude_20260619</t>
        </is>
      </c>
      <c r="J3370" t="inlineStr">
        <is>
          <t>N</t>
        </is>
      </c>
      <c r="K3370" t="inlineStr">
        <is>
          <t>No Answer</t>
        </is>
      </c>
      <c r="L3370" t="n">
        <v>4</v>
      </c>
      <c r="M3370" t="inlineStr">
        <is>
          <t>2026-06-23 10:17:20</t>
        </is>
      </c>
      <c r="N3370" t="inlineStr">
        <is>
          <t>Gontse Monageng</t>
        </is>
      </c>
      <c r="O3370" t="inlineStr">
        <is>
          <t>2026-06-19 07:10:32</t>
        </is>
      </c>
      <c r="P3370" t="inlineStr">
        <is>
          <t>2026-06-19 07:10:32</t>
        </is>
      </c>
      <c r="Y3370" t="inlineStr">
        <is>
          <t>27794093833</t>
        </is>
      </c>
    </row>
    <row r="3371">
      <c r="A3371" t="inlineStr">
        <is>
          <t>14946100</t>
        </is>
      </c>
      <c r="B3371" t="inlineStr">
        <is>
          <t>f2a476a9-f99e-4256-9601-ef2bdb8e98c0</t>
        </is>
      </c>
      <c r="D3371" t="inlineStr">
        <is>
          <t>30001087</t>
        </is>
      </c>
      <c r="E3371" t="inlineStr">
        <is>
          <t>ussd_funeral_leads_altitude_20260619</t>
        </is>
      </c>
      <c r="J3371" t="inlineStr">
        <is>
          <t>ADC</t>
        </is>
      </c>
      <c r="K3371" t="inlineStr">
        <is>
          <t>Auto Dial Disconnected</t>
        </is>
      </c>
      <c r="L3371" t="n">
        <v>3</v>
      </c>
      <c r="M3371" t="inlineStr">
        <is>
          <t>2026-06-23 10:13:24</t>
        </is>
      </c>
      <c r="N3371" t="inlineStr">
        <is>
          <t>system</t>
        </is>
      </c>
      <c r="O3371" t="inlineStr">
        <is>
          <t>2026-06-19 07:10:32</t>
        </is>
      </c>
      <c r="P3371" t="inlineStr">
        <is>
          <t>2026-06-19 07:10:32</t>
        </is>
      </c>
      <c r="Y3371" t="inlineStr">
        <is>
          <t>27665913836</t>
        </is>
      </c>
    </row>
    <row r="3372">
      <c r="A3372" t="inlineStr">
        <is>
          <t>14946096</t>
        </is>
      </c>
      <c r="B3372" t="inlineStr">
        <is>
          <t>ab976a5b-0128-48a0-97ae-de791426012a</t>
        </is>
      </c>
      <c r="D3372" t="inlineStr">
        <is>
          <t>30001087</t>
        </is>
      </c>
      <c r="E3372" t="inlineStr">
        <is>
          <t>ussd_funeral_leads_altitude_20260619</t>
        </is>
      </c>
      <c r="J3372" t="inlineStr">
        <is>
          <t>ADC</t>
        </is>
      </c>
      <c r="K3372" t="inlineStr">
        <is>
          <t>Auto Dial Disconnected</t>
        </is>
      </c>
      <c r="L3372" t="n">
        <v>3</v>
      </c>
      <c r="M3372" t="inlineStr">
        <is>
          <t>2026-06-23 10:13:23</t>
        </is>
      </c>
      <c r="N3372" t="inlineStr">
        <is>
          <t>system</t>
        </is>
      </c>
      <c r="O3372" t="inlineStr">
        <is>
          <t>2026-06-19 07:10:32</t>
        </is>
      </c>
      <c r="P3372" t="inlineStr">
        <is>
          <t>2026-06-19 07:10:32</t>
        </is>
      </c>
      <c r="Y3372" t="inlineStr">
        <is>
          <t>27729809029</t>
        </is>
      </c>
    </row>
    <row r="3373">
      <c r="A3373" t="inlineStr">
        <is>
          <t>14946097</t>
        </is>
      </c>
      <c r="B3373" t="inlineStr">
        <is>
          <t>7103812d-4ba5-4d70-8eea-e4ddc3f2d42f</t>
        </is>
      </c>
      <c r="D3373" t="inlineStr">
        <is>
          <t>30001087</t>
        </is>
      </c>
      <c r="E3373" t="inlineStr">
        <is>
          <t>ussd_funeral_leads_altitude_20260619</t>
        </is>
      </c>
      <c r="J3373" t="inlineStr">
        <is>
          <t>ADC</t>
        </is>
      </c>
      <c r="K3373" t="inlineStr">
        <is>
          <t>Auto Dial Disconnected</t>
        </is>
      </c>
      <c r="L3373" t="n">
        <v>3</v>
      </c>
      <c r="M3373" t="inlineStr">
        <is>
          <t>2026-06-23 10:13:23</t>
        </is>
      </c>
      <c r="N3373" t="inlineStr">
        <is>
          <t>system</t>
        </is>
      </c>
      <c r="O3373" t="inlineStr">
        <is>
          <t>2026-06-19 07:10:32</t>
        </is>
      </c>
      <c r="P3373" t="inlineStr">
        <is>
          <t>2026-06-19 07:10:32</t>
        </is>
      </c>
      <c r="Y3373" t="inlineStr">
        <is>
          <t>27637114630</t>
        </is>
      </c>
    </row>
    <row r="3374">
      <c r="A3374" t="inlineStr">
        <is>
          <t>14946102</t>
        </is>
      </c>
      <c r="B3374" t="inlineStr">
        <is>
          <t>21f204dd-a9d5-4ee1-bcfe-46ae7e7fce3a</t>
        </is>
      </c>
      <c r="D3374" t="inlineStr">
        <is>
          <t>30001087</t>
        </is>
      </c>
      <c r="E3374" t="inlineStr">
        <is>
          <t>ussd_funeral_leads_altitude_20260619</t>
        </is>
      </c>
      <c r="J3374" t="inlineStr">
        <is>
          <t>CU</t>
        </is>
      </c>
      <c r="K3374" t="inlineStr">
        <is>
          <t>Client Hung Up</t>
        </is>
      </c>
      <c r="L3374" t="n">
        <v>3</v>
      </c>
      <c r="M3374" t="inlineStr">
        <is>
          <t>2026-06-23 10:13:23</t>
        </is>
      </c>
      <c r="N3374" t="inlineStr">
        <is>
          <t>Lebohang Mabotja</t>
        </is>
      </c>
      <c r="O3374" t="inlineStr">
        <is>
          <t>2026-06-19 07:10:32</t>
        </is>
      </c>
      <c r="P3374" t="inlineStr">
        <is>
          <t>2026-06-19 07:10:32</t>
        </is>
      </c>
      <c r="Y3374" t="inlineStr">
        <is>
          <t>27662016918</t>
        </is>
      </c>
    </row>
    <row r="3375">
      <c r="A3375" t="inlineStr">
        <is>
          <t>14947678</t>
        </is>
      </c>
      <c r="B3375" t="inlineStr">
        <is>
          <t>a5460b61-bdc1-4b69-923c-2f4128b98205</t>
        </is>
      </c>
      <c r="D3375" t="inlineStr">
        <is>
          <t>30001087</t>
        </is>
      </c>
      <c r="E3375" t="inlineStr">
        <is>
          <t>ussd_funeral_leads_altitude_20260619</t>
        </is>
      </c>
      <c r="J3375" t="inlineStr">
        <is>
          <t>AA</t>
        </is>
      </c>
      <c r="K3375" t="inlineStr">
        <is>
          <t>Answering Machine Autodial</t>
        </is>
      </c>
      <c r="L3375" t="n">
        <v>3</v>
      </c>
      <c r="M3375" t="inlineStr">
        <is>
          <t>2026-06-23 10:13:09</t>
        </is>
      </c>
      <c r="N3375" t="inlineStr">
        <is>
          <t>system</t>
        </is>
      </c>
      <c r="O3375" t="inlineStr">
        <is>
          <t>2026-06-19 07:10:32</t>
        </is>
      </c>
      <c r="P3375" t="inlineStr">
        <is>
          <t>2026-06-19 07:10:32</t>
        </is>
      </c>
      <c r="Y3375" t="inlineStr">
        <is>
          <t>27824628775</t>
        </is>
      </c>
    </row>
    <row r="3376">
      <c r="A3376" t="inlineStr">
        <is>
          <t>14946149</t>
        </is>
      </c>
      <c r="B3376" t="inlineStr">
        <is>
          <t>c0b8b7a9-cc43-41c2-a2e0-7a4f8fbb8775</t>
        </is>
      </c>
      <c r="D3376" t="inlineStr">
        <is>
          <t>30001087</t>
        </is>
      </c>
      <c r="E3376" t="inlineStr">
        <is>
          <t>ussd_funeral_leads_altitude_20260619</t>
        </is>
      </c>
      <c r="J3376" t="inlineStr">
        <is>
          <t>AA</t>
        </is>
      </c>
      <c r="K3376" t="inlineStr">
        <is>
          <t>Answering Machine Autodial</t>
        </is>
      </c>
      <c r="L3376" t="n">
        <v>3</v>
      </c>
      <c r="M3376" t="inlineStr">
        <is>
          <t>2026-06-23 10:09:21</t>
        </is>
      </c>
      <c r="N3376" t="inlineStr">
        <is>
          <t>system</t>
        </is>
      </c>
      <c r="O3376" t="inlineStr">
        <is>
          <t>2026-06-19 07:10:32</t>
        </is>
      </c>
      <c r="P3376" t="inlineStr">
        <is>
          <t>2026-06-19 07:10:32</t>
        </is>
      </c>
      <c r="Y3376" t="inlineStr">
        <is>
          <t>27606020751</t>
        </is>
      </c>
    </row>
    <row r="3377">
      <c r="A3377" t="inlineStr">
        <is>
          <t>14946119</t>
        </is>
      </c>
      <c r="B3377" t="inlineStr">
        <is>
          <t>7f087424-1254-4bd8-995a-fd73c20a3ba2</t>
        </is>
      </c>
      <c r="D3377" t="inlineStr">
        <is>
          <t>30001087</t>
        </is>
      </c>
      <c r="E3377" t="inlineStr">
        <is>
          <t>ussd_funeral_leads_altitude_20260619</t>
        </is>
      </c>
      <c r="J3377" t="inlineStr">
        <is>
          <t>ADC</t>
        </is>
      </c>
      <c r="K3377" t="inlineStr">
        <is>
          <t>Auto Dial Disconnected</t>
        </is>
      </c>
      <c r="L3377" t="n">
        <v>3</v>
      </c>
      <c r="M3377" t="inlineStr">
        <is>
          <t>2026-06-23 10:09:19</t>
        </is>
      </c>
      <c r="N3377" t="inlineStr">
        <is>
          <t>system</t>
        </is>
      </c>
      <c r="O3377" t="inlineStr">
        <is>
          <t>2026-06-19 07:10:32</t>
        </is>
      </c>
      <c r="P3377" t="inlineStr">
        <is>
          <t>2026-06-19 07:10:32</t>
        </is>
      </c>
      <c r="Y3377" t="inlineStr">
        <is>
          <t>27724215208</t>
        </is>
      </c>
    </row>
    <row r="3378">
      <c r="A3378" t="inlineStr">
        <is>
          <t>14946121</t>
        </is>
      </c>
      <c r="B3378" t="inlineStr">
        <is>
          <t>8273cba1-4bf5-42ae-8219-2adb5698e444</t>
        </is>
      </c>
      <c r="D3378" t="inlineStr">
        <is>
          <t>30001087</t>
        </is>
      </c>
      <c r="E3378" t="inlineStr">
        <is>
          <t>ussd_funeral_leads_altitude_20260619</t>
        </is>
      </c>
      <c r="J3378" t="inlineStr">
        <is>
          <t>AA</t>
        </is>
      </c>
      <c r="K3378" t="inlineStr">
        <is>
          <t>Answering Machine Autodial</t>
        </is>
      </c>
      <c r="L3378" t="n">
        <v>3</v>
      </c>
      <c r="M3378" t="inlineStr">
        <is>
          <t>2026-06-23 10:09:19</t>
        </is>
      </c>
      <c r="N3378" t="inlineStr">
        <is>
          <t>system</t>
        </is>
      </c>
      <c r="O3378" t="inlineStr">
        <is>
          <t>2026-06-19 07:10:32</t>
        </is>
      </c>
      <c r="P3378" t="inlineStr">
        <is>
          <t>2026-06-19 07:10:32</t>
        </is>
      </c>
      <c r="Y3378" t="inlineStr">
        <is>
          <t>27823501220</t>
        </is>
      </c>
    </row>
    <row r="3379">
      <c r="A3379" t="inlineStr">
        <is>
          <t>14946116</t>
        </is>
      </c>
      <c r="B3379" t="inlineStr">
        <is>
          <t>dbcad2fb-a507-4078-9175-79f795732d2c</t>
        </is>
      </c>
      <c r="D3379" t="inlineStr">
        <is>
          <t>30001087</t>
        </is>
      </c>
      <c r="E3379" t="inlineStr">
        <is>
          <t>ussd_funeral_leads_altitude_20260619</t>
        </is>
      </c>
      <c r="J3379" t="inlineStr">
        <is>
          <t>ADC</t>
        </is>
      </c>
      <c r="K3379" t="inlineStr">
        <is>
          <t>Auto Dial Disconnected</t>
        </is>
      </c>
      <c r="L3379" t="n">
        <v>3</v>
      </c>
      <c r="M3379" t="inlineStr">
        <is>
          <t>2026-06-23 10:09:18</t>
        </is>
      </c>
      <c r="N3379" t="inlineStr">
        <is>
          <t>system</t>
        </is>
      </c>
      <c r="O3379" t="inlineStr">
        <is>
          <t>2026-06-19 07:10:32</t>
        </is>
      </c>
      <c r="P3379" t="inlineStr">
        <is>
          <t>2026-06-19 07:10:32</t>
        </is>
      </c>
      <c r="Y3379" t="inlineStr">
        <is>
          <t>27797961700</t>
        </is>
      </c>
    </row>
    <row r="3380">
      <c r="A3380" t="inlineStr">
        <is>
          <t>14946118</t>
        </is>
      </c>
      <c r="B3380" t="inlineStr">
        <is>
          <t>cac0b9f5-dbe2-4056-a65d-7c89a07a0b18</t>
        </is>
      </c>
      <c r="D3380" t="inlineStr">
        <is>
          <t>30001087</t>
        </is>
      </c>
      <c r="E3380" t="inlineStr">
        <is>
          <t>ussd_funeral_leads_altitude_20260619</t>
        </is>
      </c>
      <c r="J3380" t="inlineStr">
        <is>
          <t>AA</t>
        </is>
      </c>
      <c r="K3380" t="inlineStr">
        <is>
          <t>Answering Machine Autodial</t>
        </is>
      </c>
      <c r="L3380" t="n">
        <v>3</v>
      </c>
      <c r="M3380" t="inlineStr">
        <is>
          <t>2026-06-23 10:09:18</t>
        </is>
      </c>
      <c r="N3380" t="inlineStr">
        <is>
          <t>system</t>
        </is>
      </c>
      <c r="O3380" t="inlineStr">
        <is>
          <t>2026-06-19 07:10:32</t>
        </is>
      </c>
      <c r="P3380" t="inlineStr">
        <is>
          <t>2026-06-19 07:10:32</t>
        </is>
      </c>
      <c r="Y3380" t="inlineStr">
        <is>
          <t>27725886746</t>
        </is>
      </c>
    </row>
    <row r="3381">
      <c r="A3381" t="inlineStr">
        <is>
          <t>14946115</t>
        </is>
      </c>
      <c r="B3381" t="inlineStr">
        <is>
          <t>6b0690b6-9360-463c-8270-0777fe10bede</t>
        </is>
      </c>
      <c r="D3381" t="inlineStr">
        <is>
          <t>30001087</t>
        </is>
      </c>
      <c r="E3381" t="inlineStr">
        <is>
          <t>ussd_funeral_leads_altitude_20260619</t>
        </is>
      </c>
      <c r="J3381" t="inlineStr">
        <is>
          <t>AA</t>
        </is>
      </c>
      <c r="K3381" t="inlineStr">
        <is>
          <t>Answering Machine Autodial</t>
        </is>
      </c>
      <c r="L3381" t="n">
        <v>3</v>
      </c>
      <c r="M3381" t="inlineStr">
        <is>
          <t>2026-06-23 10:08:59</t>
        </is>
      </c>
      <c r="N3381" t="inlineStr">
        <is>
          <t>system</t>
        </is>
      </c>
      <c r="O3381" t="inlineStr">
        <is>
          <t>2026-06-19 07:10:32</t>
        </is>
      </c>
      <c r="P3381" t="inlineStr">
        <is>
          <t>2026-06-19 07:10:32</t>
        </is>
      </c>
      <c r="Y3381" t="inlineStr">
        <is>
          <t>27636249158</t>
        </is>
      </c>
    </row>
    <row r="3382">
      <c r="A3382" t="inlineStr">
        <is>
          <t>14946114</t>
        </is>
      </c>
      <c r="B3382" t="inlineStr">
        <is>
          <t>c578ac37-2c43-4906-8f3a-c66f089f84b5</t>
        </is>
      </c>
      <c r="D3382" t="inlineStr">
        <is>
          <t>30001087</t>
        </is>
      </c>
      <c r="E3382" t="inlineStr">
        <is>
          <t>ussd_funeral_leads_altitude_20260619</t>
        </is>
      </c>
      <c r="J3382" t="inlineStr">
        <is>
          <t>AA</t>
        </is>
      </c>
      <c r="K3382" t="inlineStr">
        <is>
          <t>Answering Machine Autodial</t>
        </is>
      </c>
      <c r="L3382" t="n">
        <v>3</v>
      </c>
      <c r="M3382" t="inlineStr">
        <is>
          <t>2026-06-23 10:08:54</t>
        </is>
      </c>
      <c r="N3382" t="inlineStr">
        <is>
          <t>system</t>
        </is>
      </c>
      <c r="O3382" t="inlineStr">
        <is>
          <t>2026-06-19 07:10:32</t>
        </is>
      </c>
      <c r="P3382" t="inlineStr">
        <is>
          <t>2026-06-19 07:10:32</t>
        </is>
      </c>
      <c r="Y3382" t="inlineStr">
        <is>
          <t>27722857225</t>
        </is>
      </c>
    </row>
    <row r="3383">
      <c r="A3383" t="inlineStr">
        <is>
          <t>14946113</t>
        </is>
      </c>
      <c r="B3383" t="inlineStr">
        <is>
          <t>4dbffa98-d39b-402e-806e-5eb2337b364d</t>
        </is>
      </c>
      <c r="D3383" t="inlineStr">
        <is>
          <t>30001087</t>
        </is>
      </c>
      <c r="E3383" t="inlineStr">
        <is>
          <t>ussd_funeral_leads_altitude_20260619</t>
        </is>
      </c>
      <c r="J3383" t="inlineStr">
        <is>
          <t>ADC</t>
        </is>
      </c>
      <c r="K3383" t="inlineStr">
        <is>
          <t>Auto Dial Disconnected</t>
        </is>
      </c>
      <c r="L3383" t="n">
        <v>3</v>
      </c>
      <c r="M3383" t="inlineStr">
        <is>
          <t>2026-06-23 10:08:52</t>
        </is>
      </c>
      <c r="N3383" t="inlineStr">
        <is>
          <t>system</t>
        </is>
      </c>
      <c r="O3383" t="inlineStr">
        <is>
          <t>2026-06-19 07:10:32</t>
        </is>
      </c>
      <c r="P3383" t="inlineStr">
        <is>
          <t>2026-06-19 07:10:32</t>
        </is>
      </c>
      <c r="Y3383" t="inlineStr">
        <is>
          <t>27664641661</t>
        </is>
      </c>
    </row>
    <row r="3384">
      <c r="A3384" t="inlineStr">
        <is>
          <t>14946112</t>
        </is>
      </c>
      <c r="B3384" t="inlineStr">
        <is>
          <t>9762fbd4-470c-4471-84cf-8ae37eb9b72b</t>
        </is>
      </c>
      <c r="D3384" t="inlineStr">
        <is>
          <t>30001087</t>
        </is>
      </c>
      <c r="E3384" t="inlineStr">
        <is>
          <t>ussd_funeral_leads_altitude_20260619</t>
        </is>
      </c>
      <c r="J3384" t="inlineStr">
        <is>
          <t>ADC</t>
        </is>
      </c>
      <c r="K3384" t="inlineStr">
        <is>
          <t>Auto Dial Disconnected</t>
        </is>
      </c>
      <c r="L3384" t="n">
        <v>3</v>
      </c>
      <c r="M3384" t="inlineStr">
        <is>
          <t>2026-06-23 10:08:47</t>
        </is>
      </c>
      <c r="N3384" t="inlineStr">
        <is>
          <t>system</t>
        </is>
      </c>
      <c r="O3384" t="inlineStr">
        <is>
          <t>2026-06-19 07:10:32</t>
        </is>
      </c>
      <c r="P3384" t="inlineStr">
        <is>
          <t>2026-06-19 07:10:32</t>
        </is>
      </c>
      <c r="Y3384" t="inlineStr">
        <is>
          <t>27662838147</t>
        </is>
      </c>
    </row>
    <row r="3385">
      <c r="A3385" t="inlineStr">
        <is>
          <t>14946111</t>
        </is>
      </c>
      <c r="B3385" t="inlineStr">
        <is>
          <t>37306965-4770-4658-8d93-3e1ebf907675</t>
        </is>
      </c>
      <c r="D3385" t="inlineStr">
        <is>
          <t>30001087</t>
        </is>
      </c>
      <c r="E3385" t="inlineStr">
        <is>
          <t>ussd_funeral_leads_altitude_20260619</t>
        </is>
      </c>
      <c r="J3385" t="inlineStr">
        <is>
          <t>AE</t>
        </is>
      </c>
      <c r="K3385" t="inlineStr">
        <is>
          <t>Auto Engaged</t>
        </is>
      </c>
      <c r="L3385" t="n">
        <v>3</v>
      </c>
      <c r="M3385" t="inlineStr">
        <is>
          <t>2026-06-23 10:08:46</t>
        </is>
      </c>
      <c r="N3385" t="inlineStr">
        <is>
          <t>system</t>
        </is>
      </c>
      <c r="O3385" t="inlineStr">
        <is>
          <t>2026-06-19 07:10:32</t>
        </is>
      </c>
      <c r="P3385" t="inlineStr">
        <is>
          <t>2026-06-19 07:10:32</t>
        </is>
      </c>
      <c r="Y3385" t="inlineStr">
        <is>
          <t>27673716498</t>
        </is>
      </c>
    </row>
    <row r="3386">
      <c r="A3386" t="inlineStr">
        <is>
          <t>14946110</t>
        </is>
      </c>
      <c r="B3386" t="inlineStr">
        <is>
          <t>56d53cd0-463c-4224-9309-8fc7948f1466</t>
        </is>
      </c>
      <c r="D3386" t="inlineStr">
        <is>
          <t>30001087</t>
        </is>
      </c>
      <c r="E3386" t="inlineStr">
        <is>
          <t>ussd_funeral_leads_altitude_20260619</t>
        </is>
      </c>
      <c r="J3386" t="inlineStr">
        <is>
          <t>ADC</t>
        </is>
      </c>
      <c r="K3386" t="inlineStr">
        <is>
          <t>Auto Dial Disconnected</t>
        </is>
      </c>
      <c r="L3386" t="n">
        <v>3</v>
      </c>
      <c r="M3386" t="inlineStr">
        <is>
          <t>2026-06-23 10:08:39</t>
        </is>
      </c>
      <c r="N3386" t="inlineStr">
        <is>
          <t>system</t>
        </is>
      </c>
      <c r="O3386" t="inlineStr">
        <is>
          <t>2026-06-19 07:10:32</t>
        </is>
      </c>
      <c r="P3386" t="inlineStr">
        <is>
          <t>2026-06-19 07:10:32</t>
        </is>
      </c>
      <c r="Y3386" t="inlineStr">
        <is>
          <t>27760478448</t>
        </is>
      </c>
    </row>
    <row r="3387">
      <c r="A3387" t="inlineStr">
        <is>
          <t>14947679</t>
        </is>
      </c>
      <c r="B3387" t="inlineStr">
        <is>
          <t>a79c678f-b39b-4e68-b9aa-7d4200da165d</t>
        </is>
      </c>
      <c r="D3387" t="inlineStr">
        <is>
          <t>30001087</t>
        </is>
      </c>
      <c r="E3387" t="inlineStr">
        <is>
          <t>ussd_funeral_leads_altitude_20260619</t>
        </is>
      </c>
      <c r="J3387" t="inlineStr">
        <is>
          <t>AA</t>
        </is>
      </c>
      <c r="K3387" t="inlineStr">
        <is>
          <t>Answering Machine Autodial</t>
        </is>
      </c>
      <c r="L3387" t="n">
        <v>3</v>
      </c>
      <c r="M3387" t="inlineStr">
        <is>
          <t>2026-06-23 10:08:38</t>
        </is>
      </c>
      <c r="N3387" t="inlineStr">
        <is>
          <t>system</t>
        </is>
      </c>
      <c r="O3387" t="inlineStr">
        <is>
          <t>2026-06-19 07:10:32</t>
        </is>
      </c>
      <c r="P3387" t="inlineStr">
        <is>
          <t>2026-06-19 07:10:32</t>
        </is>
      </c>
      <c r="Y3387" t="inlineStr">
        <is>
          <t>27769671446</t>
        </is>
      </c>
    </row>
    <row r="3388">
      <c r="A3388" t="inlineStr">
        <is>
          <t>14946148</t>
        </is>
      </c>
      <c r="B3388" t="inlineStr">
        <is>
          <t>0bf30801-79e6-4efd-b1e6-efcd103f3b4c</t>
        </is>
      </c>
      <c r="D3388" t="inlineStr">
        <is>
          <t>30001087</t>
        </is>
      </c>
      <c r="E3388" t="inlineStr">
        <is>
          <t>ussd_funeral_leads_altitude_20260619</t>
        </is>
      </c>
      <c r="J3388" t="inlineStr">
        <is>
          <t>ADC</t>
        </is>
      </c>
      <c r="K3388" t="inlineStr">
        <is>
          <t>Auto Dial Disconnected</t>
        </is>
      </c>
      <c r="L3388" t="n">
        <v>3</v>
      </c>
      <c r="M3388" t="inlineStr">
        <is>
          <t>2026-06-23 10:07:11</t>
        </is>
      </c>
      <c r="N3388" t="inlineStr">
        <is>
          <t>system</t>
        </is>
      </c>
      <c r="O3388" t="inlineStr">
        <is>
          <t>2026-06-19 07:10:32</t>
        </is>
      </c>
      <c r="P3388" t="inlineStr">
        <is>
          <t>2026-06-19 07:10:32</t>
        </is>
      </c>
      <c r="Y3388" t="inlineStr">
        <is>
          <t>27818843435</t>
        </is>
      </c>
    </row>
    <row r="3389">
      <c r="A3389" t="inlineStr">
        <is>
          <t>14946147</t>
        </is>
      </c>
      <c r="B3389" t="inlineStr">
        <is>
          <t>7f0d09b3-5a57-4606-9ca0-4428b3b6f621</t>
        </is>
      </c>
      <c r="D3389" t="inlineStr">
        <is>
          <t>30001087</t>
        </is>
      </c>
      <c r="E3389" t="inlineStr">
        <is>
          <t>ussd_funeral_leads_altitude_20260619</t>
        </is>
      </c>
      <c r="J3389" t="inlineStr">
        <is>
          <t>AA</t>
        </is>
      </c>
      <c r="K3389" t="inlineStr">
        <is>
          <t>Answering Machine Autodial</t>
        </is>
      </c>
      <c r="L3389" t="n">
        <v>3</v>
      </c>
      <c r="M3389" t="inlineStr">
        <is>
          <t>2026-06-23 10:07:04</t>
        </is>
      </c>
      <c r="N3389" t="inlineStr">
        <is>
          <t>system</t>
        </is>
      </c>
      <c r="O3389" t="inlineStr">
        <is>
          <t>2026-06-19 07:10:32</t>
        </is>
      </c>
      <c r="P3389" t="inlineStr">
        <is>
          <t>2026-06-19 07:10:32</t>
        </is>
      </c>
      <c r="Y3389" t="inlineStr">
        <is>
          <t>27728531349</t>
        </is>
      </c>
    </row>
    <row r="3390">
      <c r="A3390" t="inlineStr">
        <is>
          <t>14946131</t>
        </is>
      </c>
      <c r="B3390" t="inlineStr">
        <is>
          <t>bf9717ea-119b-4f33-b840-bec549412533</t>
        </is>
      </c>
      <c r="D3390" t="inlineStr">
        <is>
          <t>30001087</t>
        </is>
      </c>
      <c r="E3390" t="inlineStr">
        <is>
          <t>ussd_funeral_leads_altitude_20260619</t>
        </is>
      </c>
      <c r="J3390" t="inlineStr">
        <is>
          <t>CU</t>
        </is>
      </c>
      <c r="K3390" t="inlineStr">
        <is>
          <t>Client Hung Up</t>
        </is>
      </c>
      <c r="L3390" t="n">
        <v>3</v>
      </c>
      <c r="M3390" t="inlineStr">
        <is>
          <t>2026-06-23 10:07:04</t>
        </is>
      </c>
      <c r="N3390" t="inlineStr">
        <is>
          <t>Dimakatso Nkomo</t>
        </is>
      </c>
      <c r="O3390" t="inlineStr">
        <is>
          <t>2026-06-19 07:10:32</t>
        </is>
      </c>
      <c r="P3390" t="inlineStr">
        <is>
          <t>2026-06-19 07:10:32</t>
        </is>
      </c>
      <c r="Y3390" t="inlineStr">
        <is>
          <t>27765720528</t>
        </is>
      </c>
    </row>
    <row r="3391">
      <c r="A3391" t="inlineStr">
        <is>
          <t>14946132</t>
        </is>
      </c>
      <c r="B3391" t="inlineStr">
        <is>
          <t>214c28ea-bec7-494a-948f-77d0b216d31c</t>
        </is>
      </c>
      <c r="D3391" t="inlineStr">
        <is>
          <t>30001087</t>
        </is>
      </c>
      <c r="E3391" t="inlineStr">
        <is>
          <t>ussd_funeral_leads_altitude_20260619</t>
        </is>
      </c>
      <c r="J3391" t="inlineStr">
        <is>
          <t>ADC</t>
        </is>
      </c>
      <c r="K3391" t="inlineStr">
        <is>
          <t>Auto Dial Disconnected</t>
        </is>
      </c>
      <c r="L3391" t="n">
        <v>3</v>
      </c>
      <c r="M3391" t="inlineStr">
        <is>
          <t>2026-06-23 10:07:04</t>
        </is>
      </c>
      <c r="N3391" t="inlineStr">
        <is>
          <t>system</t>
        </is>
      </c>
      <c r="O3391" t="inlineStr">
        <is>
          <t>2026-06-19 07:10:32</t>
        </is>
      </c>
      <c r="P3391" t="inlineStr">
        <is>
          <t>2026-06-19 07:10:32</t>
        </is>
      </c>
      <c r="Y3391" t="inlineStr">
        <is>
          <t>27606330591</t>
        </is>
      </c>
    </row>
    <row r="3392">
      <c r="A3392" t="inlineStr">
        <is>
          <t>14946130</t>
        </is>
      </c>
      <c r="B3392" t="inlineStr">
        <is>
          <t>6663f650-1e58-4e88-9c81-9afcb827897f</t>
        </is>
      </c>
      <c r="D3392" t="inlineStr">
        <is>
          <t>30001087</t>
        </is>
      </c>
      <c r="E3392" t="inlineStr">
        <is>
          <t>ussd_funeral_leads_altitude_20260619</t>
        </is>
      </c>
      <c r="J3392" t="inlineStr">
        <is>
          <t>TDN</t>
        </is>
      </c>
      <c r="K3392" t="inlineStr">
        <is>
          <t>Temporary Disconnected Number</t>
        </is>
      </c>
      <c r="L3392" t="n">
        <v>3</v>
      </c>
      <c r="M3392" t="inlineStr">
        <is>
          <t>2026-06-23 10:06:10</t>
        </is>
      </c>
      <c r="N3392" t="inlineStr">
        <is>
          <t>system</t>
        </is>
      </c>
      <c r="O3392" t="inlineStr">
        <is>
          <t>2026-06-19 07:10:32</t>
        </is>
      </c>
      <c r="P3392" t="inlineStr">
        <is>
          <t>2026-06-19 07:10:32</t>
        </is>
      </c>
      <c r="Y3392" t="inlineStr">
        <is>
          <t>27712648137</t>
        </is>
      </c>
    </row>
    <row r="3393">
      <c r="A3393" t="inlineStr">
        <is>
          <t>14946129</t>
        </is>
      </c>
      <c r="B3393" t="inlineStr">
        <is>
          <t>1be52fbc-05da-4de4-9545-6157423bbb63</t>
        </is>
      </c>
      <c r="D3393" t="inlineStr">
        <is>
          <t>30001087</t>
        </is>
      </c>
      <c r="E3393" t="inlineStr">
        <is>
          <t>ussd_funeral_leads_altitude_20260619</t>
        </is>
      </c>
      <c r="J3393" t="inlineStr">
        <is>
          <t>NA</t>
        </is>
      </c>
      <c r="K3393" t="inlineStr">
        <is>
          <t>No Answer Autodial</t>
        </is>
      </c>
      <c r="L3393" t="n">
        <v>3</v>
      </c>
      <c r="M3393" t="inlineStr">
        <is>
          <t>2026-06-23 10:06:04</t>
        </is>
      </c>
      <c r="N3393" t="inlineStr">
        <is>
          <t>system</t>
        </is>
      </c>
      <c r="O3393" t="inlineStr">
        <is>
          <t>2026-06-19 07:10:32</t>
        </is>
      </c>
      <c r="P3393" t="inlineStr">
        <is>
          <t>2026-06-19 07:10:32</t>
        </is>
      </c>
      <c r="Y3393" t="inlineStr">
        <is>
          <t>27769746711</t>
        </is>
      </c>
    </row>
    <row r="3394">
      <c r="A3394" t="inlineStr">
        <is>
          <t>14946125</t>
        </is>
      </c>
      <c r="B3394" t="inlineStr">
        <is>
          <t>e7dcd1f6-4123-4ce4-b1e9-8549bbf141ae</t>
        </is>
      </c>
      <c r="D3394" t="inlineStr">
        <is>
          <t>30001087</t>
        </is>
      </c>
      <c r="E3394" t="inlineStr">
        <is>
          <t>ussd_funeral_leads_altitude_20260619</t>
        </is>
      </c>
      <c r="J3394" t="inlineStr">
        <is>
          <t>TDN</t>
        </is>
      </c>
      <c r="K3394" t="inlineStr">
        <is>
          <t>Temporary Disconnected Number</t>
        </is>
      </c>
      <c r="L3394" t="n">
        <v>3</v>
      </c>
      <c r="M3394" t="inlineStr">
        <is>
          <t>2026-06-23 10:06:03</t>
        </is>
      </c>
      <c r="N3394" t="inlineStr">
        <is>
          <t>system</t>
        </is>
      </c>
      <c r="O3394" t="inlineStr">
        <is>
          <t>2026-06-19 07:10:32</t>
        </is>
      </c>
      <c r="P3394" t="inlineStr">
        <is>
          <t>2026-06-19 07:10:32</t>
        </is>
      </c>
      <c r="Y3394" t="inlineStr">
        <is>
          <t>27797094575</t>
        </is>
      </c>
    </row>
    <row r="3395">
      <c r="A3395" t="inlineStr">
        <is>
          <t>14946127</t>
        </is>
      </c>
      <c r="B3395" t="inlineStr">
        <is>
          <t>12404a84-e306-4f5b-ac4c-c0aed525bb74</t>
        </is>
      </c>
      <c r="D3395" t="inlineStr">
        <is>
          <t>30001087</t>
        </is>
      </c>
      <c r="E3395" t="inlineStr">
        <is>
          <t>ussd_funeral_leads_altitude_20260619</t>
        </is>
      </c>
      <c r="J3395" t="inlineStr">
        <is>
          <t>DROP</t>
        </is>
      </c>
      <c r="K3395" t="inlineStr">
        <is>
          <t>Dropped</t>
        </is>
      </c>
      <c r="L3395" t="n">
        <v>3</v>
      </c>
      <c r="M3395" t="inlineStr">
        <is>
          <t>2026-06-23 10:06:03</t>
        </is>
      </c>
      <c r="N3395" t="inlineStr">
        <is>
          <t>system</t>
        </is>
      </c>
      <c r="O3395" t="inlineStr">
        <is>
          <t>2026-06-19 07:10:32</t>
        </is>
      </c>
      <c r="P3395" t="inlineStr">
        <is>
          <t>2026-06-19 07:10:32</t>
        </is>
      </c>
      <c r="Y3395" t="inlineStr">
        <is>
          <t>27722988996</t>
        </is>
      </c>
    </row>
    <row r="3396">
      <c r="A3396" t="inlineStr">
        <is>
          <t>14900000</t>
        </is>
      </c>
      <c r="B3396" t="inlineStr">
        <is>
          <t>348e1926-b92b-4263-8b7a-9a75c5db8e21</t>
        </is>
      </c>
      <c r="D3396" t="inlineStr">
        <is>
          <t>30001087</t>
        </is>
      </c>
      <c r="E3396" t="inlineStr">
        <is>
          <t>ussd_funeral_leads_altitude_20260619</t>
        </is>
      </c>
      <c r="J3396" t="inlineStr">
        <is>
          <t>NA</t>
        </is>
      </c>
      <c r="K3396" t="inlineStr">
        <is>
          <t>No Answer Autodial</t>
        </is>
      </c>
      <c r="L3396" t="n">
        <v>3</v>
      </c>
      <c r="M3396" t="inlineStr">
        <is>
          <t>2026-06-23 10:06:03</t>
        </is>
      </c>
      <c r="N3396" t="inlineStr">
        <is>
          <t>system</t>
        </is>
      </c>
      <c r="O3396" t="inlineStr">
        <is>
          <t>2026-06-19 07:10:32</t>
        </is>
      </c>
      <c r="P3396" t="inlineStr">
        <is>
          <t>2026-06-19 07:10:32</t>
        </is>
      </c>
      <c r="Y3396" t="inlineStr">
        <is>
          <t>27664334079</t>
        </is>
      </c>
    </row>
    <row r="3397">
      <c r="A3397" t="inlineStr">
        <is>
          <t>14946122</t>
        </is>
      </c>
      <c r="B3397" t="inlineStr">
        <is>
          <t>fbbafa31-7036-43e0-99b9-0d596c41a1b4</t>
        </is>
      </c>
      <c r="D3397" t="inlineStr">
        <is>
          <t>30001087</t>
        </is>
      </c>
      <c r="E3397" t="inlineStr">
        <is>
          <t>ussd_funeral_leads_altitude_20260619</t>
        </is>
      </c>
      <c r="J3397" t="inlineStr">
        <is>
          <t>NA</t>
        </is>
      </c>
      <c r="K3397" t="inlineStr">
        <is>
          <t>No Answer Autodial</t>
        </is>
      </c>
      <c r="L3397" t="n">
        <v>3</v>
      </c>
      <c r="M3397" t="inlineStr">
        <is>
          <t>2026-06-23 10:06:02</t>
        </is>
      </c>
      <c r="N3397" t="inlineStr">
        <is>
          <t>system</t>
        </is>
      </c>
      <c r="O3397" t="inlineStr">
        <is>
          <t>2026-06-19 07:10:32</t>
        </is>
      </c>
      <c r="P3397" t="inlineStr">
        <is>
          <t>2026-06-19 07:10:32</t>
        </is>
      </c>
      <c r="Y3397" t="inlineStr">
        <is>
          <t>27829503024</t>
        </is>
      </c>
    </row>
    <row r="3398">
      <c r="A3398" t="inlineStr">
        <is>
          <t>14946123</t>
        </is>
      </c>
      <c r="B3398" t="inlineStr">
        <is>
          <t>35dd9f2a-50ea-4344-a81c-97b68e3edbf2</t>
        </is>
      </c>
      <c r="D3398" t="inlineStr">
        <is>
          <t>30001087</t>
        </is>
      </c>
      <c r="E3398" t="inlineStr">
        <is>
          <t>ussd_funeral_leads_altitude_20260619</t>
        </is>
      </c>
      <c r="J3398" t="inlineStr">
        <is>
          <t>AA</t>
        </is>
      </c>
      <c r="K3398" t="inlineStr">
        <is>
          <t>Answering Machine Autodial</t>
        </is>
      </c>
      <c r="L3398" t="n">
        <v>3</v>
      </c>
      <c r="M3398" t="inlineStr">
        <is>
          <t>2026-06-23 10:06:02</t>
        </is>
      </c>
      <c r="N3398" t="inlineStr">
        <is>
          <t>system</t>
        </is>
      </c>
      <c r="O3398" t="inlineStr">
        <is>
          <t>2026-06-19 07:10:32</t>
        </is>
      </c>
      <c r="P3398" t="inlineStr">
        <is>
          <t>2026-06-19 07:10:32</t>
        </is>
      </c>
      <c r="Y3398" t="inlineStr">
        <is>
          <t>27772959017</t>
        </is>
      </c>
    </row>
    <row r="3399">
      <c r="A3399" t="inlineStr">
        <is>
          <t>14947714</t>
        </is>
      </c>
      <c r="B3399" t="inlineStr">
        <is>
          <t>06824215-bd51-48a6-a1a0-fdb0bd154a6d</t>
        </is>
      </c>
      <c r="D3399" t="inlineStr">
        <is>
          <t>30001087</t>
        </is>
      </c>
      <c r="E3399" t="inlineStr">
        <is>
          <t>ussd_funeral_leads_altitude_20260619</t>
        </is>
      </c>
      <c r="J3399" t="inlineStr">
        <is>
          <t>ADC</t>
        </is>
      </c>
      <c r="K3399" t="inlineStr">
        <is>
          <t>Auto Dial Disconnected</t>
        </is>
      </c>
      <c r="L3399" t="n">
        <v>3</v>
      </c>
      <c r="M3399" t="inlineStr">
        <is>
          <t>2026-06-23 10:06:02</t>
        </is>
      </c>
      <c r="N3399" t="inlineStr">
        <is>
          <t>system</t>
        </is>
      </c>
      <c r="O3399" t="inlineStr">
        <is>
          <t>2026-06-19 07:10:32</t>
        </is>
      </c>
      <c r="P3399" t="inlineStr">
        <is>
          <t>2026-06-19 07:10:32</t>
        </is>
      </c>
      <c r="Y3399" t="inlineStr">
        <is>
          <t>27764293730</t>
        </is>
      </c>
    </row>
    <row r="3400">
      <c r="A3400" t="inlineStr">
        <is>
          <t>14943488</t>
        </is>
      </c>
      <c r="B3400" t="inlineStr">
        <is>
          <t>d036dc00-c1d3-4733-8005-b4843ee07f8c</t>
        </is>
      </c>
      <c r="D3400" t="inlineStr">
        <is>
          <t>30001087</t>
        </is>
      </c>
      <c r="E3400" t="inlineStr">
        <is>
          <t>ussd_funeral_leads_altitude_20260619</t>
        </is>
      </c>
      <c r="J3400" t="inlineStr">
        <is>
          <t>A</t>
        </is>
      </c>
      <c r="K3400" t="inlineStr">
        <is>
          <t>Answering Machine</t>
        </is>
      </c>
      <c r="L3400" t="n">
        <v>3</v>
      </c>
      <c r="M3400" t="inlineStr">
        <is>
          <t>2026-06-23 10:05:15</t>
        </is>
      </c>
      <c r="N3400" t="inlineStr">
        <is>
          <t>Goitsimang Mogwasa</t>
        </is>
      </c>
      <c r="O3400" t="inlineStr">
        <is>
          <t>2026-06-19 07:10:32</t>
        </is>
      </c>
      <c r="P3400" t="inlineStr">
        <is>
          <t>2026-06-19 07:10:32</t>
        </is>
      </c>
      <c r="Y3400" t="inlineStr">
        <is>
          <t>27720333807</t>
        </is>
      </c>
    </row>
    <row r="3401">
      <c r="A3401" t="inlineStr">
        <is>
          <t>14946145</t>
        </is>
      </c>
      <c r="B3401" t="inlineStr">
        <is>
          <t>9166a267-59b1-4c96-9fac-a68dbea6e393</t>
        </is>
      </c>
      <c r="D3401" t="inlineStr">
        <is>
          <t>30001087</t>
        </is>
      </c>
      <c r="E3401" t="inlineStr">
        <is>
          <t>ussd_funeral_leads_altitude_20260619</t>
        </is>
      </c>
      <c r="J3401" t="inlineStr">
        <is>
          <t>ADC</t>
        </is>
      </c>
      <c r="K3401" t="inlineStr">
        <is>
          <t>Auto Dial Disconnected</t>
        </is>
      </c>
      <c r="L3401" t="n">
        <v>3</v>
      </c>
      <c r="M3401" t="inlineStr">
        <is>
          <t>2026-06-23 10:05:14</t>
        </is>
      </c>
      <c r="N3401" t="inlineStr">
        <is>
          <t>system</t>
        </is>
      </c>
      <c r="O3401" t="inlineStr">
        <is>
          <t>2026-06-19 07:10:32</t>
        </is>
      </c>
      <c r="P3401" t="inlineStr">
        <is>
          <t>2026-06-19 07:10:32</t>
        </is>
      </c>
      <c r="Y3401" t="inlineStr">
        <is>
          <t>27769098612</t>
        </is>
      </c>
    </row>
    <row r="3402">
      <c r="A3402" t="inlineStr">
        <is>
          <t>14900000</t>
        </is>
      </c>
      <c r="B3402" t="inlineStr">
        <is>
          <t>e68148da-22bc-4737-b69c-b714cc70591d</t>
        </is>
      </c>
      <c r="D3402" t="inlineStr">
        <is>
          <t>30001087</t>
        </is>
      </c>
      <c r="E3402" t="inlineStr">
        <is>
          <t>ussd_funeral_leads_altitude_20260619</t>
        </is>
      </c>
      <c r="J3402" t="inlineStr">
        <is>
          <t>ADC</t>
        </is>
      </c>
      <c r="K3402" t="inlineStr">
        <is>
          <t>Auto Dial Disconnected</t>
        </is>
      </c>
      <c r="L3402" t="n">
        <v>3</v>
      </c>
      <c r="M3402" t="inlineStr">
        <is>
          <t>2026-06-23 10:05:14</t>
        </is>
      </c>
      <c r="N3402" t="inlineStr">
        <is>
          <t>system</t>
        </is>
      </c>
      <c r="O3402" t="inlineStr">
        <is>
          <t>2026-06-19 07:10:32</t>
        </is>
      </c>
      <c r="P3402" t="inlineStr">
        <is>
          <t>2026-06-19 07:10:32</t>
        </is>
      </c>
      <c r="Y3402" t="inlineStr">
        <is>
          <t>27823361019</t>
        </is>
      </c>
    </row>
    <row r="3403">
      <c r="A3403" t="inlineStr">
        <is>
          <t>14946144</t>
        </is>
      </c>
      <c r="B3403" t="inlineStr">
        <is>
          <t>0432f5ee-09f4-4a5a-b959-aba184fe386f</t>
        </is>
      </c>
      <c r="D3403" t="inlineStr">
        <is>
          <t>30001087</t>
        </is>
      </c>
      <c r="E3403" t="inlineStr">
        <is>
          <t>ussd_funeral_leads_altitude_20260619</t>
        </is>
      </c>
      <c r="J3403" t="inlineStr">
        <is>
          <t>AA</t>
        </is>
      </c>
      <c r="K3403" t="inlineStr">
        <is>
          <t>Answering Machine Autodial</t>
        </is>
      </c>
      <c r="L3403" t="n">
        <v>3</v>
      </c>
      <c r="M3403" t="inlineStr">
        <is>
          <t>2026-06-23 10:05:08</t>
        </is>
      </c>
      <c r="N3403" t="inlineStr">
        <is>
          <t>system</t>
        </is>
      </c>
      <c r="O3403" t="inlineStr">
        <is>
          <t>2026-06-19 07:10:32</t>
        </is>
      </c>
      <c r="P3403" t="inlineStr">
        <is>
          <t>2026-06-19 07:10:32</t>
        </is>
      </c>
      <c r="Y3403" t="inlineStr">
        <is>
          <t>27637345784</t>
        </is>
      </c>
    </row>
    <row r="3404">
      <c r="A3404" t="inlineStr">
        <is>
          <t>14946142</t>
        </is>
      </c>
      <c r="B3404" t="inlineStr">
        <is>
          <t>af169c3a-c34f-4008-8bad-9835be1a2928</t>
        </is>
      </c>
      <c r="D3404" t="inlineStr">
        <is>
          <t>30001087</t>
        </is>
      </c>
      <c r="E3404" t="inlineStr">
        <is>
          <t>ussd_funeral_leads_altitude_20260619</t>
        </is>
      </c>
      <c r="J3404" t="inlineStr">
        <is>
          <t>AA</t>
        </is>
      </c>
      <c r="K3404" t="inlineStr">
        <is>
          <t>Answering Machine Autodial</t>
        </is>
      </c>
      <c r="L3404" t="n">
        <v>3</v>
      </c>
      <c r="M3404" t="inlineStr">
        <is>
          <t>2026-06-23 10:05:07</t>
        </is>
      </c>
      <c r="N3404" t="inlineStr">
        <is>
          <t>system</t>
        </is>
      </c>
      <c r="O3404" t="inlineStr">
        <is>
          <t>2026-06-19 07:10:32</t>
        </is>
      </c>
      <c r="P3404" t="inlineStr">
        <is>
          <t>2026-06-19 07:10:32</t>
        </is>
      </c>
      <c r="Y3404" t="inlineStr">
        <is>
          <t>27724030768</t>
        </is>
      </c>
    </row>
    <row r="3405">
      <c r="A3405" t="inlineStr">
        <is>
          <t>14946143</t>
        </is>
      </c>
      <c r="B3405" t="inlineStr">
        <is>
          <t>6b53ac65-1ab9-4320-a11d-c1779fb50041</t>
        </is>
      </c>
      <c r="D3405" t="inlineStr">
        <is>
          <t>30001087</t>
        </is>
      </c>
      <c r="E3405" t="inlineStr">
        <is>
          <t>ussd_funeral_leads_altitude_20260619</t>
        </is>
      </c>
      <c r="J3405" t="inlineStr">
        <is>
          <t>CU</t>
        </is>
      </c>
      <c r="K3405" t="inlineStr">
        <is>
          <t>Client Hung Up</t>
        </is>
      </c>
      <c r="L3405" t="n">
        <v>3</v>
      </c>
      <c r="M3405" t="inlineStr">
        <is>
          <t>2026-06-23 10:05:07</t>
        </is>
      </c>
      <c r="N3405" t="inlineStr">
        <is>
          <t>Virginia Letsatsi</t>
        </is>
      </c>
      <c r="O3405" t="inlineStr">
        <is>
          <t>2026-06-19 07:10:32</t>
        </is>
      </c>
      <c r="P3405" t="inlineStr">
        <is>
          <t>2026-06-19 07:10:32</t>
        </is>
      </c>
      <c r="Y3405" t="inlineStr">
        <is>
          <t>27825699201</t>
        </is>
      </c>
    </row>
    <row r="3406">
      <c r="A3406" t="inlineStr">
        <is>
          <t>14944694</t>
        </is>
      </c>
      <c r="B3406" t="inlineStr">
        <is>
          <t>6fe95637-8119-4673-ba35-f29130a14828</t>
        </is>
      </c>
      <c r="D3406" t="inlineStr">
        <is>
          <t>30001087</t>
        </is>
      </c>
      <c r="E3406" t="inlineStr">
        <is>
          <t>ussd_funeral_leads_altitude_20260619</t>
        </is>
      </c>
      <c r="J3406" t="inlineStr">
        <is>
          <t>CU</t>
        </is>
      </c>
      <c r="K3406" t="inlineStr">
        <is>
          <t>Client Hung Up</t>
        </is>
      </c>
      <c r="L3406" t="n">
        <v>3</v>
      </c>
      <c r="M3406" t="inlineStr">
        <is>
          <t>2026-06-23 10:04:31</t>
        </is>
      </c>
      <c r="N3406" t="inlineStr">
        <is>
          <t>Goitsimang Mogwasa</t>
        </is>
      </c>
      <c r="O3406" t="inlineStr">
        <is>
          <t>2026-06-19 07:10:32</t>
        </is>
      </c>
      <c r="P3406" t="inlineStr">
        <is>
          <t>2026-06-19 07:10:32</t>
        </is>
      </c>
      <c r="Y3406" t="inlineStr">
        <is>
          <t>27818568376</t>
        </is>
      </c>
    </row>
    <row r="3407">
      <c r="A3407" t="inlineStr">
        <is>
          <t>14946136</t>
        </is>
      </c>
      <c r="B3407" t="inlineStr">
        <is>
          <t>ab071ac5-1392-45a7-9e1d-3319c71cc0b4</t>
        </is>
      </c>
      <c r="D3407" t="inlineStr">
        <is>
          <t>30001087</t>
        </is>
      </c>
      <c r="E3407" t="inlineStr">
        <is>
          <t>ussd_funeral_leads_altitude_20260619</t>
        </is>
      </c>
      <c r="J3407" t="inlineStr">
        <is>
          <t>NA</t>
        </is>
      </c>
      <c r="K3407" t="inlineStr">
        <is>
          <t>No Answer Autodial</t>
        </is>
      </c>
      <c r="L3407" t="n">
        <v>3</v>
      </c>
      <c r="M3407" t="inlineStr">
        <is>
          <t>2026-06-23 10:04:29</t>
        </is>
      </c>
      <c r="N3407" t="inlineStr">
        <is>
          <t>system</t>
        </is>
      </c>
      <c r="O3407" t="inlineStr">
        <is>
          <t>2026-06-19 07:10:32</t>
        </is>
      </c>
      <c r="P3407" t="inlineStr">
        <is>
          <t>2026-06-19 07:10:32</t>
        </is>
      </c>
      <c r="Y3407" t="inlineStr">
        <is>
          <t>27762147302</t>
        </is>
      </c>
    </row>
    <row r="3408">
      <c r="A3408" t="inlineStr">
        <is>
          <t>14946133</t>
        </is>
      </c>
      <c r="B3408" t="inlineStr">
        <is>
          <t>e2a7a071-60af-4e7b-919f-1a17552bc0af</t>
        </is>
      </c>
      <c r="D3408" t="inlineStr">
        <is>
          <t>30001087</t>
        </is>
      </c>
      <c r="E3408" t="inlineStr">
        <is>
          <t>ussd_funeral_leads_altitude_20260619</t>
        </is>
      </c>
      <c r="J3408" t="inlineStr">
        <is>
          <t>ADC</t>
        </is>
      </c>
      <c r="K3408" t="inlineStr">
        <is>
          <t>Auto Dial Disconnected</t>
        </is>
      </c>
      <c r="L3408" t="n">
        <v>3</v>
      </c>
      <c r="M3408" t="inlineStr">
        <is>
          <t>2026-06-23 10:04:29</t>
        </is>
      </c>
      <c r="N3408" t="inlineStr">
        <is>
          <t>system</t>
        </is>
      </c>
      <c r="O3408" t="inlineStr">
        <is>
          <t>2026-06-19 07:10:32</t>
        </is>
      </c>
      <c r="P3408" t="inlineStr">
        <is>
          <t>2026-06-19 07:10:32</t>
        </is>
      </c>
      <c r="Y3408" t="inlineStr">
        <is>
          <t>27637347266</t>
        </is>
      </c>
    </row>
    <row r="3409">
      <c r="A3409" t="inlineStr">
        <is>
          <t>14946134</t>
        </is>
      </c>
      <c r="B3409" t="inlineStr">
        <is>
          <t>3ae3c9f9-499c-43da-8578-83fe79b52d20</t>
        </is>
      </c>
      <c r="D3409" t="inlineStr">
        <is>
          <t>30001087</t>
        </is>
      </c>
      <c r="E3409" t="inlineStr">
        <is>
          <t>ussd_funeral_leads_altitude_20260619</t>
        </is>
      </c>
      <c r="J3409" t="inlineStr">
        <is>
          <t>TDN</t>
        </is>
      </c>
      <c r="K3409" t="inlineStr">
        <is>
          <t>Temporary Disconnected Number</t>
        </is>
      </c>
      <c r="L3409" t="n">
        <v>3</v>
      </c>
      <c r="M3409" t="inlineStr">
        <is>
          <t>2026-06-23 10:04:29</t>
        </is>
      </c>
      <c r="N3409" t="inlineStr">
        <is>
          <t>system</t>
        </is>
      </c>
      <c r="O3409" t="inlineStr">
        <is>
          <t>2026-06-19 07:10:32</t>
        </is>
      </c>
      <c r="P3409" t="inlineStr">
        <is>
          <t>2026-06-19 07:10:32</t>
        </is>
      </c>
      <c r="Y3409" t="inlineStr">
        <is>
          <t>27769098182</t>
        </is>
      </c>
    </row>
    <row r="3410">
      <c r="A3410" t="inlineStr">
        <is>
          <t>14946135</t>
        </is>
      </c>
      <c r="B3410" t="inlineStr">
        <is>
          <t>2e0b392d-7af9-4a92-9f83-b3f1e99e69e3</t>
        </is>
      </c>
      <c r="D3410" t="inlineStr">
        <is>
          <t>30001087</t>
        </is>
      </c>
      <c r="E3410" t="inlineStr">
        <is>
          <t>ussd_funeral_leads_altitude_20260619</t>
        </is>
      </c>
      <c r="J3410" t="inlineStr">
        <is>
          <t>NA</t>
        </is>
      </c>
      <c r="K3410" t="inlineStr">
        <is>
          <t>No Answer Autodial</t>
        </is>
      </c>
      <c r="L3410" t="n">
        <v>3</v>
      </c>
      <c r="M3410" t="inlineStr">
        <is>
          <t>2026-06-23 10:04:29</t>
        </is>
      </c>
      <c r="N3410" t="inlineStr">
        <is>
          <t>system</t>
        </is>
      </c>
      <c r="O3410" t="inlineStr">
        <is>
          <t>2026-06-19 07:10:32</t>
        </is>
      </c>
      <c r="P3410" t="inlineStr">
        <is>
          <t>2026-06-19 07:10:32</t>
        </is>
      </c>
      <c r="Y3410" t="inlineStr">
        <is>
          <t>27768009026</t>
        </is>
      </c>
    </row>
    <row r="3411">
      <c r="A3411" t="inlineStr">
        <is>
          <t>14947680</t>
        </is>
      </c>
      <c r="B3411" t="inlineStr">
        <is>
          <t>88fc0341-35db-4dc7-b9b6-a169743c5042</t>
        </is>
      </c>
      <c r="D3411" t="inlineStr">
        <is>
          <t>30001087</t>
        </is>
      </c>
      <c r="E3411" t="inlineStr">
        <is>
          <t>ussd_funeral_leads_altitude_20260619</t>
        </is>
      </c>
      <c r="J3411" t="inlineStr">
        <is>
          <t>NA</t>
        </is>
      </c>
      <c r="K3411" t="inlineStr">
        <is>
          <t>No Answer Autodial</t>
        </is>
      </c>
      <c r="L3411" t="n">
        <v>3</v>
      </c>
      <c r="M3411" t="inlineStr">
        <is>
          <t>2026-06-23 10:04:29</t>
        </is>
      </c>
      <c r="N3411" t="inlineStr">
        <is>
          <t>system</t>
        </is>
      </c>
      <c r="O3411" t="inlineStr">
        <is>
          <t>2026-06-19 07:10:32</t>
        </is>
      </c>
      <c r="P3411" t="inlineStr">
        <is>
          <t>2026-06-19 07:10:32</t>
        </is>
      </c>
      <c r="Y3411" t="inlineStr">
        <is>
          <t>27675612528</t>
        </is>
      </c>
    </row>
    <row r="3412">
      <c r="A3412" t="inlineStr">
        <is>
          <t>14946141</t>
        </is>
      </c>
      <c r="B3412" t="inlineStr">
        <is>
          <t>84a4c42e-f6d8-4169-8ba5-4c21d605be60</t>
        </is>
      </c>
      <c r="D3412" t="inlineStr">
        <is>
          <t>30001087</t>
        </is>
      </c>
      <c r="E3412" t="inlineStr">
        <is>
          <t>ussd_funeral_leads_altitude_20260619</t>
        </is>
      </c>
      <c r="J3412" t="inlineStr">
        <is>
          <t>AA</t>
        </is>
      </c>
      <c r="K3412" t="inlineStr">
        <is>
          <t>Answering Machine Autodial</t>
        </is>
      </c>
      <c r="L3412" t="n">
        <v>3</v>
      </c>
      <c r="M3412" t="inlineStr">
        <is>
          <t>2026-06-23 10:03:48</t>
        </is>
      </c>
      <c r="N3412" t="inlineStr">
        <is>
          <t>system</t>
        </is>
      </c>
      <c r="O3412" t="inlineStr">
        <is>
          <t>2026-06-19 07:10:32</t>
        </is>
      </c>
      <c r="P3412" t="inlineStr">
        <is>
          <t>2026-06-19 07:10:32</t>
        </is>
      </c>
      <c r="Y3412" t="inlineStr">
        <is>
          <t>27823997450</t>
        </is>
      </c>
    </row>
    <row r="3413">
      <c r="A3413" t="inlineStr">
        <is>
          <t>14946139</t>
        </is>
      </c>
      <c r="B3413" t="inlineStr">
        <is>
          <t>a3805bf6-a3b3-4a5c-9748-233d7bcc902d</t>
        </is>
      </c>
      <c r="D3413" t="inlineStr">
        <is>
          <t>30001087</t>
        </is>
      </c>
      <c r="E3413" t="inlineStr">
        <is>
          <t>ussd_funeral_leads_altitude_20260619</t>
        </is>
      </c>
      <c r="J3413" t="inlineStr">
        <is>
          <t>AA</t>
        </is>
      </c>
      <c r="K3413" t="inlineStr">
        <is>
          <t>Answering Machine Autodial</t>
        </is>
      </c>
      <c r="L3413" t="n">
        <v>3</v>
      </c>
      <c r="M3413" t="inlineStr">
        <is>
          <t>2026-06-23 10:03:47</t>
        </is>
      </c>
      <c r="N3413" t="inlineStr">
        <is>
          <t>system</t>
        </is>
      </c>
      <c r="O3413" t="inlineStr">
        <is>
          <t>2026-06-19 07:10:32</t>
        </is>
      </c>
      <c r="P3413" t="inlineStr">
        <is>
          <t>2026-06-19 07:10:32</t>
        </is>
      </c>
      <c r="Y3413" t="inlineStr">
        <is>
          <t>27765771632</t>
        </is>
      </c>
    </row>
    <row r="3414">
      <c r="A3414" t="inlineStr">
        <is>
          <t>14946140</t>
        </is>
      </c>
      <c r="B3414" t="inlineStr">
        <is>
          <t>8ca67105-6900-4034-9464-f5a18de62e95</t>
        </is>
      </c>
      <c r="D3414" t="inlineStr">
        <is>
          <t>30001087</t>
        </is>
      </c>
      <c r="E3414" t="inlineStr">
        <is>
          <t>ussd_funeral_leads_altitude_20260619</t>
        </is>
      </c>
      <c r="J3414" t="inlineStr">
        <is>
          <t>AA</t>
        </is>
      </c>
      <c r="K3414" t="inlineStr">
        <is>
          <t>Answering Machine Autodial</t>
        </is>
      </c>
      <c r="L3414" t="n">
        <v>3</v>
      </c>
      <c r="M3414" t="inlineStr">
        <is>
          <t>2026-06-23 10:03:47</t>
        </is>
      </c>
      <c r="N3414" t="inlineStr">
        <is>
          <t>system</t>
        </is>
      </c>
      <c r="O3414" t="inlineStr">
        <is>
          <t>2026-06-19 07:10:32</t>
        </is>
      </c>
      <c r="P3414" t="inlineStr">
        <is>
          <t>2026-06-19 07:10:32</t>
        </is>
      </c>
      <c r="Y3414" t="inlineStr">
        <is>
          <t>27715921114</t>
        </is>
      </c>
    </row>
    <row r="3415">
      <c r="A3415" t="inlineStr">
        <is>
          <t>14946137</t>
        </is>
      </c>
      <c r="B3415" t="inlineStr">
        <is>
          <t>1cfa16e9-cb2f-4666-a7f4-c50e08b6e68c</t>
        </is>
      </c>
      <c r="D3415" t="inlineStr">
        <is>
          <t>30001087</t>
        </is>
      </c>
      <c r="E3415" t="inlineStr">
        <is>
          <t>ussd_funeral_leads_altitude_20260619</t>
        </is>
      </c>
      <c r="J3415" t="inlineStr">
        <is>
          <t>AA</t>
        </is>
      </c>
      <c r="K3415" t="inlineStr">
        <is>
          <t>Answering Machine Autodial</t>
        </is>
      </c>
      <c r="L3415" t="n">
        <v>3</v>
      </c>
      <c r="M3415" t="inlineStr">
        <is>
          <t>2026-06-23 10:03:40</t>
        </is>
      </c>
      <c r="N3415" t="inlineStr">
        <is>
          <t>system</t>
        </is>
      </c>
      <c r="O3415" t="inlineStr">
        <is>
          <t>2026-06-19 07:10:32</t>
        </is>
      </c>
      <c r="P3415" t="inlineStr">
        <is>
          <t>2026-06-19 07:10:32</t>
        </is>
      </c>
      <c r="Y3415" t="inlineStr">
        <is>
          <t>27793499709</t>
        </is>
      </c>
    </row>
    <row r="3416">
      <c r="A3416" t="inlineStr">
        <is>
          <t>14947713</t>
        </is>
      </c>
      <c r="B3416" t="inlineStr">
        <is>
          <t>73d7ce08-b734-42ca-8044-fd1f9bc832f8</t>
        </is>
      </c>
      <c r="D3416" t="inlineStr">
        <is>
          <t>30001087</t>
        </is>
      </c>
      <c r="E3416" t="inlineStr">
        <is>
          <t>ussd_funeral_leads_altitude_20260619</t>
        </is>
      </c>
      <c r="J3416" t="inlineStr">
        <is>
          <t>AA</t>
        </is>
      </c>
      <c r="K3416" t="inlineStr">
        <is>
          <t>Answering Machine Autodial</t>
        </is>
      </c>
      <c r="L3416" t="n">
        <v>3</v>
      </c>
      <c r="M3416" t="inlineStr">
        <is>
          <t>2026-06-23 10:03:40</t>
        </is>
      </c>
      <c r="N3416" t="inlineStr">
        <is>
          <t>system</t>
        </is>
      </c>
      <c r="O3416" t="inlineStr">
        <is>
          <t>2026-06-19 07:10:32</t>
        </is>
      </c>
      <c r="P3416" t="inlineStr">
        <is>
          <t>2026-06-19 07:10:32</t>
        </is>
      </c>
      <c r="Y3416" t="inlineStr">
        <is>
          <t>27823985911</t>
        </is>
      </c>
    </row>
    <row r="3417">
      <c r="A3417" t="inlineStr">
        <is>
          <t>14946243</t>
        </is>
      </c>
      <c r="B3417" t="inlineStr">
        <is>
          <t>a083ffc5-1fc5-4143-a4fc-e8b7b03b1c8d</t>
        </is>
      </c>
      <c r="D3417" t="inlineStr">
        <is>
          <t>30001087</t>
        </is>
      </c>
      <c r="E3417" t="inlineStr">
        <is>
          <t>ussd_funeral_leads_altitude_20260619</t>
        </is>
      </c>
      <c r="J3417" t="inlineStr">
        <is>
          <t>AA</t>
        </is>
      </c>
      <c r="K3417" t="inlineStr">
        <is>
          <t>Answering Machine Autodial</t>
        </is>
      </c>
      <c r="L3417" t="n">
        <v>3</v>
      </c>
      <c r="M3417" t="inlineStr">
        <is>
          <t>2026-06-23 10:02:56</t>
        </is>
      </c>
      <c r="N3417" t="inlineStr">
        <is>
          <t>system</t>
        </is>
      </c>
      <c r="O3417" t="inlineStr">
        <is>
          <t>2026-06-19 07:10:32</t>
        </is>
      </c>
      <c r="P3417" t="inlineStr">
        <is>
          <t>2026-06-19 07:10:32</t>
        </is>
      </c>
      <c r="Y3417" t="inlineStr">
        <is>
          <t>27763518939</t>
        </is>
      </c>
    </row>
    <row r="3418">
      <c r="A3418" t="inlineStr">
        <is>
          <t>14946244</t>
        </is>
      </c>
      <c r="B3418" t="inlineStr">
        <is>
          <t>33b55987-d498-4201-9fb0-19f4c87e090f</t>
        </is>
      </c>
      <c r="D3418" t="inlineStr">
        <is>
          <t>30001087</t>
        </is>
      </c>
      <c r="E3418" t="inlineStr">
        <is>
          <t>ussd_funeral_leads_altitude_20260619</t>
        </is>
      </c>
      <c r="J3418" t="inlineStr">
        <is>
          <t>DROP</t>
        </is>
      </c>
      <c r="K3418" t="inlineStr">
        <is>
          <t>Dropped</t>
        </is>
      </c>
      <c r="L3418" t="n">
        <v>3</v>
      </c>
      <c r="M3418" t="inlineStr">
        <is>
          <t>2026-06-23 10:02:56</t>
        </is>
      </c>
      <c r="N3418" t="inlineStr">
        <is>
          <t>system</t>
        </is>
      </c>
      <c r="O3418" t="inlineStr">
        <is>
          <t>2026-06-19 07:10:32</t>
        </is>
      </c>
      <c r="P3418" t="inlineStr">
        <is>
          <t>2026-06-19 07:10:32</t>
        </is>
      </c>
      <c r="Y3418" t="inlineStr">
        <is>
          <t>27715072334</t>
        </is>
      </c>
    </row>
    <row r="3419">
      <c r="A3419" t="inlineStr">
        <is>
          <t>14946245</t>
        </is>
      </c>
      <c r="B3419" t="inlineStr">
        <is>
          <t>ea76d417-385f-4aa2-8028-1e10dd4b6d1f</t>
        </is>
      </c>
      <c r="D3419" t="inlineStr">
        <is>
          <t>30001087</t>
        </is>
      </c>
      <c r="E3419" t="inlineStr">
        <is>
          <t>ussd_funeral_leads_altitude_20260619</t>
        </is>
      </c>
      <c r="H3419" t="inlineStr">
        <is>
          <t>27818283811</t>
        </is>
      </c>
      <c r="J3419" t="inlineStr">
        <is>
          <t>AA</t>
        </is>
      </c>
      <c r="K3419" t="inlineStr">
        <is>
          <t>Answering Machine Autodial</t>
        </is>
      </c>
      <c r="L3419" t="n">
        <v>3</v>
      </c>
      <c r="M3419" t="inlineStr">
        <is>
          <t>2026-06-23 10:02:56</t>
        </is>
      </c>
      <c r="N3419" t="inlineStr">
        <is>
          <t>system</t>
        </is>
      </c>
      <c r="O3419" t="inlineStr">
        <is>
          <t>2026-06-19 07:10:32</t>
        </is>
      </c>
      <c r="P3419" t="inlineStr">
        <is>
          <t>2026-06-19 07:10:32</t>
        </is>
      </c>
      <c r="Y3419" t="inlineStr">
        <is>
          <t>27818283811</t>
        </is>
      </c>
    </row>
    <row r="3420">
      <c r="A3420" t="inlineStr">
        <is>
          <t>14946246</t>
        </is>
      </c>
      <c r="B3420" t="inlineStr">
        <is>
          <t>e1ec312a-cc5b-46f2-a603-4e3decb69e77</t>
        </is>
      </c>
      <c r="D3420" t="inlineStr">
        <is>
          <t>30001087</t>
        </is>
      </c>
      <c r="E3420" t="inlineStr">
        <is>
          <t>ussd_funeral_leads_altitude_20260619</t>
        </is>
      </c>
      <c r="J3420" t="inlineStr">
        <is>
          <t>AA</t>
        </is>
      </c>
      <c r="K3420" t="inlineStr">
        <is>
          <t>Answering Machine Autodial</t>
        </is>
      </c>
      <c r="L3420" t="n">
        <v>3</v>
      </c>
      <c r="M3420" t="inlineStr">
        <is>
          <t>2026-06-23 10:02:55</t>
        </is>
      </c>
      <c r="N3420" t="inlineStr">
        <is>
          <t>system</t>
        </is>
      </c>
      <c r="O3420" t="inlineStr">
        <is>
          <t>2026-06-19 07:10:32</t>
        </is>
      </c>
      <c r="P3420" t="inlineStr">
        <is>
          <t>2026-06-19 07:10:32</t>
        </is>
      </c>
      <c r="Y3420" t="inlineStr">
        <is>
          <t>27720720284</t>
        </is>
      </c>
    </row>
    <row r="3421">
      <c r="A3421" t="inlineStr">
        <is>
          <t>14946242</t>
        </is>
      </c>
      <c r="B3421" t="inlineStr">
        <is>
          <t>95558bd7-9199-48fe-b331-89b507b60457</t>
        </is>
      </c>
      <c r="D3421" t="inlineStr">
        <is>
          <t>30001087</t>
        </is>
      </c>
      <c r="E3421" t="inlineStr">
        <is>
          <t>ussd_funeral_leads_altitude_20260619</t>
        </is>
      </c>
      <c r="J3421" t="inlineStr">
        <is>
          <t>AA</t>
        </is>
      </c>
      <c r="K3421" t="inlineStr">
        <is>
          <t>Answering Machine Autodial</t>
        </is>
      </c>
      <c r="L3421" t="n">
        <v>3</v>
      </c>
      <c r="M3421" t="inlineStr">
        <is>
          <t>2026-06-23 10:02:49</t>
        </is>
      </c>
      <c r="N3421" t="inlineStr">
        <is>
          <t>system</t>
        </is>
      </c>
      <c r="O3421" t="inlineStr">
        <is>
          <t>2026-06-19 07:10:32</t>
        </is>
      </c>
      <c r="P3421" t="inlineStr">
        <is>
          <t>2026-06-19 07:10:32</t>
        </is>
      </c>
      <c r="Y3421" t="inlineStr">
        <is>
          <t>27715313749</t>
        </is>
      </c>
    </row>
    <row r="3422">
      <c r="A3422" t="inlineStr">
        <is>
          <t>14946241</t>
        </is>
      </c>
      <c r="B3422" t="inlineStr">
        <is>
          <t>456937a4-167f-40d6-a147-ccd1f538faf2</t>
        </is>
      </c>
      <c r="D3422" t="inlineStr">
        <is>
          <t>30001087</t>
        </is>
      </c>
      <c r="E3422" t="inlineStr">
        <is>
          <t>ussd_funeral_leads_altitude_20260619</t>
        </is>
      </c>
      <c r="J3422" t="inlineStr">
        <is>
          <t>AA</t>
        </is>
      </c>
      <c r="K3422" t="inlineStr">
        <is>
          <t>Answering Machine Autodial</t>
        </is>
      </c>
      <c r="L3422" t="n">
        <v>3</v>
      </c>
      <c r="M3422" t="inlineStr">
        <is>
          <t>2026-06-23 10:02:48</t>
        </is>
      </c>
      <c r="N3422" t="inlineStr">
        <is>
          <t>system</t>
        </is>
      </c>
      <c r="O3422" t="inlineStr">
        <is>
          <t>2026-06-19 07:10:32</t>
        </is>
      </c>
      <c r="P3422" t="inlineStr">
        <is>
          <t>2026-06-19 07:10:32</t>
        </is>
      </c>
      <c r="Y3422" t="inlineStr">
        <is>
          <t>27673338941</t>
        </is>
      </c>
    </row>
    <row r="3423">
      <c r="A3423" t="inlineStr">
        <is>
          <t>14946240</t>
        </is>
      </c>
      <c r="B3423" t="inlineStr">
        <is>
          <t>df037733-6fa2-486a-a523-00204972098d</t>
        </is>
      </c>
      <c r="D3423" t="inlineStr">
        <is>
          <t>30001087</t>
        </is>
      </c>
      <c r="E3423" t="inlineStr">
        <is>
          <t>ussd_funeral_leads_altitude_20260619</t>
        </is>
      </c>
      <c r="J3423" t="inlineStr">
        <is>
          <t>AA</t>
        </is>
      </c>
      <c r="K3423" t="inlineStr">
        <is>
          <t>Answering Machine Autodial</t>
        </is>
      </c>
      <c r="L3423" t="n">
        <v>3</v>
      </c>
      <c r="M3423" t="inlineStr">
        <is>
          <t>2026-06-23 10:02:44</t>
        </is>
      </c>
      <c r="N3423" t="inlineStr">
        <is>
          <t>system</t>
        </is>
      </c>
      <c r="O3423" t="inlineStr">
        <is>
          <t>2026-06-19 07:10:32</t>
        </is>
      </c>
      <c r="P3423" t="inlineStr">
        <is>
          <t>2026-06-19 07:10:32</t>
        </is>
      </c>
      <c r="Y3423" t="inlineStr">
        <is>
          <t>27764160728</t>
        </is>
      </c>
    </row>
    <row r="3424">
      <c r="A3424" t="inlineStr">
        <is>
          <t>14946239</t>
        </is>
      </c>
      <c r="B3424" t="inlineStr">
        <is>
          <t>81e9cdb8-5a43-4111-aea5-f6c738b379f8</t>
        </is>
      </c>
      <c r="D3424" t="inlineStr">
        <is>
          <t>30001087</t>
        </is>
      </c>
      <c r="E3424" t="inlineStr">
        <is>
          <t>ussd_funeral_leads_altitude_20260619</t>
        </is>
      </c>
      <c r="J3424" t="inlineStr">
        <is>
          <t>AA</t>
        </is>
      </c>
      <c r="K3424" t="inlineStr">
        <is>
          <t>Answering Machine Autodial</t>
        </is>
      </c>
      <c r="L3424" t="n">
        <v>3</v>
      </c>
      <c r="M3424" t="inlineStr">
        <is>
          <t>2026-06-23 10:02:42</t>
        </is>
      </c>
      <c r="N3424" t="inlineStr">
        <is>
          <t>system</t>
        </is>
      </c>
      <c r="O3424" t="inlineStr">
        <is>
          <t>2026-06-19 07:10:32</t>
        </is>
      </c>
      <c r="P3424" t="inlineStr">
        <is>
          <t>2026-06-19 07:10:32</t>
        </is>
      </c>
      <c r="Y3424" t="inlineStr">
        <is>
          <t>27661297992</t>
        </is>
      </c>
    </row>
    <row r="3425">
      <c r="A3425" t="inlineStr">
        <is>
          <t>14946236</t>
        </is>
      </c>
      <c r="B3425" t="inlineStr">
        <is>
          <t>c278ab81-680e-48ca-b297-7eedffd02835</t>
        </is>
      </c>
      <c r="D3425" t="inlineStr">
        <is>
          <t>30001087</t>
        </is>
      </c>
      <c r="E3425" t="inlineStr">
        <is>
          <t>ussd_funeral_leads_altitude_20260619</t>
        </is>
      </c>
      <c r="J3425" t="inlineStr">
        <is>
          <t>AA</t>
        </is>
      </c>
      <c r="K3425" t="inlineStr">
        <is>
          <t>Answering Machine Autodial</t>
        </is>
      </c>
      <c r="L3425" t="n">
        <v>3</v>
      </c>
      <c r="M3425" t="inlineStr">
        <is>
          <t>2026-06-23 10:02:39</t>
        </is>
      </c>
      <c r="N3425" t="inlineStr">
        <is>
          <t>system</t>
        </is>
      </c>
      <c r="O3425" t="inlineStr">
        <is>
          <t>2026-06-19 07:10:32</t>
        </is>
      </c>
      <c r="P3425" t="inlineStr">
        <is>
          <t>2026-06-19 07:10:32</t>
        </is>
      </c>
      <c r="Y3425" t="inlineStr">
        <is>
          <t>27727295875</t>
        </is>
      </c>
    </row>
    <row r="3426">
      <c r="A3426" t="inlineStr">
        <is>
          <t>14946238</t>
        </is>
      </c>
      <c r="B3426" t="inlineStr">
        <is>
          <t>f71b8e63-55f5-48fd-a0e8-f12de7eee7e3</t>
        </is>
      </c>
      <c r="D3426" t="inlineStr">
        <is>
          <t>30001087</t>
        </is>
      </c>
      <c r="E3426" t="inlineStr">
        <is>
          <t>ussd_funeral_leads_altitude_20260619</t>
        </is>
      </c>
      <c r="H3426" t="inlineStr">
        <is>
          <t>27674364099</t>
        </is>
      </c>
      <c r="J3426" t="inlineStr">
        <is>
          <t>DROP</t>
        </is>
      </c>
      <c r="K3426" t="inlineStr">
        <is>
          <t>Dropped</t>
        </is>
      </c>
      <c r="L3426" t="n">
        <v>3</v>
      </c>
      <c r="M3426" t="inlineStr">
        <is>
          <t>2026-06-23 10:02:39</t>
        </is>
      </c>
      <c r="N3426" t="inlineStr">
        <is>
          <t>system</t>
        </is>
      </c>
      <c r="O3426" t="inlineStr">
        <is>
          <t>2026-06-19 07:10:32</t>
        </is>
      </c>
      <c r="P3426" t="inlineStr">
        <is>
          <t>2026-06-19 07:10:32</t>
        </is>
      </c>
      <c r="Y3426" t="inlineStr">
        <is>
          <t>27674364099</t>
        </is>
      </c>
    </row>
    <row r="3427">
      <c r="A3427" t="inlineStr">
        <is>
          <t>14946233</t>
        </is>
      </c>
      <c r="B3427" t="inlineStr">
        <is>
          <t>b0ef9f97-79ca-4c33-a4a6-8282c73df56e</t>
        </is>
      </c>
      <c r="D3427" t="inlineStr">
        <is>
          <t>30001087</t>
        </is>
      </c>
      <c r="E3427" t="inlineStr">
        <is>
          <t>ussd_funeral_leads_altitude_20260619</t>
        </is>
      </c>
      <c r="J3427" t="inlineStr">
        <is>
          <t>ADC</t>
        </is>
      </c>
      <c r="K3427" t="inlineStr">
        <is>
          <t>Auto Dial Disconnected</t>
        </is>
      </c>
      <c r="L3427" t="n">
        <v>3</v>
      </c>
      <c r="M3427" t="inlineStr">
        <is>
          <t>2026-06-23 10:02:37</t>
        </is>
      </c>
      <c r="N3427" t="inlineStr">
        <is>
          <t>system</t>
        </is>
      </c>
      <c r="O3427" t="inlineStr">
        <is>
          <t>2026-06-19 07:10:32</t>
        </is>
      </c>
      <c r="P3427" t="inlineStr">
        <is>
          <t>2026-06-19 07:10:32</t>
        </is>
      </c>
      <c r="Y3427" t="inlineStr">
        <is>
          <t>27716585180</t>
        </is>
      </c>
    </row>
    <row r="3428">
      <c r="A3428" t="inlineStr">
        <is>
          <t>14946234</t>
        </is>
      </c>
      <c r="B3428" t="inlineStr">
        <is>
          <t>f4713570-ded1-4d2c-9c2c-e6359e7b7d20</t>
        </is>
      </c>
      <c r="D3428" t="inlineStr">
        <is>
          <t>30001087</t>
        </is>
      </c>
      <c r="E3428" t="inlineStr">
        <is>
          <t>ussd_funeral_leads_altitude_20260619</t>
        </is>
      </c>
      <c r="J3428" t="inlineStr">
        <is>
          <t>AA</t>
        </is>
      </c>
      <c r="K3428" t="inlineStr">
        <is>
          <t>Answering Machine Autodial</t>
        </is>
      </c>
      <c r="L3428" t="n">
        <v>3</v>
      </c>
      <c r="M3428" t="inlineStr">
        <is>
          <t>2026-06-23 10:02:37</t>
        </is>
      </c>
      <c r="N3428" t="inlineStr">
        <is>
          <t>system</t>
        </is>
      </c>
      <c r="O3428" t="inlineStr">
        <is>
          <t>2026-06-19 07:10:32</t>
        </is>
      </c>
      <c r="P3428" t="inlineStr">
        <is>
          <t>2026-06-19 07:10:32</t>
        </is>
      </c>
      <c r="Y3428" t="inlineStr">
        <is>
          <t>27673268400</t>
        </is>
      </c>
    </row>
    <row r="3429">
      <c r="A3429" t="inlineStr">
        <is>
          <t>14946235</t>
        </is>
      </c>
      <c r="B3429" t="inlineStr">
        <is>
          <t>52093879-4c3e-4f41-ab2c-9d5f8ebd98cb</t>
        </is>
      </c>
      <c r="D3429" t="inlineStr">
        <is>
          <t>30001087</t>
        </is>
      </c>
      <c r="E3429" t="inlineStr">
        <is>
          <t>ussd_funeral_leads_altitude_20260619</t>
        </is>
      </c>
      <c r="J3429" t="inlineStr">
        <is>
          <t>AA</t>
        </is>
      </c>
      <c r="K3429" t="inlineStr">
        <is>
          <t>Answering Machine Autodial</t>
        </is>
      </c>
      <c r="L3429" t="n">
        <v>3</v>
      </c>
      <c r="M3429" t="inlineStr">
        <is>
          <t>2026-06-23 10:02:37</t>
        </is>
      </c>
      <c r="N3429" t="inlineStr">
        <is>
          <t>system</t>
        </is>
      </c>
      <c r="O3429" t="inlineStr">
        <is>
          <t>2026-06-19 07:10:32</t>
        </is>
      </c>
      <c r="P3429" t="inlineStr">
        <is>
          <t>2026-06-19 07:10:32</t>
        </is>
      </c>
      <c r="Y3429" t="inlineStr">
        <is>
          <t>27761662334</t>
        </is>
      </c>
    </row>
    <row r="3430">
      <c r="A3430" t="inlineStr">
        <is>
          <t>14946232</t>
        </is>
      </c>
      <c r="B3430" t="inlineStr">
        <is>
          <t>0b54c3d1-9464-489e-8ae5-80cc2f2461d4</t>
        </is>
      </c>
      <c r="D3430" t="inlineStr">
        <is>
          <t>30001087</t>
        </is>
      </c>
      <c r="E3430" t="inlineStr">
        <is>
          <t>ussd_funeral_leads_altitude_20260619</t>
        </is>
      </c>
      <c r="J3430" t="inlineStr">
        <is>
          <t>AA</t>
        </is>
      </c>
      <c r="K3430" t="inlineStr">
        <is>
          <t>Answering Machine Autodial</t>
        </is>
      </c>
      <c r="L3430" t="n">
        <v>3</v>
      </c>
      <c r="M3430" t="inlineStr">
        <is>
          <t>2026-06-23 10:02:34</t>
        </is>
      </c>
      <c r="N3430" t="inlineStr">
        <is>
          <t>system</t>
        </is>
      </c>
      <c r="O3430" t="inlineStr">
        <is>
          <t>2026-06-19 07:10:32</t>
        </is>
      </c>
      <c r="P3430" t="inlineStr">
        <is>
          <t>2026-06-19 07:10:32</t>
        </is>
      </c>
      <c r="Y3430" t="inlineStr">
        <is>
          <t>27767512072</t>
        </is>
      </c>
    </row>
    <row r="3431">
      <c r="A3431" t="inlineStr">
        <is>
          <t>14946231</t>
        </is>
      </c>
      <c r="B3431" t="inlineStr">
        <is>
          <t>11e3ee0c-cc01-4de0-8061-d9269c9737e6</t>
        </is>
      </c>
      <c r="D3431" t="inlineStr">
        <is>
          <t>30001087</t>
        </is>
      </c>
      <c r="E3431" t="inlineStr">
        <is>
          <t>ussd_funeral_leads_altitude_20260619</t>
        </is>
      </c>
      <c r="J3431" t="inlineStr">
        <is>
          <t>CU</t>
        </is>
      </c>
      <c r="K3431" t="inlineStr">
        <is>
          <t>Client Hung Up</t>
        </is>
      </c>
      <c r="L3431" t="n">
        <v>3</v>
      </c>
      <c r="M3431" t="inlineStr">
        <is>
          <t>2026-06-23 10:02:32</t>
        </is>
      </c>
      <c r="N3431" t="inlineStr">
        <is>
          <t>Dimakatso Nkomo</t>
        </is>
      </c>
      <c r="O3431" t="inlineStr">
        <is>
          <t>2026-06-19 07:10:32</t>
        </is>
      </c>
      <c r="P3431" t="inlineStr">
        <is>
          <t>2026-06-19 07:10:32</t>
        </is>
      </c>
      <c r="Y3431" t="inlineStr">
        <is>
          <t>27799926541</t>
        </is>
      </c>
    </row>
    <row r="3432">
      <c r="A3432" t="inlineStr">
        <is>
          <t>14946223</t>
        </is>
      </c>
      <c r="B3432" t="inlineStr">
        <is>
          <t>ddfe0341-cba9-4463-b219-1976bde64ead</t>
        </is>
      </c>
      <c r="D3432" t="inlineStr">
        <is>
          <t>30001087</t>
        </is>
      </c>
      <c r="E3432" t="inlineStr">
        <is>
          <t>ussd_funeral_leads_altitude_20260619</t>
        </is>
      </c>
      <c r="J3432" t="inlineStr">
        <is>
          <t>AA</t>
        </is>
      </c>
      <c r="K3432" t="inlineStr">
        <is>
          <t>Answering Machine Autodial</t>
        </is>
      </c>
      <c r="L3432" t="n">
        <v>3</v>
      </c>
      <c r="M3432" t="inlineStr">
        <is>
          <t>2026-06-23 10:02:30</t>
        </is>
      </c>
      <c r="N3432" t="inlineStr">
        <is>
          <t>system</t>
        </is>
      </c>
      <c r="O3432" t="inlineStr">
        <is>
          <t>2026-06-19 07:10:32</t>
        </is>
      </c>
      <c r="P3432" t="inlineStr">
        <is>
          <t>2026-06-19 07:10:32</t>
        </is>
      </c>
      <c r="Y3432" t="inlineStr">
        <is>
          <t>27774959064</t>
        </is>
      </c>
    </row>
    <row r="3433">
      <c r="A3433" t="inlineStr">
        <is>
          <t>14946224</t>
        </is>
      </c>
      <c r="B3433" t="inlineStr">
        <is>
          <t>ceaec5b4-03ff-4662-b448-df691626a341</t>
        </is>
      </c>
      <c r="D3433" t="inlineStr">
        <is>
          <t>30001087</t>
        </is>
      </c>
      <c r="E3433" t="inlineStr">
        <is>
          <t>ussd_funeral_leads_altitude_20260619</t>
        </is>
      </c>
      <c r="J3433" t="inlineStr">
        <is>
          <t>AA</t>
        </is>
      </c>
      <c r="K3433" t="inlineStr">
        <is>
          <t>Answering Machine Autodial</t>
        </is>
      </c>
      <c r="L3433" t="n">
        <v>3</v>
      </c>
      <c r="M3433" t="inlineStr">
        <is>
          <t>2026-06-23 10:02:30</t>
        </is>
      </c>
      <c r="N3433" t="inlineStr">
        <is>
          <t>system</t>
        </is>
      </c>
      <c r="O3433" t="inlineStr">
        <is>
          <t>2026-06-19 07:10:32</t>
        </is>
      </c>
      <c r="P3433" t="inlineStr">
        <is>
          <t>2026-06-19 07:10:32</t>
        </is>
      </c>
      <c r="Y3433" t="inlineStr">
        <is>
          <t>27727370691</t>
        </is>
      </c>
    </row>
    <row r="3434">
      <c r="A3434" t="inlineStr">
        <is>
          <t>14946225</t>
        </is>
      </c>
      <c r="B3434" t="inlineStr">
        <is>
          <t>0cc50ac0-7ba8-4633-9851-201b3673f6c2</t>
        </is>
      </c>
      <c r="D3434" t="inlineStr">
        <is>
          <t>30001087</t>
        </is>
      </c>
      <c r="E3434" t="inlineStr">
        <is>
          <t>ussd_funeral_leads_altitude_20260619</t>
        </is>
      </c>
      <c r="J3434" t="inlineStr">
        <is>
          <t>ADC</t>
        </is>
      </c>
      <c r="K3434" t="inlineStr">
        <is>
          <t>Auto Dial Disconnected</t>
        </is>
      </c>
      <c r="L3434" t="n">
        <v>3</v>
      </c>
      <c r="M3434" t="inlineStr">
        <is>
          <t>2026-06-23 10:02:30</t>
        </is>
      </c>
      <c r="N3434" t="inlineStr">
        <is>
          <t>system</t>
        </is>
      </c>
      <c r="O3434" t="inlineStr">
        <is>
          <t>2026-06-19 07:10:32</t>
        </is>
      </c>
      <c r="P3434" t="inlineStr">
        <is>
          <t>2026-06-19 07:10:32</t>
        </is>
      </c>
      <c r="Y3434" t="inlineStr">
        <is>
          <t>27647954044</t>
        </is>
      </c>
    </row>
    <row r="3435">
      <c r="A3435" t="inlineStr">
        <is>
          <t>14946226</t>
        </is>
      </c>
      <c r="B3435" t="inlineStr">
        <is>
          <t>4605ce5a-e816-4fc0-8c54-ffd62cf845c4</t>
        </is>
      </c>
      <c r="D3435" t="inlineStr">
        <is>
          <t>30001087</t>
        </is>
      </c>
      <c r="E3435" t="inlineStr">
        <is>
          <t>ussd_funeral_leads_altitude_20260619</t>
        </is>
      </c>
      <c r="J3435" t="inlineStr">
        <is>
          <t>CU</t>
        </is>
      </c>
      <c r="K3435" t="inlineStr">
        <is>
          <t>Client Hung Up</t>
        </is>
      </c>
      <c r="L3435" t="n">
        <v>3</v>
      </c>
      <c r="M3435" t="inlineStr">
        <is>
          <t>2026-06-23 10:02:30</t>
        </is>
      </c>
      <c r="N3435" t="inlineStr">
        <is>
          <t>Goitsimang Mogwasa</t>
        </is>
      </c>
      <c r="O3435" t="inlineStr">
        <is>
          <t>2026-06-19 07:10:32</t>
        </is>
      </c>
      <c r="P3435" t="inlineStr">
        <is>
          <t>2026-06-19 07:10:32</t>
        </is>
      </c>
      <c r="Y3435" t="inlineStr">
        <is>
          <t>27609148921</t>
        </is>
      </c>
    </row>
    <row r="3436">
      <c r="A3436" t="inlineStr">
        <is>
          <t>14946227</t>
        </is>
      </c>
      <c r="B3436" t="inlineStr">
        <is>
          <t>c6233e97-2c27-441e-9e65-1766eb06b091</t>
        </is>
      </c>
      <c r="D3436" t="inlineStr">
        <is>
          <t>30001087</t>
        </is>
      </c>
      <c r="E3436" t="inlineStr">
        <is>
          <t>ussd_funeral_leads_altitude_20260619</t>
        </is>
      </c>
      <c r="J3436" t="inlineStr">
        <is>
          <t>AA</t>
        </is>
      </c>
      <c r="K3436" t="inlineStr">
        <is>
          <t>Answering Machine Autodial</t>
        </is>
      </c>
      <c r="L3436" t="n">
        <v>3</v>
      </c>
      <c r="M3436" t="inlineStr">
        <is>
          <t>2026-06-23 10:02:30</t>
        </is>
      </c>
      <c r="N3436" t="inlineStr">
        <is>
          <t>system</t>
        </is>
      </c>
      <c r="O3436" t="inlineStr">
        <is>
          <t>2026-06-19 07:10:32</t>
        </is>
      </c>
      <c r="P3436" t="inlineStr">
        <is>
          <t>2026-06-19 07:10:32</t>
        </is>
      </c>
      <c r="Y3436" t="inlineStr">
        <is>
          <t>27726664927</t>
        </is>
      </c>
    </row>
    <row r="3437">
      <c r="A3437" t="inlineStr">
        <is>
          <t>14946229</t>
        </is>
      </c>
      <c r="B3437" t="inlineStr">
        <is>
          <t>c85c90d3-0f54-410e-ba5a-aa4f45f57cc4</t>
        </is>
      </c>
      <c r="D3437" t="inlineStr">
        <is>
          <t>30001087</t>
        </is>
      </c>
      <c r="E3437" t="inlineStr">
        <is>
          <t>ussd_funeral_leads_altitude_20260619</t>
        </is>
      </c>
      <c r="J3437" t="inlineStr">
        <is>
          <t>ADC</t>
        </is>
      </c>
      <c r="K3437" t="inlineStr">
        <is>
          <t>Auto Dial Disconnected</t>
        </is>
      </c>
      <c r="L3437" t="n">
        <v>3</v>
      </c>
      <c r="M3437" t="inlineStr">
        <is>
          <t>2026-06-23 10:02:30</t>
        </is>
      </c>
      <c r="N3437" t="inlineStr">
        <is>
          <t>system</t>
        </is>
      </c>
      <c r="O3437" t="inlineStr">
        <is>
          <t>2026-06-19 07:10:32</t>
        </is>
      </c>
      <c r="P3437" t="inlineStr">
        <is>
          <t>2026-06-19 07:10:32</t>
        </is>
      </c>
      <c r="Y3437" t="inlineStr">
        <is>
          <t>27790772116</t>
        </is>
      </c>
    </row>
    <row r="3438">
      <c r="A3438" t="inlineStr">
        <is>
          <t>14946222</t>
        </is>
      </c>
      <c r="B3438" t="inlineStr">
        <is>
          <t>bf140ae1-0fe2-485f-8596-63ab407ae771</t>
        </is>
      </c>
      <c r="D3438" t="inlineStr">
        <is>
          <t>30001087</t>
        </is>
      </c>
      <c r="E3438" t="inlineStr">
        <is>
          <t>ussd_funeral_leads_altitude_20260619</t>
        </is>
      </c>
      <c r="J3438" t="inlineStr">
        <is>
          <t>AA</t>
        </is>
      </c>
      <c r="K3438" t="inlineStr">
        <is>
          <t>Answering Machine Autodial</t>
        </is>
      </c>
      <c r="L3438" t="n">
        <v>3</v>
      </c>
      <c r="M3438" t="inlineStr">
        <is>
          <t>2026-06-23 10:02:29</t>
        </is>
      </c>
      <c r="N3438" t="inlineStr">
        <is>
          <t>system</t>
        </is>
      </c>
      <c r="O3438" t="inlineStr">
        <is>
          <t>2026-06-19 07:10:32</t>
        </is>
      </c>
      <c r="P3438" t="inlineStr">
        <is>
          <t>2026-06-19 07:10:32</t>
        </is>
      </c>
      <c r="Y3438" t="inlineStr">
        <is>
          <t>27792142842</t>
        </is>
      </c>
    </row>
    <row r="3439">
      <c r="A3439" t="inlineStr">
        <is>
          <t>14946208</t>
        </is>
      </c>
      <c r="B3439" t="inlineStr">
        <is>
          <t>8b6904a5-9bef-48c7-99dd-ea137b04ffc0</t>
        </is>
      </c>
      <c r="D3439" t="inlineStr">
        <is>
          <t>30001087</t>
        </is>
      </c>
      <c r="E3439" t="inlineStr">
        <is>
          <t>ussd_funeral_leads_altitude_20260619</t>
        </is>
      </c>
      <c r="J3439" t="inlineStr">
        <is>
          <t>AA</t>
        </is>
      </c>
      <c r="K3439" t="inlineStr">
        <is>
          <t>Answering Machine Autodial</t>
        </is>
      </c>
      <c r="L3439" t="n">
        <v>3</v>
      </c>
      <c r="M3439" t="inlineStr">
        <is>
          <t>2026-06-23 10:02:25</t>
        </is>
      </c>
      <c r="N3439" t="inlineStr">
        <is>
          <t>system</t>
        </is>
      </c>
      <c r="O3439" t="inlineStr">
        <is>
          <t>2026-06-19 07:10:32</t>
        </is>
      </c>
      <c r="P3439" t="inlineStr">
        <is>
          <t>2026-06-19 07:10:32</t>
        </is>
      </c>
      <c r="Y3439" t="inlineStr">
        <is>
          <t>27768128021</t>
        </is>
      </c>
    </row>
    <row r="3440">
      <c r="A3440" t="inlineStr">
        <is>
          <t>14946207</t>
        </is>
      </c>
      <c r="B3440" t="inlineStr">
        <is>
          <t>9e64c706-3445-41e6-9f02-5d98ad18e626</t>
        </is>
      </c>
      <c r="D3440" t="inlineStr">
        <is>
          <t>30001087</t>
        </is>
      </c>
      <c r="E3440" t="inlineStr">
        <is>
          <t>ussd_funeral_leads_altitude_20260619</t>
        </is>
      </c>
      <c r="J3440" t="inlineStr">
        <is>
          <t>ADC</t>
        </is>
      </c>
      <c r="K3440" t="inlineStr">
        <is>
          <t>Auto Dial Disconnected</t>
        </is>
      </c>
      <c r="L3440" t="n">
        <v>3</v>
      </c>
      <c r="M3440" t="inlineStr">
        <is>
          <t>2026-06-23 10:02:22</t>
        </is>
      </c>
      <c r="N3440" t="inlineStr">
        <is>
          <t>system</t>
        </is>
      </c>
      <c r="O3440" t="inlineStr">
        <is>
          <t>2026-06-19 07:10:32</t>
        </is>
      </c>
      <c r="P3440" t="inlineStr">
        <is>
          <t>2026-06-19 07:10:32</t>
        </is>
      </c>
      <c r="Y3440" t="inlineStr">
        <is>
          <t>27827072457</t>
        </is>
      </c>
    </row>
    <row r="3441">
      <c r="A3441" t="inlineStr">
        <is>
          <t>14947693</t>
        </is>
      </c>
      <c r="B3441" t="inlineStr">
        <is>
          <t>d4555efe-8b5b-4450-a248-4beef19ba9d7</t>
        </is>
      </c>
      <c r="D3441" t="inlineStr">
        <is>
          <t>30001087</t>
        </is>
      </c>
      <c r="E3441" t="inlineStr">
        <is>
          <t>ussd_funeral_leads_altitude_20260619</t>
        </is>
      </c>
      <c r="H3441" t="inlineStr">
        <is>
          <t>27665638436</t>
        </is>
      </c>
      <c r="J3441" t="inlineStr">
        <is>
          <t>IABDN</t>
        </is>
      </c>
      <c r="K3441" t="inlineStr">
        <is>
          <t>Inbound Abandon</t>
        </is>
      </c>
      <c r="L3441" t="n">
        <v>2</v>
      </c>
      <c r="M3441" t="inlineStr">
        <is>
          <t>2026-06-23 10:02:05</t>
        </is>
      </c>
      <c r="N3441" t="inlineStr">
        <is>
          <t>system</t>
        </is>
      </c>
      <c r="O3441" t="inlineStr">
        <is>
          <t>2026-06-19 07:10:32</t>
        </is>
      </c>
      <c r="P3441" t="inlineStr">
        <is>
          <t>2026-06-19 07:10:32</t>
        </is>
      </c>
      <c r="Y3441" t="inlineStr">
        <is>
          <t>27665638436</t>
        </is>
      </c>
    </row>
    <row r="3442">
      <c r="A3442" t="inlineStr">
        <is>
          <t>14946204</t>
        </is>
      </c>
      <c r="B3442" t="inlineStr">
        <is>
          <t>25ac9d48-27b2-418e-abd0-bbe904eb89c6</t>
        </is>
      </c>
      <c r="D3442" t="inlineStr">
        <is>
          <t>30001087</t>
        </is>
      </c>
      <c r="E3442" t="inlineStr">
        <is>
          <t>ussd_funeral_leads_altitude_20260619</t>
        </is>
      </c>
      <c r="J3442" t="inlineStr">
        <is>
          <t>AA</t>
        </is>
      </c>
      <c r="K3442" t="inlineStr">
        <is>
          <t>Answering Machine Autodial</t>
        </is>
      </c>
      <c r="L3442" t="n">
        <v>3</v>
      </c>
      <c r="M3442" t="inlineStr">
        <is>
          <t>2026-06-23 10:01:59</t>
        </is>
      </c>
      <c r="N3442" t="inlineStr">
        <is>
          <t>system</t>
        </is>
      </c>
      <c r="O3442" t="inlineStr">
        <is>
          <t>2026-06-19 07:10:32</t>
        </is>
      </c>
      <c r="P3442" t="inlineStr">
        <is>
          <t>2026-06-19 07:10:32</t>
        </is>
      </c>
      <c r="Y3442" t="inlineStr">
        <is>
          <t>27720739406</t>
        </is>
      </c>
    </row>
    <row r="3443">
      <c r="A3443" t="inlineStr">
        <is>
          <t>14946205</t>
        </is>
      </c>
      <c r="B3443" t="inlineStr">
        <is>
          <t>dae4d766-d27f-4679-a1ee-03074b073424</t>
        </is>
      </c>
      <c r="D3443" t="inlineStr">
        <is>
          <t>30001087</t>
        </is>
      </c>
      <c r="E3443" t="inlineStr">
        <is>
          <t>ussd_funeral_leads_altitude_20260619</t>
        </is>
      </c>
      <c r="J3443" t="inlineStr">
        <is>
          <t>AA</t>
        </is>
      </c>
      <c r="K3443" t="inlineStr">
        <is>
          <t>Answering Machine Autodial</t>
        </is>
      </c>
      <c r="L3443" t="n">
        <v>3</v>
      </c>
      <c r="M3443" t="inlineStr">
        <is>
          <t>2026-06-23 10:01:59</t>
        </is>
      </c>
      <c r="N3443" t="inlineStr">
        <is>
          <t>system</t>
        </is>
      </c>
      <c r="O3443" t="inlineStr">
        <is>
          <t>2026-06-19 07:10:32</t>
        </is>
      </c>
      <c r="P3443" t="inlineStr">
        <is>
          <t>2026-06-19 07:10:32</t>
        </is>
      </c>
      <c r="Y3443" t="inlineStr">
        <is>
          <t>27835771499</t>
        </is>
      </c>
    </row>
    <row r="3444">
      <c r="A3444" t="inlineStr">
        <is>
          <t>14946202</t>
        </is>
      </c>
      <c r="B3444" t="inlineStr">
        <is>
          <t>067af7d6-57bf-40bf-9b2f-2682e9872bc7</t>
        </is>
      </c>
      <c r="D3444" t="inlineStr">
        <is>
          <t>30001087</t>
        </is>
      </c>
      <c r="E3444" t="inlineStr">
        <is>
          <t>ussd_funeral_leads_altitude_20260619</t>
        </is>
      </c>
      <c r="J3444" t="inlineStr">
        <is>
          <t>ADC</t>
        </is>
      </c>
      <c r="K3444" t="inlineStr">
        <is>
          <t>Auto Dial Disconnected</t>
        </is>
      </c>
      <c r="L3444" t="n">
        <v>3</v>
      </c>
      <c r="M3444" t="inlineStr">
        <is>
          <t>2026-06-23 10:01:48</t>
        </is>
      </c>
      <c r="N3444" t="inlineStr">
        <is>
          <t>system</t>
        </is>
      </c>
      <c r="O3444" t="inlineStr">
        <is>
          <t>2026-06-19 07:10:32</t>
        </is>
      </c>
      <c r="P3444" t="inlineStr">
        <is>
          <t>2026-06-19 07:10:32</t>
        </is>
      </c>
      <c r="Y3444" t="inlineStr">
        <is>
          <t>27649975757</t>
        </is>
      </c>
    </row>
    <row r="3445">
      <c r="A3445" t="inlineStr">
        <is>
          <t>14946203</t>
        </is>
      </c>
      <c r="B3445" t="inlineStr">
        <is>
          <t>b58ebba1-4337-493b-b60f-b8e9e763ce11</t>
        </is>
      </c>
      <c r="D3445" t="inlineStr">
        <is>
          <t>30001087</t>
        </is>
      </c>
      <c r="E3445" t="inlineStr">
        <is>
          <t>ussd_funeral_leads_altitude_20260619</t>
        </is>
      </c>
      <c r="J3445" t="inlineStr">
        <is>
          <t>NA</t>
        </is>
      </c>
      <c r="K3445" t="inlineStr">
        <is>
          <t>No Answer Autodial</t>
        </is>
      </c>
      <c r="L3445" t="n">
        <v>3</v>
      </c>
      <c r="M3445" t="inlineStr">
        <is>
          <t>2026-06-23 10:01:48</t>
        </is>
      </c>
      <c r="N3445" t="inlineStr">
        <is>
          <t>system</t>
        </is>
      </c>
      <c r="O3445" t="inlineStr">
        <is>
          <t>2026-06-19 07:10:32</t>
        </is>
      </c>
      <c r="P3445" t="inlineStr">
        <is>
          <t>2026-06-19 07:10:32</t>
        </is>
      </c>
      <c r="Y3445" t="inlineStr">
        <is>
          <t>27609637803</t>
        </is>
      </c>
    </row>
    <row r="3446">
      <c r="A3446" t="inlineStr">
        <is>
          <t>14946198</t>
        </is>
      </c>
      <c r="B3446" t="inlineStr">
        <is>
          <t>ebfcf656-027d-4caf-b7d9-6815aab4dc91</t>
        </is>
      </c>
      <c r="D3446" t="inlineStr">
        <is>
          <t>30001087</t>
        </is>
      </c>
      <c r="E3446" t="inlineStr">
        <is>
          <t>ussd_funeral_leads_altitude_20260619</t>
        </is>
      </c>
      <c r="J3446" t="inlineStr">
        <is>
          <t>AA</t>
        </is>
      </c>
      <c r="K3446" t="inlineStr">
        <is>
          <t>Answering Machine Autodial</t>
        </is>
      </c>
      <c r="L3446" t="n">
        <v>3</v>
      </c>
      <c r="M3446" t="inlineStr">
        <is>
          <t>2026-06-23 10:01:42</t>
        </is>
      </c>
      <c r="N3446" t="inlineStr">
        <is>
          <t>system</t>
        </is>
      </c>
      <c r="O3446" t="inlineStr">
        <is>
          <t>2026-06-19 07:10:32</t>
        </is>
      </c>
      <c r="P3446" t="inlineStr">
        <is>
          <t>2026-06-19 07:10:32</t>
        </is>
      </c>
      <c r="Y3446" t="inlineStr">
        <is>
          <t>27673592332</t>
        </is>
      </c>
    </row>
    <row r="3447">
      <c r="A3447" t="inlineStr">
        <is>
          <t>14946199</t>
        </is>
      </c>
      <c r="B3447" t="inlineStr">
        <is>
          <t>9005d45d-9eb6-421c-ab3c-c05612eaa97b</t>
        </is>
      </c>
      <c r="D3447" t="inlineStr">
        <is>
          <t>30001087</t>
        </is>
      </c>
      <c r="E3447" t="inlineStr">
        <is>
          <t>ussd_funeral_leads_altitude_20260619</t>
        </is>
      </c>
      <c r="J3447" t="inlineStr">
        <is>
          <t>NA</t>
        </is>
      </c>
      <c r="K3447" t="inlineStr">
        <is>
          <t>No Answer Autodial</t>
        </is>
      </c>
      <c r="L3447" t="n">
        <v>3</v>
      </c>
      <c r="M3447" t="inlineStr">
        <is>
          <t>2026-06-23 10:01:42</t>
        </is>
      </c>
      <c r="N3447" t="inlineStr">
        <is>
          <t>system</t>
        </is>
      </c>
      <c r="O3447" t="inlineStr">
        <is>
          <t>2026-06-19 07:10:32</t>
        </is>
      </c>
      <c r="P3447" t="inlineStr">
        <is>
          <t>2026-06-19 07:10:32</t>
        </is>
      </c>
      <c r="Y3447" t="inlineStr">
        <is>
          <t>27721937280</t>
        </is>
      </c>
    </row>
    <row r="3448">
      <c r="A3448" t="inlineStr">
        <is>
          <t>14946200</t>
        </is>
      </c>
      <c r="B3448" t="inlineStr">
        <is>
          <t>d4e58d45-f1ae-45d2-bccd-fc1e4de0a891</t>
        </is>
      </c>
      <c r="D3448" t="inlineStr">
        <is>
          <t>30001087</t>
        </is>
      </c>
      <c r="E3448" t="inlineStr">
        <is>
          <t>ussd_funeral_leads_altitude_20260619</t>
        </is>
      </c>
      <c r="J3448" t="inlineStr">
        <is>
          <t>ADC</t>
        </is>
      </c>
      <c r="K3448" t="inlineStr">
        <is>
          <t>Auto Dial Disconnected</t>
        </is>
      </c>
      <c r="L3448" t="n">
        <v>3</v>
      </c>
      <c r="M3448" t="inlineStr">
        <is>
          <t>2026-06-23 10:01:42</t>
        </is>
      </c>
      <c r="N3448" t="inlineStr">
        <is>
          <t>system</t>
        </is>
      </c>
      <c r="O3448" t="inlineStr">
        <is>
          <t>2026-06-19 07:10:32</t>
        </is>
      </c>
      <c r="P3448" t="inlineStr">
        <is>
          <t>2026-06-19 07:10:32</t>
        </is>
      </c>
      <c r="Y3448" t="inlineStr">
        <is>
          <t>27761840328</t>
        </is>
      </c>
    </row>
    <row r="3449">
      <c r="A3449" t="inlineStr">
        <is>
          <t>14946201</t>
        </is>
      </c>
      <c r="B3449" t="inlineStr">
        <is>
          <t>7033d800-28e4-4a8c-80a1-91cf2d24f81f</t>
        </is>
      </c>
      <c r="D3449" t="inlineStr">
        <is>
          <t>30001087</t>
        </is>
      </c>
      <c r="E3449" t="inlineStr">
        <is>
          <t>ussd_funeral_leads_altitude_20260619</t>
        </is>
      </c>
      <c r="J3449" t="inlineStr">
        <is>
          <t>AA</t>
        </is>
      </c>
      <c r="K3449" t="inlineStr">
        <is>
          <t>Answering Machine Autodial</t>
        </is>
      </c>
      <c r="L3449" t="n">
        <v>3</v>
      </c>
      <c r="M3449" t="inlineStr">
        <is>
          <t>2026-06-23 10:01:42</t>
        </is>
      </c>
      <c r="N3449" t="inlineStr">
        <is>
          <t>system</t>
        </is>
      </c>
      <c r="O3449" t="inlineStr">
        <is>
          <t>2026-06-19 07:10:32</t>
        </is>
      </c>
      <c r="P3449" t="inlineStr">
        <is>
          <t>2026-06-19 07:10:32</t>
        </is>
      </c>
      <c r="Y3449" t="inlineStr">
        <is>
          <t>27767846038</t>
        </is>
      </c>
    </row>
    <row r="3450">
      <c r="A3450" t="inlineStr">
        <is>
          <t>14947681</t>
        </is>
      </c>
      <c r="B3450" t="inlineStr">
        <is>
          <t>b1cf5324-7431-4cd3-9b72-2180c84be2a2</t>
        </is>
      </c>
      <c r="D3450" t="inlineStr">
        <is>
          <t>30001087</t>
        </is>
      </c>
      <c r="E3450" t="inlineStr">
        <is>
          <t>ussd_funeral_leads_altitude_20260619</t>
        </is>
      </c>
      <c r="J3450" t="inlineStr">
        <is>
          <t>NA</t>
        </is>
      </c>
      <c r="K3450" t="inlineStr">
        <is>
          <t>No Answer Autodial</t>
        </is>
      </c>
      <c r="L3450" t="n">
        <v>3</v>
      </c>
      <c r="M3450" t="inlineStr">
        <is>
          <t>2026-06-23 10:01:41</t>
        </is>
      </c>
      <c r="N3450" t="inlineStr">
        <is>
          <t>system</t>
        </is>
      </c>
      <c r="O3450" t="inlineStr">
        <is>
          <t>2026-06-19 07:10:32</t>
        </is>
      </c>
      <c r="P3450" t="inlineStr">
        <is>
          <t>2026-06-19 07:10:32</t>
        </is>
      </c>
      <c r="Y3450" t="inlineStr">
        <is>
          <t>27797521020</t>
        </is>
      </c>
    </row>
    <row r="3451">
      <c r="A3451" t="inlineStr">
        <is>
          <t>14946220</t>
        </is>
      </c>
      <c r="B3451" t="inlineStr">
        <is>
          <t>f4034b7e-28ba-456b-9291-c7834abc6a1a</t>
        </is>
      </c>
      <c r="D3451" t="inlineStr">
        <is>
          <t>30001087</t>
        </is>
      </c>
      <c r="E3451" t="inlineStr">
        <is>
          <t>ussd_funeral_leads_altitude_20260619</t>
        </is>
      </c>
      <c r="J3451" t="inlineStr">
        <is>
          <t>AA</t>
        </is>
      </c>
      <c r="K3451" t="inlineStr">
        <is>
          <t>Answering Machine Autodial</t>
        </is>
      </c>
      <c r="L3451" t="n">
        <v>3</v>
      </c>
      <c r="M3451" t="inlineStr">
        <is>
          <t>2026-06-23 10:01:09</t>
        </is>
      </c>
      <c r="N3451" t="inlineStr">
        <is>
          <t>system</t>
        </is>
      </c>
      <c r="O3451" t="inlineStr">
        <is>
          <t>2026-06-19 07:10:32</t>
        </is>
      </c>
      <c r="P3451" t="inlineStr">
        <is>
          <t>2026-06-19 07:10:32</t>
        </is>
      </c>
      <c r="Y3451" t="inlineStr">
        <is>
          <t>27606525044</t>
        </is>
      </c>
    </row>
    <row r="3452">
      <c r="A3452" t="inlineStr">
        <is>
          <t>14946221</t>
        </is>
      </c>
      <c r="B3452" t="inlineStr">
        <is>
          <t>9228c05c-7bab-4a7c-a884-e205666803cb</t>
        </is>
      </c>
      <c r="D3452" t="inlineStr">
        <is>
          <t>30001087</t>
        </is>
      </c>
      <c r="E3452" t="inlineStr">
        <is>
          <t>ussd_funeral_leads_altitude_20260619</t>
        </is>
      </c>
      <c r="J3452" t="inlineStr">
        <is>
          <t>AA</t>
        </is>
      </c>
      <c r="K3452" t="inlineStr">
        <is>
          <t>Answering Machine Autodial</t>
        </is>
      </c>
      <c r="L3452" t="n">
        <v>3</v>
      </c>
      <c r="M3452" t="inlineStr">
        <is>
          <t>2026-06-23 10:01:09</t>
        </is>
      </c>
      <c r="N3452" t="inlineStr">
        <is>
          <t>system</t>
        </is>
      </c>
      <c r="O3452" t="inlineStr">
        <is>
          <t>2026-06-19 07:10:32</t>
        </is>
      </c>
      <c r="P3452" t="inlineStr">
        <is>
          <t>2026-06-19 07:10:32</t>
        </is>
      </c>
      <c r="Y3452" t="inlineStr">
        <is>
          <t>27764452263</t>
        </is>
      </c>
    </row>
    <row r="3453">
      <c r="A3453" t="inlineStr">
        <is>
          <t>14946215</t>
        </is>
      </c>
      <c r="B3453" t="inlineStr">
        <is>
          <t>ccd64325-eb8f-4905-84ad-357ee645cbae</t>
        </is>
      </c>
      <c r="D3453" t="inlineStr">
        <is>
          <t>30001087</t>
        </is>
      </c>
      <c r="E3453" t="inlineStr">
        <is>
          <t>ussd_funeral_leads_altitude_20260619</t>
        </is>
      </c>
      <c r="J3453" t="inlineStr">
        <is>
          <t>ADC</t>
        </is>
      </c>
      <c r="K3453" t="inlineStr">
        <is>
          <t>Auto Dial Disconnected</t>
        </is>
      </c>
      <c r="L3453" t="n">
        <v>3</v>
      </c>
      <c r="M3453" t="inlineStr">
        <is>
          <t>2026-06-23 10:01:02</t>
        </is>
      </c>
      <c r="N3453" t="inlineStr">
        <is>
          <t>system</t>
        </is>
      </c>
      <c r="O3453" t="inlineStr">
        <is>
          <t>2026-06-19 07:10:32</t>
        </is>
      </c>
      <c r="P3453" t="inlineStr">
        <is>
          <t>2026-06-19 07:10:32</t>
        </is>
      </c>
      <c r="Y3453" t="inlineStr">
        <is>
          <t>27767493073</t>
        </is>
      </c>
    </row>
    <row r="3454">
      <c r="A3454" t="inlineStr">
        <is>
          <t>14946217</t>
        </is>
      </c>
      <c r="B3454" t="inlineStr">
        <is>
          <t>9085880f-d761-4849-b63d-86c69ac36d7c</t>
        </is>
      </c>
      <c r="D3454" t="inlineStr">
        <is>
          <t>30001087</t>
        </is>
      </c>
      <c r="E3454" t="inlineStr">
        <is>
          <t>ussd_funeral_leads_altitude_20260619</t>
        </is>
      </c>
      <c r="J3454" t="inlineStr">
        <is>
          <t>NA</t>
        </is>
      </c>
      <c r="K3454" t="inlineStr">
        <is>
          <t>No Answer Autodial</t>
        </is>
      </c>
      <c r="L3454" t="n">
        <v>3</v>
      </c>
      <c r="M3454" t="inlineStr">
        <is>
          <t>2026-06-23 10:01:02</t>
        </is>
      </c>
      <c r="N3454" t="inlineStr">
        <is>
          <t>system</t>
        </is>
      </c>
      <c r="O3454" t="inlineStr">
        <is>
          <t>2026-06-19 07:10:32</t>
        </is>
      </c>
      <c r="P3454" t="inlineStr">
        <is>
          <t>2026-06-19 07:10:32</t>
        </is>
      </c>
      <c r="Y3454" t="inlineStr">
        <is>
          <t>27798391127</t>
        </is>
      </c>
    </row>
    <row r="3455">
      <c r="A3455" t="inlineStr">
        <is>
          <t>14946218</t>
        </is>
      </c>
      <c r="B3455" t="inlineStr">
        <is>
          <t>73c3efaf-ada8-45a2-b7e0-5664668d95ea</t>
        </is>
      </c>
      <c r="D3455" t="inlineStr">
        <is>
          <t>30001087</t>
        </is>
      </c>
      <c r="E3455" t="inlineStr">
        <is>
          <t>ussd_funeral_leads_altitude_20260619</t>
        </is>
      </c>
      <c r="J3455" t="inlineStr">
        <is>
          <t>AA</t>
        </is>
      </c>
      <c r="K3455" t="inlineStr">
        <is>
          <t>Answering Machine Autodial</t>
        </is>
      </c>
      <c r="L3455" t="n">
        <v>3</v>
      </c>
      <c r="M3455" t="inlineStr">
        <is>
          <t>2026-06-23 10:01:02</t>
        </is>
      </c>
      <c r="N3455" t="inlineStr">
        <is>
          <t>system</t>
        </is>
      </c>
      <c r="O3455" t="inlineStr">
        <is>
          <t>2026-06-19 07:10:32</t>
        </is>
      </c>
      <c r="P3455" t="inlineStr">
        <is>
          <t>2026-06-19 07:10:32</t>
        </is>
      </c>
      <c r="Y3455" t="inlineStr">
        <is>
          <t>27798184441</t>
        </is>
      </c>
    </row>
    <row r="3456">
      <c r="A3456" t="inlineStr">
        <is>
          <t>14946219</t>
        </is>
      </c>
      <c r="B3456" t="inlineStr">
        <is>
          <t>d4091bcf-b69f-4ab7-9e0e-b22a2769eaff</t>
        </is>
      </c>
      <c r="D3456" t="inlineStr">
        <is>
          <t>30001087</t>
        </is>
      </c>
      <c r="E3456" t="inlineStr">
        <is>
          <t>ussd_funeral_leads_altitude_20260619</t>
        </is>
      </c>
      <c r="J3456" t="inlineStr">
        <is>
          <t>AA</t>
        </is>
      </c>
      <c r="K3456" t="inlineStr">
        <is>
          <t>Answering Machine Autodial</t>
        </is>
      </c>
      <c r="L3456" t="n">
        <v>3</v>
      </c>
      <c r="M3456" t="inlineStr">
        <is>
          <t>2026-06-23 10:01:02</t>
        </is>
      </c>
      <c r="N3456" t="inlineStr">
        <is>
          <t>system</t>
        </is>
      </c>
      <c r="O3456" t="inlineStr">
        <is>
          <t>2026-06-19 07:10:32</t>
        </is>
      </c>
      <c r="P3456" t="inlineStr">
        <is>
          <t>2026-06-19 07:10:32</t>
        </is>
      </c>
      <c r="Y3456" t="inlineStr">
        <is>
          <t>27766751160</t>
        </is>
      </c>
    </row>
    <row r="3457">
      <c r="A3457" t="inlineStr">
        <is>
          <t>14946213</t>
        </is>
      </c>
      <c r="B3457" t="inlineStr">
        <is>
          <t>cc3437bf-64d5-43be-b634-f128e2cfffce</t>
        </is>
      </c>
      <c r="D3457" t="inlineStr">
        <is>
          <t>30001087</t>
        </is>
      </c>
      <c r="E3457" t="inlineStr">
        <is>
          <t>ussd_funeral_leads_altitude_20260619</t>
        </is>
      </c>
      <c r="J3457" t="inlineStr">
        <is>
          <t>AE</t>
        </is>
      </c>
      <c r="K3457" t="inlineStr">
        <is>
          <t>Auto Engaged</t>
        </is>
      </c>
      <c r="L3457" t="n">
        <v>3</v>
      </c>
      <c r="M3457" t="inlineStr">
        <is>
          <t>2026-06-23 10:00:21</t>
        </is>
      </c>
      <c r="N3457" t="inlineStr">
        <is>
          <t>system</t>
        </is>
      </c>
      <c r="O3457" t="inlineStr">
        <is>
          <t>2026-06-19 07:10:32</t>
        </is>
      </c>
      <c r="P3457" t="inlineStr">
        <is>
          <t>2026-06-19 07:10:32</t>
        </is>
      </c>
      <c r="Y3457" t="inlineStr">
        <is>
          <t>27725002389</t>
        </is>
      </c>
    </row>
    <row r="3458">
      <c r="A3458" t="inlineStr">
        <is>
          <t>14946212</t>
        </is>
      </c>
      <c r="B3458" t="inlineStr">
        <is>
          <t>632d800a-ac98-4692-bdf3-fbb8c1cb20ae</t>
        </is>
      </c>
      <c r="D3458" t="inlineStr">
        <is>
          <t>30001087</t>
        </is>
      </c>
      <c r="E3458" t="inlineStr">
        <is>
          <t>ussd_funeral_leads_altitude_20260619</t>
        </is>
      </c>
      <c r="J3458" t="inlineStr">
        <is>
          <t>AA</t>
        </is>
      </c>
      <c r="K3458" t="inlineStr">
        <is>
          <t>Answering Machine Autodial</t>
        </is>
      </c>
      <c r="L3458" t="n">
        <v>3</v>
      </c>
      <c r="M3458" t="inlineStr">
        <is>
          <t>2026-06-23 10:00:18</t>
        </is>
      </c>
      <c r="N3458" t="inlineStr">
        <is>
          <t>system</t>
        </is>
      </c>
      <c r="O3458" t="inlineStr">
        <is>
          <t>2026-06-19 07:10:32</t>
        </is>
      </c>
      <c r="P3458" t="inlineStr">
        <is>
          <t>2026-06-19 07:10:32</t>
        </is>
      </c>
      <c r="Y3458" t="inlineStr">
        <is>
          <t>27766303621</t>
        </is>
      </c>
    </row>
    <row r="3459">
      <c r="A3459" t="inlineStr">
        <is>
          <t>14946211</t>
        </is>
      </c>
      <c r="B3459" t="inlineStr">
        <is>
          <t>5e74d16d-921d-478e-b6cc-fa48ac24d0b0</t>
        </is>
      </c>
      <c r="D3459" t="inlineStr">
        <is>
          <t>30001087</t>
        </is>
      </c>
      <c r="E3459" t="inlineStr">
        <is>
          <t>ussd_funeral_leads_altitude_20260619</t>
        </is>
      </c>
      <c r="J3459" t="inlineStr">
        <is>
          <t>AA</t>
        </is>
      </c>
      <c r="K3459" t="inlineStr">
        <is>
          <t>Answering Machine Autodial</t>
        </is>
      </c>
      <c r="L3459" t="n">
        <v>3</v>
      </c>
      <c r="M3459" t="inlineStr">
        <is>
          <t>2026-06-23 10:00:16</t>
        </is>
      </c>
      <c r="N3459" t="inlineStr">
        <is>
          <t>system</t>
        </is>
      </c>
      <c r="O3459" t="inlineStr">
        <is>
          <t>2026-06-19 07:10:32</t>
        </is>
      </c>
      <c r="P3459" t="inlineStr">
        <is>
          <t>2026-06-19 07:10:32</t>
        </is>
      </c>
      <c r="Y3459" t="inlineStr">
        <is>
          <t>27716687012</t>
        </is>
      </c>
    </row>
    <row r="3460">
      <c r="A3460" t="inlineStr">
        <is>
          <t>14946210</t>
        </is>
      </c>
      <c r="B3460" t="inlineStr">
        <is>
          <t>05619fbc-ebf2-4d83-b3f3-42b23d41ae9c</t>
        </is>
      </c>
      <c r="D3460" t="inlineStr">
        <is>
          <t>30001087</t>
        </is>
      </c>
      <c r="E3460" t="inlineStr">
        <is>
          <t>ussd_funeral_leads_altitude_20260619</t>
        </is>
      </c>
      <c r="J3460" t="inlineStr">
        <is>
          <t>ADC</t>
        </is>
      </c>
      <c r="K3460" t="inlineStr">
        <is>
          <t>Auto Dial Disconnected</t>
        </is>
      </c>
      <c r="L3460" t="n">
        <v>3</v>
      </c>
      <c r="M3460" t="inlineStr">
        <is>
          <t>2026-06-23 10:00:09</t>
        </is>
      </c>
      <c r="N3460" t="inlineStr">
        <is>
          <t>system</t>
        </is>
      </c>
      <c r="O3460" t="inlineStr">
        <is>
          <t>2026-06-19 07:10:32</t>
        </is>
      </c>
      <c r="P3460" t="inlineStr">
        <is>
          <t>2026-06-19 07:10:32</t>
        </is>
      </c>
      <c r="Y3460" t="inlineStr">
        <is>
          <t>27820960201</t>
        </is>
      </c>
    </row>
    <row r="3461">
      <c r="A3461" t="inlineStr">
        <is>
          <t>14946209</t>
        </is>
      </c>
      <c r="B3461" t="inlineStr">
        <is>
          <t>dd010efa-8d21-418f-8f1d-b547accd91d1</t>
        </is>
      </c>
      <c r="D3461" t="inlineStr">
        <is>
          <t>30001087</t>
        </is>
      </c>
      <c r="E3461" t="inlineStr">
        <is>
          <t>ussd_funeral_leads_altitude_20260619</t>
        </is>
      </c>
      <c r="J3461" t="inlineStr">
        <is>
          <t>AA</t>
        </is>
      </c>
      <c r="K3461" t="inlineStr">
        <is>
          <t>Answering Machine Autodial</t>
        </is>
      </c>
      <c r="L3461" t="n">
        <v>3</v>
      </c>
      <c r="M3461" t="inlineStr">
        <is>
          <t>2026-06-23 10:00:08</t>
        </is>
      </c>
      <c r="N3461" t="inlineStr">
        <is>
          <t>system</t>
        </is>
      </c>
      <c r="O3461" t="inlineStr">
        <is>
          <t>2026-06-19 07:10:32</t>
        </is>
      </c>
      <c r="P3461" t="inlineStr">
        <is>
          <t>2026-06-19 07:10:32</t>
        </is>
      </c>
      <c r="Y3461" t="inlineStr">
        <is>
          <t>27765764079</t>
        </is>
      </c>
    </row>
    <row r="3462">
      <c r="A3462" t="inlineStr">
        <is>
          <t>14947682</t>
        </is>
      </c>
      <c r="B3462" t="inlineStr">
        <is>
          <t>54a47334-e36a-4e44-9687-e87c3e67b6d9</t>
        </is>
      </c>
      <c r="D3462" t="inlineStr">
        <is>
          <t>30001087</t>
        </is>
      </c>
      <c r="E3462" t="inlineStr">
        <is>
          <t>ussd_funeral_leads_altitude_20260619</t>
        </is>
      </c>
      <c r="J3462" t="inlineStr">
        <is>
          <t>NA</t>
        </is>
      </c>
      <c r="K3462" t="inlineStr">
        <is>
          <t>No Answer Autodial</t>
        </is>
      </c>
      <c r="L3462" t="n">
        <v>3</v>
      </c>
      <c r="M3462" t="inlineStr">
        <is>
          <t>2026-06-23 10:00:08</t>
        </is>
      </c>
      <c r="N3462" t="inlineStr">
        <is>
          <t>system</t>
        </is>
      </c>
      <c r="O3462" t="inlineStr">
        <is>
          <t>2026-06-19 07:10:32</t>
        </is>
      </c>
      <c r="P3462" t="inlineStr">
        <is>
          <t>2026-06-19 07:10:32</t>
        </is>
      </c>
      <c r="Y3462" t="inlineStr">
        <is>
          <t>27662739982</t>
        </is>
      </c>
    </row>
    <row r="3463">
      <c r="A3463" t="inlineStr">
        <is>
          <t>14946450</t>
        </is>
      </c>
      <c r="B3463" t="inlineStr">
        <is>
          <t>41fbdd8d-69e0-4030-a0b1-94e9a3875fc3</t>
        </is>
      </c>
      <c r="D3463" t="inlineStr">
        <is>
          <t>30001087</t>
        </is>
      </c>
      <c r="E3463" t="inlineStr">
        <is>
          <t>ussd_funeral_leads_altitude_20260619</t>
        </is>
      </c>
      <c r="J3463" t="inlineStr">
        <is>
          <t>AA</t>
        </is>
      </c>
      <c r="K3463" t="inlineStr">
        <is>
          <t>Answering Machine Autodial</t>
        </is>
      </c>
      <c r="L3463" t="n">
        <v>3</v>
      </c>
      <c r="M3463" t="inlineStr">
        <is>
          <t>2026-06-23 09:59:29</t>
        </is>
      </c>
      <c r="N3463" t="inlineStr">
        <is>
          <t>system</t>
        </is>
      </c>
      <c r="O3463" t="inlineStr">
        <is>
          <t>2026-06-19 07:10:32</t>
        </is>
      </c>
      <c r="P3463" t="inlineStr">
        <is>
          <t>2026-06-19 07:10:32</t>
        </is>
      </c>
      <c r="Y3463" t="inlineStr">
        <is>
          <t>27729853006</t>
        </is>
      </c>
    </row>
    <row r="3464">
      <c r="A3464" t="inlineStr">
        <is>
          <t>14946451</t>
        </is>
      </c>
      <c r="B3464" t="inlineStr">
        <is>
          <t>2201bf2d-4d87-4082-aaa6-f5542c6ec94c</t>
        </is>
      </c>
      <c r="D3464" t="inlineStr">
        <is>
          <t>30001087</t>
        </is>
      </c>
      <c r="E3464" t="inlineStr">
        <is>
          <t>ussd_funeral_leads_altitude_20260619</t>
        </is>
      </c>
      <c r="J3464" t="inlineStr">
        <is>
          <t>NA</t>
        </is>
      </c>
      <c r="K3464" t="inlineStr">
        <is>
          <t>No Answer Autodial</t>
        </is>
      </c>
      <c r="L3464" t="n">
        <v>3</v>
      </c>
      <c r="M3464" t="inlineStr">
        <is>
          <t>2026-06-23 09:59:29</t>
        </is>
      </c>
      <c r="N3464" t="inlineStr">
        <is>
          <t>system</t>
        </is>
      </c>
      <c r="O3464" t="inlineStr">
        <is>
          <t>2026-06-19 07:10:32</t>
        </is>
      </c>
      <c r="P3464" t="inlineStr">
        <is>
          <t>2026-06-19 07:10:32</t>
        </is>
      </c>
      <c r="Y3464" t="inlineStr">
        <is>
          <t>27774729654</t>
        </is>
      </c>
    </row>
    <row r="3465">
      <c r="A3465" t="inlineStr">
        <is>
          <t>14946449</t>
        </is>
      </c>
      <c r="B3465" t="inlineStr">
        <is>
          <t>c51b2e4c-4221-4f5e-828c-c12a0aceb607</t>
        </is>
      </c>
      <c r="D3465" t="inlineStr">
        <is>
          <t>30001087</t>
        </is>
      </c>
      <c r="E3465" t="inlineStr">
        <is>
          <t>ussd_funeral_leads_altitude_20260619</t>
        </is>
      </c>
      <c r="J3465" t="inlineStr">
        <is>
          <t>DC</t>
        </is>
      </c>
      <c r="K3465" t="inlineStr">
        <is>
          <t>Disconnected</t>
        </is>
      </c>
      <c r="L3465" t="n">
        <v>3</v>
      </c>
      <c r="M3465" t="inlineStr">
        <is>
          <t>2026-06-23 09:59:28</t>
        </is>
      </c>
      <c r="N3465" t="inlineStr">
        <is>
          <t>Dimakatso Nkomo</t>
        </is>
      </c>
      <c r="O3465" t="inlineStr">
        <is>
          <t>2026-06-19 07:10:32</t>
        </is>
      </c>
      <c r="P3465" t="inlineStr">
        <is>
          <t>2026-06-19 07:10:32</t>
        </is>
      </c>
      <c r="Y3465" t="inlineStr">
        <is>
          <t>27712675819</t>
        </is>
      </c>
    </row>
    <row r="3466">
      <c r="A3466" t="inlineStr">
        <is>
          <t>14946300</t>
        </is>
      </c>
      <c r="B3466" t="inlineStr">
        <is>
          <t>8246b653-e52e-4055-a902-867279700312</t>
        </is>
      </c>
      <c r="D3466" t="inlineStr">
        <is>
          <t>30001087</t>
        </is>
      </c>
      <c r="E3466" t="inlineStr">
        <is>
          <t>ussd_funeral_leads_altitude_20260619</t>
        </is>
      </c>
      <c r="J3466" t="inlineStr">
        <is>
          <t>ADC</t>
        </is>
      </c>
      <c r="K3466" t="inlineStr">
        <is>
          <t>Auto Dial Disconnected</t>
        </is>
      </c>
      <c r="L3466" t="n">
        <v>3</v>
      </c>
      <c r="M3466" t="inlineStr">
        <is>
          <t>2026-06-23 09:59:23</t>
        </is>
      </c>
      <c r="N3466" t="inlineStr">
        <is>
          <t>system</t>
        </is>
      </c>
      <c r="O3466" t="inlineStr">
        <is>
          <t>2026-06-19 07:10:32</t>
        </is>
      </c>
      <c r="P3466" t="inlineStr">
        <is>
          <t>2026-06-19 07:10:32</t>
        </is>
      </c>
      <c r="Y3466" t="inlineStr">
        <is>
          <t>27794591112</t>
        </is>
      </c>
    </row>
    <row r="3467">
      <c r="A3467" t="inlineStr">
        <is>
          <t>14946302</t>
        </is>
      </c>
      <c r="B3467" t="inlineStr">
        <is>
          <t>5276be86-7b64-40ce-8eb3-9e3cb8487813</t>
        </is>
      </c>
      <c r="D3467" t="inlineStr">
        <is>
          <t>30001087</t>
        </is>
      </c>
      <c r="E3467" t="inlineStr">
        <is>
          <t>ussd_funeral_leads_altitude_20260619</t>
        </is>
      </c>
      <c r="J3467" t="inlineStr">
        <is>
          <t>AA</t>
        </is>
      </c>
      <c r="K3467" t="inlineStr">
        <is>
          <t>Answering Machine Autodial</t>
        </is>
      </c>
      <c r="L3467" t="n">
        <v>3</v>
      </c>
      <c r="M3467" t="inlineStr">
        <is>
          <t>2026-06-23 09:59:23</t>
        </is>
      </c>
      <c r="N3467" t="inlineStr">
        <is>
          <t>system</t>
        </is>
      </c>
      <c r="O3467" t="inlineStr">
        <is>
          <t>2026-06-19 07:10:32</t>
        </is>
      </c>
      <c r="P3467" t="inlineStr">
        <is>
          <t>2026-06-19 07:10:32</t>
        </is>
      </c>
      <c r="Y3467" t="inlineStr">
        <is>
          <t>27606567598</t>
        </is>
      </c>
    </row>
    <row r="3468">
      <c r="A3468" t="inlineStr">
        <is>
          <t>14946303</t>
        </is>
      </c>
      <c r="B3468" t="inlineStr">
        <is>
          <t>e2b6be71-8b4b-4002-8c10-b017f925f470</t>
        </is>
      </c>
      <c r="D3468" t="inlineStr">
        <is>
          <t>30001087</t>
        </is>
      </c>
      <c r="E3468" t="inlineStr">
        <is>
          <t>ussd_funeral_leads_altitude_20260619</t>
        </is>
      </c>
      <c r="H3468" t="inlineStr">
        <is>
          <t>27727841071</t>
        </is>
      </c>
      <c r="J3468" t="inlineStr">
        <is>
          <t>AA</t>
        </is>
      </c>
      <c r="K3468" t="inlineStr">
        <is>
          <t>Answering Machine Autodial</t>
        </is>
      </c>
      <c r="L3468" t="n">
        <v>3</v>
      </c>
      <c r="M3468" t="inlineStr">
        <is>
          <t>2026-06-23 09:59:23</t>
        </is>
      </c>
      <c r="N3468" t="inlineStr">
        <is>
          <t>system</t>
        </is>
      </c>
      <c r="O3468" t="inlineStr">
        <is>
          <t>2026-06-19 07:10:32</t>
        </is>
      </c>
      <c r="P3468" t="inlineStr">
        <is>
          <t>2026-06-19 07:10:32</t>
        </is>
      </c>
      <c r="Y3468" t="inlineStr">
        <is>
          <t>27727841071</t>
        </is>
      </c>
    </row>
    <row r="3469">
      <c r="A3469" t="inlineStr">
        <is>
          <t>14946339</t>
        </is>
      </c>
      <c r="B3469" t="inlineStr">
        <is>
          <t>be82524a-eb8e-45b0-a219-cc7394a128c9</t>
        </is>
      </c>
      <c r="D3469" t="inlineStr">
        <is>
          <t>30001087</t>
        </is>
      </c>
      <c r="E3469" t="inlineStr">
        <is>
          <t>ussd_funeral_leads_altitude_20260619</t>
        </is>
      </c>
      <c r="J3469" t="inlineStr">
        <is>
          <t>AA</t>
        </is>
      </c>
      <c r="K3469" t="inlineStr">
        <is>
          <t>Answering Machine Autodial</t>
        </is>
      </c>
      <c r="L3469" t="n">
        <v>3</v>
      </c>
      <c r="M3469" t="inlineStr">
        <is>
          <t>2026-06-23 09:59:22</t>
        </is>
      </c>
      <c r="N3469" t="inlineStr">
        <is>
          <t>system</t>
        </is>
      </c>
      <c r="O3469" t="inlineStr">
        <is>
          <t>2026-06-19 07:10:32</t>
        </is>
      </c>
      <c r="P3469" t="inlineStr">
        <is>
          <t>2026-06-19 07:10:32</t>
        </is>
      </c>
      <c r="Y3469" t="inlineStr">
        <is>
          <t>27722769590</t>
        </is>
      </c>
    </row>
    <row r="3470">
      <c r="A3470" t="inlineStr">
        <is>
          <t>14946298</t>
        </is>
      </c>
      <c r="B3470" t="inlineStr">
        <is>
          <t>a88199cc-07c7-483a-9885-ab350383a5b4</t>
        </is>
      </c>
      <c r="D3470" t="inlineStr">
        <is>
          <t>30001087</t>
        </is>
      </c>
      <c r="E3470" t="inlineStr">
        <is>
          <t>ussd_funeral_leads_altitude_20260619</t>
        </is>
      </c>
      <c r="J3470" t="inlineStr">
        <is>
          <t>AE</t>
        </is>
      </c>
      <c r="K3470" t="inlineStr">
        <is>
          <t>Auto Engaged</t>
        </is>
      </c>
      <c r="L3470" t="n">
        <v>3</v>
      </c>
      <c r="M3470" t="inlineStr">
        <is>
          <t>2026-06-23 09:59:22</t>
        </is>
      </c>
      <c r="N3470" t="inlineStr">
        <is>
          <t>system</t>
        </is>
      </c>
      <c r="O3470" t="inlineStr">
        <is>
          <t>2026-06-19 07:10:32</t>
        </is>
      </c>
      <c r="P3470" t="inlineStr">
        <is>
          <t>2026-06-19 07:10:32</t>
        </is>
      </c>
      <c r="Y3470" t="inlineStr">
        <is>
          <t>27715494854</t>
        </is>
      </c>
    </row>
    <row r="3471">
      <c r="A3471" t="inlineStr">
        <is>
          <t>14900000</t>
        </is>
      </c>
      <c r="B3471" t="inlineStr">
        <is>
          <t>3e978425-076f-4e9e-8ce8-ea6ddfbce67f</t>
        </is>
      </c>
      <c r="D3471" t="inlineStr">
        <is>
          <t>30001087</t>
        </is>
      </c>
      <c r="E3471" t="inlineStr">
        <is>
          <t>ussd_funeral_leads_altitude_20260619</t>
        </is>
      </c>
      <c r="J3471" t="inlineStr">
        <is>
          <t>AA</t>
        </is>
      </c>
      <c r="K3471" t="inlineStr">
        <is>
          <t>Answering Machine Autodial</t>
        </is>
      </c>
      <c r="L3471" t="n">
        <v>3</v>
      </c>
      <c r="M3471" t="inlineStr">
        <is>
          <t>2026-06-23 09:59:22</t>
        </is>
      </c>
      <c r="N3471" t="inlineStr">
        <is>
          <t>system</t>
        </is>
      </c>
      <c r="O3471" t="inlineStr">
        <is>
          <t>2026-06-19 07:10:32</t>
        </is>
      </c>
      <c r="P3471" t="inlineStr">
        <is>
          <t>2026-06-19 07:10:32</t>
        </is>
      </c>
      <c r="Y3471" t="inlineStr">
        <is>
          <t>27793091992</t>
        </is>
      </c>
    </row>
    <row r="3472">
      <c r="A3472" t="inlineStr">
        <is>
          <t>14946304</t>
        </is>
      </c>
      <c r="B3472" t="inlineStr">
        <is>
          <t>70807115-a03e-44b7-a2ac-3124d97a7aba</t>
        </is>
      </c>
      <c r="D3472" t="inlineStr">
        <is>
          <t>30001087</t>
        </is>
      </c>
      <c r="E3472" t="inlineStr">
        <is>
          <t>ussd_funeral_leads_altitude_20260619</t>
        </is>
      </c>
      <c r="J3472" t="inlineStr">
        <is>
          <t>NA</t>
        </is>
      </c>
      <c r="K3472" t="inlineStr">
        <is>
          <t>No Answer Autodial</t>
        </is>
      </c>
      <c r="L3472" t="n">
        <v>3</v>
      </c>
      <c r="M3472" t="inlineStr">
        <is>
          <t>2026-06-23 09:59:22</t>
        </is>
      </c>
      <c r="N3472" t="inlineStr">
        <is>
          <t>system</t>
        </is>
      </c>
      <c r="O3472" t="inlineStr">
        <is>
          <t>2026-06-19 07:10:32</t>
        </is>
      </c>
      <c r="P3472" t="inlineStr">
        <is>
          <t>2026-06-19 07:10:32</t>
        </is>
      </c>
      <c r="Y3472" t="inlineStr">
        <is>
          <t>27729686457</t>
        </is>
      </c>
    </row>
    <row r="3473">
      <c r="A3473" t="inlineStr">
        <is>
          <t>14946294</t>
        </is>
      </c>
      <c r="B3473" t="inlineStr">
        <is>
          <t>aa593659-bad4-4976-a138-3db10ff1f074</t>
        </is>
      </c>
      <c r="D3473" t="inlineStr">
        <is>
          <t>30001087</t>
        </is>
      </c>
      <c r="E3473" t="inlineStr">
        <is>
          <t>ussd_funeral_leads_altitude_20260619</t>
        </is>
      </c>
      <c r="J3473" t="inlineStr">
        <is>
          <t>NA</t>
        </is>
      </c>
      <c r="K3473" t="inlineStr">
        <is>
          <t>No Answer Autodial</t>
        </is>
      </c>
      <c r="L3473" t="n">
        <v>3</v>
      </c>
      <c r="M3473" t="inlineStr">
        <is>
          <t>2026-06-23 09:59:15</t>
        </is>
      </c>
      <c r="N3473" t="inlineStr">
        <is>
          <t>system</t>
        </is>
      </c>
      <c r="O3473" t="inlineStr">
        <is>
          <t>2026-06-19 07:10:32</t>
        </is>
      </c>
      <c r="P3473" t="inlineStr">
        <is>
          <t>2026-06-19 07:10:32</t>
        </is>
      </c>
      <c r="Y3473" t="inlineStr">
        <is>
          <t>27711450377</t>
        </is>
      </c>
    </row>
    <row r="3474">
      <c r="A3474" t="inlineStr">
        <is>
          <t>14946290</t>
        </is>
      </c>
      <c r="B3474" t="inlineStr">
        <is>
          <t>7b5a6170-1c7b-4736-b1f6-03b10499fdd2</t>
        </is>
      </c>
      <c r="D3474" t="inlineStr">
        <is>
          <t>30001087</t>
        </is>
      </c>
      <c r="E3474" t="inlineStr">
        <is>
          <t>ussd_funeral_leads_altitude_20260619</t>
        </is>
      </c>
      <c r="J3474" t="inlineStr">
        <is>
          <t>QAVER</t>
        </is>
      </c>
      <c r="K3474" t="inlineStr">
        <is>
          <t>Sale Made</t>
        </is>
      </c>
      <c r="L3474" t="n">
        <v>3</v>
      </c>
      <c r="M3474" t="inlineStr">
        <is>
          <t>2026-06-23 09:59:14</t>
        </is>
      </c>
      <c r="N3474" t="inlineStr">
        <is>
          <t>Vuyiswa Nxumalo</t>
        </is>
      </c>
      <c r="O3474" t="inlineStr">
        <is>
          <t>2026-06-19 07:10:32</t>
        </is>
      </c>
      <c r="P3474" t="inlineStr">
        <is>
          <t>2026-06-19 07:10:32</t>
        </is>
      </c>
      <c r="Y3474" t="inlineStr">
        <is>
          <t>27760476579</t>
        </is>
      </c>
    </row>
    <row r="3475">
      <c r="A3475" t="inlineStr">
        <is>
          <t>14946291</t>
        </is>
      </c>
      <c r="B3475" t="inlineStr">
        <is>
          <t>a8d098a7-e462-4abd-aec7-cae80e0d0ee4</t>
        </is>
      </c>
      <c r="D3475" t="inlineStr">
        <is>
          <t>30001087</t>
        </is>
      </c>
      <c r="E3475" t="inlineStr">
        <is>
          <t>ussd_funeral_leads_altitude_20260619</t>
        </is>
      </c>
      <c r="J3475" t="inlineStr">
        <is>
          <t>AA</t>
        </is>
      </c>
      <c r="K3475" t="inlineStr">
        <is>
          <t>Answering Machine Autodial</t>
        </is>
      </c>
      <c r="L3475" t="n">
        <v>3</v>
      </c>
      <c r="M3475" t="inlineStr">
        <is>
          <t>2026-06-23 09:59:14</t>
        </is>
      </c>
      <c r="N3475" t="inlineStr">
        <is>
          <t>system</t>
        </is>
      </c>
      <c r="O3475" t="inlineStr">
        <is>
          <t>2026-06-19 07:10:32</t>
        </is>
      </c>
      <c r="P3475" t="inlineStr">
        <is>
          <t>2026-06-19 07:10:32</t>
        </is>
      </c>
      <c r="Y3475" t="inlineStr">
        <is>
          <t>27606734508</t>
        </is>
      </c>
    </row>
    <row r="3476">
      <c r="A3476" t="inlineStr">
        <is>
          <t>14946292</t>
        </is>
      </c>
      <c r="B3476" t="inlineStr">
        <is>
          <t>32c92a12-edb4-4e20-a1a4-2c04998c2fe7</t>
        </is>
      </c>
      <c r="D3476" t="inlineStr">
        <is>
          <t>30001087</t>
        </is>
      </c>
      <c r="E3476" t="inlineStr">
        <is>
          <t>ussd_funeral_leads_altitude_20260619</t>
        </is>
      </c>
      <c r="J3476" t="inlineStr">
        <is>
          <t>AA</t>
        </is>
      </c>
      <c r="K3476" t="inlineStr">
        <is>
          <t>Answering Machine Autodial</t>
        </is>
      </c>
      <c r="L3476" t="n">
        <v>3</v>
      </c>
      <c r="M3476" t="inlineStr">
        <is>
          <t>2026-06-23 09:59:14</t>
        </is>
      </c>
      <c r="N3476" t="inlineStr">
        <is>
          <t>system</t>
        </is>
      </c>
      <c r="O3476" t="inlineStr">
        <is>
          <t>2026-06-19 07:10:32</t>
        </is>
      </c>
      <c r="P3476" t="inlineStr">
        <is>
          <t>2026-06-19 07:10:32</t>
        </is>
      </c>
      <c r="Y3476" t="inlineStr">
        <is>
          <t>27661143211</t>
        </is>
      </c>
    </row>
    <row r="3477">
      <c r="A3477" t="inlineStr">
        <is>
          <t>14946293</t>
        </is>
      </c>
      <c r="B3477" t="inlineStr">
        <is>
          <t>976d333a-72cd-46c4-b9b6-7e5328a92861</t>
        </is>
      </c>
      <c r="D3477" t="inlineStr">
        <is>
          <t>30001087</t>
        </is>
      </c>
      <c r="E3477" t="inlineStr">
        <is>
          <t>ussd_funeral_leads_altitude_20260619</t>
        </is>
      </c>
      <c r="J3477" t="inlineStr">
        <is>
          <t>ADC</t>
        </is>
      </c>
      <c r="K3477" t="inlineStr">
        <is>
          <t>Auto Dial Disconnected</t>
        </is>
      </c>
      <c r="L3477" t="n">
        <v>3</v>
      </c>
      <c r="M3477" t="inlineStr">
        <is>
          <t>2026-06-23 09:59:14</t>
        </is>
      </c>
      <c r="N3477" t="inlineStr">
        <is>
          <t>system</t>
        </is>
      </c>
      <c r="O3477" t="inlineStr">
        <is>
          <t>2026-06-19 07:10:32</t>
        </is>
      </c>
      <c r="P3477" t="inlineStr">
        <is>
          <t>2026-06-19 07:10:32</t>
        </is>
      </c>
      <c r="Y3477" t="inlineStr">
        <is>
          <t>27728208075</t>
        </is>
      </c>
    </row>
    <row r="3478">
      <c r="A3478" t="inlineStr">
        <is>
          <t>14946295</t>
        </is>
      </c>
      <c r="B3478" t="inlineStr">
        <is>
          <t>2fd7a042-ac8e-44db-880e-2bde1c330d87</t>
        </is>
      </c>
      <c r="D3478" t="inlineStr">
        <is>
          <t>30001087</t>
        </is>
      </c>
      <c r="E3478" t="inlineStr">
        <is>
          <t>ussd_funeral_leads_altitude_20260619</t>
        </is>
      </c>
      <c r="J3478" t="inlineStr">
        <is>
          <t>ADC</t>
        </is>
      </c>
      <c r="K3478" t="inlineStr">
        <is>
          <t>Auto Dial Disconnected</t>
        </is>
      </c>
      <c r="L3478" t="n">
        <v>3</v>
      </c>
      <c r="M3478" t="inlineStr">
        <is>
          <t>2026-06-23 09:59:14</t>
        </is>
      </c>
      <c r="N3478" t="inlineStr">
        <is>
          <t>system</t>
        </is>
      </c>
      <c r="O3478" t="inlineStr">
        <is>
          <t>2026-06-19 07:10:32</t>
        </is>
      </c>
      <c r="P3478" t="inlineStr">
        <is>
          <t>2026-06-19 07:10:32</t>
        </is>
      </c>
      <c r="Y3478" t="inlineStr">
        <is>
          <t>27767581646</t>
        </is>
      </c>
    </row>
    <row r="3479">
      <c r="A3479" t="inlineStr">
        <is>
          <t>14946296</t>
        </is>
      </c>
      <c r="B3479" t="inlineStr">
        <is>
          <t>66554c2a-b279-4220-8ce3-a856b81cd3cf</t>
        </is>
      </c>
      <c r="D3479" t="inlineStr">
        <is>
          <t>30001087</t>
        </is>
      </c>
      <c r="E3479" t="inlineStr">
        <is>
          <t>ussd_funeral_leads_altitude_20260619</t>
        </is>
      </c>
      <c r="J3479" t="inlineStr">
        <is>
          <t>AA</t>
        </is>
      </c>
      <c r="K3479" t="inlineStr">
        <is>
          <t>Answering Machine Autodial</t>
        </is>
      </c>
      <c r="L3479" t="n">
        <v>3</v>
      </c>
      <c r="M3479" t="inlineStr">
        <is>
          <t>2026-06-23 09:59:14</t>
        </is>
      </c>
      <c r="N3479" t="inlineStr">
        <is>
          <t>system</t>
        </is>
      </c>
      <c r="O3479" t="inlineStr">
        <is>
          <t>2026-06-19 07:10:32</t>
        </is>
      </c>
      <c r="P3479" t="inlineStr">
        <is>
          <t>2026-06-19 07:10:32</t>
        </is>
      </c>
      <c r="Y3479" t="inlineStr">
        <is>
          <t>27608308907</t>
        </is>
      </c>
    </row>
    <row r="3480">
      <c r="A3480" t="inlineStr">
        <is>
          <t>14900000</t>
        </is>
      </c>
      <c r="B3480" t="inlineStr">
        <is>
          <t>e3960b53-a9a3-4797-901f-b0b24d02c122</t>
        </is>
      </c>
      <c r="D3480" t="inlineStr">
        <is>
          <t>30001087</t>
        </is>
      </c>
      <c r="E3480" t="inlineStr">
        <is>
          <t>ussd_funeral_leads_altitude_20260619</t>
        </is>
      </c>
      <c r="J3480" t="inlineStr">
        <is>
          <t>AA</t>
        </is>
      </c>
      <c r="K3480" t="inlineStr">
        <is>
          <t>Answering Machine Autodial</t>
        </is>
      </c>
      <c r="L3480" t="n">
        <v>3</v>
      </c>
      <c r="M3480" t="inlineStr">
        <is>
          <t>2026-06-23 09:59:14</t>
        </is>
      </c>
      <c r="N3480" t="inlineStr">
        <is>
          <t>system</t>
        </is>
      </c>
      <c r="O3480" t="inlineStr">
        <is>
          <t>2026-06-19 07:10:32</t>
        </is>
      </c>
      <c r="P3480" t="inlineStr">
        <is>
          <t>2026-06-19 07:10:32</t>
        </is>
      </c>
      <c r="Y3480" t="inlineStr">
        <is>
          <t>27763043703</t>
        </is>
      </c>
    </row>
    <row r="3481">
      <c r="A3481" t="inlineStr">
        <is>
          <t>14946266</t>
        </is>
      </c>
      <c r="B3481" t="inlineStr">
        <is>
          <t>b9b02017-14bf-41f2-b466-0471ae51135d</t>
        </is>
      </c>
      <c r="D3481" t="inlineStr">
        <is>
          <t>30001087</t>
        </is>
      </c>
      <c r="E3481" t="inlineStr">
        <is>
          <t>ussd_funeral_leads_altitude_20260619</t>
        </is>
      </c>
      <c r="J3481" t="inlineStr">
        <is>
          <t>AA</t>
        </is>
      </c>
      <c r="K3481" t="inlineStr">
        <is>
          <t>Answering Machine Autodial</t>
        </is>
      </c>
      <c r="L3481" t="n">
        <v>3</v>
      </c>
      <c r="M3481" t="inlineStr">
        <is>
          <t>2026-06-23 09:59:08</t>
        </is>
      </c>
      <c r="N3481" t="inlineStr">
        <is>
          <t>system</t>
        </is>
      </c>
      <c r="O3481" t="inlineStr">
        <is>
          <t>2026-06-19 07:10:32</t>
        </is>
      </c>
      <c r="P3481" t="inlineStr">
        <is>
          <t>2026-06-19 07:10:32</t>
        </is>
      </c>
      <c r="Y3481" t="inlineStr">
        <is>
          <t>27665382794</t>
        </is>
      </c>
    </row>
    <row r="3482">
      <c r="A3482" t="inlineStr">
        <is>
          <t>14900000</t>
        </is>
      </c>
      <c r="B3482" t="inlineStr">
        <is>
          <t>2e847b98-407a-49bc-b24c-f252c6614cb8</t>
        </is>
      </c>
      <c r="D3482" t="inlineStr">
        <is>
          <t>30001087</t>
        </is>
      </c>
      <c r="E3482" t="inlineStr">
        <is>
          <t>ussd_funeral_leads_altitude_20260619</t>
        </is>
      </c>
      <c r="J3482" t="inlineStr">
        <is>
          <t>AA</t>
        </is>
      </c>
      <c r="K3482" t="inlineStr">
        <is>
          <t>Answering Machine Autodial</t>
        </is>
      </c>
      <c r="L3482" t="n">
        <v>3</v>
      </c>
      <c r="M3482" t="inlineStr">
        <is>
          <t>2026-06-23 09:59:07</t>
        </is>
      </c>
      <c r="N3482" t="inlineStr">
        <is>
          <t>system</t>
        </is>
      </c>
      <c r="O3482" t="inlineStr">
        <is>
          <t>2026-06-19 07:10:32</t>
        </is>
      </c>
      <c r="P3482" t="inlineStr">
        <is>
          <t>2026-06-19 07:10:32</t>
        </is>
      </c>
      <c r="Y3482" t="inlineStr">
        <is>
          <t>27727413917</t>
        </is>
      </c>
    </row>
    <row r="3483">
      <c r="A3483" t="inlineStr">
        <is>
          <t>14946286</t>
        </is>
      </c>
      <c r="B3483" t="inlineStr">
        <is>
          <t>24079f44-4004-463d-b82c-f81e6395c701</t>
        </is>
      </c>
      <c r="D3483" t="inlineStr">
        <is>
          <t>30001087</t>
        </is>
      </c>
      <c r="E3483" t="inlineStr">
        <is>
          <t>ussd_funeral_leads_altitude_20260619</t>
        </is>
      </c>
      <c r="J3483" t="inlineStr">
        <is>
          <t>AA</t>
        </is>
      </c>
      <c r="K3483" t="inlineStr">
        <is>
          <t>Answering Machine Autodial</t>
        </is>
      </c>
      <c r="L3483" t="n">
        <v>3</v>
      </c>
      <c r="M3483" t="inlineStr">
        <is>
          <t>2026-06-23 09:59:07</t>
        </is>
      </c>
      <c r="N3483" t="inlineStr">
        <is>
          <t>system</t>
        </is>
      </c>
      <c r="O3483" t="inlineStr">
        <is>
          <t>2026-06-19 07:10:32</t>
        </is>
      </c>
      <c r="P3483" t="inlineStr">
        <is>
          <t>2026-06-19 07:10:32</t>
        </is>
      </c>
      <c r="Y3483" t="inlineStr">
        <is>
          <t>27822868976</t>
        </is>
      </c>
    </row>
    <row r="3484">
      <c r="A3484" t="inlineStr">
        <is>
          <t>14946288</t>
        </is>
      </c>
      <c r="B3484" t="inlineStr">
        <is>
          <t>65871579-b2d1-4475-b09b-9d2c5cbd51dd</t>
        </is>
      </c>
      <c r="D3484" t="inlineStr">
        <is>
          <t>30001087</t>
        </is>
      </c>
      <c r="E3484" t="inlineStr">
        <is>
          <t>ussd_funeral_leads_altitude_20260619</t>
        </is>
      </c>
      <c r="J3484" t="inlineStr">
        <is>
          <t>NA</t>
        </is>
      </c>
      <c r="K3484" t="inlineStr">
        <is>
          <t>No Answer Autodial</t>
        </is>
      </c>
      <c r="L3484" t="n">
        <v>3</v>
      </c>
      <c r="M3484" t="inlineStr">
        <is>
          <t>2026-06-23 09:59:07</t>
        </is>
      </c>
      <c r="N3484" t="inlineStr">
        <is>
          <t>system</t>
        </is>
      </c>
      <c r="O3484" t="inlineStr">
        <is>
          <t>2026-06-19 07:10:32</t>
        </is>
      </c>
      <c r="P3484" t="inlineStr">
        <is>
          <t>2026-06-19 07:10:32</t>
        </is>
      </c>
      <c r="Y3484" t="inlineStr">
        <is>
          <t>27826228851</t>
        </is>
      </c>
    </row>
    <row r="3485">
      <c r="A3485" t="inlineStr">
        <is>
          <t>14900000</t>
        </is>
      </c>
      <c r="B3485" t="inlineStr">
        <is>
          <t>e822094a-af64-4390-9f0c-c04951ed5a65</t>
        </is>
      </c>
      <c r="D3485" t="inlineStr">
        <is>
          <t>30001087</t>
        </is>
      </c>
      <c r="E3485" t="inlineStr">
        <is>
          <t>ussd_funeral_leads_altitude_20260619</t>
        </is>
      </c>
      <c r="J3485" t="inlineStr">
        <is>
          <t>AA</t>
        </is>
      </c>
      <c r="K3485" t="inlineStr">
        <is>
          <t>Answering Machine Autodial</t>
        </is>
      </c>
      <c r="L3485" t="n">
        <v>3</v>
      </c>
      <c r="M3485" t="inlineStr">
        <is>
          <t>2026-06-23 09:59:07</t>
        </is>
      </c>
      <c r="N3485" t="inlineStr">
        <is>
          <t>system</t>
        </is>
      </c>
      <c r="O3485" t="inlineStr">
        <is>
          <t>2026-06-19 07:10:32</t>
        </is>
      </c>
      <c r="P3485" t="inlineStr">
        <is>
          <t>2026-06-19 07:10:32</t>
        </is>
      </c>
      <c r="Y3485" t="inlineStr">
        <is>
          <t>27760158929</t>
        </is>
      </c>
    </row>
    <row r="3486">
      <c r="A3486" t="inlineStr">
        <is>
          <t>14946264</t>
        </is>
      </c>
      <c r="B3486" t="inlineStr">
        <is>
          <t>ff978b8f-7146-4768-a774-8ea799c875fb</t>
        </is>
      </c>
      <c r="D3486" t="inlineStr">
        <is>
          <t>30001087</t>
        </is>
      </c>
      <c r="E3486" t="inlineStr">
        <is>
          <t>ussd_funeral_leads_altitude_20260619</t>
        </is>
      </c>
      <c r="J3486" t="inlineStr">
        <is>
          <t>AA</t>
        </is>
      </c>
      <c r="K3486" t="inlineStr">
        <is>
          <t>Answering Machine Autodial</t>
        </is>
      </c>
      <c r="L3486" t="n">
        <v>3</v>
      </c>
      <c r="M3486" t="inlineStr">
        <is>
          <t>2026-06-23 09:58:51</t>
        </is>
      </c>
      <c r="N3486" t="inlineStr">
        <is>
          <t>system</t>
        </is>
      </c>
      <c r="O3486" t="inlineStr">
        <is>
          <t>2026-06-19 07:10:32</t>
        </is>
      </c>
      <c r="P3486" t="inlineStr">
        <is>
          <t>2026-06-19 07:10:32</t>
        </is>
      </c>
      <c r="Y3486" t="inlineStr">
        <is>
          <t>27761843967</t>
        </is>
      </c>
    </row>
    <row r="3487">
      <c r="A3487" t="inlineStr">
        <is>
          <t>14946265</t>
        </is>
      </c>
      <c r="B3487" t="inlineStr">
        <is>
          <t>7669400b-a2ef-4f38-9131-2a7d0349991b</t>
        </is>
      </c>
      <c r="D3487" t="inlineStr">
        <is>
          <t>30001087</t>
        </is>
      </c>
      <c r="E3487" t="inlineStr">
        <is>
          <t>ussd_funeral_leads_altitude_20260619</t>
        </is>
      </c>
      <c r="J3487" t="inlineStr">
        <is>
          <t>TDN</t>
        </is>
      </c>
      <c r="K3487" t="inlineStr">
        <is>
          <t>Temporary Disconnected Number</t>
        </is>
      </c>
      <c r="L3487" t="n">
        <v>3</v>
      </c>
      <c r="M3487" t="inlineStr">
        <is>
          <t>2026-06-23 09:58:51</t>
        </is>
      </c>
      <c r="N3487" t="inlineStr">
        <is>
          <t>system</t>
        </is>
      </c>
      <c r="O3487" t="inlineStr">
        <is>
          <t>2026-06-19 07:10:32</t>
        </is>
      </c>
      <c r="P3487" t="inlineStr">
        <is>
          <t>2026-06-19 07:10:32</t>
        </is>
      </c>
      <c r="Y3487" t="inlineStr">
        <is>
          <t>27772891528</t>
        </is>
      </c>
    </row>
    <row r="3488">
      <c r="A3488" t="inlineStr">
        <is>
          <t>14946254</t>
        </is>
      </c>
      <c r="B3488" t="inlineStr">
        <is>
          <t>24f40939-0266-41be-85ef-32bfef6e6bd4</t>
        </is>
      </c>
      <c r="D3488" t="inlineStr">
        <is>
          <t>30001087</t>
        </is>
      </c>
      <c r="E3488" t="inlineStr">
        <is>
          <t>ussd_funeral_leads_altitude_20260619</t>
        </is>
      </c>
      <c r="J3488" t="inlineStr">
        <is>
          <t>TDN</t>
        </is>
      </c>
      <c r="K3488" t="inlineStr">
        <is>
          <t>Temporary Disconnected Number</t>
        </is>
      </c>
      <c r="L3488" t="n">
        <v>3</v>
      </c>
      <c r="M3488" t="inlineStr">
        <is>
          <t>2026-06-23 09:58:50</t>
        </is>
      </c>
      <c r="N3488" t="inlineStr">
        <is>
          <t>system</t>
        </is>
      </c>
      <c r="O3488" t="inlineStr">
        <is>
          <t>2026-06-19 07:10:32</t>
        </is>
      </c>
      <c r="P3488" t="inlineStr">
        <is>
          <t>2026-06-19 07:10:32</t>
        </is>
      </c>
      <c r="Y3488" t="inlineStr">
        <is>
          <t>27797209146</t>
        </is>
      </c>
    </row>
    <row r="3489">
      <c r="A3489" t="inlineStr">
        <is>
          <t>14946255</t>
        </is>
      </c>
      <c r="B3489" t="inlineStr">
        <is>
          <t>bbb4229e-e849-4343-a233-ae6780ec0ee8</t>
        </is>
      </c>
      <c r="D3489" t="inlineStr">
        <is>
          <t>30001087</t>
        </is>
      </c>
      <c r="E3489" t="inlineStr">
        <is>
          <t>ussd_funeral_leads_altitude_20260619</t>
        </is>
      </c>
      <c r="J3489" t="inlineStr">
        <is>
          <t>AA</t>
        </is>
      </c>
      <c r="K3489" t="inlineStr">
        <is>
          <t>Answering Machine Autodial</t>
        </is>
      </c>
      <c r="L3489" t="n">
        <v>3</v>
      </c>
      <c r="M3489" t="inlineStr">
        <is>
          <t>2026-06-23 09:58:50</t>
        </is>
      </c>
      <c r="N3489" t="inlineStr">
        <is>
          <t>system</t>
        </is>
      </c>
      <c r="O3489" t="inlineStr">
        <is>
          <t>2026-06-19 07:10:32</t>
        </is>
      </c>
      <c r="P3489" t="inlineStr">
        <is>
          <t>2026-06-19 07:10:32</t>
        </is>
      </c>
      <c r="Y3489" t="inlineStr">
        <is>
          <t>27728032208</t>
        </is>
      </c>
    </row>
    <row r="3490">
      <c r="A3490" t="inlineStr">
        <is>
          <t>14946256</t>
        </is>
      </c>
      <c r="B3490" t="inlineStr">
        <is>
          <t>7c109d14-e451-4641-ba5a-03e9ad95ef53</t>
        </is>
      </c>
      <c r="D3490" t="inlineStr">
        <is>
          <t>30001087</t>
        </is>
      </c>
      <c r="E3490" t="inlineStr">
        <is>
          <t>ussd_funeral_leads_altitude_20260619</t>
        </is>
      </c>
      <c r="J3490" t="inlineStr">
        <is>
          <t>AA</t>
        </is>
      </c>
      <c r="K3490" t="inlineStr">
        <is>
          <t>Answering Machine Autodial</t>
        </is>
      </c>
      <c r="L3490" t="n">
        <v>3</v>
      </c>
      <c r="M3490" t="inlineStr">
        <is>
          <t>2026-06-23 09:58:50</t>
        </is>
      </c>
      <c r="N3490" t="inlineStr">
        <is>
          <t>system</t>
        </is>
      </c>
      <c r="O3490" t="inlineStr">
        <is>
          <t>2026-06-19 07:10:32</t>
        </is>
      </c>
      <c r="P3490" t="inlineStr">
        <is>
          <t>2026-06-19 07:10:32</t>
        </is>
      </c>
      <c r="Y3490" t="inlineStr">
        <is>
          <t>27606669277</t>
        </is>
      </c>
    </row>
    <row r="3491">
      <c r="A3491" t="inlineStr">
        <is>
          <t>14946258</t>
        </is>
      </c>
      <c r="B3491" t="inlineStr">
        <is>
          <t>f819dbf7-7db3-4d62-a3c9-117e949fe65f</t>
        </is>
      </c>
      <c r="D3491" t="inlineStr">
        <is>
          <t>30001087</t>
        </is>
      </c>
      <c r="E3491" t="inlineStr">
        <is>
          <t>ussd_funeral_leads_altitude_20260619</t>
        </is>
      </c>
      <c r="J3491" t="inlineStr">
        <is>
          <t>TDN</t>
        </is>
      </c>
      <c r="K3491" t="inlineStr">
        <is>
          <t>Temporary Disconnected Number</t>
        </is>
      </c>
      <c r="L3491" t="n">
        <v>3</v>
      </c>
      <c r="M3491" t="inlineStr">
        <is>
          <t>2026-06-23 09:58:50</t>
        </is>
      </c>
      <c r="N3491" t="inlineStr">
        <is>
          <t>system</t>
        </is>
      </c>
      <c r="O3491" t="inlineStr">
        <is>
          <t>2026-06-19 07:10:32</t>
        </is>
      </c>
      <c r="P3491" t="inlineStr">
        <is>
          <t>2026-06-19 07:10:32</t>
        </is>
      </c>
      <c r="Y3491" t="inlineStr">
        <is>
          <t>27773724843</t>
        </is>
      </c>
    </row>
    <row r="3492">
      <c r="A3492" t="inlineStr">
        <is>
          <t>14946259</t>
        </is>
      </c>
      <c r="B3492" t="inlineStr">
        <is>
          <t>5d7bd6d6-630f-4b43-b7f2-6da7064d8b14</t>
        </is>
      </c>
      <c r="D3492" t="inlineStr">
        <is>
          <t>30001087</t>
        </is>
      </c>
      <c r="E3492" t="inlineStr">
        <is>
          <t>ussd_funeral_leads_altitude_20260619</t>
        </is>
      </c>
      <c r="J3492" t="inlineStr">
        <is>
          <t>ADC</t>
        </is>
      </c>
      <c r="K3492" t="inlineStr">
        <is>
          <t>Auto Dial Disconnected</t>
        </is>
      </c>
      <c r="L3492" t="n">
        <v>3</v>
      </c>
      <c r="M3492" t="inlineStr">
        <is>
          <t>2026-06-23 09:58:50</t>
        </is>
      </c>
      <c r="N3492" t="inlineStr">
        <is>
          <t>system</t>
        </is>
      </c>
      <c r="O3492" t="inlineStr">
        <is>
          <t>2026-06-19 07:10:32</t>
        </is>
      </c>
      <c r="P3492" t="inlineStr">
        <is>
          <t>2026-06-19 07:10:32</t>
        </is>
      </c>
      <c r="Y3492" t="inlineStr">
        <is>
          <t>27713951228</t>
        </is>
      </c>
    </row>
    <row r="3493">
      <c r="A3493" t="inlineStr">
        <is>
          <t>14946261</t>
        </is>
      </c>
      <c r="B3493" t="inlineStr">
        <is>
          <t>22b0e8bf-df66-4401-875a-9c4794ad9eca</t>
        </is>
      </c>
      <c r="D3493" t="inlineStr">
        <is>
          <t>30001087</t>
        </is>
      </c>
      <c r="E3493" t="inlineStr">
        <is>
          <t>ussd_funeral_leads_altitude_20260619</t>
        </is>
      </c>
      <c r="J3493" t="inlineStr">
        <is>
          <t>NA</t>
        </is>
      </c>
      <c r="K3493" t="inlineStr">
        <is>
          <t>No Answer Autodial</t>
        </is>
      </c>
      <c r="L3493" t="n">
        <v>3</v>
      </c>
      <c r="M3493" t="inlineStr">
        <is>
          <t>2026-06-23 09:58:50</t>
        </is>
      </c>
      <c r="N3493" t="inlineStr">
        <is>
          <t>system</t>
        </is>
      </c>
      <c r="O3493" t="inlineStr">
        <is>
          <t>2026-06-19 07:10:32</t>
        </is>
      </c>
      <c r="P3493" t="inlineStr">
        <is>
          <t>2026-06-19 07:10:32</t>
        </is>
      </c>
      <c r="Y3493" t="inlineStr">
        <is>
          <t>27724298103</t>
        </is>
      </c>
    </row>
    <row r="3494">
      <c r="A3494" t="inlineStr">
        <is>
          <t>14946262</t>
        </is>
      </c>
      <c r="B3494" t="inlineStr">
        <is>
          <t>17a353d5-7db0-4e1b-88ab-4d5b1569edde</t>
        </is>
      </c>
      <c r="D3494" t="inlineStr">
        <is>
          <t>30001087</t>
        </is>
      </c>
      <c r="E3494" t="inlineStr">
        <is>
          <t>ussd_funeral_leads_altitude_20260619</t>
        </is>
      </c>
      <c r="J3494" t="inlineStr">
        <is>
          <t>ADC</t>
        </is>
      </c>
      <c r="K3494" t="inlineStr">
        <is>
          <t>Auto Dial Disconnected</t>
        </is>
      </c>
      <c r="L3494" t="n">
        <v>3</v>
      </c>
      <c r="M3494" t="inlineStr">
        <is>
          <t>2026-06-23 09:58:50</t>
        </is>
      </c>
      <c r="N3494" t="inlineStr">
        <is>
          <t>system</t>
        </is>
      </c>
      <c r="O3494" t="inlineStr">
        <is>
          <t>2026-06-19 07:10:32</t>
        </is>
      </c>
      <c r="P3494" t="inlineStr">
        <is>
          <t>2026-06-19 07:10:32</t>
        </is>
      </c>
      <c r="Y3494" t="inlineStr">
        <is>
          <t>27822959400</t>
        </is>
      </c>
    </row>
    <row r="3495">
      <c r="A3495" t="inlineStr">
        <is>
          <t>14946263</t>
        </is>
      </c>
      <c r="B3495" t="inlineStr">
        <is>
          <t>c8952e64-02cf-4781-a020-6289ecfc9911</t>
        </is>
      </c>
      <c r="D3495" t="inlineStr">
        <is>
          <t>30001087</t>
        </is>
      </c>
      <c r="E3495" t="inlineStr">
        <is>
          <t>ussd_funeral_leads_altitude_20260619</t>
        </is>
      </c>
      <c r="J3495" t="inlineStr">
        <is>
          <t>AA</t>
        </is>
      </c>
      <c r="K3495" t="inlineStr">
        <is>
          <t>Answering Machine Autodial</t>
        </is>
      </c>
      <c r="L3495" t="n">
        <v>3</v>
      </c>
      <c r="M3495" t="inlineStr">
        <is>
          <t>2026-06-23 09:58:50</t>
        </is>
      </c>
      <c r="N3495" t="inlineStr">
        <is>
          <t>system</t>
        </is>
      </c>
      <c r="O3495" t="inlineStr">
        <is>
          <t>2026-06-19 07:10:32</t>
        </is>
      </c>
      <c r="P3495" t="inlineStr">
        <is>
          <t>2026-06-19 07:10:32</t>
        </is>
      </c>
      <c r="Y3495" t="inlineStr">
        <is>
          <t>27725112523</t>
        </is>
      </c>
    </row>
    <row r="3496">
      <c r="A3496" t="inlineStr">
        <is>
          <t>14946253</t>
        </is>
      </c>
      <c r="B3496" t="inlineStr">
        <is>
          <t>b334e742-f18f-450c-89d4-d38f91e2e049</t>
        </is>
      </c>
      <c r="D3496" t="inlineStr">
        <is>
          <t>30001087</t>
        </is>
      </c>
      <c r="E3496" t="inlineStr">
        <is>
          <t>ussd_funeral_leads_altitude_20260619</t>
        </is>
      </c>
      <c r="J3496" t="inlineStr">
        <is>
          <t>DROP</t>
        </is>
      </c>
      <c r="K3496" t="inlineStr">
        <is>
          <t>Dropped</t>
        </is>
      </c>
      <c r="L3496" t="n">
        <v>3</v>
      </c>
      <c r="M3496" t="inlineStr">
        <is>
          <t>2026-06-23 09:58:29</t>
        </is>
      </c>
      <c r="N3496" t="inlineStr">
        <is>
          <t>system</t>
        </is>
      </c>
      <c r="O3496" t="inlineStr">
        <is>
          <t>2026-06-19 07:10:32</t>
        </is>
      </c>
      <c r="P3496" t="inlineStr">
        <is>
          <t>2026-06-19 07:10:32</t>
        </is>
      </c>
      <c r="Y3496" t="inlineStr">
        <is>
          <t>27648324620</t>
        </is>
      </c>
    </row>
    <row r="3497">
      <c r="A3497" t="inlineStr">
        <is>
          <t>14946252</t>
        </is>
      </c>
      <c r="B3497" t="inlineStr">
        <is>
          <t>a5e45c60-dca8-4d71-9eea-0da392ded767</t>
        </is>
      </c>
      <c r="D3497" t="inlineStr">
        <is>
          <t>30001087</t>
        </is>
      </c>
      <c r="E3497" t="inlineStr">
        <is>
          <t>ussd_funeral_leads_altitude_20260619</t>
        </is>
      </c>
      <c r="J3497" t="inlineStr">
        <is>
          <t>AA</t>
        </is>
      </c>
      <c r="K3497" t="inlineStr">
        <is>
          <t>Answering Machine Autodial</t>
        </is>
      </c>
      <c r="L3497" t="n">
        <v>3</v>
      </c>
      <c r="M3497" t="inlineStr">
        <is>
          <t>2026-06-23 09:58:23</t>
        </is>
      </c>
      <c r="N3497" t="inlineStr">
        <is>
          <t>system</t>
        </is>
      </c>
      <c r="O3497" t="inlineStr">
        <is>
          <t>2026-06-19 07:10:32</t>
        </is>
      </c>
      <c r="P3497" t="inlineStr">
        <is>
          <t>2026-06-19 07:10:32</t>
        </is>
      </c>
      <c r="Y3497" t="inlineStr">
        <is>
          <t>27791663032</t>
        </is>
      </c>
    </row>
    <row r="3498">
      <c r="A3498" t="inlineStr">
        <is>
          <t>14946251</t>
        </is>
      </c>
      <c r="B3498" t="inlineStr">
        <is>
          <t>b451fbeb-53ec-4dd5-abbc-a4181e0a7854</t>
        </is>
      </c>
      <c r="D3498" t="inlineStr">
        <is>
          <t>30001087</t>
        </is>
      </c>
      <c r="E3498" t="inlineStr">
        <is>
          <t>ussd_funeral_leads_altitude_20260619</t>
        </is>
      </c>
      <c r="J3498" t="inlineStr">
        <is>
          <t>AA</t>
        </is>
      </c>
      <c r="K3498" t="inlineStr">
        <is>
          <t>Answering Machine Autodial</t>
        </is>
      </c>
      <c r="L3498" t="n">
        <v>3</v>
      </c>
      <c r="M3498" t="inlineStr">
        <is>
          <t>2026-06-23 09:58:22</t>
        </is>
      </c>
      <c r="N3498" t="inlineStr">
        <is>
          <t>system</t>
        </is>
      </c>
      <c r="O3498" t="inlineStr">
        <is>
          <t>2026-06-19 07:10:32</t>
        </is>
      </c>
      <c r="P3498" t="inlineStr">
        <is>
          <t>2026-06-19 07:10:32</t>
        </is>
      </c>
      <c r="Y3498" t="inlineStr">
        <is>
          <t>27826661365</t>
        </is>
      </c>
    </row>
    <row r="3499">
      <c r="A3499" t="inlineStr">
        <is>
          <t>14946249</t>
        </is>
      </c>
      <c r="B3499" t="inlineStr">
        <is>
          <t>8200f16b-5d9c-42dd-874a-c2d0f9bbd813</t>
        </is>
      </c>
      <c r="D3499" t="inlineStr">
        <is>
          <t>30001087</t>
        </is>
      </c>
      <c r="E3499" t="inlineStr">
        <is>
          <t>ussd_funeral_leads_altitude_20260619</t>
        </is>
      </c>
      <c r="J3499" t="inlineStr">
        <is>
          <t>DROP</t>
        </is>
      </c>
      <c r="K3499" t="inlineStr">
        <is>
          <t>Dropped</t>
        </is>
      </c>
      <c r="L3499" t="n">
        <v>3</v>
      </c>
      <c r="M3499" t="inlineStr">
        <is>
          <t>2026-06-23 09:57:45</t>
        </is>
      </c>
      <c r="N3499" t="inlineStr">
        <is>
          <t>system</t>
        </is>
      </c>
      <c r="O3499" t="inlineStr">
        <is>
          <t>2026-06-19 07:10:32</t>
        </is>
      </c>
      <c r="P3499" t="inlineStr">
        <is>
          <t>2026-06-19 07:10:32</t>
        </is>
      </c>
      <c r="Y3499" t="inlineStr">
        <is>
          <t>27767628576</t>
        </is>
      </c>
    </row>
    <row r="3500">
      <c r="A3500" t="inlineStr">
        <is>
          <t>14946250</t>
        </is>
      </c>
      <c r="B3500" t="inlineStr">
        <is>
          <t>3a751200-489a-4083-be2a-d9b5f1a4a0a5</t>
        </is>
      </c>
      <c r="D3500" t="inlineStr">
        <is>
          <t>30001087</t>
        </is>
      </c>
      <c r="E3500" t="inlineStr">
        <is>
          <t>ussd_funeral_leads_altitude_20260619</t>
        </is>
      </c>
      <c r="J3500" t="inlineStr">
        <is>
          <t>AA</t>
        </is>
      </c>
      <c r="K3500" t="inlineStr">
        <is>
          <t>Answering Machine Autodial</t>
        </is>
      </c>
      <c r="L3500" t="n">
        <v>3</v>
      </c>
      <c r="M3500" t="inlineStr">
        <is>
          <t>2026-06-23 09:57:45</t>
        </is>
      </c>
      <c r="N3500" t="inlineStr">
        <is>
          <t>system</t>
        </is>
      </c>
      <c r="O3500" t="inlineStr">
        <is>
          <t>2026-06-19 07:10:32</t>
        </is>
      </c>
      <c r="P3500" t="inlineStr">
        <is>
          <t>2026-06-19 07:10:32</t>
        </is>
      </c>
      <c r="Y3500" t="inlineStr">
        <is>
          <t>27790275455</t>
        </is>
      </c>
    </row>
    <row r="3501">
      <c r="A3501" t="inlineStr">
        <is>
          <t>14947683</t>
        </is>
      </c>
      <c r="B3501" t="inlineStr">
        <is>
          <t>be86b690-4546-4363-a183-8970bbcb55a4</t>
        </is>
      </c>
      <c r="D3501" t="inlineStr">
        <is>
          <t>30001087</t>
        </is>
      </c>
      <c r="E3501" t="inlineStr">
        <is>
          <t>ussd_funeral_leads_altitude_20260619</t>
        </is>
      </c>
      <c r="J3501" t="inlineStr">
        <is>
          <t>AA</t>
        </is>
      </c>
      <c r="K3501" t="inlineStr">
        <is>
          <t>Answering Machine Autodial</t>
        </is>
      </c>
      <c r="L3501" t="n">
        <v>3</v>
      </c>
      <c r="M3501" t="inlineStr">
        <is>
          <t>2026-06-23 09:57:37</t>
        </is>
      </c>
      <c r="N3501" t="inlineStr">
        <is>
          <t>system</t>
        </is>
      </c>
      <c r="O3501" t="inlineStr">
        <is>
          <t>2026-06-19 07:10:32</t>
        </is>
      </c>
      <c r="P3501" t="inlineStr">
        <is>
          <t>2026-06-19 07:10:32</t>
        </is>
      </c>
      <c r="Y3501" t="inlineStr">
        <is>
          <t>27763559542</t>
        </is>
      </c>
    </row>
    <row r="3502">
      <c r="A3502" t="inlineStr">
        <is>
          <t>14946280</t>
        </is>
      </c>
      <c r="B3502" t="inlineStr">
        <is>
          <t>f472b7d6-23ca-47d2-ab73-cdf5eaced745</t>
        </is>
      </c>
      <c r="D3502" t="inlineStr">
        <is>
          <t>30001087</t>
        </is>
      </c>
      <c r="E3502" t="inlineStr">
        <is>
          <t>ussd_funeral_leads_altitude_20260619</t>
        </is>
      </c>
      <c r="J3502" t="inlineStr">
        <is>
          <t>AA</t>
        </is>
      </c>
      <c r="K3502" t="inlineStr">
        <is>
          <t>Answering Machine Autodial</t>
        </is>
      </c>
      <c r="L3502" t="n">
        <v>3</v>
      </c>
      <c r="M3502" t="inlineStr">
        <is>
          <t>2026-06-23 09:57:20</t>
        </is>
      </c>
      <c r="N3502" t="inlineStr">
        <is>
          <t>system</t>
        </is>
      </c>
      <c r="O3502" t="inlineStr">
        <is>
          <t>2026-06-19 07:10:32</t>
        </is>
      </c>
      <c r="P3502" t="inlineStr">
        <is>
          <t>2026-06-19 07:10:32</t>
        </is>
      </c>
      <c r="Y3502" t="inlineStr">
        <is>
          <t>27727303120</t>
        </is>
      </c>
    </row>
    <row r="3503">
      <c r="A3503" t="inlineStr">
        <is>
          <t>14946281</t>
        </is>
      </c>
      <c r="B3503" t="inlineStr">
        <is>
          <t>67889b95-b5f3-4566-8da4-26721be5325e</t>
        </is>
      </c>
      <c r="D3503" t="inlineStr">
        <is>
          <t>30001087</t>
        </is>
      </c>
      <c r="E3503" t="inlineStr">
        <is>
          <t>ussd_funeral_leads_altitude_20260619</t>
        </is>
      </c>
      <c r="J3503" t="inlineStr">
        <is>
          <t>AA</t>
        </is>
      </c>
      <c r="K3503" t="inlineStr">
        <is>
          <t>Answering Machine Autodial</t>
        </is>
      </c>
      <c r="L3503" t="n">
        <v>3</v>
      </c>
      <c r="M3503" t="inlineStr">
        <is>
          <t>2026-06-23 09:57:20</t>
        </is>
      </c>
      <c r="N3503" t="inlineStr">
        <is>
          <t>system</t>
        </is>
      </c>
      <c r="O3503" t="inlineStr">
        <is>
          <t>2026-06-19 07:10:32</t>
        </is>
      </c>
      <c r="P3503" t="inlineStr">
        <is>
          <t>2026-06-19 07:10:32</t>
        </is>
      </c>
      <c r="Y3503" t="inlineStr">
        <is>
          <t>27774636869</t>
        </is>
      </c>
    </row>
    <row r="3504">
      <c r="A3504" t="inlineStr">
        <is>
          <t>14946282</t>
        </is>
      </c>
      <c r="B3504" t="inlineStr">
        <is>
          <t>b8063f9b-b4c9-4b52-9c9f-902bb101b463</t>
        </is>
      </c>
      <c r="D3504" t="inlineStr">
        <is>
          <t>30001087</t>
        </is>
      </c>
      <c r="E3504" t="inlineStr">
        <is>
          <t>ussd_funeral_leads_altitude_20260619</t>
        </is>
      </c>
      <c r="J3504" t="inlineStr">
        <is>
          <t>NA</t>
        </is>
      </c>
      <c r="K3504" t="inlineStr">
        <is>
          <t>No Answer Autodial</t>
        </is>
      </c>
      <c r="L3504" t="n">
        <v>3</v>
      </c>
      <c r="M3504" t="inlineStr">
        <is>
          <t>2026-06-23 09:57:20</t>
        </is>
      </c>
      <c r="N3504" t="inlineStr">
        <is>
          <t>system</t>
        </is>
      </c>
      <c r="O3504" t="inlineStr">
        <is>
          <t>2026-06-19 07:10:32</t>
        </is>
      </c>
      <c r="P3504" t="inlineStr">
        <is>
          <t>2026-06-19 07:10:32</t>
        </is>
      </c>
      <c r="Y3504" t="inlineStr">
        <is>
          <t>27793770647</t>
        </is>
      </c>
    </row>
    <row r="3505">
      <c r="A3505" t="inlineStr">
        <is>
          <t>14946283</t>
        </is>
      </c>
      <c r="B3505" t="inlineStr">
        <is>
          <t>0e150f41-ec58-41cf-bb11-1c579f181786</t>
        </is>
      </c>
      <c r="D3505" t="inlineStr">
        <is>
          <t>30001087</t>
        </is>
      </c>
      <c r="E3505" t="inlineStr">
        <is>
          <t>ussd_funeral_leads_altitude_20260619</t>
        </is>
      </c>
      <c r="J3505" t="inlineStr">
        <is>
          <t>NA</t>
        </is>
      </c>
      <c r="K3505" t="inlineStr">
        <is>
          <t>No Answer Autodial</t>
        </is>
      </c>
      <c r="L3505" t="n">
        <v>3</v>
      </c>
      <c r="M3505" t="inlineStr">
        <is>
          <t>2026-06-23 09:57:20</t>
        </is>
      </c>
      <c r="N3505" t="inlineStr">
        <is>
          <t>system</t>
        </is>
      </c>
      <c r="O3505" t="inlineStr">
        <is>
          <t>2026-06-19 07:10:32</t>
        </is>
      </c>
      <c r="P3505" t="inlineStr">
        <is>
          <t>2026-06-19 07:10:32</t>
        </is>
      </c>
      <c r="Y3505" t="inlineStr">
        <is>
          <t>27725388664</t>
        </is>
      </c>
    </row>
    <row r="3506">
      <c r="A3506" t="inlineStr">
        <is>
          <t>14946284</t>
        </is>
      </c>
      <c r="B3506" t="inlineStr">
        <is>
          <t>1c739177-c069-4ca4-ab61-f0deff192b38</t>
        </is>
      </c>
      <c r="D3506" t="inlineStr">
        <is>
          <t>30001087</t>
        </is>
      </c>
      <c r="E3506" t="inlineStr">
        <is>
          <t>ussd_funeral_leads_altitude_20260619</t>
        </is>
      </c>
      <c r="J3506" t="inlineStr">
        <is>
          <t>NA</t>
        </is>
      </c>
      <c r="K3506" t="inlineStr">
        <is>
          <t>No Answer Autodial</t>
        </is>
      </c>
      <c r="L3506" t="n">
        <v>3</v>
      </c>
      <c r="M3506" t="inlineStr">
        <is>
          <t>2026-06-23 09:57:20</t>
        </is>
      </c>
      <c r="N3506" t="inlineStr">
        <is>
          <t>system</t>
        </is>
      </c>
      <c r="O3506" t="inlineStr">
        <is>
          <t>2026-06-19 07:10:32</t>
        </is>
      </c>
      <c r="P3506" t="inlineStr">
        <is>
          <t>2026-06-19 07:10:32</t>
        </is>
      </c>
      <c r="Y3506" t="inlineStr">
        <is>
          <t>27648423584</t>
        </is>
      </c>
    </row>
    <row r="3507">
      <c r="A3507" t="inlineStr">
        <is>
          <t>14946279</t>
        </is>
      </c>
      <c r="B3507" t="inlineStr">
        <is>
          <t>09e2a7c3-ccf4-4f7c-8cbf-9f16a2c10663</t>
        </is>
      </c>
      <c r="D3507" t="inlineStr">
        <is>
          <t>30001087</t>
        </is>
      </c>
      <c r="E3507" t="inlineStr">
        <is>
          <t>ussd_funeral_leads_altitude_20260619</t>
        </is>
      </c>
      <c r="J3507" t="inlineStr">
        <is>
          <t>AA</t>
        </is>
      </c>
      <c r="K3507" t="inlineStr">
        <is>
          <t>Answering Machine Autodial</t>
        </is>
      </c>
      <c r="L3507" t="n">
        <v>3</v>
      </c>
      <c r="M3507" t="inlineStr">
        <is>
          <t>2026-06-23 09:57:03</t>
        </is>
      </c>
      <c r="N3507" t="inlineStr">
        <is>
          <t>system</t>
        </is>
      </c>
      <c r="O3507" t="inlineStr">
        <is>
          <t>2026-06-19 07:10:32</t>
        </is>
      </c>
      <c r="P3507" t="inlineStr">
        <is>
          <t>2026-06-19 07:10:32</t>
        </is>
      </c>
      <c r="Y3507" t="inlineStr">
        <is>
          <t>27825364163</t>
        </is>
      </c>
    </row>
    <row r="3508">
      <c r="A3508" t="inlineStr">
        <is>
          <t>14946278</t>
        </is>
      </c>
      <c r="B3508" t="inlineStr">
        <is>
          <t>1633f817-c631-4459-98ce-2bf63ba3b7c1</t>
        </is>
      </c>
      <c r="D3508" t="inlineStr">
        <is>
          <t>30001087</t>
        </is>
      </c>
      <c r="E3508" t="inlineStr">
        <is>
          <t>ussd_funeral_leads_altitude_20260619</t>
        </is>
      </c>
      <c r="J3508" t="inlineStr">
        <is>
          <t>AA</t>
        </is>
      </c>
      <c r="K3508" t="inlineStr">
        <is>
          <t>Answering Machine Autodial</t>
        </is>
      </c>
      <c r="L3508" t="n">
        <v>3</v>
      </c>
      <c r="M3508" t="inlineStr">
        <is>
          <t>2026-06-23 09:57:01</t>
        </is>
      </c>
      <c r="N3508" t="inlineStr">
        <is>
          <t>system</t>
        </is>
      </c>
      <c r="O3508" t="inlineStr">
        <is>
          <t>2026-06-19 07:10:32</t>
        </is>
      </c>
      <c r="P3508" t="inlineStr">
        <is>
          <t>2026-06-19 07:10:32</t>
        </is>
      </c>
      <c r="Y3508" t="inlineStr">
        <is>
          <t>27827363870</t>
        </is>
      </c>
    </row>
    <row r="3509">
      <c r="A3509" t="inlineStr">
        <is>
          <t>14946276</t>
        </is>
      </c>
      <c r="B3509" t="inlineStr">
        <is>
          <t>1544ac2d-f274-43aa-be26-c21d4aada754</t>
        </is>
      </c>
      <c r="D3509" t="inlineStr">
        <is>
          <t>30001087</t>
        </is>
      </c>
      <c r="E3509" t="inlineStr">
        <is>
          <t>ussd_funeral_leads_altitude_20260619</t>
        </is>
      </c>
      <c r="J3509" t="inlineStr">
        <is>
          <t>AA</t>
        </is>
      </c>
      <c r="K3509" t="inlineStr">
        <is>
          <t>Answering Machine Autodial</t>
        </is>
      </c>
      <c r="L3509" t="n">
        <v>3</v>
      </c>
      <c r="M3509" t="inlineStr">
        <is>
          <t>2026-06-23 09:56:57</t>
        </is>
      </c>
      <c r="N3509" t="inlineStr">
        <is>
          <t>system</t>
        </is>
      </c>
      <c r="O3509" t="inlineStr">
        <is>
          <t>2026-06-19 07:10:32</t>
        </is>
      </c>
      <c r="P3509" t="inlineStr">
        <is>
          <t>2026-06-19 07:10:32</t>
        </is>
      </c>
      <c r="Y3509" t="inlineStr">
        <is>
          <t>27766701246</t>
        </is>
      </c>
    </row>
    <row r="3510">
      <c r="A3510" t="inlineStr">
        <is>
          <t>14946277</t>
        </is>
      </c>
      <c r="B3510" t="inlineStr">
        <is>
          <t>37d10937-5ae6-4379-9a13-208cc7fb6c96</t>
        </is>
      </c>
      <c r="D3510" t="inlineStr">
        <is>
          <t>30001087</t>
        </is>
      </c>
      <c r="E3510" t="inlineStr">
        <is>
          <t>ussd_funeral_leads_altitude_20260619</t>
        </is>
      </c>
      <c r="J3510" t="inlineStr">
        <is>
          <t>AE</t>
        </is>
      </c>
      <c r="K3510" t="inlineStr">
        <is>
          <t>Auto Engaged</t>
        </is>
      </c>
      <c r="L3510" t="n">
        <v>3</v>
      </c>
      <c r="M3510" t="inlineStr">
        <is>
          <t>2026-06-23 09:56:57</t>
        </is>
      </c>
      <c r="N3510" t="inlineStr">
        <is>
          <t>system</t>
        </is>
      </c>
      <c r="O3510" t="inlineStr">
        <is>
          <t>2026-06-19 07:10:32</t>
        </is>
      </c>
      <c r="P3510" t="inlineStr">
        <is>
          <t>2026-06-19 07:10:32</t>
        </is>
      </c>
      <c r="Y3510" t="inlineStr">
        <is>
          <t>27721589235</t>
        </is>
      </c>
    </row>
    <row r="3511">
      <c r="A3511" t="inlineStr">
        <is>
          <t>14946272</t>
        </is>
      </c>
      <c r="B3511" t="inlineStr">
        <is>
          <t>beb85fea-2fa9-4a4d-9f62-183c13654be7</t>
        </is>
      </c>
      <c r="D3511" t="inlineStr">
        <is>
          <t>30001087</t>
        </is>
      </c>
      <c r="E3511" t="inlineStr">
        <is>
          <t>ussd_funeral_leads_altitude_20260619</t>
        </is>
      </c>
      <c r="J3511" t="inlineStr">
        <is>
          <t>TDN</t>
        </is>
      </c>
      <c r="K3511" t="inlineStr">
        <is>
          <t>Temporary Disconnected Number</t>
        </is>
      </c>
      <c r="L3511" t="n">
        <v>3</v>
      </c>
      <c r="M3511" t="inlineStr">
        <is>
          <t>2026-06-23 09:56:56</t>
        </is>
      </c>
      <c r="N3511" t="inlineStr">
        <is>
          <t>system</t>
        </is>
      </c>
      <c r="O3511" t="inlineStr">
        <is>
          <t>2026-06-19 07:10:32</t>
        </is>
      </c>
      <c r="P3511" t="inlineStr">
        <is>
          <t>2026-06-19 07:10:32</t>
        </is>
      </c>
      <c r="Y3511" t="inlineStr">
        <is>
          <t>27764845323</t>
        </is>
      </c>
    </row>
    <row r="3512">
      <c r="A3512" t="inlineStr">
        <is>
          <t>14946274</t>
        </is>
      </c>
      <c r="B3512" t="inlineStr">
        <is>
          <t>51ee3715-f6b6-4777-84b3-91568eb14204</t>
        </is>
      </c>
      <c r="D3512" t="inlineStr">
        <is>
          <t>30001087</t>
        </is>
      </c>
      <c r="E3512" t="inlineStr">
        <is>
          <t>ussd_funeral_leads_altitude_20260619</t>
        </is>
      </c>
      <c r="J3512" t="inlineStr">
        <is>
          <t>AA</t>
        </is>
      </c>
      <c r="K3512" t="inlineStr">
        <is>
          <t>Answering Machine Autodial</t>
        </is>
      </c>
      <c r="L3512" t="n">
        <v>3</v>
      </c>
      <c r="M3512" t="inlineStr">
        <is>
          <t>2026-06-23 09:56:56</t>
        </is>
      </c>
      <c r="N3512" t="inlineStr">
        <is>
          <t>system</t>
        </is>
      </c>
      <c r="O3512" t="inlineStr">
        <is>
          <t>2026-06-19 07:10:32</t>
        </is>
      </c>
      <c r="P3512" t="inlineStr">
        <is>
          <t>2026-06-19 07:10:32</t>
        </is>
      </c>
      <c r="Y3512" t="inlineStr">
        <is>
          <t>27791097117</t>
        </is>
      </c>
    </row>
    <row r="3513">
      <c r="A3513" t="inlineStr">
        <is>
          <t>14946275</t>
        </is>
      </c>
      <c r="B3513" t="inlineStr">
        <is>
          <t>bc218de7-4ff4-453f-b5b9-5e0269039fd8</t>
        </is>
      </c>
      <c r="D3513" t="inlineStr">
        <is>
          <t>30001087</t>
        </is>
      </c>
      <c r="E3513" t="inlineStr">
        <is>
          <t>ussd_funeral_leads_altitude_20260619</t>
        </is>
      </c>
      <c r="J3513" t="inlineStr">
        <is>
          <t>AA</t>
        </is>
      </c>
      <c r="K3513" t="inlineStr">
        <is>
          <t>Answering Machine Autodial</t>
        </is>
      </c>
      <c r="L3513" t="n">
        <v>3</v>
      </c>
      <c r="M3513" t="inlineStr">
        <is>
          <t>2026-06-23 09:56:56</t>
        </is>
      </c>
      <c r="N3513" t="inlineStr">
        <is>
          <t>system</t>
        </is>
      </c>
      <c r="O3513" t="inlineStr">
        <is>
          <t>2026-06-19 07:10:32</t>
        </is>
      </c>
      <c r="P3513" t="inlineStr">
        <is>
          <t>2026-06-19 07:10:32</t>
        </is>
      </c>
      <c r="Y3513" t="inlineStr">
        <is>
          <t>27768530273</t>
        </is>
      </c>
    </row>
    <row r="3514">
      <c r="A3514" t="inlineStr">
        <is>
          <t>14946271</t>
        </is>
      </c>
      <c r="B3514" t="inlineStr">
        <is>
          <t>e30c1173-f751-4b8a-8160-3555654e5245</t>
        </is>
      </c>
      <c r="D3514" t="inlineStr">
        <is>
          <t>30001087</t>
        </is>
      </c>
      <c r="E3514" t="inlineStr">
        <is>
          <t>ussd_funeral_leads_altitude_20260619</t>
        </is>
      </c>
      <c r="J3514" t="inlineStr">
        <is>
          <t>AA</t>
        </is>
      </c>
      <c r="K3514" t="inlineStr">
        <is>
          <t>Answering Machine Autodial</t>
        </is>
      </c>
      <c r="L3514" t="n">
        <v>3</v>
      </c>
      <c r="M3514" t="inlineStr">
        <is>
          <t>2026-06-23 09:56:52</t>
        </is>
      </c>
      <c r="N3514" t="inlineStr">
        <is>
          <t>system</t>
        </is>
      </c>
      <c r="O3514" t="inlineStr">
        <is>
          <t>2026-06-19 07:10:32</t>
        </is>
      </c>
      <c r="P3514" t="inlineStr">
        <is>
          <t>2026-06-19 07:10:32</t>
        </is>
      </c>
      <c r="Y3514" t="inlineStr">
        <is>
          <t>27720239123</t>
        </is>
      </c>
    </row>
    <row r="3515">
      <c r="A3515" t="inlineStr">
        <is>
          <t>14946270</t>
        </is>
      </c>
      <c r="B3515" t="inlineStr">
        <is>
          <t>c6bd73c3-5d43-46ea-acca-79734efdbb10</t>
        </is>
      </c>
      <c r="D3515" t="inlineStr">
        <is>
          <t>30001087</t>
        </is>
      </c>
      <c r="E3515" t="inlineStr">
        <is>
          <t>ussd_funeral_leads_altitude_20260619</t>
        </is>
      </c>
      <c r="J3515" t="inlineStr">
        <is>
          <t>AA</t>
        </is>
      </c>
      <c r="K3515" t="inlineStr">
        <is>
          <t>Answering Machine Autodial</t>
        </is>
      </c>
      <c r="L3515" t="n">
        <v>3</v>
      </c>
      <c r="M3515" t="inlineStr">
        <is>
          <t>2026-06-23 09:56:50</t>
        </is>
      </c>
      <c r="N3515" t="inlineStr">
        <is>
          <t>system</t>
        </is>
      </c>
      <c r="O3515" t="inlineStr">
        <is>
          <t>2026-06-19 07:10:32</t>
        </is>
      </c>
      <c r="P3515" t="inlineStr">
        <is>
          <t>2026-06-19 07:10:32</t>
        </is>
      </c>
      <c r="Y3515" t="inlineStr">
        <is>
          <t>27828100687</t>
        </is>
      </c>
    </row>
    <row r="3516">
      <c r="A3516" t="inlineStr">
        <is>
          <t>14946269</t>
        </is>
      </c>
      <c r="B3516" t="inlineStr">
        <is>
          <t>6190ad87-5e70-4aec-b1f4-9ed5a2079386</t>
        </is>
      </c>
      <c r="D3516" t="inlineStr">
        <is>
          <t>30001087</t>
        </is>
      </c>
      <c r="E3516" t="inlineStr">
        <is>
          <t>ussd_funeral_leads_altitude_20260619</t>
        </is>
      </c>
      <c r="J3516" t="inlineStr">
        <is>
          <t>AE</t>
        </is>
      </c>
      <c r="K3516" t="inlineStr">
        <is>
          <t>Auto Engaged</t>
        </is>
      </c>
      <c r="L3516" t="n">
        <v>3</v>
      </c>
      <c r="M3516" t="inlineStr">
        <is>
          <t>2026-06-23 09:56:48</t>
        </is>
      </c>
      <c r="N3516" t="inlineStr">
        <is>
          <t>system</t>
        </is>
      </c>
      <c r="O3516" t="inlineStr">
        <is>
          <t>2026-06-19 07:10:32</t>
        </is>
      </c>
      <c r="P3516" t="inlineStr">
        <is>
          <t>2026-06-19 07:10:32</t>
        </is>
      </c>
      <c r="Y3516" t="inlineStr">
        <is>
          <t>27799086261</t>
        </is>
      </c>
    </row>
    <row r="3517">
      <c r="A3517" t="inlineStr">
        <is>
          <t>14900000</t>
        </is>
      </c>
      <c r="B3517" t="inlineStr">
        <is>
          <t>43e68314-7362-4b79-a0a7-6e62a49845cd</t>
        </is>
      </c>
      <c r="D3517" t="inlineStr">
        <is>
          <t>30001087</t>
        </is>
      </c>
      <c r="E3517" t="inlineStr">
        <is>
          <t>ussd_funeral_leads_altitude_20260619</t>
        </is>
      </c>
      <c r="J3517" t="inlineStr">
        <is>
          <t>TDN</t>
        </is>
      </c>
      <c r="K3517" t="inlineStr">
        <is>
          <t>Temporary Disconnected Number</t>
        </is>
      </c>
      <c r="L3517" t="n">
        <v>3</v>
      </c>
      <c r="M3517" t="inlineStr">
        <is>
          <t>2026-06-23 09:56:45</t>
        </is>
      </c>
      <c r="N3517" t="inlineStr">
        <is>
          <t>system</t>
        </is>
      </c>
      <c r="O3517" t="inlineStr">
        <is>
          <t>2026-06-19 07:10:32</t>
        </is>
      </c>
      <c r="P3517" t="inlineStr">
        <is>
          <t>2026-06-19 07:10:32</t>
        </is>
      </c>
      <c r="Y3517" t="inlineStr">
        <is>
          <t>27720333666</t>
        </is>
      </c>
    </row>
    <row r="3518">
      <c r="A3518" t="inlineStr">
        <is>
          <t>14947684</t>
        </is>
      </c>
      <c r="B3518" t="inlineStr">
        <is>
          <t>7985b6f9-f178-47d0-adef-cba8a57ef051</t>
        </is>
      </c>
      <c r="D3518" t="inlineStr">
        <is>
          <t>30001087</t>
        </is>
      </c>
      <c r="E3518" t="inlineStr">
        <is>
          <t>ussd_funeral_leads_altitude_20260619</t>
        </is>
      </c>
      <c r="J3518" t="inlineStr">
        <is>
          <t>AA</t>
        </is>
      </c>
      <c r="K3518" t="inlineStr">
        <is>
          <t>Answering Machine Autodial</t>
        </is>
      </c>
      <c r="L3518" t="n">
        <v>3</v>
      </c>
      <c r="M3518" t="inlineStr">
        <is>
          <t>2026-06-23 09:56:45</t>
        </is>
      </c>
      <c r="N3518" t="inlineStr">
        <is>
          <t>system</t>
        </is>
      </c>
      <c r="O3518" t="inlineStr">
        <is>
          <t>2026-06-19 07:10:32</t>
        </is>
      </c>
      <c r="P3518" t="inlineStr">
        <is>
          <t>2026-06-19 07:10:32</t>
        </is>
      </c>
      <c r="Y3518" t="inlineStr">
        <is>
          <t>27725359995</t>
        </is>
      </c>
    </row>
    <row r="3519">
      <c r="A3519" t="inlineStr">
        <is>
          <t>14946338</t>
        </is>
      </c>
      <c r="B3519" t="inlineStr">
        <is>
          <t>1a14f121-83da-45c9-a292-2a6622c24b23</t>
        </is>
      </c>
      <c r="D3519" t="inlineStr">
        <is>
          <t>30001087</t>
        </is>
      </c>
      <c r="E3519" t="inlineStr">
        <is>
          <t>ussd_funeral_leads_altitude_20260619</t>
        </is>
      </c>
      <c r="J3519" t="inlineStr">
        <is>
          <t>DC</t>
        </is>
      </c>
      <c r="K3519" t="inlineStr">
        <is>
          <t>Disconnected</t>
        </is>
      </c>
      <c r="L3519" t="n">
        <v>3</v>
      </c>
      <c r="M3519" t="inlineStr">
        <is>
          <t>2026-06-23 09:55:29</t>
        </is>
      </c>
      <c r="N3519" t="inlineStr">
        <is>
          <t>Dimakatso Nkomo</t>
        </is>
      </c>
      <c r="O3519" t="inlineStr">
        <is>
          <t>2026-06-19 07:10:32</t>
        </is>
      </c>
      <c r="P3519" t="inlineStr">
        <is>
          <t>2026-06-19 07:10:32</t>
        </is>
      </c>
      <c r="Y3519" t="inlineStr">
        <is>
          <t>27728729567</t>
        </is>
      </c>
    </row>
    <row r="3520">
      <c r="A3520" t="inlineStr">
        <is>
          <t>14946337</t>
        </is>
      </c>
      <c r="B3520" t="inlineStr">
        <is>
          <t>ba552845-c8d9-4533-98f0-22b9bdbbe3e6</t>
        </is>
      </c>
      <c r="D3520" t="inlineStr">
        <is>
          <t>30001087</t>
        </is>
      </c>
      <c r="E3520" t="inlineStr">
        <is>
          <t>ussd_funeral_leads_altitude_20260619</t>
        </is>
      </c>
      <c r="J3520" t="inlineStr">
        <is>
          <t>NA</t>
        </is>
      </c>
      <c r="K3520" t="inlineStr">
        <is>
          <t>No Answer Autodial</t>
        </is>
      </c>
      <c r="L3520" t="n">
        <v>3</v>
      </c>
      <c r="M3520" t="inlineStr">
        <is>
          <t>2026-06-23 09:55:18</t>
        </is>
      </c>
      <c r="N3520" t="inlineStr">
        <is>
          <t>system</t>
        </is>
      </c>
      <c r="O3520" t="inlineStr">
        <is>
          <t>2026-06-19 07:10:32</t>
        </is>
      </c>
      <c r="P3520" t="inlineStr">
        <is>
          <t>2026-06-19 07:10:32</t>
        </is>
      </c>
      <c r="Y3520" t="inlineStr">
        <is>
          <t>27818140280</t>
        </is>
      </c>
    </row>
    <row r="3521">
      <c r="A3521" t="inlineStr">
        <is>
          <t>14946333</t>
        </is>
      </c>
      <c r="B3521" t="inlineStr">
        <is>
          <t>fdef64c4-b168-4f50-8836-c45063dfa5a8</t>
        </is>
      </c>
      <c r="D3521" t="inlineStr">
        <is>
          <t>30001087</t>
        </is>
      </c>
      <c r="E3521" t="inlineStr">
        <is>
          <t>ussd_funeral_leads_altitude_20260619</t>
        </is>
      </c>
      <c r="J3521" t="inlineStr">
        <is>
          <t>ADC</t>
        </is>
      </c>
      <c r="K3521" t="inlineStr">
        <is>
          <t>Auto Dial Disconnected</t>
        </is>
      </c>
      <c r="L3521" t="n">
        <v>3</v>
      </c>
      <c r="M3521" t="inlineStr">
        <is>
          <t>2026-06-23 09:55:17</t>
        </is>
      </c>
      <c r="N3521" t="inlineStr">
        <is>
          <t>system</t>
        </is>
      </c>
      <c r="O3521" t="inlineStr">
        <is>
          <t>2026-06-19 07:10:32</t>
        </is>
      </c>
      <c r="P3521" t="inlineStr">
        <is>
          <t>2026-06-19 07:10:32</t>
        </is>
      </c>
      <c r="Y3521" t="inlineStr">
        <is>
          <t>27765199314</t>
        </is>
      </c>
    </row>
    <row r="3522">
      <c r="A3522" t="inlineStr">
        <is>
          <t>14946334</t>
        </is>
      </c>
      <c r="B3522" t="inlineStr">
        <is>
          <t>fa5973ee-0194-42e7-8a7a-81243870ef90</t>
        </is>
      </c>
      <c r="D3522" t="inlineStr">
        <is>
          <t>30001087</t>
        </is>
      </c>
      <c r="E3522" t="inlineStr">
        <is>
          <t>ussd_funeral_leads_altitude_20260619</t>
        </is>
      </c>
      <c r="J3522" t="inlineStr">
        <is>
          <t>NA</t>
        </is>
      </c>
      <c r="K3522" t="inlineStr">
        <is>
          <t>No Answer Autodial</t>
        </is>
      </c>
      <c r="L3522" t="n">
        <v>3</v>
      </c>
      <c r="M3522" t="inlineStr">
        <is>
          <t>2026-06-23 09:55:17</t>
        </is>
      </c>
      <c r="N3522" t="inlineStr">
        <is>
          <t>system</t>
        </is>
      </c>
      <c r="O3522" t="inlineStr">
        <is>
          <t>2026-06-19 07:10:32</t>
        </is>
      </c>
      <c r="P3522" t="inlineStr">
        <is>
          <t>2026-06-19 07:10:32</t>
        </is>
      </c>
      <c r="Y3522" t="inlineStr">
        <is>
          <t>27662119503</t>
        </is>
      </c>
    </row>
    <row r="3523">
      <c r="A3523" t="inlineStr">
        <is>
          <t>14946335</t>
        </is>
      </c>
      <c r="B3523" t="inlineStr">
        <is>
          <t>33b46fe7-6481-4a46-a2e7-4297a68caf31</t>
        </is>
      </c>
      <c r="D3523" t="inlineStr">
        <is>
          <t>30001087</t>
        </is>
      </c>
      <c r="E3523" t="inlineStr">
        <is>
          <t>ussd_funeral_leads_altitude_20260619</t>
        </is>
      </c>
      <c r="J3523" t="inlineStr">
        <is>
          <t>ADC</t>
        </is>
      </c>
      <c r="K3523" t="inlineStr">
        <is>
          <t>Auto Dial Disconnected</t>
        </is>
      </c>
      <c r="L3523" t="n">
        <v>3</v>
      </c>
      <c r="M3523" t="inlineStr">
        <is>
          <t>2026-06-23 09:55:17</t>
        </is>
      </c>
      <c r="N3523" t="inlineStr">
        <is>
          <t>system</t>
        </is>
      </c>
      <c r="O3523" t="inlineStr">
        <is>
          <t>2026-06-19 07:10:32</t>
        </is>
      </c>
      <c r="P3523" t="inlineStr">
        <is>
          <t>2026-06-19 07:10:32</t>
        </is>
      </c>
      <c r="Y3523" t="inlineStr">
        <is>
          <t>27646259759</t>
        </is>
      </c>
    </row>
    <row r="3524">
      <c r="A3524" t="inlineStr">
        <is>
          <t>14946336</t>
        </is>
      </c>
      <c r="B3524" t="inlineStr">
        <is>
          <t>e46a36d5-fda1-47f2-8a02-2174e882ec6b</t>
        </is>
      </c>
      <c r="D3524" t="inlineStr">
        <is>
          <t>30001087</t>
        </is>
      </c>
      <c r="E3524" t="inlineStr">
        <is>
          <t>ussd_funeral_leads_altitude_20260619</t>
        </is>
      </c>
      <c r="J3524" t="inlineStr">
        <is>
          <t>AA</t>
        </is>
      </c>
      <c r="K3524" t="inlineStr">
        <is>
          <t>Answering Machine Autodial</t>
        </is>
      </c>
      <c r="L3524" t="n">
        <v>3</v>
      </c>
      <c r="M3524" t="inlineStr">
        <is>
          <t>2026-06-23 09:55:17</t>
        </is>
      </c>
      <c r="N3524" t="inlineStr">
        <is>
          <t>system</t>
        </is>
      </c>
      <c r="O3524" t="inlineStr">
        <is>
          <t>2026-06-19 07:10:32</t>
        </is>
      </c>
      <c r="P3524" t="inlineStr">
        <is>
          <t>2026-06-19 07:10:32</t>
        </is>
      </c>
      <c r="Y3524" t="inlineStr">
        <is>
          <t>27607098476</t>
        </is>
      </c>
    </row>
    <row r="3525">
      <c r="A3525" t="inlineStr">
        <is>
          <t>14946330</t>
        </is>
      </c>
      <c r="B3525" t="inlineStr">
        <is>
          <t>7e94b2fd-54d3-43bb-8c4d-7b471e5f080d</t>
        </is>
      </c>
      <c r="D3525" t="inlineStr">
        <is>
          <t>30001087</t>
        </is>
      </c>
      <c r="E3525" t="inlineStr">
        <is>
          <t>ussd_funeral_leads_altitude_20260619</t>
        </is>
      </c>
      <c r="J3525" t="inlineStr">
        <is>
          <t>AA</t>
        </is>
      </c>
      <c r="K3525" t="inlineStr">
        <is>
          <t>Answering Machine Autodial</t>
        </is>
      </c>
      <c r="L3525" t="n">
        <v>3</v>
      </c>
      <c r="M3525" t="inlineStr">
        <is>
          <t>2026-06-23 09:55:11</t>
        </is>
      </c>
      <c r="N3525" t="inlineStr">
        <is>
          <t>system</t>
        </is>
      </c>
      <c r="O3525" t="inlineStr">
        <is>
          <t>2026-06-19 07:10:32</t>
        </is>
      </c>
      <c r="P3525" t="inlineStr">
        <is>
          <t>2026-06-19 07:10:32</t>
        </is>
      </c>
      <c r="Y3525" t="inlineStr">
        <is>
          <t>27637380130</t>
        </is>
      </c>
    </row>
    <row r="3526">
      <c r="A3526" t="inlineStr">
        <is>
          <t>14946331</t>
        </is>
      </c>
      <c r="B3526" t="inlineStr">
        <is>
          <t>87698d96-d0c1-4e0b-9de6-74c47a2adbdd</t>
        </is>
      </c>
      <c r="D3526" t="inlineStr">
        <is>
          <t>30001087</t>
        </is>
      </c>
      <c r="E3526" t="inlineStr">
        <is>
          <t>ussd_funeral_leads_altitude_20260619</t>
        </is>
      </c>
      <c r="J3526" t="inlineStr">
        <is>
          <t>AA</t>
        </is>
      </c>
      <c r="K3526" t="inlineStr">
        <is>
          <t>Answering Machine Autodial</t>
        </is>
      </c>
      <c r="L3526" t="n">
        <v>3</v>
      </c>
      <c r="M3526" t="inlineStr">
        <is>
          <t>2026-06-23 09:55:11</t>
        </is>
      </c>
      <c r="N3526" t="inlineStr">
        <is>
          <t>system</t>
        </is>
      </c>
      <c r="O3526" t="inlineStr">
        <is>
          <t>2026-06-19 07:10:32</t>
        </is>
      </c>
      <c r="P3526" t="inlineStr">
        <is>
          <t>2026-06-19 07:10:32</t>
        </is>
      </c>
      <c r="Y3526" t="inlineStr">
        <is>
          <t>27774144384</t>
        </is>
      </c>
    </row>
    <row r="3527">
      <c r="A3527" t="inlineStr">
        <is>
          <t>14946329</t>
        </is>
      </c>
      <c r="B3527" t="inlineStr">
        <is>
          <t>f77d6e89-bdf8-4d36-bb4a-7d6b9185b225</t>
        </is>
      </c>
      <c r="D3527" t="inlineStr">
        <is>
          <t>30001087</t>
        </is>
      </c>
      <c r="E3527" t="inlineStr">
        <is>
          <t>ussd_funeral_leads_altitude_20260619</t>
        </is>
      </c>
      <c r="J3527" t="inlineStr">
        <is>
          <t>AA</t>
        </is>
      </c>
      <c r="K3527" t="inlineStr">
        <is>
          <t>Answering Machine Autodial</t>
        </is>
      </c>
      <c r="L3527" t="n">
        <v>3</v>
      </c>
      <c r="M3527" t="inlineStr">
        <is>
          <t>2026-06-23 09:55:10</t>
        </is>
      </c>
      <c r="N3527" t="inlineStr">
        <is>
          <t>system</t>
        </is>
      </c>
      <c r="O3527" t="inlineStr">
        <is>
          <t>2026-06-19 07:10:32</t>
        </is>
      </c>
      <c r="P3527" t="inlineStr">
        <is>
          <t>2026-06-19 07:10:32</t>
        </is>
      </c>
      <c r="Y3527" t="inlineStr">
        <is>
          <t>27826232234</t>
        </is>
      </c>
    </row>
    <row r="3528">
      <c r="A3528" t="inlineStr">
        <is>
          <t>14946326</t>
        </is>
      </c>
      <c r="B3528" t="inlineStr">
        <is>
          <t>d0766579-4a71-4947-948b-46268ecdc91f</t>
        </is>
      </c>
      <c r="D3528" t="inlineStr">
        <is>
          <t>30001087</t>
        </is>
      </c>
      <c r="E3528" t="inlineStr">
        <is>
          <t>ussd_funeral_leads_altitude_20260619</t>
        </is>
      </c>
      <c r="J3528" t="inlineStr">
        <is>
          <t>AA</t>
        </is>
      </c>
      <c r="K3528" t="inlineStr">
        <is>
          <t>Answering Machine Autodial</t>
        </is>
      </c>
      <c r="L3528" t="n">
        <v>3</v>
      </c>
      <c r="M3528" t="inlineStr">
        <is>
          <t>2026-06-23 09:55:09</t>
        </is>
      </c>
      <c r="N3528" t="inlineStr">
        <is>
          <t>system</t>
        </is>
      </c>
      <c r="O3528" t="inlineStr">
        <is>
          <t>2026-06-19 07:10:32</t>
        </is>
      </c>
      <c r="P3528" t="inlineStr">
        <is>
          <t>2026-06-19 07:10:32</t>
        </is>
      </c>
      <c r="Y3528" t="inlineStr">
        <is>
          <t>27607303084</t>
        </is>
      </c>
    </row>
    <row r="3529">
      <c r="A3529" t="inlineStr">
        <is>
          <t>14946327</t>
        </is>
      </c>
      <c r="B3529" t="inlineStr">
        <is>
          <t>04a47161-4b3f-45c7-8eb9-96658358f88f</t>
        </is>
      </c>
      <c r="D3529" t="inlineStr">
        <is>
          <t>30001087</t>
        </is>
      </c>
      <c r="E3529" t="inlineStr">
        <is>
          <t>ussd_funeral_leads_altitude_20260619</t>
        </is>
      </c>
      <c r="J3529" t="inlineStr">
        <is>
          <t>AA</t>
        </is>
      </c>
      <c r="K3529" t="inlineStr">
        <is>
          <t>Answering Machine Autodial</t>
        </is>
      </c>
      <c r="L3529" t="n">
        <v>3</v>
      </c>
      <c r="M3529" t="inlineStr">
        <is>
          <t>2026-06-23 09:55:09</t>
        </is>
      </c>
      <c r="N3529" t="inlineStr">
        <is>
          <t>system</t>
        </is>
      </c>
      <c r="O3529" t="inlineStr">
        <is>
          <t>2026-06-19 07:10:32</t>
        </is>
      </c>
      <c r="P3529" t="inlineStr">
        <is>
          <t>2026-06-19 07:10:32</t>
        </is>
      </c>
      <c r="Y3529" t="inlineStr">
        <is>
          <t>27792459309</t>
        </is>
      </c>
    </row>
    <row r="3530">
      <c r="A3530" t="inlineStr">
        <is>
          <t>14946328</t>
        </is>
      </c>
      <c r="B3530" t="inlineStr">
        <is>
          <t>ec55e807-7861-4a6b-913d-53dcdfa78bba</t>
        </is>
      </c>
      <c r="D3530" t="inlineStr">
        <is>
          <t>30001087</t>
        </is>
      </c>
      <c r="E3530" t="inlineStr">
        <is>
          <t>ussd_funeral_leads_altitude_20260619</t>
        </is>
      </c>
      <c r="J3530" t="inlineStr">
        <is>
          <t>NA</t>
        </is>
      </c>
      <c r="K3530" t="inlineStr">
        <is>
          <t>No Answer Autodial</t>
        </is>
      </c>
      <c r="L3530" t="n">
        <v>3</v>
      </c>
      <c r="M3530" t="inlineStr">
        <is>
          <t>2026-06-23 09:55:09</t>
        </is>
      </c>
      <c r="N3530" t="inlineStr">
        <is>
          <t>system</t>
        </is>
      </c>
      <c r="O3530" t="inlineStr">
        <is>
          <t>2026-06-19 07:10:32</t>
        </is>
      </c>
      <c r="P3530" t="inlineStr">
        <is>
          <t>2026-06-19 07:10:32</t>
        </is>
      </c>
      <c r="Y3530" t="inlineStr">
        <is>
          <t>27825316122</t>
        </is>
      </c>
    </row>
    <row r="3531">
      <c r="A3531" t="inlineStr">
        <is>
          <t>14946325</t>
        </is>
      </c>
      <c r="B3531" t="inlineStr">
        <is>
          <t>0d332bc4-2245-401f-b802-9c1ee7d8d2cf</t>
        </is>
      </c>
      <c r="D3531" t="inlineStr">
        <is>
          <t>30001087</t>
        </is>
      </c>
      <c r="E3531" t="inlineStr">
        <is>
          <t>ussd_funeral_leads_altitude_20260619</t>
        </is>
      </c>
      <c r="J3531" t="inlineStr">
        <is>
          <t>ADC</t>
        </is>
      </c>
      <c r="K3531" t="inlineStr">
        <is>
          <t>Auto Dial Disconnected</t>
        </is>
      </c>
      <c r="L3531" t="n">
        <v>3</v>
      </c>
      <c r="M3531" t="inlineStr">
        <is>
          <t>2026-06-23 09:55:08</t>
        </is>
      </c>
      <c r="N3531" t="inlineStr">
        <is>
          <t>system</t>
        </is>
      </c>
      <c r="O3531" t="inlineStr">
        <is>
          <t>2026-06-19 07:10:32</t>
        </is>
      </c>
      <c r="P3531" t="inlineStr">
        <is>
          <t>2026-06-19 07:10:32</t>
        </is>
      </c>
      <c r="Y3531" t="inlineStr">
        <is>
          <t>27791971767</t>
        </is>
      </c>
    </row>
    <row r="3532">
      <c r="A3532" t="inlineStr">
        <is>
          <t>14946324</t>
        </is>
      </c>
      <c r="B3532" t="inlineStr">
        <is>
          <t>1f0e24e4-4050-4dd2-9314-69fa67a22045</t>
        </is>
      </c>
      <c r="D3532" t="inlineStr">
        <is>
          <t>30001087</t>
        </is>
      </c>
      <c r="E3532" t="inlineStr">
        <is>
          <t>ussd_funeral_leads_altitude_20260619</t>
        </is>
      </c>
      <c r="J3532" t="inlineStr">
        <is>
          <t>ADC</t>
        </is>
      </c>
      <c r="K3532" t="inlineStr">
        <is>
          <t>Auto Dial Disconnected</t>
        </is>
      </c>
      <c r="L3532" t="n">
        <v>3</v>
      </c>
      <c r="M3532" t="inlineStr">
        <is>
          <t>2026-06-23 09:55:06</t>
        </is>
      </c>
      <c r="N3532" t="inlineStr">
        <is>
          <t>system</t>
        </is>
      </c>
      <c r="O3532" t="inlineStr">
        <is>
          <t>2026-06-19 07:10:32</t>
        </is>
      </c>
      <c r="P3532" t="inlineStr">
        <is>
          <t>2026-06-19 07:10:32</t>
        </is>
      </c>
      <c r="Y3532" t="inlineStr">
        <is>
          <t>27715313675</t>
        </is>
      </c>
    </row>
    <row r="3533">
      <c r="A3533" t="inlineStr">
        <is>
          <t>14946323</t>
        </is>
      </c>
      <c r="B3533" t="inlineStr">
        <is>
          <t>90d3fee6-d103-4660-b1ac-cf0c48ebe402</t>
        </is>
      </c>
      <c r="D3533" t="inlineStr">
        <is>
          <t>30001087</t>
        </is>
      </c>
      <c r="E3533" t="inlineStr">
        <is>
          <t>ussd_funeral_leads_altitude_20260619</t>
        </is>
      </c>
      <c r="J3533" t="inlineStr">
        <is>
          <t>ADC</t>
        </is>
      </c>
      <c r="K3533" t="inlineStr">
        <is>
          <t>Auto Dial Disconnected</t>
        </is>
      </c>
      <c r="L3533" t="n">
        <v>3</v>
      </c>
      <c r="M3533" t="inlineStr">
        <is>
          <t>2026-06-23 09:55:04</t>
        </is>
      </c>
      <c r="N3533" t="inlineStr">
        <is>
          <t>system</t>
        </is>
      </c>
      <c r="O3533" t="inlineStr">
        <is>
          <t>2026-06-19 07:10:32</t>
        </is>
      </c>
      <c r="P3533" t="inlineStr">
        <is>
          <t>2026-06-19 07:10:32</t>
        </is>
      </c>
      <c r="Y3533" t="inlineStr">
        <is>
          <t>27794452123</t>
        </is>
      </c>
    </row>
    <row r="3534">
      <c r="A3534" t="inlineStr">
        <is>
          <t>14946321</t>
        </is>
      </c>
      <c r="B3534" t="inlineStr">
        <is>
          <t>1c97d69d-1543-440f-8bb7-9e7df25ccbe8</t>
        </is>
      </c>
      <c r="D3534" t="inlineStr">
        <is>
          <t>30001087</t>
        </is>
      </c>
      <c r="E3534" t="inlineStr">
        <is>
          <t>ussd_funeral_leads_altitude_20260619</t>
        </is>
      </c>
      <c r="J3534" t="inlineStr">
        <is>
          <t>AA</t>
        </is>
      </c>
      <c r="K3534" t="inlineStr">
        <is>
          <t>Answering Machine Autodial</t>
        </is>
      </c>
      <c r="L3534" t="n">
        <v>3</v>
      </c>
      <c r="M3534" t="inlineStr">
        <is>
          <t>2026-06-23 09:55:02</t>
        </is>
      </c>
      <c r="N3534" t="inlineStr">
        <is>
          <t>system</t>
        </is>
      </c>
      <c r="O3534" t="inlineStr">
        <is>
          <t>2026-06-19 07:10:32</t>
        </is>
      </c>
      <c r="P3534" t="inlineStr">
        <is>
          <t>2026-06-19 07:10:32</t>
        </is>
      </c>
      <c r="Y3534" t="inlineStr">
        <is>
          <t>27724928164</t>
        </is>
      </c>
    </row>
    <row r="3535">
      <c r="A3535" t="inlineStr">
        <is>
          <t>14946322</t>
        </is>
      </c>
      <c r="B3535" t="inlineStr">
        <is>
          <t>b903a07f-a2f4-4ad8-8003-8ed2c763a3a4</t>
        </is>
      </c>
      <c r="D3535" t="inlineStr">
        <is>
          <t>30001087</t>
        </is>
      </c>
      <c r="E3535" t="inlineStr">
        <is>
          <t>ussd_funeral_leads_altitude_20260619</t>
        </is>
      </c>
      <c r="J3535" t="inlineStr">
        <is>
          <t>AA</t>
        </is>
      </c>
      <c r="K3535" t="inlineStr">
        <is>
          <t>Answering Machine Autodial</t>
        </is>
      </c>
      <c r="L3535" t="n">
        <v>3</v>
      </c>
      <c r="M3535" t="inlineStr">
        <is>
          <t>2026-06-23 09:55:02</t>
        </is>
      </c>
      <c r="N3535" t="inlineStr">
        <is>
          <t>system</t>
        </is>
      </c>
      <c r="O3535" t="inlineStr">
        <is>
          <t>2026-06-19 07:10:32</t>
        </is>
      </c>
      <c r="P3535" t="inlineStr">
        <is>
          <t>2026-06-19 07:10:32</t>
        </is>
      </c>
      <c r="Y3535" t="inlineStr">
        <is>
          <t>27796603331</t>
        </is>
      </c>
    </row>
    <row r="3536">
      <c r="A3536" t="inlineStr">
        <is>
          <t>14946318</t>
        </is>
      </c>
      <c r="B3536" t="inlineStr">
        <is>
          <t>b125b417-8a70-412d-be6b-cb6f4c57075d</t>
        </is>
      </c>
      <c r="D3536" t="inlineStr">
        <is>
          <t>30001087</t>
        </is>
      </c>
      <c r="E3536" t="inlineStr">
        <is>
          <t>ussd_funeral_leads_altitude_20260619</t>
        </is>
      </c>
      <c r="J3536" t="inlineStr">
        <is>
          <t>ADC</t>
        </is>
      </c>
      <c r="K3536" t="inlineStr">
        <is>
          <t>Auto Dial Disconnected</t>
        </is>
      </c>
      <c r="L3536" t="n">
        <v>3</v>
      </c>
      <c r="M3536" t="inlineStr">
        <is>
          <t>2026-06-23 09:55:01</t>
        </is>
      </c>
      <c r="N3536" t="inlineStr">
        <is>
          <t>system</t>
        </is>
      </c>
      <c r="O3536" t="inlineStr">
        <is>
          <t>2026-06-19 07:10:32</t>
        </is>
      </c>
      <c r="P3536" t="inlineStr">
        <is>
          <t>2026-06-19 07:10:32</t>
        </is>
      </c>
      <c r="Y3536" t="inlineStr">
        <is>
          <t>27607357315</t>
        </is>
      </c>
    </row>
    <row r="3537">
      <c r="A3537" t="inlineStr">
        <is>
          <t>14900000</t>
        </is>
      </c>
      <c r="B3537" t="inlineStr">
        <is>
          <t>2e869dbb-10fa-475d-9451-32c1149993ba</t>
        </is>
      </c>
      <c r="D3537" t="inlineStr">
        <is>
          <t>30001087</t>
        </is>
      </c>
      <c r="E3537" t="inlineStr">
        <is>
          <t>ussd_funeral_leads_altitude_20260619</t>
        </is>
      </c>
      <c r="J3537" t="inlineStr">
        <is>
          <t>AA</t>
        </is>
      </c>
      <c r="K3537" t="inlineStr">
        <is>
          <t>Answering Machine Autodial</t>
        </is>
      </c>
      <c r="L3537" t="n">
        <v>3</v>
      </c>
      <c r="M3537" t="inlineStr">
        <is>
          <t>2026-06-23 09:55:01</t>
        </is>
      </c>
      <c r="N3537" t="inlineStr">
        <is>
          <t>system</t>
        </is>
      </c>
      <c r="O3537" t="inlineStr">
        <is>
          <t>2026-06-19 07:10:32</t>
        </is>
      </c>
      <c r="P3537" t="inlineStr">
        <is>
          <t>2026-06-19 07:10:32</t>
        </is>
      </c>
      <c r="Y3537" t="inlineStr">
        <is>
          <t>27769890766</t>
        </is>
      </c>
    </row>
    <row r="3538">
      <c r="A3538" t="inlineStr">
        <is>
          <t>14946320</t>
        </is>
      </c>
      <c r="B3538" t="inlineStr">
        <is>
          <t>888aeae4-2b9c-4847-b1bf-c2fddd270652</t>
        </is>
      </c>
      <c r="D3538" t="inlineStr">
        <is>
          <t>30001087</t>
        </is>
      </c>
      <c r="E3538" t="inlineStr">
        <is>
          <t>ussd_funeral_leads_altitude_20260619</t>
        </is>
      </c>
      <c r="J3538" t="inlineStr">
        <is>
          <t>AA</t>
        </is>
      </c>
      <c r="K3538" t="inlineStr">
        <is>
          <t>Answering Machine Autodial</t>
        </is>
      </c>
      <c r="L3538" t="n">
        <v>3</v>
      </c>
      <c r="M3538" t="inlineStr">
        <is>
          <t>2026-06-23 09:55:01</t>
        </is>
      </c>
      <c r="N3538" t="inlineStr">
        <is>
          <t>system</t>
        </is>
      </c>
      <c r="O3538" t="inlineStr">
        <is>
          <t>2026-06-19 07:10:32</t>
        </is>
      </c>
      <c r="P3538" t="inlineStr">
        <is>
          <t>2026-06-19 07:10:32</t>
        </is>
      </c>
      <c r="Y3538" t="inlineStr">
        <is>
          <t>27794539810</t>
        </is>
      </c>
    </row>
    <row r="3539">
      <c r="A3539" t="inlineStr">
        <is>
          <t>14946314</t>
        </is>
      </c>
      <c r="B3539" t="inlineStr">
        <is>
          <t>f1071dd8-166d-4251-bae7-0fb3fe204abb</t>
        </is>
      </c>
      <c r="D3539" t="inlineStr">
        <is>
          <t>30001087</t>
        </is>
      </c>
      <c r="E3539" t="inlineStr">
        <is>
          <t>ussd_funeral_leads_altitude_20260619</t>
        </is>
      </c>
      <c r="J3539" t="inlineStr">
        <is>
          <t>AA</t>
        </is>
      </c>
      <c r="K3539" t="inlineStr">
        <is>
          <t>Answering Machine Autodial</t>
        </is>
      </c>
      <c r="L3539" t="n">
        <v>3</v>
      </c>
      <c r="M3539" t="inlineStr">
        <is>
          <t>2026-06-23 09:55:00</t>
        </is>
      </c>
      <c r="N3539" t="inlineStr">
        <is>
          <t>system</t>
        </is>
      </c>
      <c r="O3539" t="inlineStr">
        <is>
          <t>2026-06-19 07:10:32</t>
        </is>
      </c>
      <c r="P3539" t="inlineStr">
        <is>
          <t>2026-06-19 07:10:32</t>
        </is>
      </c>
      <c r="Y3539" t="inlineStr">
        <is>
          <t>27772646590</t>
        </is>
      </c>
    </row>
    <row r="3540">
      <c r="A3540" t="inlineStr">
        <is>
          <t>14946315</t>
        </is>
      </c>
      <c r="B3540" t="inlineStr">
        <is>
          <t>0067c9d9-5e7b-4f87-bc43-8eb6c6ad4660</t>
        </is>
      </c>
      <c r="D3540" t="inlineStr">
        <is>
          <t>30001087</t>
        </is>
      </c>
      <c r="E3540" t="inlineStr">
        <is>
          <t>ussd_funeral_leads_altitude_20260619</t>
        </is>
      </c>
      <c r="J3540" t="inlineStr">
        <is>
          <t>NA</t>
        </is>
      </c>
      <c r="K3540" t="inlineStr">
        <is>
          <t>No Answer Autodial</t>
        </is>
      </c>
      <c r="L3540" t="n">
        <v>3</v>
      </c>
      <c r="M3540" t="inlineStr">
        <is>
          <t>2026-06-23 09:55:00</t>
        </is>
      </c>
      <c r="N3540" t="inlineStr">
        <is>
          <t>system</t>
        </is>
      </c>
      <c r="O3540" t="inlineStr">
        <is>
          <t>2026-06-19 07:10:32</t>
        </is>
      </c>
      <c r="P3540" t="inlineStr">
        <is>
          <t>2026-06-19 07:10:32</t>
        </is>
      </c>
      <c r="Y3540" t="inlineStr">
        <is>
          <t>27722168842</t>
        </is>
      </c>
    </row>
    <row r="3541">
      <c r="A3541" t="inlineStr">
        <is>
          <t>14946316</t>
        </is>
      </c>
      <c r="B3541" t="inlineStr">
        <is>
          <t>62524018-15af-4561-b675-73128757c57b</t>
        </is>
      </c>
      <c r="D3541" t="inlineStr">
        <is>
          <t>30001087</t>
        </is>
      </c>
      <c r="E3541" t="inlineStr">
        <is>
          <t>ussd_funeral_leads_altitude_20260619</t>
        </is>
      </c>
      <c r="J3541" t="inlineStr">
        <is>
          <t>AE</t>
        </is>
      </c>
      <c r="K3541" t="inlineStr">
        <is>
          <t>Auto Engaged</t>
        </is>
      </c>
      <c r="L3541" t="n">
        <v>3</v>
      </c>
      <c r="M3541" t="inlineStr">
        <is>
          <t>2026-06-23 09:55:00</t>
        </is>
      </c>
      <c r="N3541" t="inlineStr">
        <is>
          <t>system</t>
        </is>
      </c>
      <c r="O3541" t="inlineStr">
        <is>
          <t>2026-06-19 07:10:32</t>
        </is>
      </c>
      <c r="P3541" t="inlineStr">
        <is>
          <t>2026-06-19 07:10:32</t>
        </is>
      </c>
      <c r="Y3541" t="inlineStr">
        <is>
          <t>27796203662</t>
        </is>
      </c>
    </row>
    <row r="3542">
      <c r="A3542" t="inlineStr">
        <is>
          <t>14946317</t>
        </is>
      </c>
      <c r="B3542" t="inlineStr">
        <is>
          <t>57bc8af6-fb0b-4928-a779-d64ab949c5c9</t>
        </is>
      </c>
      <c r="D3542" t="inlineStr">
        <is>
          <t>30001087</t>
        </is>
      </c>
      <c r="E3542" t="inlineStr">
        <is>
          <t>ussd_funeral_leads_altitude_20260619</t>
        </is>
      </c>
      <c r="J3542" t="inlineStr">
        <is>
          <t>NA</t>
        </is>
      </c>
      <c r="K3542" t="inlineStr">
        <is>
          <t>No Answer Autodial</t>
        </is>
      </c>
      <c r="L3542" t="n">
        <v>3</v>
      </c>
      <c r="M3542" t="inlineStr">
        <is>
          <t>2026-06-23 09:55:00</t>
        </is>
      </c>
      <c r="N3542" t="inlineStr">
        <is>
          <t>system</t>
        </is>
      </c>
      <c r="O3542" t="inlineStr">
        <is>
          <t>2026-06-19 07:10:32</t>
        </is>
      </c>
      <c r="P3542" t="inlineStr">
        <is>
          <t>2026-06-19 07:10:32</t>
        </is>
      </c>
      <c r="Y3542" t="inlineStr">
        <is>
          <t>27797154407</t>
        </is>
      </c>
    </row>
    <row r="3543">
      <c r="A3543" t="inlineStr">
        <is>
          <t>14946844</t>
        </is>
      </c>
      <c r="B3543" t="inlineStr">
        <is>
          <t>16454eab-d0ac-4269-881a-63ded9b6a50e</t>
        </is>
      </c>
      <c r="D3543" t="inlineStr">
        <is>
          <t>30001087</t>
        </is>
      </c>
      <c r="E3543" t="inlineStr">
        <is>
          <t>ussd_funeral_leads_altitude_20260619</t>
        </is>
      </c>
      <c r="H3543" t="inlineStr">
        <is>
          <t>27827527775</t>
        </is>
      </c>
      <c r="J3543" t="inlineStr">
        <is>
          <t>IABDN</t>
        </is>
      </c>
      <c r="K3543" t="inlineStr">
        <is>
          <t>Inbound Abandon</t>
        </is>
      </c>
      <c r="L3543" t="n">
        <v>3</v>
      </c>
      <c r="M3543" t="inlineStr">
        <is>
          <t>2026-06-23 09:54:15</t>
        </is>
      </c>
      <c r="N3543" t="inlineStr">
        <is>
          <t>system</t>
        </is>
      </c>
      <c r="O3543" t="inlineStr">
        <is>
          <t>2026-06-19 07:10:32</t>
        </is>
      </c>
      <c r="P3543" t="inlineStr">
        <is>
          <t>2026-06-19 07:10:32</t>
        </is>
      </c>
      <c r="Y3543" t="inlineStr">
        <is>
          <t>27827527775</t>
        </is>
      </c>
    </row>
    <row r="3544">
      <c r="A3544" t="inlineStr">
        <is>
          <t>14946311</t>
        </is>
      </c>
      <c r="B3544" t="inlineStr">
        <is>
          <t>4b2fa38e-bfb1-40bf-85d4-400c3d14e8fb</t>
        </is>
      </c>
      <c r="D3544" t="inlineStr">
        <is>
          <t>30001087</t>
        </is>
      </c>
      <c r="E3544" t="inlineStr">
        <is>
          <t>ussd_funeral_leads_altitude_20260619</t>
        </is>
      </c>
      <c r="H3544" t="inlineStr">
        <is>
          <t>27774072906</t>
        </is>
      </c>
      <c r="J3544" t="inlineStr">
        <is>
          <t>AA</t>
        </is>
      </c>
      <c r="K3544" t="inlineStr">
        <is>
          <t>Answering Machine Autodial</t>
        </is>
      </c>
      <c r="L3544" t="n">
        <v>3</v>
      </c>
      <c r="M3544" t="inlineStr">
        <is>
          <t>2026-06-23 09:53:51</t>
        </is>
      </c>
      <c r="N3544" t="inlineStr">
        <is>
          <t>system</t>
        </is>
      </c>
      <c r="O3544" t="inlineStr">
        <is>
          <t>2026-06-19 07:10:32</t>
        </is>
      </c>
      <c r="P3544" t="inlineStr">
        <is>
          <t>2026-06-19 07:10:32</t>
        </is>
      </c>
      <c r="Y3544" t="inlineStr">
        <is>
          <t>27774072906</t>
        </is>
      </c>
    </row>
    <row r="3545">
      <c r="A3545" t="inlineStr">
        <is>
          <t>14946312</t>
        </is>
      </c>
      <c r="B3545" t="inlineStr">
        <is>
          <t>d72c86d5-c328-4521-94a2-9a0e3f9b783f</t>
        </is>
      </c>
      <c r="D3545" t="inlineStr">
        <is>
          <t>30001087</t>
        </is>
      </c>
      <c r="E3545" t="inlineStr">
        <is>
          <t>ussd_funeral_leads_altitude_20260619</t>
        </is>
      </c>
      <c r="J3545" t="inlineStr">
        <is>
          <t>TDN</t>
        </is>
      </c>
      <c r="K3545" t="inlineStr">
        <is>
          <t>Temporary Disconnected Number</t>
        </is>
      </c>
      <c r="L3545" t="n">
        <v>3</v>
      </c>
      <c r="M3545" t="inlineStr">
        <is>
          <t>2026-06-23 09:53:51</t>
        </is>
      </c>
      <c r="N3545" t="inlineStr">
        <is>
          <t>system</t>
        </is>
      </c>
      <c r="O3545" t="inlineStr">
        <is>
          <t>2026-06-19 07:10:32</t>
        </is>
      </c>
      <c r="P3545" t="inlineStr">
        <is>
          <t>2026-06-19 07:10:32</t>
        </is>
      </c>
      <c r="Y3545" t="inlineStr">
        <is>
          <t>27826313668</t>
        </is>
      </c>
    </row>
    <row r="3546">
      <c r="A3546" t="inlineStr">
        <is>
          <t>14946313</t>
        </is>
      </c>
      <c r="B3546" t="inlineStr">
        <is>
          <t>4d045b99-fb85-40a8-92d4-f1a96511db4c</t>
        </is>
      </c>
      <c r="D3546" t="inlineStr">
        <is>
          <t>30001087</t>
        </is>
      </c>
      <c r="E3546" t="inlineStr">
        <is>
          <t>ussd_funeral_leads_altitude_20260619</t>
        </is>
      </c>
      <c r="J3546" t="inlineStr">
        <is>
          <t>CU</t>
        </is>
      </c>
      <c r="K3546" t="inlineStr">
        <is>
          <t>Client Hung Up</t>
        </is>
      </c>
      <c r="L3546" t="n">
        <v>3</v>
      </c>
      <c r="M3546" t="inlineStr">
        <is>
          <t>2026-06-23 09:53:51</t>
        </is>
      </c>
      <c r="N3546" t="inlineStr">
        <is>
          <t>Dimakatso Nkomo</t>
        </is>
      </c>
      <c r="O3546" t="inlineStr">
        <is>
          <t>2026-06-19 07:10:32</t>
        </is>
      </c>
      <c r="P3546" t="inlineStr">
        <is>
          <t>2026-06-19 07:10:32</t>
        </is>
      </c>
      <c r="Y3546" t="inlineStr">
        <is>
          <t>27774794897</t>
        </is>
      </c>
    </row>
    <row r="3547">
      <c r="A3547" t="inlineStr">
        <is>
          <t>14946310</t>
        </is>
      </c>
      <c r="B3547" t="inlineStr">
        <is>
          <t>e4d8024d-01f0-4737-b71a-7f93a7cc7097</t>
        </is>
      </c>
      <c r="D3547" t="inlineStr">
        <is>
          <t>30001087</t>
        </is>
      </c>
      <c r="E3547" t="inlineStr">
        <is>
          <t>ussd_funeral_leads_altitude_20260619</t>
        </is>
      </c>
      <c r="J3547" t="inlineStr">
        <is>
          <t>DROP</t>
        </is>
      </c>
      <c r="K3547" t="inlineStr">
        <is>
          <t>Dropped</t>
        </is>
      </c>
      <c r="L3547" t="n">
        <v>3</v>
      </c>
      <c r="M3547" t="inlineStr">
        <is>
          <t>2026-06-23 09:53:50</t>
        </is>
      </c>
      <c r="N3547" t="inlineStr">
        <is>
          <t>system</t>
        </is>
      </c>
      <c r="O3547" t="inlineStr">
        <is>
          <t>2026-06-19 07:10:32</t>
        </is>
      </c>
      <c r="P3547" t="inlineStr">
        <is>
          <t>2026-06-19 07:10:32</t>
        </is>
      </c>
      <c r="Y3547" t="inlineStr">
        <is>
          <t>27724074206</t>
        </is>
      </c>
    </row>
    <row r="3548">
      <c r="A3548" t="inlineStr">
        <is>
          <t>14946308</t>
        </is>
      </c>
      <c r="B3548" t="inlineStr">
        <is>
          <t>8fe0522d-b89e-4b5b-9f05-78eedfd6db53</t>
        </is>
      </c>
      <c r="D3548" t="inlineStr">
        <is>
          <t>30001087</t>
        </is>
      </c>
      <c r="E3548" t="inlineStr">
        <is>
          <t>ussd_funeral_leads_altitude_20260619</t>
        </is>
      </c>
      <c r="J3548" t="inlineStr">
        <is>
          <t>AA</t>
        </is>
      </c>
      <c r="K3548" t="inlineStr">
        <is>
          <t>Answering Machine Autodial</t>
        </is>
      </c>
      <c r="L3548" t="n">
        <v>3</v>
      </c>
      <c r="M3548" t="inlineStr">
        <is>
          <t>2026-06-23 09:53:45</t>
        </is>
      </c>
      <c r="N3548" t="inlineStr">
        <is>
          <t>system</t>
        </is>
      </c>
      <c r="O3548" t="inlineStr">
        <is>
          <t>2026-06-19 07:10:32</t>
        </is>
      </c>
      <c r="P3548" t="inlineStr">
        <is>
          <t>2026-06-19 07:10:32</t>
        </is>
      </c>
      <c r="Y3548" t="inlineStr">
        <is>
          <t>27772550170</t>
        </is>
      </c>
    </row>
    <row r="3549">
      <c r="A3549" t="inlineStr">
        <is>
          <t>14946305</t>
        </is>
      </c>
      <c r="B3549" t="inlineStr">
        <is>
          <t>e5c2c731-acc5-44f5-8ea7-a802728ed532</t>
        </is>
      </c>
      <c r="D3549" t="inlineStr">
        <is>
          <t>30001087</t>
        </is>
      </c>
      <c r="E3549" t="inlineStr">
        <is>
          <t>ussd_funeral_leads_altitude_20260619</t>
        </is>
      </c>
      <c r="J3549" t="inlineStr">
        <is>
          <t>NA</t>
        </is>
      </c>
      <c r="K3549" t="inlineStr">
        <is>
          <t>No Answer Autodial</t>
        </is>
      </c>
      <c r="L3549" t="n">
        <v>3</v>
      </c>
      <c r="M3549" t="inlineStr">
        <is>
          <t>2026-06-23 09:53:44</t>
        </is>
      </c>
      <c r="N3549" t="inlineStr">
        <is>
          <t>system</t>
        </is>
      </c>
      <c r="O3549" t="inlineStr">
        <is>
          <t>2026-06-19 07:10:32</t>
        </is>
      </c>
      <c r="P3549" t="inlineStr">
        <is>
          <t>2026-06-19 07:10:32</t>
        </is>
      </c>
      <c r="Y3549" t="inlineStr">
        <is>
          <t>27646769360</t>
        </is>
      </c>
    </row>
    <row r="3550">
      <c r="A3550" t="inlineStr">
        <is>
          <t>14947685</t>
        </is>
      </c>
      <c r="B3550" t="inlineStr">
        <is>
          <t>d4626468-39f7-4717-8f91-bd2a6abd1761</t>
        </is>
      </c>
      <c r="D3550" t="inlineStr">
        <is>
          <t>30001087</t>
        </is>
      </c>
      <c r="E3550" t="inlineStr">
        <is>
          <t>ussd_funeral_leads_altitude_20260619</t>
        </is>
      </c>
      <c r="H3550" t="inlineStr">
        <is>
          <t>27820676064</t>
        </is>
      </c>
      <c r="J3550" t="inlineStr">
        <is>
          <t>NA</t>
        </is>
      </c>
      <c r="K3550" t="inlineStr">
        <is>
          <t>No Answer Autodial</t>
        </is>
      </c>
      <c r="L3550" t="n">
        <v>3</v>
      </c>
      <c r="M3550" t="inlineStr">
        <is>
          <t>2026-06-23 09:53:44</t>
        </is>
      </c>
      <c r="N3550" t="inlineStr">
        <is>
          <t>system</t>
        </is>
      </c>
      <c r="O3550" t="inlineStr">
        <is>
          <t>2026-06-19 07:10:32</t>
        </is>
      </c>
      <c r="P3550" t="inlineStr">
        <is>
          <t>2026-06-19 07:10:32</t>
        </is>
      </c>
      <c r="Y3550" t="inlineStr">
        <is>
          <t>27820676064</t>
        </is>
      </c>
    </row>
    <row r="3551">
      <c r="A3551" t="inlineStr">
        <is>
          <t>14946428</t>
        </is>
      </c>
      <c r="B3551" t="inlineStr">
        <is>
          <t>b876541f-fbcb-4462-aee2-5b384c559668</t>
        </is>
      </c>
      <c r="D3551" t="inlineStr">
        <is>
          <t>30001087</t>
        </is>
      </c>
      <c r="E3551" t="inlineStr">
        <is>
          <t>ussd_funeral_leads_altitude_20260619</t>
        </is>
      </c>
      <c r="J3551" t="inlineStr">
        <is>
          <t>N</t>
        </is>
      </c>
      <c r="K3551" t="inlineStr">
        <is>
          <t>No Answer</t>
        </is>
      </c>
      <c r="L3551" t="n">
        <v>3</v>
      </c>
      <c r="M3551" t="inlineStr">
        <is>
          <t>2026-06-23 09:53:25</t>
        </is>
      </c>
      <c r="N3551" t="inlineStr">
        <is>
          <t>Lebohang Mabotja</t>
        </is>
      </c>
      <c r="O3551" t="inlineStr">
        <is>
          <t>2026-06-19 07:10:32</t>
        </is>
      </c>
      <c r="P3551" t="inlineStr">
        <is>
          <t>2026-06-19 07:10:32</t>
        </is>
      </c>
      <c r="Y3551" t="inlineStr">
        <is>
          <t>27773895863</t>
        </is>
      </c>
    </row>
    <row r="3552">
      <c r="A3552" t="inlineStr">
        <is>
          <t>14946429</t>
        </is>
      </c>
      <c r="B3552" t="inlineStr">
        <is>
          <t>d5d89ff7-4b9a-4a45-9031-979a9c6bc1aa</t>
        </is>
      </c>
      <c r="D3552" t="inlineStr">
        <is>
          <t>30001087</t>
        </is>
      </c>
      <c r="E3552" t="inlineStr">
        <is>
          <t>ussd_funeral_leads_altitude_20260619</t>
        </is>
      </c>
      <c r="J3552" t="inlineStr">
        <is>
          <t>AA</t>
        </is>
      </c>
      <c r="K3552" t="inlineStr">
        <is>
          <t>Answering Machine Autodial</t>
        </is>
      </c>
      <c r="L3552" t="n">
        <v>3</v>
      </c>
      <c r="M3552" t="inlineStr">
        <is>
          <t>2026-06-23 09:53:25</t>
        </is>
      </c>
      <c r="N3552" t="inlineStr">
        <is>
          <t>system</t>
        </is>
      </c>
      <c r="O3552" t="inlineStr">
        <is>
          <t>2026-06-19 07:10:32</t>
        </is>
      </c>
      <c r="P3552" t="inlineStr">
        <is>
          <t>2026-06-19 07:10:32</t>
        </is>
      </c>
      <c r="Y3552" t="inlineStr">
        <is>
          <t>27664437242</t>
        </is>
      </c>
    </row>
    <row r="3553">
      <c r="A3553" t="inlineStr">
        <is>
          <t>14946427</t>
        </is>
      </c>
      <c r="B3553" t="inlineStr">
        <is>
          <t>2bcdab44-61be-40bd-a087-bc0e65315ec3</t>
        </is>
      </c>
      <c r="D3553" t="inlineStr">
        <is>
          <t>30001087</t>
        </is>
      </c>
      <c r="E3553" t="inlineStr">
        <is>
          <t>ussd_funeral_leads_altitude_20260619</t>
        </is>
      </c>
      <c r="J3553" t="inlineStr">
        <is>
          <t>ADC</t>
        </is>
      </c>
      <c r="K3553" t="inlineStr">
        <is>
          <t>Auto Dial Disconnected</t>
        </is>
      </c>
      <c r="L3553" t="n">
        <v>3</v>
      </c>
      <c r="M3553" t="inlineStr">
        <is>
          <t>2026-06-23 09:53:15</t>
        </is>
      </c>
      <c r="N3553" t="inlineStr">
        <is>
          <t>system</t>
        </is>
      </c>
      <c r="O3553" t="inlineStr">
        <is>
          <t>2026-06-19 07:10:32</t>
        </is>
      </c>
      <c r="P3553" t="inlineStr">
        <is>
          <t>2026-06-19 07:10:32</t>
        </is>
      </c>
      <c r="Y3553" t="inlineStr">
        <is>
          <t>27720312593</t>
        </is>
      </c>
    </row>
    <row r="3554">
      <c r="A3554" t="inlineStr">
        <is>
          <t>14946426</t>
        </is>
      </c>
      <c r="B3554" t="inlineStr">
        <is>
          <t>c19998f2-2bb0-4289-991b-9f49ab390050</t>
        </is>
      </c>
      <c r="D3554" t="inlineStr">
        <is>
          <t>30001087</t>
        </is>
      </c>
      <c r="E3554" t="inlineStr">
        <is>
          <t>ussd_funeral_leads_altitude_20260619</t>
        </is>
      </c>
      <c r="J3554" t="inlineStr">
        <is>
          <t>CU</t>
        </is>
      </c>
      <c r="K3554" t="inlineStr">
        <is>
          <t>Client Hung Up</t>
        </is>
      </c>
      <c r="L3554" t="n">
        <v>3</v>
      </c>
      <c r="M3554" t="inlineStr">
        <is>
          <t>2026-06-23 09:53:13</t>
        </is>
      </c>
      <c r="N3554" t="inlineStr">
        <is>
          <t>Dimakatso Nkomo</t>
        </is>
      </c>
      <c r="O3554" t="inlineStr">
        <is>
          <t>2026-06-19 07:10:32</t>
        </is>
      </c>
      <c r="P3554" t="inlineStr">
        <is>
          <t>2026-06-19 07:10:32</t>
        </is>
      </c>
      <c r="Y3554" t="inlineStr">
        <is>
          <t>27768026265</t>
        </is>
      </c>
    </row>
    <row r="3555">
      <c r="A3555" t="inlineStr">
        <is>
          <t>14946420</t>
        </is>
      </c>
      <c r="B3555" t="inlineStr">
        <is>
          <t>0d50eda8-fa05-4054-8e10-7520f5c5fd63</t>
        </is>
      </c>
      <c r="D3555" t="inlineStr">
        <is>
          <t>30001087</t>
        </is>
      </c>
      <c r="E3555" t="inlineStr">
        <is>
          <t>ussd_funeral_leads_altitude_20260619</t>
        </is>
      </c>
      <c r="J3555" t="inlineStr">
        <is>
          <t>CU</t>
        </is>
      </c>
      <c r="K3555" t="inlineStr">
        <is>
          <t>Client Hung Up</t>
        </is>
      </c>
      <c r="L3555" t="n">
        <v>3</v>
      </c>
      <c r="M3555" t="inlineStr">
        <is>
          <t>2026-06-23 09:53:10</t>
        </is>
      </c>
      <c r="N3555" t="inlineStr">
        <is>
          <t>Virginia Letsatsi</t>
        </is>
      </c>
      <c r="O3555" t="inlineStr">
        <is>
          <t>2026-06-19 07:10:32</t>
        </is>
      </c>
      <c r="P3555" t="inlineStr">
        <is>
          <t>2026-06-19 07:10:32</t>
        </is>
      </c>
      <c r="Y3555" t="inlineStr">
        <is>
          <t>27673276256</t>
        </is>
      </c>
    </row>
    <row r="3556">
      <c r="A3556" t="inlineStr">
        <is>
          <t>14946423</t>
        </is>
      </c>
      <c r="B3556" t="inlineStr">
        <is>
          <t>0e6f6154-3056-4bf0-aa50-5f5c5a3d4914</t>
        </is>
      </c>
      <c r="D3556" t="inlineStr">
        <is>
          <t>30001087</t>
        </is>
      </c>
      <c r="E3556" t="inlineStr">
        <is>
          <t>ussd_funeral_leads_altitude_20260619</t>
        </is>
      </c>
      <c r="J3556" t="inlineStr">
        <is>
          <t>AA</t>
        </is>
      </c>
      <c r="K3556" t="inlineStr">
        <is>
          <t>Answering Machine Autodial</t>
        </is>
      </c>
      <c r="L3556" t="n">
        <v>3</v>
      </c>
      <c r="M3556" t="inlineStr">
        <is>
          <t>2026-06-23 09:53:10</t>
        </is>
      </c>
      <c r="N3556" t="inlineStr">
        <is>
          <t>system</t>
        </is>
      </c>
      <c r="O3556" t="inlineStr">
        <is>
          <t>2026-06-19 07:10:32</t>
        </is>
      </c>
      <c r="P3556" t="inlineStr">
        <is>
          <t>2026-06-19 07:10:32</t>
        </is>
      </c>
      <c r="Y3556" t="inlineStr">
        <is>
          <t>27728140341</t>
        </is>
      </c>
    </row>
    <row r="3557">
      <c r="A3557" t="inlineStr">
        <is>
          <t>14946418</t>
        </is>
      </c>
      <c r="B3557" t="inlineStr">
        <is>
          <t>a5110161-5da6-481b-a457-a302854f713c</t>
        </is>
      </c>
      <c r="D3557" t="inlineStr">
        <is>
          <t>30001087</t>
        </is>
      </c>
      <c r="E3557" t="inlineStr">
        <is>
          <t>ussd_funeral_leads_altitude_20260619</t>
        </is>
      </c>
      <c r="J3557" t="inlineStr">
        <is>
          <t>AA</t>
        </is>
      </c>
      <c r="K3557" t="inlineStr">
        <is>
          <t>Answering Machine Autodial</t>
        </is>
      </c>
      <c r="L3557" t="n">
        <v>3</v>
      </c>
      <c r="M3557" t="inlineStr">
        <is>
          <t>2026-06-23 09:53:07</t>
        </is>
      </c>
      <c r="N3557" t="inlineStr">
        <is>
          <t>system</t>
        </is>
      </c>
      <c r="O3557" t="inlineStr">
        <is>
          <t>2026-06-19 07:10:32</t>
        </is>
      </c>
      <c r="P3557" t="inlineStr">
        <is>
          <t>2026-06-19 07:10:32</t>
        </is>
      </c>
      <c r="Y3557" t="inlineStr">
        <is>
          <t>27761374102</t>
        </is>
      </c>
    </row>
    <row r="3558">
      <c r="A3558" t="inlineStr">
        <is>
          <t>14946417</t>
        </is>
      </c>
      <c r="B3558" t="inlineStr">
        <is>
          <t>cf2be9e0-d17c-4c09-bc9c-1b716000b664</t>
        </is>
      </c>
      <c r="D3558" t="inlineStr">
        <is>
          <t>30001087</t>
        </is>
      </c>
      <c r="E3558" t="inlineStr">
        <is>
          <t>ussd_funeral_leads_altitude_20260619</t>
        </is>
      </c>
      <c r="J3558" t="inlineStr">
        <is>
          <t>AA</t>
        </is>
      </c>
      <c r="K3558" t="inlineStr">
        <is>
          <t>Answering Machine Autodial</t>
        </is>
      </c>
      <c r="L3558" t="n">
        <v>3</v>
      </c>
      <c r="M3558" t="inlineStr">
        <is>
          <t>2026-06-23 09:53:02</t>
        </is>
      </c>
      <c r="N3558" t="inlineStr">
        <is>
          <t>system</t>
        </is>
      </c>
      <c r="O3558" t="inlineStr">
        <is>
          <t>2026-06-19 07:10:32</t>
        </is>
      </c>
      <c r="P3558" t="inlineStr">
        <is>
          <t>2026-06-19 07:10:32</t>
        </is>
      </c>
      <c r="Y3558" t="inlineStr">
        <is>
          <t>27716241923</t>
        </is>
      </c>
    </row>
    <row r="3559">
      <c r="A3559" t="inlineStr">
        <is>
          <t>14900000</t>
        </is>
      </c>
      <c r="B3559" t="inlineStr">
        <is>
          <t>2612172e-8391-4bed-9e9f-e9965cc93fbe</t>
        </is>
      </c>
      <c r="D3559" t="inlineStr">
        <is>
          <t>30001087</t>
        </is>
      </c>
      <c r="E3559" t="inlineStr">
        <is>
          <t>ussd_funeral_leads_altitude_20260619</t>
        </is>
      </c>
      <c r="J3559" t="inlineStr">
        <is>
          <t>AA</t>
        </is>
      </c>
      <c r="K3559" t="inlineStr">
        <is>
          <t>Answering Machine Autodial</t>
        </is>
      </c>
      <c r="L3559" t="n">
        <v>3</v>
      </c>
      <c r="M3559" t="inlineStr">
        <is>
          <t>2026-06-23 09:52:45</t>
        </is>
      </c>
      <c r="N3559" t="inlineStr">
        <is>
          <t>system</t>
        </is>
      </c>
      <c r="O3559" t="inlineStr">
        <is>
          <t>2026-06-19 07:10:32</t>
        </is>
      </c>
      <c r="P3559" t="inlineStr">
        <is>
          <t>2026-06-19 07:10:32</t>
        </is>
      </c>
      <c r="Y3559" t="inlineStr">
        <is>
          <t>27763274578</t>
        </is>
      </c>
    </row>
    <row r="3560">
      <c r="A3560" t="inlineStr">
        <is>
          <t>14946414</t>
        </is>
      </c>
      <c r="B3560" t="inlineStr">
        <is>
          <t>a3fd943d-db6b-4a53-b502-aff692fc918a</t>
        </is>
      </c>
      <c r="D3560" t="inlineStr">
        <is>
          <t>30001087</t>
        </is>
      </c>
      <c r="E3560" t="inlineStr">
        <is>
          <t>ussd_funeral_leads_altitude_20260619</t>
        </is>
      </c>
      <c r="J3560" t="inlineStr">
        <is>
          <t>TDN</t>
        </is>
      </c>
      <c r="K3560" t="inlineStr">
        <is>
          <t>Temporary Disconnected Number</t>
        </is>
      </c>
      <c r="L3560" t="n">
        <v>3</v>
      </c>
      <c r="M3560" t="inlineStr">
        <is>
          <t>2026-06-23 09:52:45</t>
        </is>
      </c>
      <c r="N3560" t="inlineStr">
        <is>
          <t>system</t>
        </is>
      </c>
      <c r="O3560" t="inlineStr">
        <is>
          <t>2026-06-19 07:10:32</t>
        </is>
      </c>
      <c r="P3560" t="inlineStr">
        <is>
          <t>2026-06-19 07:10:32</t>
        </is>
      </c>
      <c r="Y3560" t="inlineStr">
        <is>
          <t>27828154238</t>
        </is>
      </c>
    </row>
    <row r="3561">
      <c r="A3561" t="inlineStr">
        <is>
          <t>14946378</t>
        </is>
      </c>
      <c r="B3561" t="inlineStr">
        <is>
          <t>a7594e5c-8abb-44c6-90b2-d3f2eff0b99b</t>
        </is>
      </c>
      <c r="D3561" t="inlineStr">
        <is>
          <t>30001087</t>
        </is>
      </c>
      <c r="E3561" t="inlineStr">
        <is>
          <t>ussd_funeral_leads_altitude_20260619</t>
        </is>
      </c>
      <c r="J3561" t="inlineStr">
        <is>
          <t>NA</t>
        </is>
      </c>
      <c r="K3561" t="inlineStr">
        <is>
          <t>No Answer Autodial</t>
        </is>
      </c>
      <c r="L3561" t="n">
        <v>3</v>
      </c>
      <c r="M3561" t="inlineStr">
        <is>
          <t>2026-06-23 09:52:43</t>
        </is>
      </c>
      <c r="N3561" t="inlineStr">
        <is>
          <t>system</t>
        </is>
      </c>
      <c r="O3561" t="inlineStr">
        <is>
          <t>2026-06-19 07:10:32</t>
        </is>
      </c>
      <c r="P3561" t="inlineStr">
        <is>
          <t>2026-06-19 07:10:32</t>
        </is>
      </c>
      <c r="Y3561" t="inlineStr">
        <is>
          <t>27796928725</t>
        </is>
      </c>
    </row>
    <row r="3562">
      <c r="A3562" t="inlineStr">
        <is>
          <t>14946377</t>
        </is>
      </c>
      <c r="B3562" t="inlineStr">
        <is>
          <t>3c33a3ba-6543-4f65-aa33-71e152d52dea</t>
        </is>
      </c>
      <c r="D3562" t="inlineStr">
        <is>
          <t>30001087</t>
        </is>
      </c>
      <c r="E3562" t="inlineStr">
        <is>
          <t>ussd_funeral_leads_altitude_20260619</t>
        </is>
      </c>
      <c r="J3562" t="inlineStr">
        <is>
          <t>AA</t>
        </is>
      </c>
      <c r="K3562" t="inlineStr">
        <is>
          <t>Answering Machine Autodial</t>
        </is>
      </c>
      <c r="L3562" t="n">
        <v>3</v>
      </c>
      <c r="M3562" t="inlineStr">
        <is>
          <t>2026-06-23 09:52:39</t>
        </is>
      </c>
      <c r="N3562" t="inlineStr">
        <is>
          <t>system</t>
        </is>
      </c>
      <c r="O3562" t="inlineStr">
        <is>
          <t>2026-06-19 07:10:32</t>
        </is>
      </c>
      <c r="P3562" t="inlineStr">
        <is>
          <t>2026-06-19 07:10:32</t>
        </is>
      </c>
      <c r="Y3562" t="inlineStr">
        <is>
          <t>27773714376</t>
        </is>
      </c>
    </row>
    <row r="3563">
      <c r="A3563" t="inlineStr">
        <is>
          <t>14946376</t>
        </is>
      </c>
      <c r="B3563" t="inlineStr">
        <is>
          <t>8bf60335-fcef-4d2b-98d4-82d2f98395a6</t>
        </is>
      </c>
      <c r="D3563" t="inlineStr">
        <is>
          <t>30001087</t>
        </is>
      </c>
      <c r="E3563" t="inlineStr">
        <is>
          <t>ussd_funeral_leads_altitude_20260619</t>
        </is>
      </c>
      <c r="J3563" t="inlineStr">
        <is>
          <t>NA</t>
        </is>
      </c>
      <c r="K3563" t="inlineStr">
        <is>
          <t>No Answer Autodial</t>
        </is>
      </c>
      <c r="L3563" t="n">
        <v>3</v>
      </c>
      <c r="M3563" t="inlineStr">
        <is>
          <t>2026-06-23 09:52:37</t>
        </is>
      </c>
      <c r="N3563" t="inlineStr">
        <is>
          <t>system</t>
        </is>
      </c>
      <c r="O3563" t="inlineStr">
        <is>
          <t>2026-06-19 07:10:32</t>
        </is>
      </c>
      <c r="P3563" t="inlineStr">
        <is>
          <t>2026-06-19 07:10:32</t>
        </is>
      </c>
      <c r="Y3563" t="inlineStr">
        <is>
          <t>27721392460</t>
        </is>
      </c>
    </row>
    <row r="3564">
      <c r="A3564" t="inlineStr">
        <is>
          <t>14946372</t>
        </is>
      </c>
      <c r="B3564" t="inlineStr">
        <is>
          <t>d29e0255-e2bb-4047-baf1-f58403fb8d8e</t>
        </is>
      </c>
      <c r="D3564" t="inlineStr">
        <is>
          <t>30001087</t>
        </is>
      </c>
      <c r="E3564" t="inlineStr">
        <is>
          <t>ussd_funeral_leads_altitude_20260619</t>
        </is>
      </c>
      <c r="J3564" t="inlineStr">
        <is>
          <t>AA</t>
        </is>
      </c>
      <c r="K3564" t="inlineStr">
        <is>
          <t>Answering Machine Autodial</t>
        </is>
      </c>
      <c r="L3564" t="n">
        <v>3</v>
      </c>
      <c r="M3564" t="inlineStr">
        <is>
          <t>2026-06-23 09:52:32</t>
        </is>
      </c>
      <c r="N3564" t="inlineStr">
        <is>
          <t>system</t>
        </is>
      </c>
      <c r="O3564" t="inlineStr">
        <is>
          <t>2026-06-19 07:10:32</t>
        </is>
      </c>
      <c r="P3564" t="inlineStr">
        <is>
          <t>2026-06-19 07:10:32</t>
        </is>
      </c>
      <c r="Y3564" t="inlineStr">
        <is>
          <t>27673115496</t>
        </is>
      </c>
    </row>
    <row r="3565">
      <c r="A3565" t="inlineStr">
        <is>
          <t>14946374</t>
        </is>
      </c>
      <c r="B3565" t="inlineStr">
        <is>
          <t>0dea1ceb-a4bb-4a7f-ab1c-10f488f9933d</t>
        </is>
      </c>
      <c r="D3565" t="inlineStr">
        <is>
          <t>30001087</t>
        </is>
      </c>
      <c r="E3565" t="inlineStr">
        <is>
          <t>ussd_funeral_leads_altitude_20260619</t>
        </is>
      </c>
      <c r="J3565" t="inlineStr">
        <is>
          <t>AA</t>
        </is>
      </c>
      <c r="K3565" t="inlineStr">
        <is>
          <t>Answering Machine Autodial</t>
        </is>
      </c>
      <c r="L3565" t="n">
        <v>3</v>
      </c>
      <c r="M3565" t="inlineStr">
        <is>
          <t>2026-06-23 09:52:32</t>
        </is>
      </c>
      <c r="N3565" t="inlineStr">
        <is>
          <t>system</t>
        </is>
      </c>
      <c r="O3565" t="inlineStr">
        <is>
          <t>2026-06-19 07:10:32</t>
        </is>
      </c>
      <c r="P3565" t="inlineStr">
        <is>
          <t>2026-06-19 07:10:32</t>
        </is>
      </c>
      <c r="Y3565" t="inlineStr">
        <is>
          <t>27794717311</t>
        </is>
      </c>
    </row>
    <row r="3566">
      <c r="A3566" t="inlineStr">
        <is>
          <t>14946375</t>
        </is>
      </c>
      <c r="B3566" t="inlineStr">
        <is>
          <t>c7e80290-e560-4f92-91ef-04ef1755363e</t>
        </is>
      </c>
      <c r="D3566" t="inlineStr">
        <is>
          <t>30001087</t>
        </is>
      </c>
      <c r="E3566" t="inlineStr">
        <is>
          <t>ussd_funeral_leads_altitude_20260619</t>
        </is>
      </c>
      <c r="J3566" t="inlineStr">
        <is>
          <t>NA</t>
        </is>
      </c>
      <c r="K3566" t="inlineStr">
        <is>
          <t>No Answer Autodial</t>
        </is>
      </c>
      <c r="L3566" t="n">
        <v>3</v>
      </c>
      <c r="M3566" t="inlineStr">
        <is>
          <t>2026-06-23 09:52:32</t>
        </is>
      </c>
      <c r="N3566" t="inlineStr">
        <is>
          <t>system</t>
        </is>
      </c>
      <c r="O3566" t="inlineStr">
        <is>
          <t>2026-06-19 07:10:32</t>
        </is>
      </c>
      <c r="P3566" t="inlineStr">
        <is>
          <t>2026-06-19 07:10:32</t>
        </is>
      </c>
      <c r="Y3566" t="inlineStr">
        <is>
          <t>27767063245</t>
        </is>
      </c>
    </row>
    <row r="3567">
      <c r="A3567" t="inlineStr">
        <is>
          <t>14946370</t>
        </is>
      </c>
      <c r="B3567" t="inlineStr">
        <is>
          <t>3397a75c-6936-4fcf-8070-65020d3b4800</t>
        </is>
      </c>
      <c r="D3567" t="inlineStr">
        <is>
          <t>30001087</t>
        </is>
      </c>
      <c r="E3567" t="inlineStr">
        <is>
          <t>ussd_funeral_leads_altitude_20260619</t>
        </is>
      </c>
      <c r="J3567" t="inlineStr">
        <is>
          <t>AA</t>
        </is>
      </c>
      <c r="K3567" t="inlineStr">
        <is>
          <t>Answering Machine Autodial</t>
        </is>
      </c>
      <c r="L3567" t="n">
        <v>3</v>
      </c>
      <c r="M3567" t="inlineStr">
        <is>
          <t>2026-06-23 09:52:27</t>
        </is>
      </c>
      <c r="N3567" t="inlineStr">
        <is>
          <t>system</t>
        </is>
      </c>
      <c r="O3567" t="inlineStr">
        <is>
          <t>2026-06-19 07:10:32</t>
        </is>
      </c>
      <c r="P3567" t="inlineStr">
        <is>
          <t>2026-06-19 07:10:32</t>
        </is>
      </c>
      <c r="Y3567" t="inlineStr">
        <is>
          <t>27797122635</t>
        </is>
      </c>
    </row>
    <row r="3568">
      <c r="A3568" t="inlineStr">
        <is>
          <t>14946366</t>
        </is>
      </c>
      <c r="B3568" t="inlineStr">
        <is>
          <t>a3f4a586-6e68-43cb-a31b-1d756a7e34c9</t>
        </is>
      </c>
      <c r="D3568" t="inlineStr">
        <is>
          <t>30001087</t>
        </is>
      </c>
      <c r="E3568" t="inlineStr">
        <is>
          <t>ussd_funeral_leads_altitude_20260619</t>
        </is>
      </c>
      <c r="J3568" t="inlineStr">
        <is>
          <t>ADC</t>
        </is>
      </c>
      <c r="K3568" t="inlineStr">
        <is>
          <t>Auto Dial Disconnected</t>
        </is>
      </c>
      <c r="L3568" t="n">
        <v>3</v>
      </c>
      <c r="M3568" t="inlineStr">
        <is>
          <t>2026-06-23 09:52:26</t>
        </is>
      </c>
      <c r="N3568" t="inlineStr">
        <is>
          <t>system</t>
        </is>
      </c>
      <c r="O3568" t="inlineStr">
        <is>
          <t>2026-06-19 07:10:32</t>
        </is>
      </c>
      <c r="P3568" t="inlineStr">
        <is>
          <t>2026-06-19 07:10:32</t>
        </is>
      </c>
      <c r="Y3568" t="inlineStr">
        <is>
          <t>27636098553</t>
        </is>
      </c>
    </row>
    <row r="3569">
      <c r="A3569" t="inlineStr">
        <is>
          <t>14946367</t>
        </is>
      </c>
      <c r="B3569" t="inlineStr">
        <is>
          <t>a5e71b0c-5fda-411f-96a6-c7478b4171ec</t>
        </is>
      </c>
      <c r="D3569" t="inlineStr">
        <is>
          <t>30001087</t>
        </is>
      </c>
      <c r="E3569" t="inlineStr">
        <is>
          <t>ussd_funeral_leads_altitude_20260619</t>
        </is>
      </c>
      <c r="J3569" t="inlineStr">
        <is>
          <t>AA</t>
        </is>
      </c>
      <c r="K3569" t="inlineStr">
        <is>
          <t>Answering Machine Autodial</t>
        </is>
      </c>
      <c r="L3569" t="n">
        <v>3</v>
      </c>
      <c r="M3569" t="inlineStr">
        <is>
          <t>2026-06-23 09:52:26</t>
        </is>
      </c>
      <c r="N3569" t="inlineStr">
        <is>
          <t>system</t>
        </is>
      </c>
      <c r="O3569" t="inlineStr">
        <is>
          <t>2026-06-19 07:10:32</t>
        </is>
      </c>
      <c r="P3569" t="inlineStr">
        <is>
          <t>2026-06-19 07:10:32</t>
        </is>
      </c>
      <c r="Y3569" t="inlineStr">
        <is>
          <t>27607767656</t>
        </is>
      </c>
    </row>
    <row r="3570">
      <c r="A3570" t="inlineStr">
        <is>
          <t>14946368</t>
        </is>
      </c>
      <c r="B3570" t="inlineStr">
        <is>
          <t>4443a87e-0722-4eb8-b1be-d1c9f0c5d535</t>
        </is>
      </c>
      <c r="D3570" t="inlineStr">
        <is>
          <t>30001087</t>
        </is>
      </c>
      <c r="E3570" t="inlineStr">
        <is>
          <t>ussd_funeral_leads_altitude_20260619</t>
        </is>
      </c>
      <c r="J3570" t="inlineStr">
        <is>
          <t>AA</t>
        </is>
      </c>
      <c r="K3570" t="inlineStr">
        <is>
          <t>Answering Machine Autodial</t>
        </is>
      </c>
      <c r="L3570" t="n">
        <v>3</v>
      </c>
      <c r="M3570" t="inlineStr">
        <is>
          <t>2026-06-23 09:52:26</t>
        </is>
      </c>
      <c r="N3570" t="inlineStr">
        <is>
          <t>system</t>
        </is>
      </c>
      <c r="O3570" t="inlineStr">
        <is>
          <t>2026-06-19 07:10:32</t>
        </is>
      </c>
      <c r="P3570" t="inlineStr">
        <is>
          <t>2026-06-19 07:10:32</t>
        </is>
      </c>
      <c r="Y3570" t="inlineStr">
        <is>
          <t>27793211327</t>
        </is>
      </c>
    </row>
    <row r="3571">
      <c r="A3571" t="inlineStr">
        <is>
          <t>14946369</t>
        </is>
      </c>
      <c r="B3571" t="inlineStr">
        <is>
          <t>c6bdf57b-c0f7-4e95-b36f-3f615e75ef5d</t>
        </is>
      </c>
      <c r="D3571" t="inlineStr">
        <is>
          <t>30001087</t>
        </is>
      </c>
      <c r="E3571" t="inlineStr">
        <is>
          <t>ussd_funeral_leads_altitude_20260619</t>
        </is>
      </c>
      <c r="H3571" t="inlineStr">
        <is>
          <t>27769294559</t>
        </is>
      </c>
      <c r="J3571" t="inlineStr">
        <is>
          <t>AA</t>
        </is>
      </c>
      <c r="K3571" t="inlineStr">
        <is>
          <t>Answering Machine Autodial</t>
        </is>
      </c>
      <c r="L3571" t="n">
        <v>3</v>
      </c>
      <c r="M3571" t="inlineStr">
        <is>
          <t>2026-06-23 09:52:26</t>
        </is>
      </c>
      <c r="N3571" t="inlineStr">
        <is>
          <t>system</t>
        </is>
      </c>
      <c r="O3571" t="inlineStr">
        <is>
          <t>2026-06-19 07:10:32</t>
        </is>
      </c>
      <c r="P3571" t="inlineStr">
        <is>
          <t>2026-06-19 07:10:32</t>
        </is>
      </c>
      <c r="Y3571" t="inlineStr">
        <is>
          <t>27769294559</t>
        </is>
      </c>
    </row>
    <row r="3572">
      <c r="A3572" t="inlineStr">
        <is>
          <t>14946352</t>
        </is>
      </c>
      <c r="B3572" t="inlineStr">
        <is>
          <t>23f70ee3-c04f-40f0-8f14-f03f9375ae7a</t>
        </is>
      </c>
      <c r="D3572" t="inlineStr">
        <is>
          <t>30001087</t>
        </is>
      </c>
      <c r="E3572" t="inlineStr">
        <is>
          <t>ussd_funeral_leads_altitude_20260619</t>
        </is>
      </c>
      <c r="J3572" t="inlineStr">
        <is>
          <t>ADC</t>
        </is>
      </c>
      <c r="K3572" t="inlineStr">
        <is>
          <t>Auto Dial Disconnected</t>
        </is>
      </c>
      <c r="L3572" t="n">
        <v>3</v>
      </c>
      <c r="M3572" t="inlineStr">
        <is>
          <t>2026-06-23 09:52:00</t>
        </is>
      </c>
      <c r="N3572" t="inlineStr">
        <is>
          <t>system</t>
        </is>
      </c>
      <c r="O3572" t="inlineStr">
        <is>
          <t>2026-06-19 07:10:32</t>
        </is>
      </c>
      <c r="P3572" t="inlineStr">
        <is>
          <t>2026-06-19 07:10:32</t>
        </is>
      </c>
      <c r="Y3572" t="inlineStr">
        <is>
          <t>27764368274</t>
        </is>
      </c>
    </row>
    <row r="3573">
      <c r="A3573" t="inlineStr">
        <is>
          <t>14946354</t>
        </is>
      </c>
      <c r="B3573" t="inlineStr">
        <is>
          <t>03dda07c-2c70-4a1a-9638-0de94c381a38</t>
        </is>
      </c>
      <c r="D3573" t="inlineStr">
        <is>
          <t>30001087</t>
        </is>
      </c>
      <c r="E3573" t="inlineStr">
        <is>
          <t>ussd_funeral_leads_altitude_20260619</t>
        </is>
      </c>
      <c r="J3573" t="inlineStr">
        <is>
          <t>AA</t>
        </is>
      </c>
      <c r="K3573" t="inlineStr">
        <is>
          <t>Answering Machine Autodial</t>
        </is>
      </c>
      <c r="L3573" t="n">
        <v>3</v>
      </c>
      <c r="M3573" t="inlineStr">
        <is>
          <t>2026-06-23 09:52:00</t>
        </is>
      </c>
      <c r="N3573" t="inlineStr">
        <is>
          <t>system</t>
        </is>
      </c>
      <c r="O3573" t="inlineStr">
        <is>
          <t>2026-06-19 07:10:32</t>
        </is>
      </c>
      <c r="P3573" t="inlineStr">
        <is>
          <t>2026-06-19 07:10:32</t>
        </is>
      </c>
      <c r="Y3573" t="inlineStr">
        <is>
          <t>27648275267</t>
        </is>
      </c>
    </row>
    <row r="3574">
      <c r="A3574" t="inlineStr">
        <is>
          <t>14946351</t>
        </is>
      </c>
      <c r="B3574" t="inlineStr">
        <is>
          <t>65180e26-0a5c-45fa-b172-39b4f487aa63</t>
        </is>
      </c>
      <c r="D3574" t="inlineStr">
        <is>
          <t>30001087</t>
        </is>
      </c>
      <c r="E3574" t="inlineStr">
        <is>
          <t>ussd_funeral_leads_altitude_20260619</t>
        </is>
      </c>
      <c r="J3574" t="inlineStr">
        <is>
          <t>AA</t>
        </is>
      </c>
      <c r="K3574" t="inlineStr">
        <is>
          <t>Answering Machine Autodial</t>
        </is>
      </c>
      <c r="L3574" t="n">
        <v>3</v>
      </c>
      <c r="M3574" t="inlineStr">
        <is>
          <t>2026-06-23 09:51:59</t>
        </is>
      </c>
      <c r="N3574" t="inlineStr">
        <is>
          <t>system</t>
        </is>
      </c>
      <c r="O3574" t="inlineStr">
        <is>
          <t>2026-06-19 07:10:32</t>
        </is>
      </c>
      <c r="P3574" t="inlineStr">
        <is>
          <t>2026-06-19 07:10:32</t>
        </is>
      </c>
      <c r="Y3574" t="inlineStr">
        <is>
          <t>27765108565</t>
        </is>
      </c>
    </row>
    <row r="3575">
      <c r="A3575" t="inlineStr">
        <is>
          <t>14946353</t>
        </is>
      </c>
      <c r="B3575" t="inlineStr">
        <is>
          <t>049b84c5-3a5f-418b-90ba-73c55cb22058</t>
        </is>
      </c>
      <c r="D3575" t="inlineStr">
        <is>
          <t>30001087</t>
        </is>
      </c>
      <c r="E3575" t="inlineStr">
        <is>
          <t>ussd_funeral_leads_altitude_20260619</t>
        </is>
      </c>
      <c r="J3575" t="inlineStr">
        <is>
          <t>ADC</t>
        </is>
      </c>
      <c r="K3575" t="inlineStr">
        <is>
          <t>Auto Dial Disconnected</t>
        </is>
      </c>
      <c r="L3575" t="n">
        <v>3</v>
      </c>
      <c r="M3575" t="inlineStr">
        <is>
          <t>2026-06-23 09:51:58</t>
        </is>
      </c>
      <c r="N3575" t="inlineStr">
        <is>
          <t>system</t>
        </is>
      </c>
      <c r="O3575" t="inlineStr">
        <is>
          <t>2026-06-19 07:10:32</t>
        </is>
      </c>
      <c r="P3575" t="inlineStr">
        <is>
          <t>2026-06-19 07:10:32</t>
        </is>
      </c>
      <c r="Y3575" t="inlineStr">
        <is>
          <t>27722979284</t>
        </is>
      </c>
    </row>
    <row r="3576">
      <c r="A3576" t="inlineStr">
        <is>
          <t>14946350</t>
        </is>
      </c>
      <c r="B3576" t="inlineStr">
        <is>
          <t>a714dcaa-0b02-44ab-897f-763e929a463f</t>
        </is>
      </c>
      <c r="D3576" t="inlineStr">
        <is>
          <t>30001087</t>
        </is>
      </c>
      <c r="E3576" t="inlineStr">
        <is>
          <t>ussd_funeral_leads_altitude_20260619</t>
        </is>
      </c>
      <c r="J3576" t="inlineStr">
        <is>
          <t>AA</t>
        </is>
      </c>
      <c r="K3576" t="inlineStr">
        <is>
          <t>Answering Machine Autodial</t>
        </is>
      </c>
      <c r="L3576" t="n">
        <v>3</v>
      </c>
      <c r="M3576" t="inlineStr">
        <is>
          <t>2026-06-23 09:51:54</t>
        </is>
      </c>
      <c r="N3576" t="inlineStr">
        <is>
          <t>system</t>
        </is>
      </c>
      <c r="O3576" t="inlineStr">
        <is>
          <t>2026-06-19 07:10:32</t>
        </is>
      </c>
      <c r="P3576" t="inlineStr">
        <is>
          <t>2026-06-19 07:10:32</t>
        </is>
      </c>
      <c r="Y3576" t="inlineStr">
        <is>
          <t>27607188354</t>
        </is>
      </c>
    </row>
    <row r="3577">
      <c r="A3577" t="inlineStr">
        <is>
          <t>14946349</t>
        </is>
      </c>
      <c r="B3577" t="inlineStr">
        <is>
          <t>3df59bc8-a67a-4524-85ff-8de8b7f86319</t>
        </is>
      </c>
      <c r="D3577" t="inlineStr">
        <is>
          <t>30001087</t>
        </is>
      </c>
      <c r="E3577" t="inlineStr">
        <is>
          <t>ussd_funeral_leads_altitude_20260619</t>
        </is>
      </c>
      <c r="J3577" t="inlineStr">
        <is>
          <t>AA</t>
        </is>
      </c>
      <c r="K3577" t="inlineStr">
        <is>
          <t>Answering Machine Autodial</t>
        </is>
      </c>
      <c r="L3577" t="n">
        <v>3</v>
      </c>
      <c r="M3577" t="inlineStr">
        <is>
          <t>2026-06-23 09:51:51</t>
        </is>
      </c>
      <c r="N3577" t="inlineStr">
        <is>
          <t>system</t>
        </is>
      </c>
      <c r="O3577" t="inlineStr">
        <is>
          <t>2026-06-19 07:10:32</t>
        </is>
      </c>
      <c r="P3577" t="inlineStr">
        <is>
          <t>2026-06-19 07:10:32</t>
        </is>
      </c>
      <c r="Y3577" t="inlineStr">
        <is>
          <t>27646379937</t>
        </is>
      </c>
    </row>
    <row r="3578">
      <c r="A3578" t="inlineStr">
        <is>
          <t>14946348</t>
        </is>
      </c>
      <c r="B3578" t="inlineStr">
        <is>
          <t>c959eba5-06c5-410a-877a-b37d4b5eb94e</t>
        </is>
      </c>
      <c r="D3578" t="inlineStr">
        <is>
          <t>30001087</t>
        </is>
      </c>
      <c r="E3578" t="inlineStr">
        <is>
          <t>ussd_funeral_leads_altitude_20260619</t>
        </is>
      </c>
      <c r="J3578" t="inlineStr">
        <is>
          <t>DC</t>
        </is>
      </c>
      <c r="K3578" t="inlineStr">
        <is>
          <t>Disconnected</t>
        </is>
      </c>
      <c r="L3578" t="n">
        <v>3</v>
      </c>
      <c r="M3578" t="inlineStr">
        <is>
          <t>2026-06-23 09:51:47</t>
        </is>
      </c>
      <c r="N3578" t="inlineStr">
        <is>
          <t>Dimakatso Nkomo</t>
        </is>
      </c>
      <c r="O3578" t="inlineStr">
        <is>
          <t>2026-06-19 07:10:32</t>
        </is>
      </c>
      <c r="P3578" t="inlineStr">
        <is>
          <t>2026-06-19 07:10:32</t>
        </is>
      </c>
      <c r="Y3578" t="inlineStr">
        <is>
          <t>27768971400</t>
        </is>
      </c>
    </row>
    <row r="3579">
      <c r="A3579" t="inlineStr">
        <is>
          <t>14946347</t>
        </is>
      </c>
      <c r="B3579" t="inlineStr">
        <is>
          <t>201c9a6b-dc33-455e-b2c5-fc3cbdc42852</t>
        </is>
      </c>
      <c r="D3579" t="inlineStr">
        <is>
          <t>30001087</t>
        </is>
      </c>
      <c r="E3579" t="inlineStr">
        <is>
          <t>ussd_funeral_leads_altitude_20260619</t>
        </is>
      </c>
      <c r="J3579" t="inlineStr">
        <is>
          <t>AA</t>
        </is>
      </c>
      <c r="K3579" t="inlineStr">
        <is>
          <t>Answering Machine Autodial</t>
        </is>
      </c>
      <c r="L3579" t="n">
        <v>3</v>
      </c>
      <c r="M3579" t="inlineStr">
        <is>
          <t>2026-06-23 09:51:45</t>
        </is>
      </c>
      <c r="N3579" t="inlineStr">
        <is>
          <t>system</t>
        </is>
      </c>
      <c r="O3579" t="inlineStr">
        <is>
          <t>2026-06-19 07:10:32</t>
        </is>
      </c>
      <c r="P3579" t="inlineStr">
        <is>
          <t>2026-06-19 07:10:32</t>
        </is>
      </c>
      <c r="Y3579" t="inlineStr">
        <is>
          <t>27795870946</t>
        </is>
      </c>
    </row>
    <row r="3580">
      <c r="A3580" t="inlineStr">
        <is>
          <t>14946345</t>
        </is>
      </c>
      <c r="B3580" t="inlineStr">
        <is>
          <t>ef440f8c-1839-4c46-a762-aedbbac6539f</t>
        </is>
      </c>
      <c r="D3580" t="inlineStr">
        <is>
          <t>30001087</t>
        </is>
      </c>
      <c r="E3580" t="inlineStr">
        <is>
          <t>ussd_funeral_leads_altitude_20260619</t>
        </is>
      </c>
      <c r="J3580" t="inlineStr">
        <is>
          <t>AA</t>
        </is>
      </c>
      <c r="K3580" t="inlineStr">
        <is>
          <t>Answering Machine Autodial</t>
        </is>
      </c>
      <c r="L3580" t="n">
        <v>3</v>
      </c>
      <c r="M3580" t="inlineStr">
        <is>
          <t>2026-06-23 09:51:40</t>
        </is>
      </c>
      <c r="N3580" t="inlineStr">
        <is>
          <t>system</t>
        </is>
      </c>
      <c r="O3580" t="inlineStr">
        <is>
          <t>2026-06-19 07:10:32</t>
        </is>
      </c>
      <c r="P3580" t="inlineStr">
        <is>
          <t>2026-06-19 07:10:32</t>
        </is>
      </c>
      <c r="Y3580" t="inlineStr">
        <is>
          <t>27729157324</t>
        </is>
      </c>
    </row>
    <row r="3581">
      <c r="A3581" t="inlineStr">
        <is>
          <t>14946346</t>
        </is>
      </c>
      <c r="B3581" t="inlineStr">
        <is>
          <t>f1ed4693-6cf4-4f5d-bf59-5f1775f945cf</t>
        </is>
      </c>
      <c r="D3581" t="inlineStr">
        <is>
          <t>30001087</t>
        </is>
      </c>
      <c r="E3581" t="inlineStr">
        <is>
          <t>ussd_funeral_leads_altitude_20260619</t>
        </is>
      </c>
      <c r="J3581" t="inlineStr">
        <is>
          <t>ADC</t>
        </is>
      </c>
      <c r="K3581" t="inlineStr">
        <is>
          <t>Auto Dial Disconnected</t>
        </is>
      </c>
      <c r="L3581" t="n">
        <v>3</v>
      </c>
      <c r="M3581" t="inlineStr">
        <is>
          <t>2026-06-23 09:51:40</t>
        </is>
      </c>
      <c r="N3581" t="inlineStr">
        <is>
          <t>system</t>
        </is>
      </c>
      <c r="O3581" t="inlineStr">
        <is>
          <t>2026-06-19 07:10:32</t>
        </is>
      </c>
      <c r="P3581" t="inlineStr">
        <is>
          <t>2026-06-19 07:10:32</t>
        </is>
      </c>
      <c r="Y3581" t="inlineStr">
        <is>
          <t>27764806846</t>
        </is>
      </c>
    </row>
    <row r="3582">
      <c r="A3582" t="inlineStr">
        <is>
          <t>14946344</t>
        </is>
      </c>
      <c r="B3582" t="inlineStr">
        <is>
          <t>17b9213b-a633-465c-afbc-3dbc274f6a07</t>
        </is>
      </c>
      <c r="D3582" t="inlineStr">
        <is>
          <t>30001087</t>
        </is>
      </c>
      <c r="E3582" t="inlineStr">
        <is>
          <t>ussd_funeral_leads_altitude_20260619</t>
        </is>
      </c>
      <c r="J3582" t="inlineStr">
        <is>
          <t>AA</t>
        </is>
      </c>
      <c r="K3582" t="inlineStr">
        <is>
          <t>Answering Machine Autodial</t>
        </is>
      </c>
      <c r="L3582" t="n">
        <v>3</v>
      </c>
      <c r="M3582" t="inlineStr">
        <is>
          <t>2026-06-23 09:51:39</t>
        </is>
      </c>
      <c r="N3582" t="inlineStr">
        <is>
          <t>system</t>
        </is>
      </c>
      <c r="O3582" t="inlineStr">
        <is>
          <t>2026-06-19 07:10:32</t>
        </is>
      </c>
      <c r="P3582" t="inlineStr">
        <is>
          <t>2026-06-19 07:10:32</t>
        </is>
      </c>
      <c r="Y3582" t="inlineStr">
        <is>
          <t>27824056464</t>
        </is>
      </c>
    </row>
    <row r="3583">
      <c r="A3583" t="inlineStr">
        <is>
          <t>14946343</t>
        </is>
      </c>
      <c r="B3583" t="inlineStr">
        <is>
          <t>2d594869-0b1e-4783-9307-b34c4839ca7d</t>
        </is>
      </c>
      <c r="D3583" t="inlineStr">
        <is>
          <t>30001087</t>
        </is>
      </c>
      <c r="E3583" t="inlineStr">
        <is>
          <t>ussd_funeral_leads_altitude_20260619</t>
        </is>
      </c>
      <c r="J3583" t="inlineStr">
        <is>
          <t>AA</t>
        </is>
      </c>
      <c r="K3583" t="inlineStr">
        <is>
          <t>Answering Machine Autodial</t>
        </is>
      </c>
      <c r="L3583" t="n">
        <v>3</v>
      </c>
      <c r="M3583" t="inlineStr">
        <is>
          <t>2026-06-23 09:51:34</t>
        </is>
      </c>
      <c r="N3583" t="inlineStr">
        <is>
          <t>system</t>
        </is>
      </c>
      <c r="O3583" t="inlineStr">
        <is>
          <t>2026-06-19 07:10:32</t>
        </is>
      </c>
      <c r="P3583" t="inlineStr">
        <is>
          <t>2026-06-19 07:10:32</t>
        </is>
      </c>
      <c r="Y3583" t="inlineStr">
        <is>
          <t>27769208698</t>
        </is>
      </c>
    </row>
    <row r="3584">
      <c r="A3584" t="inlineStr">
        <is>
          <t>14946342</t>
        </is>
      </c>
      <c r="B3584" t="inlineStr">
        <is>
          <t>ccecb378-ced8-46fc-9284-6edc238c5e58</t>
        </is>
      </c>
      <c r="D3584" t="inlineStr">
        <is>
          <t>30001087</t>
        </is>
      </c>
      <c r="E3584" t="inlineStr">
        <is>
          <t>ussd_funeral_leads_altitude_20260619</t>
        </is>
      </c>
      <c r="J3584" t="inlineStr">
        <is>
          <t>AA</t>
        </is>
      </c>
      <c r="K3584" t="inlineStr">
        <is>
          <t>Answering Machine Autodial</t>
        </is>
      </c>
      <c r="L3584" t="n">
        <v>3</v>
      </c>
      <c r="M3584" t="inlineStr">
        <is>
          <t>2026-06-23 09:51:32</t>
        </is>
      </c>
      <c r="N3584" t="inlineStr">
        <is>
          <t>system</t>
        </is>
      </c>
      <c r="O3584" t="inlineStr">
        <is>
          <t>2026-06-19 07:10:32</t>
        </is>
      </c>
      <c r="P3584" t="inlineStr">
        <is>
          <t>2026-06-19 07:10:32</t>
        </is>
      </c>
      <c r="Y3584" t="inlineStr">
        <is>
          <t>27795884263</t>
        </is>
      </c>
    </row>
    <row r="3585">
      <c r="A3585" t="inlineStr">
        <is>
          <t>14945680</t>
        </is>
      </c>
      <c r="B3585" t="inlineStr">
        <is>
          <t>fed1d89d-98a9-4f74-82b7-1a2ce191fcde</t>
        </is>
      </c>
      <c r="D3585" t="inlineStr">
        <is>
          <t>30001087</t>
        </is>
      </c>
      <c r="E3585" t="inlineStr">
        <is>
          <t>ussd_funeral_leads_altitude_20260619</t>
        </is>
      </c>
      <c r="J3585" t="inlineStr">
        <is>
          <t>ADC</t>
        </is>
      </c>
      <c r="K3585" t="inlineStr">
        <is>
          <t>Auto Dial Disconnected</t>
        </is>
      </c>
      <c r="L3585" t="n">
        <v>3</v>
      </c>
      <c r="M3585" t="inlineStr">
        <is>
          <t>2026-06-23 09:51:28</t>
        </is>
      </c>
      <c r="N3585" t="inlineStr">
        <is>
          <t>system</t>
        </is>
      </c>
      <c r="O3585" t="inlineStr">
        <is>
          <t>2026-06-19 07:10:32</t>
        </is>
      </c>
      <c r="P3585" t="inlineStr">
        <is>
          <t>2026-06-19 07:10:32</t>
        </is>
      </c>
      <c r="Y3585" t="inlineStr">
        <is>
          <t>27796996894</t>
        </is>
      </c>
    </row>
    <row r="3586">
      <c r="A3586" t="inlineStr">
        <is>
          <t>14946340</t>
        </is>
      </c>
      <c r="B3586" t="inlineStr">
        <is>
          <t>0ab66017-6d45-47c1-84b2-4c0749320334</t>
        </is>
      </c>
      <c r="D3586" t="inlineStr">
        <is>
          <t>30001087</t>
        </is>
      </c>
      <c r="E3586" t="inlineStr">
        <is>
          <t>ussd_funeral_leads_altitude_20260619</t>
        </is>
      </c>
      <c r="J3586" t="inlineStr">
        <is>
          <t>AA</t>
        </is>
      </c>
      <c r="K3586" t="inlineStr">
        <is>
          <t>Answering Machine Autodial</t>
        </is>
      </c>
      <c r="L3586" t="n">
        <v>3</v>
      </c>
      <c r="M3586" t="inlineStr">
        <is>
          <t>2026-06-23 09:51:28</t>
        </is>
      </c>
      <c r="N3586" t="inlineStr">
        <is>
          <t>system</t>
        </is>
      </c>
      <c r="O3586" t="inlineStr">
        <is>
          <t>2026-06-19 07:10:32</t>
        </is>
      </c>
      <c r="P3586" t="inlineStr">
        <is>
          <t>2026-06-19 07:10:32</t>
        </is>
      </c>
      <c r="Y3586" t="inlineStr">
        <is>
          <t>27636156891</t>
        </is>
      </c>
    </row>
    <row r="3587">
      <c r="A3587" t="inlineStr">
        <is>
          <t>14946341</t>
        </is>
      </c>
      <c r="B3587" t="inlineStr">
        <is>
          <t>4a05f478-0c5a-437e-ba33-f587960d0bdc</t>
        </is>
      </c>
      <c r="D3587" t="inlineStr">
        <is>
          <t>30001087</t>
        </is>
      </c>
      <c r="E3587" t="inlineStr">
        <is>
          <t>ussd_funeral_leads_altitude_20260619</t>
        </is>
      </c>
      <c r="J3587" t="inlineStr">
        <is>
          <t>TDN</t>
        </is>
      </c>
      <c r="K3587" t="inlineStr">
        <is>
          <t>Temporary Disconnected Number</t>
        </is>
      </c>
      <c r="L3587" t="n">
        <v>3</v>
      </c>
      <c r="M3587" t="inlineStr">
        <is>
          <t>2026-06-23 09:51:28</t>
        </is>
      </c>
      <c r="N3587" t="inlineStr">
        <is>
          <t>system</t>
        </is>
      </c>
      <c r="O3587" t="inlineStr">
        <is>
          <t>2026-06-19 07:10:32</t>
        </is>
      </c>
      <c r="P3587" t="inlineStr">
        <is>
          <t>2026-06-19 07:10:32</t>
        </is>
      </c>
      <c r="Y3587" t="inlineStr">
        <is>
          <t>27820938196</t>
        </is>
      </c>
    </row>
    <row r="3588">
      <c r="A3588" t="inlineStr">
        <is>
          <t>14946413</t>
        </is>
      </c>
      <c r="B3588" t="inlineStr">
        <is>
          <t>d8771019-0e3b-4785-9ba7-9882a69d54c0</t>
        </is>
      </c>
      <c r="D3588" t="inlineStr">
        <is>
          <t>30001087</t>
        </is>
      </c>
      <c r="E3588" t="inlineStr">
        <is>
          <t>ussd_funeral_leads_altitude_20260619</t>
        </is>
      </c>
      <c r="J3588" t="inlineStr">
        <is>
          <t>NA</t>
        </is>
      </c>
      <c r="K3588" t="inlineStr">
        <is>
          <t>No Answer Autodial</t>
        </is>
      </c>
      <c r="L3588" t="n">
        <v>3</v>
      </c>
      <c r="M3588" t="inlineStr">
        <is>
          <t>2026-06-23 09:51:21</t>
        </is>
      </c>
      <c r="N3588" t="inlineStr">
        <is>
          <t>system</t>
        </is>
      </c>
      <c r="O3588" t="inlineStr">
        <is>
          <t>2026-06-19 07:10:32</t>
        </is>
      </c>
      <c r="P3588" t="inlineStr">
        <is>
          <t>2026-06-19 07:10:32</t>
        </is>
      </c>
      <c r="Y3588" t="inlineStr">
        <is>
          <t>27646449551</t>
        </is>
      </c>
    </row>
    <row r="3589">
      <c r="A3589" t="inlineStr">
        <is>
          <t>14946412</t>
        </is>
      </c>
      <c r="B3589" t="inlineStr">
        <is>
          <t>489ed306-b7e9-4942-af30-940adfe7e399</t>
        </is>
      </c>
      <c r="D3589" t="inlineStr">
        <is>
          <t>30001087</t>
        </is>
      </c>
      <c r="E3589" t="inlineStr">
        <is>
          <t>ussd_funeral_leads_altitude_20260619</t>
        </is>
      </c>
      <c r="J3589" t="inlineStr">
        <is>
          <t>ADC</t>
        </is>
      </c>
      <c r="K3589" t="inlineStr">
        <is>
          <t>Auto Dial Disconnected</t>
        </is>
      </c>
      <c r="L3589" t="n">
        <v>3</v>
      </c>
      <c r="M3589" t="inlineStr">
        <is>
          <t>2026-06-23 09:50:58</t>
        </is>
      </c>
      <c r="N3589" t="inlineStr">
        <is>
          <t>system</t>
        </is>
      </c>
      <c r="O3589" t="inlineStr">
        <is>
          <t>2026-06-19 07:10:32</t>
        </is>
      </c>
      <c r="P3589" t="inlineStr">
        <is>
          <t>2026-06-19 07:10:32</t>
        </is>
      </c>
      <c r="Y3589" t="inlineStr">
        <is>
          <t>27822686440</t>
        </is>
      </c>
    </row>
    <row r="3590">
      <c r="A3590" t="inlineStr">
        <is>
          <t>14946408</t>
        </is>
      </c>
      <c r="B3590" t="inlineStr">
        <is>
          <t>e21b37a1-a758-4721-8d3b-7b2551961e4b</t>
        </is>
      </c>
      <c r="D3590" t="inlineStr">
        <is>
          <t>30001087</t>
        </is>
      </c>
      <c r="E3590" t="inlineStr">
        <is>
          <t>ussd_funeral_leads_altitude_20260619</t>
        </is>
      </c>
      <c r="J3590" t="inlineStr">
        <is>
          <t>AA</t>
        </is>
      </c>
      <c r="K3590" t="inlineStr">
        <is>
          <t>Answering Machine Autodial</t>
        </is>
      </c>
      <c r="L3590" t="n">
        <v>3</v>
      </c>
      <c r="M3590" t="inlineStr">
        <is>
          <t>2026-06-23 09:50:55</t>
        </is>
      </c>
      <c r="N3590" t="inlineStr">
        <is>
          <t>system</t>
        </is>
      </c>
      <c r="O3590" t="inlineStr">
        <is>
          <t>2026-06-19 07:10:32</t>
        </is>
      </c>
      <c r="P3590" t="inlineStr">
        <is>
          <t>2026-06-19 07:10:32</t>
        </is>
      </c>
      <c r="Y3590" t="inlineStr">
        <is>
          <t>27764679419</t>
        </is>
      </c>
    </row>
    <row r="3591">
      <c r="A3591" t="inlineStr">
        <is>
          <t>14946406</t>
        </is>
      </c>
      <c r="B3591" t="inlineStr">
        <is>
          <t>17d61ae6-bafd-4392-8e61-6e5ab429cd30</t>
        </is>
      </c>
      <c r="D3591" t="inlineStr">
        <is>
          <t>30001087</t>
        </is>
      </c>
      <c r="E3591" t="inlineStr">
        <is>
          <t>ussd_funeral_leads_altitude_20260619</t>
        </is>
      </c>
      <c r="J3591" t="inlineStr">
        <is>
          <t>DROP</t>
        </is>
      </c>
      <c r="K3591" t="inlineStr">
        <is>
          <t>Dropped</t>
        </is>
      </c>
      <c r="L3591" t="n">
        <v>3</v>
      </c>
      <c r="M3591" t="inlineStr">
        <is>
          <t>2026-06-23 09:50:53</t>
        </is>
      </c>
      <c r="N3591" t="inlineStr">
        <is>
          <t>system</t>
        </is>
      </c>
      <c r="O3591" t="inlineStr">
        <is>
          <t>2026-06-19 07:10:32</t>
        </is>
      </c>
      <c r="P3591" t="inlineStr">
        <is>
          <t>2026-06-19 07:10:32</t>
        </is>
      </c>
      <c r="Y3591" t="inlineStr">
        <is>
          <t>27728401218</t>
        </is>
      </c>
    </row>
    <row r="3592">
      <c r="A3592" t="inlineStr">
        <is>
          <t>14946402</t>
        </is>
      </c>
      <c r="B3592" t="inlineStr">
        <is>
          <t>4eb53e4a-3058-48b1-9f43-a5a343a6faee</t>
        </is>
      </c>
      <c r="D3592" t="inlineStr">
        <is>
          <t>30001087</t>
        </is>
      </c>
      <c r="E3592" t="inlineStr">
        <is>
          <t>ussd_funeral_leads_altitude_20260619</t>
        </is>
      </c>
      <c r="J3592" t="inlineStr">
        <is>
          <t>A</t>
        </is>
      </c>
      <c r="K3592" t="inlineStr">
        <is>
          <t>Answering Machine</t>
        </is>
      </c>
      <c r="L3592" t="n">
        <v>3</v>
      </c>
      <c r="M3592" t="inlineStr">
        <is>
          <t>2026-06-23 09:50:52</t>
        </is>
      </c>
      <c r="N3592" t="inlineStr">
        <is>
          <t>Dimakatso Nkomo</t>
        </is>
      </c>
      <c r="O3592" t="inlineStr">
        <is>
          <t>2026-06-19 07:10:32</t>
        </is>
      </c>
      <c r="P3592" t="inlineStr">
        <is>
          <t>2026-06-19 07:10:32</t>
        </is>
      </c>
      <c r="Y3592" t="inlineStr">
        <is>
          <t>27798687190</t>
        </is>
      </c>
    </row>
    <row r="3593">
      <c r="A3593" t="inlineStr">
        <is>
          <t>14946403</t>
        </is>
      </c>
      <c r="B3593" t="inlineStr">
        <is>
          <t>2f8236e4-ac03-4d7c-8de0-16b35077e3ae</t>
        </is>
      </c>
      <c r="D3593" t="inlineStr">
        <is>
          <t>30001087</t>
        </is>
      </c>
      <c r="E3593" t="inlineStr">
        <is>
          <t>ussd_funeral_leads_altitude_20260619</t>
        </is>
      </c>
      <c r="J3593" t="inlineStr">
        <is>
          <t>AA</t>
        </is>
      </c>
      <c r="K3593" t="inlineStr">
        <is>
          <t>Answering Machine Autodial</t>
        </is>
      </c>
      <c r="L3593" t="n">
        <v>3</v>
      </c>
      <c r="M3593" t="inlineStr">
        <is>
          <t>2026-06-23 09:50:52</t>
        </is>
      </c>
      <c r="N3593" t="inlineStr">
        <is>
          <t>system</t>
        </is>
      </c>
      <c r="O3593" t="inlineStr">
        <is>
          <t>2026-06-19 07:10:32</t>
        </is>
      </c>
      <c r="P3593" t="inlineStr">
        <is>
          <t>2026-06-19 07:10:32</t>
        </is>
      </c>
      <c r="Y3593" t="inlineStr">
        <is>
          <t>27790986148</t>
        </is>
      </c>
    </row>
    <row r="3594">
      <c r="A3594" t="inlineStr">
        <is>
          <t>14946407</t>
        </is>
      </c>
      <c r="B3594" t="inlineStr">
        <is>
          <t>4270a58c-24d9-4f95-9680-c175f15d539b</t>
        </is>
      </c>
      <c r="D3594" t="inlineStr">
        <is>
          <t>30001087</t>
        </is>
      </c>
      <c r="E3594" t="inlineStr">
        <is>
          <t>ussd_funeral_leads_altitude_20260619</t>
        </is>
      </c>
      <c r="J3594" t="inlineStr">
        <is>
          <t>TDN</t>
        </is>
      </c>
      <c r="K3594" t="inlineStr">
        <is>
          <t>Temporary Disconnected Number</t>
        </is>
      </c>
      <c r="L3594" t="n">
        <v>3</v>
      </c>
      <c r="M3594" t="inlineStr">
        <is>
          <t>2026-06-23 09:50:45</t>
        </is>
      </c>
      <c r="N3594" t="inlineStr">
        <is>
          <t>system</t>
        </is>
      </c>
      <c r="O3594" t="inlineStr">
        <is>
          <t>2026-06-19 07:10:32</t>
        </is>
      </c>
      <c r="P3594" t="inlineStr">
        <is>
          <t>2026-06-19 07:10:32</t>
        </is>
      </c>
      <c r="Y3594" t="inlineStr">
        <is>
          <t>27763589549</t>
        </is>
      </c>
    </row>
    <row r="3595">
      <c r="A3595" t="inlineStr">
        <is>
          <t>14946400</t>
        </is>
      </c>
      <c r="B3595" t="inlineStr">
        <is>
          <t>a75b811e-b087-48b2-9364-da6f65b68730</t>
        </is>
      </c>
      <c r="D3595" t="inlineStr">
        <is>
          <t>30001087</t>
        </is>
      </c>
      <c r="E3595" t="inlineStr">
        <is>
          <t>ussd_funeral_leads_altitude_20260619</t>
        </is>
      </c>
      <c r="J3595" t="inlineStr">
        <is>
          <t>ADC</t>
        </is>
      </c>
      <c r="K3595" t="inlineStr">
        <is>
          <t>Auto Dial Disconnected</t>
        </is>
      </c>
      <c r="L3595" t="n">
        <v>3</v>
      </c>
      <c r="M3595" t="inlineStr">
        <is>
          <t>2026-06-23 09:50:40</t>
        </is>
      </c>
      <c r="N3595" t="inlineStr">
        <is>
          <t>system</t>
        </is>
      </c>
      <c r="O3595" t="inlineStr">
        <is>
          <t>2026-06-19 07:10:32</t>
        </is>
      </c>
      <c r="P3595" t="inlineStr">
        <is>
          <t>2026-06-19 07:10:32</t>
        </is>
      </c>
      <c r="Y3595" t="inlineStr">
        <is>
          <t>27720288139</t>
        </is>
      </c>
    </row>
    <row r="3596">
      <c r="A3596" t="inlineStr">
        <is>
          <t>14946401</t>
        </is>
      </c>
      <c r="B3596" t="inlineStr">
        <is>
          <t>ec76d4aa-2a03-4c09-9dd5-69f3af49b0d1</t>
        </is>
      </c>
      <c r="D3596" t="inlineStr">
        <is>
          <t>30001087</t>
        </is>
      </c>
      <c r="E3596" t="inlineStr">
        <is>
          <t>ussd_funeral_leads_altitude_20260619</t>
        </is>
      </c>
      <c r="J3596" t="inlineStr">
        <is>
          <t>AA</t>
        </is>
      </c>
      <c r="K3596" t="inlineStr">
        <is>
          <t>Answering Machine Autodial</t>
        </is>
      </c>
      <c r="L3596" t="n">
        <v>3</v>
      </c>
      <c r="M3596" t="inlineStr">
        <is>
          <t>2026-06-23 09:50:40</t>
        </is>
      </c>
      <c r="N3596" t="inlineStr">
        <is>
          <t>system</t>
        </is>
      </c>
      <c r="O3596" t="inlineStr">
        <is>
          <t>2026-06-19 07:10:32</t>
        </is>
      </c>
      <c r="P3596" t="inlineStr">
        <is>
          <t>2026-06-19 07:10:32</t>
        </is>
      </c>
      <c r="Y3596" t="inlineStr">
        <is>
          <t>27792075163</t>
        </is>
      </c>
    </row>
    <row r="3597">
      <c r="A3597" t="inlineStr">
        <is>
          <t>14946396</t>
        </is>
      </c>
      <c r="B3597" t="inlineStr">
        <is>
          <t>0912be7c-0fbf-4459-97aa-7c13c94df22f</t>
        </is>
      </c>
      <c r="D3597" t="inlineStr">
        <is>
          <t>30001087</t>
        </is>
      </c>
      <c r="E3597" t="inlineStr">
        <is>
          <t>ussd_funeral_leads_altitude_20260619</t>
        </is>
      </c>
      <c r="J3597" t="inlineStr">
        <is>
          <t>DROP</t>
        </is>
      </c>
      <c r="K3597" t="inlineStr">
        <is>
          <t>Dropped</t>
        </is>
      </c>
      <c r="L3597" t="n">
        <v>3</v>
      </c>
      <c r="M3597" t="inlineStr">
        <is>
          <t>2026-06-23 09:50:39</t>
        </is>
      </c>
      <c r="N3597" t="inlineStr">
        <is>
          <t>system</t>
        </is>
      </c>
      <c r="O3597" t="inlineStr">
        <is>
          <t>2026-06-19 07:10:32</t>
        </is>
      </c>
      <c r="P3597" t="inlineStr">
        <is>
          <t>2026-06-19 07:10:32</t>
        </is>
      </c>
      <c r="Y3597" t="inlineStr">
        <is>
          <t>27660377633</t>
        </is>
      </c>
    </row>
    <row r="3598">
      <c r="A3598" t="inlineStr">
        <is>
          <t>14946397</t>
        </is>
      </c>
      <c r="B3598" t="inlineStr">
        <is>
          <t>2da67df2-1ad6-4f09-b883-dea39572b057</t>
        </is>
      </c>
      <c r="D3598" t="inlineStr">
        <is>
          <t>30001087</t>
        </is>
      </c>
      <c r="E3598" t="inlineStr">
        <is>
          <t>ussd_funeral_leads_altitude_20260619</t>
        </is>
      </c>
      <c r="J3598" t="inlineStr">
        <is>
          <t>AA</t>
        </is>
      </c>
      <c r="K3598" t="inlineStr">
        <is>
          <t>Answering Machine Autodial</t>
        </is>
      </c>
      <c r="L3598" t="n">
        <v>3</v>
      </c>
      <c r="M3598" t="inlineStr">
        <is>
          <t>2026-06-23 09:50:39</t>
        </is>
      </c>
      <c r="N3598" t="inlineStr">
        <is>
          <t>system</t>
        </is>
      </c>
      <c r="O3598" t="inlineStr">
        <is>
          <t>2026-06-19 07:10:32</t>
        </is>
      </c>
      <c r="P3598" t="inlineStr">
        <is>
          <t>2026-06-19 07:10:32</t>
        </is>
      </c>
      <c r="Y3598" t="inlineStr">
        <is>
          <t>27823765765</t>
        </is>
      </c>
    </row>
    <row r="3599">
      <c r="A3599" t="inlineStr">
        <is>
          <t>14946398</t>
        </is>
      </c>
      <c r="B3599" t="inlineStr">
        <is>
          <t>414a4a9f-c5b7-43bb-ace6-f6648f12cb97</t>
        </is>
      </c>
      <c r="D3599" t="inlineStr">
        <is>
          <t>30001087</t>
        </is>
      </c>
      <c r="E3599" t="inlineStr">
        <is>
          <t>ussd_funeral_leads_altitude_20260619</t>
        </is>
      </c>
      <c r="J3599" t="inlineStr">
        <is>
          <t>AA</t>
        </is>
      </c>
      <c r="K3599" t="inlineStr">
        <is>
          <t>Answering Machine Autodial</t>
        </is>
      </c>
      <c r="L3599" t="n">
        <v>3</v>
      </c>
      <c r="M3599" t="inlineStr">
        <is>
          <t>2026-06-23 09:50:39</t>
        </is>
      </c>
      <c r="N3599" t="inlineStr">
        <is>
          <t>system</t>
        </is>
      </c>
      <c r="O3599" t="inlineStr">
        <is>
          <t>2026-06-19 07:10:32</t>
        </is>
      </c>
      <c r="P3599" t="inlineStr">
        <is>
          <t>2026-06-19 07:10:32</t>
        </is>
      </c>
      <c r="Y3599" t="inlineStr">
        <is>
          <t>27646624477</t>
        </is>
      </c>
    </row>
    <row r="3600">
      <c r="A3600" t="inlineStr">
        <is>
          <t>14946399</t>
        </is>
      </c>
      <c r="B3600" t="inlineStr">
        <is>
          <t>5f3cb415-297e-4426-a710-02ea22865c68</t>
        </is>
      </c>
      <c r="D3600" t="inlineStr">
        <is>
          <t>30001087</t>
        </is>
      </c>
      <c r="E3600" t="inlineStr">
        <is>
          <t>ussd_funeral_leads_altitude_20260619</t>
        </is>
      </c>
      <c r="J3600" t="inlineStr">
        <is>
          <t>AA</t>
        </is>
      </c>
      <c r="K3600" t="inlineStr">
        <is>
          <t>Answering Machine Autodial</t>
        </is>
      </c>
      <c r="L3600" t="n">
        <v>3</v>
      </c>
      <c r="M3600" t="inlineStr">
        <is>
          <t>2026-06-23 09:50:39</t>
        </is>
      </c>
      <c r="N3600" t="inlineStr">
        <is>
          <t>system</t>
        </is>
      </c>
      <c r="O3600" t="inlineStr">
        <is>
          <t>2026-06-19 07:10:32</t>
        </is>
      </c>
      <c r="P3600" t="inlineStr">
        <is>
          <t>2026-06-19 07:10:32</t>
        </is>
      </c>
      <c r="Y3600" t="inlineStr">
        <is>
          <t>27765759564</t>
        </is>
      </c>
    </row>
    <row r="3601">
      <c r="A3601" t="inlineStr">
        <is>
          <t>14946394</t>
        </is>
      </c>
      <c r="B3601" t="inlineStr">
        <is>
          <t>524ccc8e-32a5-4cfa-99ec-a9fc446921fb</t>
        </is>
      </c>
      <c r="D3601" t="inlineStr">
        <is>
          <t>30001087</t>
        </is>
      </c>
      <c r="E3601" t="inlineStr">
        <is>
          <t>ussd_funeral_leads_altitude_20260619</t>
        </is>
      </c>
      <c r="J3601" t="inlineStr">
        <is>
          <t>ADC</t>
        </is>
      </c>
      <c r="K3601" t="inlineStr">
        <is>
          <t>Auto Dial Disconnected</t>
        </is>
      </c>
      <c r="L3601" t="n">
        <v>3</v>
      </c>
      <c r="M3601" t="inlineStr">
        <is>
          <t>2026-06-23 09:50:38</t>
        </is>
      </c>
      <c r="N3601" t="inlineStr">
        <is>
          <t>system</t>
        </is>
      </c>
      <c r="O3601" t="inlineStr">
        <is>
          <t>2026-06-19 07:10:32</t>
        </is>
      </c>
      <c r="P3601" t="inlineStr">
        <is>
          <t>2026-06-19 07:10:32</t>
        </is>
      </c>
      <c r="Y3601" t="inlineStr">
        <is>
          <t>27725739828</t>
        </is>
      </c>
    </row>
    <row r="3602">
      <c r="A3602" t="inlineStr">
        <is>
          <t>14946395</t>
        </is>
      </c>
      <c r="B3602" t="inlineStr">
        <is>
          <t>a351c9c9-59b1-4b94-8c42-f63b4d10ecd3</t>
        </is>
      </c>
      <c r="D3602" t="inlineStr">
        <is>
          <t>30001087</t>
        </is>
      </c>
      <c r="E3602" t="inlineStr">
        <is>
          <t>ussd_funeral_leads_altitude_20260619</t>
        </is>
      </c>
      <c r="J3602" t="inlineStr">
        <is>
          <t>U</t>
        </is>
      </c>
      <c r="K3602" t="inlineStr">
        <is>
          <t>Unemployed</t>
        </is>
      </c>
      <c r="L3602" t="n">
        <v>3</v>
      </c>
      <c r="M3602" t="inlineStr">
        <is>
          <t>2026-06-23 09:50:38</t>
        </is>
      </c>
      <c r="N3602" t="inlineStr">
        <is>
          <t>Lebohang Mabotja</t>
        </is>
      </c>
      <c r="O3602" t="inlineStr">
        <is>
          <t>2026-06-19 07:10:32</t>
        </is>
      </c>
      <c r="P3602" t="inlineStr">
        <is>
          <t>2026-06-19 07:10:32</t>
        </is>
      </c>
      <c r="Y3602" t="inlineStr">
        <is>
          <t>27774969647</t>
        </is>
      </c>
    </row>
    <row r="3603">
      <c r="A3603" t="inlineStr">
        <is>
          <t>14946392</t>
        </is>
      </c>
      <c r="B3603" t="inlineStr">
        <is>
          <t>12f5ac0a-d3c3-4f09-9349-00eb03712ae8</t>
        </is>
      </c>
      <c r="D3603" t="inlineStr">
        <is>
          <t>30001087</t>
        </is>
      </c>
      <c r="E3603" t="inlineStr">
        <is>
          <t>ussd_funeral_leads_altitude_20260619</t>
        </is>
      </c>
      <c r="J3603" t="inlineStr">
        <is>
          <t>DROP</t>
        </is>
      </c>
      <c r="K3603" t="inlineStr">
        <is>
          <t>Dropped</t>
        </is>
      </c>
      <c r="L3603" t="n">
        <v>3</v>
      </c>
      <c r="M3603" t="inlineStr">
        <is>
          <t>2026-06-23 09:50:37</t>
        </is>
      </c>
      <c r="N3603" t="inlineStr">
        <is>
          <t>system</t>
        </is>
      </c>
      <c r="O3603" t="inlineStr">
        <is>
          <t>2026-06-19 07:10:32</t>
        </is>
      </c>
      <c r="P3603" t="inlineStr">
        <is>
          <t>2026-06-19 07:10:32</t>
        </is>
      </c>
      <c r="Y3603" t="inlineStr">
        <is>
          <t>27722459436</t>
        </is>
      </c>
    </row>
    <row r="3604">
      <c r="A3604" t="inlineStr">
        <is>
          <t>14946393</t>
        </is>
      </c>
      <c r="B3604" t="inlineStr">
        <is>
          <t>e9f8cc81-232f-4378-8cf8-1574e1d3506f</t>
        </is>
      </c>
      <c r="D3604" t="inlineStr">
        <is>
          <t>30001087</t>
        </is>
      </c>
      <c r="E3604" t="inlineStr">
        <is>
          <t>ussd_funeral_leads_altitude_20260619</t>
        </is>
      </c>
      <c r="J3604" t="inlineStr">
        <is>
          <t>CBACK</t>
        </is>
      </c>
      <c r="K3604" t="inlineStr">
        <is>
          <t>Callback</t>
        </is>
      </c>
      <c r="L3604" t="n">
        <v>3</v>
      </c>
      <c r="M3604" t="inlineStr">
        <is>
          <t>2026-06-23 09:50:37</t>
        </is>
      </c>
      <c r="N3604" t="inlineStr">
        <is>
          <t>Gontse Monageng</t>
        </is>
      </c>
      <c r="O3604" t="inlineStr">
        <is>
          <t>2026-06-19 07:10:32</t>
        </is>
      </c>
      <c r="P3604" t="inlineStr">
        <is>
          <t>2026-06-19 07:10:32</t>
        </is>
      </c>
      <c r="Y3604" t="inlineStr">
        <is>
          <t>27663235814</t>
        </is>
      </c>
    </row>
    <row r="3605">
      <c r="A3605" t="inlineStr">
        <is>
          <t>14946391</t>
        </is>
      </c>
      <c r="B3605" t="inlineStr">
        <is>
          <t>5d8436dc-a19c-4502-873a-6e201b0367df</t>
        </is>
      </c>
      <c r="D3605" t="inlineStr">
        <is>
          <t>30001087</t>
        </is>
      </c>
      <c r="E3605" t="inlineStr">
        <is>
          <t>ussd_funeral_leads_altitude_20260619</t>
        </is>
      </c>
      <c r="J3605" t="inlineStr">
        <is>
          <t>TDN</t>
        </is>
      </c>
      <c r="K3605" t="inlineStr">
        <is>
          <t>Temporary Disconnected Number</t>
        </is>
      </c>
      <c r="L3605" t="n">
        <v>3</v>
      </c>
      <c r="M3605" t="inlineStr">
        <is>
          <t>2026-06-23 09:50:15</t>
        </is>
      </c>
      <c r="N3605" t="inlineStr">
        <is>
          <t>system</t>
        </is>
      </c>
      <c r="O3605" t="inlineStr">
        <is>
          <t>2026-06-19 07:10:32</t>
        </is>
      </c>
      <c r="P3605" t="inlineStr">
        <is>
          <t>2026-06-19 07:10:32</t>
        </is>
      </c>
      <c r="Y3605" t="inlineStr">
        <is>
          <t>27648425578</t>
        </is>
      </c>
    </row>
    <row r="3606">
      <c r="A3606" t="inlineStr">
        <is>
          <t>14946387</t>
        </is>
      </c>
      <c r="B3606" t="inlineStr">
        <is>
          <t>763c9cfb-2319-4341-adba-2f3d292ee907</t>
        </is>
      </c>
      <c r="D3606" t="inlineStr">
        <is>
          <t>30001087</t>
        </is>
      </c>
      <c r="E3606" t="inlineStr">
        <is>
          <t>ussd_funeral_leads_altitude_20260619</t>
        </is>
      </c>
      <c r="J3606" t="inlineStr">
        <is>
          <t>AA</t>
        </is>
      </c>
      <c r="K3606" t="inlineStr">
        <is>
          <t>Answering Machine Autodial</t>
        </is>
      </c>
      <c r="L3606" t="n">
        <v>3</v>
      </c>
      <c r="M3606" t="inlineStr">
        <is>
          <t>2026-06-23 09:50:10</t>
        </is>
      </c>
      <c r="N3606" t="inlineStr">
        <is>
          <t>system</t>
        </is>
      </c>
      <c r="O3606" t="inlineStr">
        <is>
          <t>2026-06-19 07:10:32</t>
        </is>
      </c>
      <c r="P3606" t="inlineStr">
        <is>
          <t>2026-06-19 07:10:32</t>
        </is>
      </c>
      <c r="Y3606" t="inlineStr">
        <is>
          <t>27646246544</t>
        </is>
      </c>
    </row>
    <row r="3607">
      <c r="A3607" t="inlineStr">
        <is>
          <t>14946388</t>
        </is>
      </c>
      <c r="B3607" t="inlineStr">
        <is>
          <t>6890ba7c-e92d-440c-a325-cddf4de55326</t>
        </is>
      </c>
      <c r="D3607" t="inlineStr">
        <is>
          <t>30001087</t>
        </is>
      </c>
      <c r="E3607" t="inlineStr">
        <is>
          <t>ussd_funeral_leads_altitude_20260619</t>
        </is>
      </c>
      <c r="J3607" t="inlineStr">
        <is>
          <t>AA</t>
        </is>
      </c>
      <c r="K3607" t="inlineStr">
        <is>
          <t>Answering Machine Autodial</t>
        </is>
      </c>
      <c r="L3607" t="n">
        <v>3</v>
      </c>
      <c r="M3607" t="inlineStr">
        <is>
          <t>2026-06-23 09:50:10</t>
        </is>
      </c>
      <c r="N3607" t="inlineStr">
        <is>
          <t>system</t>
        </is>
      </c>
      <c r="O3607" t="inlineStr">
        <is>
          <t>2026-06-19 07:10:32</t>
        </is>
      </c>
      <c r="P3607" t="inlineStr">
        <is>
          <t>2026-06-19 07:10:32</t>
        </is>
      </c>
      <c r="Y3607" t="inlineStr">
        <is>
          <t>27725132448</t>
        </is>
      </c>
    </row>
    <row r="3608">
      <c r="A3608" t="inlineStr">
        <is>
          <t>14946389</t>
        </is>
      </c>
      <c r="B3608" t="inlineStr">
        <is>
          <t>a85cacee-8493-4771-b21d-6c1d2da031a9</t>
        </is>
      </c>
      <c r="D3608" t="inlineStr">
        <is>
          <t>30001087</t>
        </is>
      </c>
      <c r="E3608" t="inlineStr">
        <is>
          <t>ussd_funeral_leads_altitude_20260619</t>
        </is>
      </c>
      <c r="J3608" t="inlineStr">
        <is>
          <t>ADC</t>
        </is>
      </c>
      <c r="K3608" t="inlineStr">
        <is>
          <t>Auto Dial Disconnected</t>
        </is>
      </c>
      <c r="L3608" t="n">
        <v>3</v>
      </c>
      <c r="M3608" t="inlineStr">
        <is>
          <t>2026-06-23 09:50:10</t>
        </is>
      </c>
      <c r="N3608" t="inlineStr">
        <is>
          <t>system</t>
        </is>
      </c>
      <c r="O3608" t="inlineStr">
        <is>
          <t>2026-06-19 07:10:32</t>
        </is>
      </c>
      <c r="P3608" t="inlineStr">
        <is>
          <t>2026-06-19 07:10:32</t>
        </is>
      </c>
      <c r="Y3608" t="inlineStr">
        <is>
          <t>27607007374</t>
        </is>
      </c>
    </row>
    <row r="3609">
      <c r="A3609" t="inlineStr">
        <is>
          <t>14946390</t>
        </is>
      </c>
      <c r="B3609" t="inlineStr">
        <is>
          <t>58b955dc-47a1-49aa-ab27-48e17025db29</t>
        </is>
      </c>
      <c r="D3609" t="inlineStr">
        <is>
          <t>30001087</t>
        </is>
      </c>
      <c r="E3609" t="inlineStr">
        <is>
          <t>ussd_funeral_leads_altitude_20260619</t>
        </is>
      </c>
      <c r="J3609" t="inlineStr">
        <is>
          <t>AA</t>
        </is>
      </c>
      <c r="K3609" t="inlineStr">
        <is>
          <t>Answering Machine Autodial</t>
        </is>
      </c>
      <c r="L3609" t="n">
        <v>3</v>
      </c>
      <c r="M3609" t="inlineStr">
        <is>
          <t>2026-06-23 09:50:10</t>
        </is>
      </c>
      <c r="N3609" t="inlineStr">
        <is>
          <t>system</t>
        </is>
      </c>
      <c r="O3609" t="inlineStr">
        <is>
          <t>2026-06-19 07:10:32</t>
        </is>
      </c>
      <c r="P3609" t="inlineStr">
        <is>
          <t>2026-06-19 07:10:32</t>
        </is>
      </c>
      <c r="Y3609" t="inlineStr">
        <is>
          <t>27660093874</t>
        </is>
      </c>
    </row>
    <row r="3610">
      <c r="A3610" t="inlineStr">
        <is>
          <t>14946385</t>
        </is>
      </c>
      <c r="B3610" t="inlineStr">
        <is>
          <t>dc574f9c-d0cc-4c6c-ac58-673b79812088</t>
        </is>
      </c>
      <c r="D3610" t="inlineStr">
        <is>
          <t>30001087</t>
        </is>
      </c>
      <c r="E3610" t="inlineStr">
        <is>
          <t>ussd_funeral_leads_altitude_20260619</t>
        </is>
      </c>
      <c r="J3610" t="inlineStr">
        <is>
          <t>NA</t>
        </is>
      </c>
      <c r="K3610" t="inlineStr">
        <is>
          <t>No Answer Autodial</t>
        </is>
      </c>
      <c r="L3610" t="n">
        <v>3</v>
      </c>
      <c r="M3610" t="inlineStr">
        <is>
          <t>2026-06-23 09:50:09</t>
        </is>
      </c>
      <c r="N3610" t="inlineStr">
        <is>
          <t>system</t>
        </is>
      </c>
      <c r="O3610" t="inlineStr">
        <is>
          <t>2026-06-19 07:10:32</t>
        </is>
      </c>
      <c r="P3610" t="inlineStr">
        <is>
          <t>2026-06-19 07:10:32</t>
        </is>
      </c>
      <c r="Y3610" t="inlineStr">
        <is>
          <t>27790700372</t>
        </is>
      </c>
    </row>
    <row r="3611">
      <c r="A3611" t="inlineStr">
        <is>
          <t>14946386</t>
        </is>
      </c>
      <c r="B3611" t="inlineStr">
        <is>
          <t>7f2e7f07-afa8-42e0-8e7e-8674223026e5</t>
        </is>
      </c>
      <c r="D3611" t="inlineStr">
        <is>
          <t>30001087</t>
        </is>
      </c>
      <c r="E3611" t="inlineStr">
        <is>
          <t>ussd_funeral_leads_altitude_20260619</t>
        </is>
      </c>
      <c r="J3611" t="inlineStr">
        <is>
          <t>AA</t>
        </is>
      </c>
      <c r="K3611" t="inlineStr">
        <is>
          <t>Answering Machine Autodial</t>
        </is>
      </c>
      <c r="L3611" t="n">
        <v>3</v>
      </c>
      <c r="M3611" t="inlineStr">
        <is>
          <t>2026-06-23 09:50:09</t>
        </is>
      </c>
      <c r="N3611" t="inlineStr">
        <is>
          <t>system</t>
        </is>
      </c>
      <c r="O3611" t="inlineStr">
        <is>
          <t>2026-06-19 07:10:32</t>
        </is>
      </c>
      <c r="P3611" t="inlineStr">
        <is>
          <t>2026-06-19 07:10:32</t>
        </is>
      </c>
      <c r="Y3611" t="inlineStr">
        <is>
          <t>27722504728</t>
        </is>
      </c>
    </row>
    <row r="3612">
      <c r="A3612" t="inlineStr">
        <is>
          <t>14946384</t>
        </is>
      </c>
      <c r="B3612" t="inlineStr">
        <is>
          <t>d9d7b387-bb8d-449c-8835-04308b83aaa3</t>
        </is>
      </c>
      <c r="D3612" t="inlineStr">
        <is>
          <t>30001087</t>
        </is>
      </c>
      <c r="E3612" t="inlineStr">
        <is>
          <t>ussd_funeral_leads_altitude_20260619</t>
        </is>
      </c>
      <c r="J3612" t="inlineStr">
        <is>
          <t>NA</t>
        </is>
      </c>
      <c r="K3612" t="inlineStr">
        <is>
          <t>No Answer Autodial</t>
        </is>
      </c>
      <c r="L3612" t="n">
        <v>3</v>
      </c>
      <c r="M3612" t="inlineStr">
        <is>
          <t>2026-06-23 09:50:02</t>
        </is>
      </c>
      <c r="N3612" t="inlineStr">
        <is>
          <t>system</t>
        </is>
      </c>
      <c r="O3612" t="inlineStr">
        <is>
          <t>2026-06-19 07:10:32</t>
        </is>
      </c>
      <c r="P3612" t="inlineStr">
        <is>
          <t>2026-06-19 07:10:32</t>
        </is>
      </c>
      <c r="Y3612" t="inlineStr">
        <is>
          <t>27714351164</t>
        </is>
      </c>
    </row>
    <row r="3613">
      <c r="A3613" t="inlineStr">
        <is>
          <t>14946379</t>
        </is>
      </c>
      <c r="B3613" t="inlineStr">
        <is>
          <t>2438ca4d-d39c-48c0-979d-b9fd78247874</t>
        </is>
      </c>
      <c r="D3613" t="inlineStr">
        <is>
          <t>30001087</t>
        </is>
      </c>
      <c r="E3613" t="inlineStr">
        <is>
          <t>ussd_funeral_leads_altitude_20260619</t>
        </is>
      </c>
      <c r="J3613" t="inlineStr">
        <is>
          <t>NA</t>
        </is>
      </c>
      <c r="K3613" t="inlineStr">
        <is>
          <t>No Answer Autodial</t>
        </is>
      </c>
      <c r="L3613" t="n">
        <v>3</v>
      </c>
      <c r="M3613" t="inlineStr">
        <is>
          <t>2026-06-23 09:50:00</t>
        </is>
      </c>
      <c r="N3613" t="inlineStr">
        <is>
          <t>system</t>
        </is>
      </c>
      <c r="O3613" t="inlineStr">
        <is>
          <t>2026-06-19 07:10:32</t>
        </is>
      </c>
      <c r="P3613" t="inlineStr">
        <is>
          <t>2026-06-19 07:10:32</t>
        </is>
      </c>
      <c r="Y3613" t="inlineStr">
        <is>
          <t>27798356806</t>
        </is>
      </c>
    </row>
    <row r="3614">
      <c r="A3614" t="inlineStr">
        <is>
          <t>14946380</t>
        </is>
      </c>
      <c r="B3614" t="inlineStr">
        <is>
          <t>0fbf1497-feac-45ff-ab18-799e594721f8</t>
        </is>
      </c>
      <c r="D3614" t="inlineStr">
        <is>
          <t>30001087</t>
        </is>
      </c>
      <c r="E3614" t="inlineStr">
        <is>
          <t>ussd_funeral_leads_altitude_20260619</t>
        </is>
      </c>
      <c r="J3614" t="inlineStr">
        <is>
          <t>CU</t>
        </is>
      </c>
      <c r="K3614" t="inlineStr">
        <is>
          <t>Client Hung Up</t>
        </is>
      </c>
      <c r="L3614" t="n">
        <v>3</v>
      </c>
      <c r="M3614" t="inlineStr">
        <is>
          <t>2026-06-23 09:50:00</t>
        </is>
      </c>
      <c r="N3614" t="inlineStr">
        <is>
          <t>Gontse Monageng</t>
        </is>
      </c>
      <c r="O3614" t="inlineStr">
        <is>
          <t>2026-06-19 07:10:32</t>
        </is>
      </c>
      <c r="P3614" t="inlineStr">
        <is>
          <t>2026-06-19 07:10:32</t>
        </is>
      </c>
      <c r="Y3614" t="inlineStr">
        <is>
          <t>27712249387</t>
        </is>
      </c>
    </row>
    <row r="3615">
      <c r="A3615" t="inlineStr">
        <is>
          <t>14946381</t>
        </is>
      </c>
      <c r="B3615" t="inlineStr">
        <is>
          <t>365dd13b-1b74-4e5d-b1d1-737be2854719</t>
        </is>
      </c>
      <c r="D3615" t="inlineStr">
        <is>
          <t>30001087</t>
        </is>
      </c>
      <c r="E3615" t="inlineStr">
        <is>
          <t>ussd_funeral_leads_altitude_20260619</t>
        </is>
      </c>
      <c r="J3615" t="inlineStr">
        <is>
          <t>NA</t>
        </is>
      </c>
      <c r="K3615" t="inlineStr">
        <is>
          <t>No Answer Autodial</t>
        </is>
      </c>
      <c r="L3615" t="n">
        <v>3</v>
      </c>
      <c r="M3615" t="inlineStr">
        <is>
          <t>2026-06-23 09:50:00</t>
        </is>
      </c>
      <c r="N3615" t="inlineStr">
        <is>
          <t>system</t>
        </is>
      </c>
      <c r="O3615" t="inlineStr">
        <is>
          <t>2026-06-19 07:10:32</t>
        </is>
      </c>
      <c r="P3615" t="inlineStr">
        <is>
          <t>2026-06-19 07:10:32</t>
        </is>
      </c>
      <c r="Y3615" t="inlineStr">
        <is>
          <t>27728165624</t>
        </is>
      </c>
    </row>
    <row r="3616">
      <c r="A3616" t="inlineStr">
        <is>
          <t>14946382</t>
        </is>
      </c>
      <c r="B3616" t="inlineStr">
        <is>
          <t>dcfab544-d067-4cc9-84f6-c15faa0a9ee4</t>
        </is>
      </c>
      <c r="D3616" t="inlineStr">
        <is>
          <t>30001087</t>
        </is>
      </c>
      <c r="E3616" t="inlineStr">
        <is>
          <t>ussd_funeral_leads_altitude_20260619</t>
        </is>
      </c>
      <c r="J3616" t="inlineStr">
        <is>
          <t>ADC</t>
        </is>
      </c>
      <c r="K3616" t="inlineStr">
        <is>
          <t>Auto Dial Disconnected</t>
        </is>
      </c>
      <c r="L3616" t="n">
        <v>3</v>
      </c>
      <c r="M3616" t="inlineStr">
        <is>
          <t>2026-06-23 09:50:00</t>
        </is>
      </c>
      <c r="N3616" t="inlineStr">
        <is>
          <t>system</t>
        </is>
      </c>
      <c r="O3616" t="inlineStr">
        <is>
          <t>2026-06-19 07:10:32</t>
        </is>
      </c>
      <c r="P3616" t="inlineStr">
        <is>
          <t>2026-06-19 07:10:32</t>
        </is>
      </c>
      <c r="Y3616" t="inlineStr">
        <is>
          <t>27711158769</t>
        </is>
      </c>
    </row>
    <row r="3617">
      <c r="A3617" t="inlineStr">
        <is>
          <t>14946383</t>
        </is>
      </c>
      <c r="B3617" t="inlineStr">
        <is>
          <t>19ccb8a0-1fc5-4442-b6ec-9a51340fe196</t>
        </is>
      </c>
      <c r="D3617" t="inlineStr">
        <is>
          <t>30001087</t>
        </is>
      </c>
      <c r="E3617" t="inlineStr">
        <is>
          <t>ussd_funeral_leads_altitude_20260619</t>
        </is>
      </c>
      <c r="J3617" t="inlineStr">
        <is>
          <t>ADC</t>
        </is>
      </c>
      <c r="K3617" t="inlineStr">
        <is>
          <t>Auto Dial Disconnected</t>
        </is>
      </c>
      <c r="L3617" t="n">
        <v>3</v>
      </c>
      <c r="M3617" t="inlineStr">
        <is>
          <t>2026-06-23 09:50:00</t>
        </is>
      </c>
      <c r="N3617" t="inlineStr">
        <is>
          <t>system</t>
        </is>
      </c>
      <c r="O3617" t="inlineStr">
        <is>
          <t>2026-06-19 07:10:32</t>
        </is>
      </c>
      <c r="P3617" t="inlineStr">
        <is>
          <t>2026-06-19 07:10:32</t>
        </is>
      </c>
      <c r="Y3617" t="inlineStr">
        <is>
          <t>27729745484</t>
        </is>
      </c>
    </row>
    <row r="3618">
      <c r="A3618" t="inlineStr">
        <is>
          <t>14947688</t>
        </is>
      </c>
      <c r="B3618" t="inlineStr">
        <is>
          <t>ba492d09-c93b-4435-b739-47d79cc72657</t>
        </is>
      </c>
      <c r="D3618" t="inlineStr">
        <is>
          <t>30001087</t>
        </is>
      </c>
      <c r="E3618" t="inlineStr">
        <is>
          <t>ussd_funeral_leads_altitude_20260619</t>
        </is>
      </c>
      <c r="J3618" t="inlineStr">
        <is>
          <t>NA</t>
        </is>
      </c>
      <c r="K3618" t="inlineStr">
        <is>
          <t>No Answer Autodial</t>
        </is>
      </c>
      <c r="L3618" t="n">
        <v>3</v>
      </c>
      <c r="M3618" t="inlineStr">
        <is>
          <t>2026-06-23 09:49:59</t>
        </is>
      </c>
      <c r="N3618" t="inlineStr">
        <is>
          <t>system</t>
        </is>
      </c>
      <c r="O3618" t="inlineStr">
        <is>
          <t>2026-06-19 07:10:32</t>
        </is>
      </c>
      <c r="P3618" t="inlineStr">
        <is>
          <t>2026-06-19 07:10:32</t>
        </is>
      </c>
      <c r="Y3618" t="inlineStr">
        <is>
          <t>27715677662</t>
        </is>
      </c>
    </row>
    <row r="3619">
      <c r="A3619" t="inlineStr">
        <is>
          <t>14945629</t>
        </is>
      </c>
      <c r="B3619" t="inlineStr">
        <is>
          <t>0256d432-41c6-437c-b9ec-82555b1ef590</t>
        </is>
      </c>
      <c r="D3619" t="inlineStr">
        <is>
          <t>30001087</t>
        </is>
      </c>
      <c r="E3619" t="inlineStr">
        <is>
          <t>ussd_funeral_leads_altitude_20260619</t>
        </is>
      </c>
      <c r="J3619" t="inlineStr">
        <is>
          <t>TDN</t>
        </is>
      </c>
      <c r="K3619" t="inlineStr">
        <is>
          <t>Temporary Disconnected Number</t>
        </is>
      </c>
      <c r="L3619" t="n">
        <v>3</v>
      </c>
      <c r="M3619" t="inlineStr">
        <is>
          <t>2026-06-23 09:49:20</t>
        </is>
      </c>
      <c r="N3619" t="inlineStr">
        <is>
          <t>system</t>
        </is>
      </c>
      <c r="O3619" t="inlineStr">
        <is>
          <t>2026-06-19 07:10:32</t>
        </is>
      </c>
      <c r="P3619" t="inlineStr">
        <is>
          <t>2026-06-19 07:10:32</t>
        </is>
      </c>
      <c r="Y3619" t="inlineStr">
        <is>
          <t>27765956437</t>
        </is>
      </c>
    </row>
    <row r="3620">
      <c r="A3620" t="inlineStr">
        <is>
          <t>14947030</t>
        </is>
      </c>
      <c r="B3620" t="inlineStr">
        <is>
          <t>76d1162f-9002-4825-8b01-3ff428d00142</t>
        </is>
      </c>
      <c r="D3620" t="inlineStr">
        <is>
          <t>30001087</t>
        </is>
      </c>
      <c r="E3620" t="inlineStr">
        <is>
          <t>ussd_funeral_leads_altitude_20260619</t>
        </is>
      </c>
      <c r="J3620" t="inlineStr">
        <is>
          <t>NI</t>
        </is>
      </c>
      <c r="K3620" t="inlineStr">
        <is>
          <t>Not Interested</t>
        </is>
      </c>
      <c r="L3620" t="n">
        <v>3</v>
      </c>
      <c r="M3620" t="inlineStr">
        <is>
          <t>2026-06-23 09:49:20</t>
        </is>
      </c>
      <c r="N3620" t="inlineStr">
        <is>
          <t>Dimakatso Nkomo</t>
        </is>
      </c>
      <c r="O3620" t="inlineStr">
        <is>
          <t>2026-06-19 07:10:32</t>
        </is>
      </c>
      <c r="P3620" t="inlineStr">
        <is>
          <t>2026-06-19 07:10:32</t>
        </is>
      </c>
      <c r="Y3620" t="inlineStr">
        <is>
          <t>27662059714</t>
        </is>
      </c>
    </row>
    <row r="3621">
      <c r="A3621" t="inlineStr">
        <is>
          <t>14947027</t>
        </is>
      </c>
      <c r="B3621" t="inlineStr">
        <is>
          <t>03ef705e-f2cc-4c43-94a6-1d5446593565</t>
        </is>
      </c>
      <c r="D3621" t="inlineStr">
        <is>
          <t>30001087</t>
        </is>
      </c>
      <c r="E3621" t="inlineStr">
        <is>
          <t>ussd_funeral_leads_altitude_20260619</t>
        </is>
      </c>
      <c r="J3621" t="inlineStr">
        <is>
          <t>AA</t>
        </is>
      </c>
      <c r="K3621" t="inlineStr">
        <is>
          <t>Answering Machine Autodial</t>
        </is>
      </c>
      <c r="L3621" t="n">
        <v>3</v>
      </c>
      <c r="M3621" t="inlineStr">
        <is>
          <t>2026-06-23 09:49:16</t>
        </is>
      </c>
      <c r="N3621" t="inlineStr">
        <is>
          <t>system</t>
        </is>
      </c>
      <c r="O3621" t="inlineStr">
        <is>
          <t>2026-06-19 07:10:32</t>
        </is>
      </c>
      <c r="P3621" t="inlineStr">
        <is>
          <t>2026-06-19 07:10:32</t>
        </is>
      </c>
      <c r="Y3621" t="inlineStr">
        <is>
          <t>27795312149</t>
        </is>
      </c>
    </row>
    <row r="3622">
      <c r="A3622" t="inlineStr">
        <is>
          <t>14945628</t>
        </is>
      </c>
      <c r="B3622" t="inlineStr">
        <is>
          <t>8d38a7d4-99ac-4620-b9be-008f282648e9</t>
        </is>
      </c>
      <c r="D3622" t="inlineStr">
        <is>
          <t>30001087</t>
        </is>
      </c>
      <c r="E3622" t="inlineStr">
        <is>
          <t>ussd_funeral_leads_altitude_20260619</t>
        </is>
      </c>
      <c r="J3622" t="inlineStr">
        <is>
          <t>CU</t>
        </is>
      </c>
      <c r="K3622" t="inlineStr">
        <is>
          <t>Client Hung Up</t>
        </is>
      </c>
      <c r="L3622" t="n">
        <v>3</v>
      </c>
      <c r="M3622" t="inlineStr">
        <is>
          <t>2026-06-23 09:49:14</t>
        </is>
      </c>
      <c r="N3622" t="inlineStr">
        <is>
          <t>Goitsimang Mogwasa</t>
        </is>
      </c>
      <c r="O3622" t="inlineStr">
        <is>
          <t>2026-06-19 07:10:32</t>
        </is>
      </c>
      <c r="P3622" t="inlineStr">
        <is>
          <t>2026-06-19 07:10:32</t>
        </is>
      </c>
      <c r="Y3622" t="inlineStr">
        <is>
          <t>27663323967</t>
        </is>
      </c>
    </row>
    <row r="3623">
      <c r="A3623" t="inlineStr">
        <is>
          <t>14947026</t>
        </is>
      </c>
      <c r="B3623" t="inlineStr">
        <is>
          <t>61dc1fcb-f1ae-4cf2-813c-088d21bf767e</t>
        </is>
      </c>
      <c r="D3623" t="inlineStr">
        <is>
          <t>30001087</t>
        </is>
      </c>
      <c r="E3623" t="inlineStr">
        <is>
          <t>ussd_funeral_leads_altitude_20260619</t>
        </is>
      </c>
      <c r="J3623" t="inlineStr">
        <is>
          <t>ADC</t>
        </is>
      </c>
      <c r="K3623" t="inlineStr">
        <is>
          <t>Auto Dial Disconnected</t>
        </is>
      </c>
      <c r="L3623" t="n">
        <v>3</v>
      </c>
      <c r="M3623" t="inlineStr">
        <is>
          <t>2026-06-23 09:49:13</t>
        </is>
      </c>
      <c r="N3623" t="inlineStr">
        <is>
          <t>system</t>
        </is>
      </c>
      <c r="O3623" t="inlineStr">
        <is>
          <t>2026-06-19 07:10:32</t>
        </is>
      </c>
      <c r="P3623" t="inlineStr">
        <is>
          <t>2026-06-19 07:10:32</t>
        </is>
      </c>
      <c r="Y3623" t="inlineStr">
        <is>
          <t>27729076066</t>
        </is>
      </c>
    </row>
    <row r="3624">
      <c r="A3624" t="inlineStr">
        <is>
          <t>14945627</t>
        </is>
      </c>
      <c r="B3624" t="inlineStr">
        <is>
          <t>4d136498-685f-4917-ac40-590957bddaeb</t>
        </is>
      </c>
      <c r="D3624" t="inlineStr">
        <is>
          <t>30001087</t>
        </is>
      </c>
      <c r="E3624" t="inlineStr">
        <is>
          <t>ussd_funeral_leads_altitude_20260619</t>
        </is>
      </c>
      <c r="J3624" t="inlineStr">
        <is>
          <t>TDN</t>
        </is>
      </c>
      <c r="K3624" t="inlineStr">
        <is>
          <t>Temporary Disconnected Number</t>
        </is>
      </c>
      <c r="L3624" t="n">
        <v>3</v>
      </c>
      <c r="M3624" t="inlineStr">
        <is>
          <t>2026-06-23 09:49:12</t>
        </is>
      </c>
      <c r="N3624" t="inlineStr">
        <is>
          <t>system</t>
        </is>
      </c>
      <c r="O3624" t="inlineStr">
        <is>
          <t>2026-06-19 07:10:32</t>
        </is>
      </c>
      <c r="P3624" t="inlineStr">
        <is>
          <t>2026-06-19 07:10:32</t>
        </is>
      </c>
      <c r="Y3624" t="inlineStr">
        <is>
          <t>27798125361</t>
        </is>
      </c>
    </row>
    <row r="3625">
      <c r="A3625" t="inlineStr">
        <is>
          <t>14945625</t>
        </is>
      </c>
      <c r="B3625" t="inlineStr">
        <is>
          <t>6d38e6e1-b8c6-4964-8ce8-362c53d3c674</t>
        </is>
      </c>
      <c r="D3625" t="inlineStr">
        <is>
          <t>30001087</t>
        </is>
      </c>
      <c r="E3625" t="inlineStr">
        <is>
          <t>ussd_funeral_leads_altitude_20260619</t>
        </is>
      </c>
      <c r="H3625" t="inlineStr">
        <is>
          <t>27648943728</t>
        </is>
      </c>
      <c r="J3625" t="inlineStr">
        <is>
          <t>DROP</t>
        </is>
      </c>
      <c r="K3625" t="inlineStr">
        <is>
          <t>Dropped</t>
        </is>
      </c>
      <c r="L3625" t="n">
        <v>3</v>
      </c>
      <c r="M3625" t="inlineStr">
        <is>
          <t>2026-06-23 09:49:11</t>
        </is>
      </c>
      <c r="N3625" t="inlineStr">
        <is>
          <t>system</t>
        </is>
      </c>
      <c r="O3625" t="inlineStr">
        <is>
          <t>2026-06-19 07:10:32</t>
        </is>
      </c>
      <c r="P3625" t="inlineStr">
        <is>
          <t>2026-06-19 07:10:32</t>
        </is>
      </c>
      <c r="Y3625" t="inlineStr">
        <is>
          <t>27648943728</t>
        </is>
      </c>
    </row>
    <row r="3626">
      <c r="A3626" t="inlineStr">
        <is>
          <t>14945626</t>
        </is>
      </c>
      <c r="B3626" t="inlineStr">
        <is>
          <t>869d0791-dc8d-4d47-9091-eee3b211ae1f</t>
        </is>
      </c>
      <c r="D3626" t="inlineStr">
        <is>
          <t>30001087</t>
        </is>
      </c>
      <c r="E3626" t="inlineStr">
        <is>
          <t>ussd_funeral_leads_altitude_20260619</t>
        </is>
      </c>
      <c r="J3626" t="inlineStr">
        <is>
          <t>ADC</t>
        </is>
      </c>
      <c r="K3626" t="inlineStr">
        <is>
          <t>Auto Dial Disconnected</t>
        </is>
      </c>
      <c r="L3626" t="n">
        <v>3</v>
      </c>
      <c r="M3626" t="inlineStr">
        <is>
          <t>2026-06-23 09:49:11</t>
        </is>
      </c>
      <c r="N3626" t="inlineStr">
        <is>
          <t>system</t>
        </is>
      </c>
      <c r="O3626" t="inlineStr">
        <is>
          <t>2026-06-19 07:10:32</t>
        </is>
      </c>
      <c r="P3626" t="inlineStr">
        <is>
          <t>2026-06-19 07:10:32</t>
        </is>
      </c>
      <c r="Y3626" t="inlineStr">
        <is>
          <t>27772541325</t>
        </is>
      </c>
    </row>
    <row r="3627">
      <c r="A3627" t="inlineStr">
        <is>
          <t>14947024</t>
        </is>
      </c>
      <c r="B3627" t="inlineStr">
        <is>
          <t>e8d35a78-9570-4375-ab75-2741ed90df90</t>
        </is>
      </c>
      <c r="D3627" t="inlineStr">
        <is>
          <t>30001087</t>
        </is>
      </c>
      <c r="E3627" t="inlineStr">
        <is>
          <t>ussd_funeral_leads_altitude_20260619</t>
        </is>
      </c>
      <c r="J3627" t="inlineStr">
        <is>
          <t>AA</t>
        </is>
      </c>
      <c r="K3627" t="inlineStr">
        <is>
          <t>Answering Machine Autodial</t>
        </is>
      </c>
      <c r="L3627" t="n">
        <v>3</v>
      </c>
      <c r="M3627" t="inlineStr">
        <is>
          <t>2026-06-23 09:49:11</t>
        </is>
      </c>
      <c r="N3627" t="inlineStr">
        <is>
          <t>system</t>
        </is>
      </c>
      <c r="O3627" t="inlineStr">
        <is>
          <t>2026-06-19 07:10:32</t>
        </is>
      </c>
      <c r="P3627" t="inlineStr">
        <is>
          <t>2026-06-19 07:10:32</t>
        </is>
      </c>
      <c r="Y3627" t="inlineStr">
        <is>
          <t>27607477337</t>
        </is>
      </c>
    </row>
    <row r="3628">
      <c r="A3628" t="inlineStr">
        <is>
          <t>14947025</t>
        </is>
      </c>
      <c r="B3628" t="inlineStr">
        <is>
          <t>a802d4bc-94c5-4b0b-9f8f-2cc4b4f7ab0d</t>
        </is>
      </c>
      <c r="D3628" t="inlineStr">
        <is>
          <t>30001087</t>
        </is>
      </c>
      <c r="E3628" t="inlineStr">
        <is>
          <t>ussd_funeral_leads_altitude_20260619</t>
        </is>
      </c>
      <c r="J3628" t="inlineStr">
        <is>
          <t>ADC</t>
        </is>
      </c>
      <c r="K3628" t="inlineStr">
        <is>
          <t>Auto Dial Disconnected</t>
        </is>
      </c>
      <c r="L3628" t="n">
        <v>3</v>
      </c>
      <c r="M3628" t="inlineStr">
        <is>
          <t>2026-06-23 09:49:11</t>
        </is>
      </c>
      <c r="N3628" t="inlineStr">
        <is>
          <t>system</t>
        </is>
      </c>
      <c r="O3628" t="inlineStr">
        <is>
          <t>2026-06-19 07:10:32</t>
        </is>
      </c>
      <c r="P3628" t="inlineStr">
        <is>
          <t>2026-06-19 07:10:32</t>
        </is>
      </c>
      <c r="Y3628" t="inlineStr">
        <is>
          <t>27760278750</t>
        </is>
      </c>
    </row>
    <row r="3629">
      <c r="A3629" t="inlineStr">
        <is>
          <t>14945624</t>
        </is>
      </c>
      <c r="B3629" t="inlineStr">
        <is>
          <t>2b944f55-e222-4a28-8dcc-fb7e46cee6b8</t>
        </is>
      </c>
      <c r="D3629" t="inlineStr">
        <is>
          <t>30001087</t>
        </is>
      </c>
      <c r="E3629" t="inlineStr">
        <is>
          <t>ussd_funeral_leads_altitude_20260619</t>
        </is>
      </c>
      <c r="J3629" t="inlineStr">
        <is>
          <t>AA</t>
        </is>
      </c>
      <c r="K3629" t="inlineStr">
        <is>
          <t>Answering Machine Autodial</t>
        </is>
      </c>
      <c r="L3629" t="n">
        <v>3</v>
      </c>
      <c r="M3629" t="inlineStr">
        <is>
          <t>2026-06-23 09:49:08</t>
        </is>
      </c>
      <c r="N3629" t="inlineStr">
        <is>
          <t>system</t>
        </is>
      </c>
      <c r="O3629" t="inlineStr">
        <is>
          <t>2026-06-19 07:10:32</t>
        </is>
      </c>
      <c r="P3629" t="inlineStr">
        <is>
          <t>2026-06-19 07:10:32</t>
        </is>
      </c>
      <c r="Y3629" t="inlineStr">
        <is>
          <t>27826798370</t>
        </is>
      </c>
    </row>
    <row r="3630">
      <c r="A3630" t="inlineStr">
        <is>
          <t>14947022</t>
        </is>
      </c>
      <c r="B3630" t="inlineStr">
        <is>
          <t>0b5a695a-1f00-46dd-9f44-ad5b66184dd2</t>
        </is>
      </c>
      <c r="D3630" t="inlineStr">
        <is>
          <t>30001087</t>
        </is>
      </c>
      <c r="E3630" t="inlineStr">
        <is>
          <t>ussd_funeral_leads_altitude_20260619</t>
        </is>
      </c>
      <c r="J3630" t="inlineStr">
        <is>
          <t>TDN</t>
        </is>
      </c>
      <c r="K3630" t="inlineStr">
        <is>
          <t>Temporary Disconnected Number</t>
        </is>
      </c>
      <c r="L3630" t="n">
        <v>3</v>
      </c>
      <c r="M3630" t="inlineStr">
        <is>
          <t>2026-06-23 09:49:08</t>
        </is>
      </c>
      <c r="N3630" t="inlineStr">
        <is>
          <t>system</t>
        </is>
      </c>
      <c r="O3630" t="inlineStr">
        <is>
          <t>2026-06-19 07:10:32</t>
        </is>
      </c>
      <c r="P3630" t="inlineStr">
        <is>
          <t>2026-06-19 07:10:32</t>
        </is>
      </c>
      <c r="Y3630" t="inlineStr">
        <is>
          <t>27720757496</t>
        </is>
      </c>
    </row>
    <row r="3631">
      <c r="A3631" t="inlineStr">
        <is>
          <t>14947023</t>
        </is>
      </c>
      <c r="B3631" t="inlineStr">
        <is>
          <t>860b4086-4720-48ec-9c44-65423601d106</t>
        </is>
      </c>
      <c r="D3631" t="inlineStr">
        <is>
          <t>30001087</t>
        </is>
      </c>
      <c r="E3631" t="inlineStr">
        <is>
          <t>ussd_funeral_leads_altitude_20260619</t>
        </is>
      </c>
      <c r="J3631" t="inlineStr">
        <is>
          <t>ADC</t>
        </is>
      </c>
      <c r="K3631" t="inlineStr">
        <is>
          <t>Auto Dial Disconnected</t>
        </is>
      </c>
      <c r="L3631" t="n">
        <v>3</v>
      </c>
      <c r="M3631" t="inlineStr">
        <is>
          <t>2026-06-23 09:49:08</t>
        </is>
      </c>
      <c r="N3631" t="inlineStr">
        <is>
          <t>system</t>
        </is>
      </c>
      <c r="O3631" t="inlineStr">
        <is>
          <t>2026-06-19 07:10:32</t>
        </is>
      </c>
      <c r="P3631" t="inlineStr">
        <is>
          <t>2026-06-19 07:10:32</t>
        </is>
      </c>
      <c r="Y3631" t="inlineStr">
        <is>
          <t>27794867224</t>
        </is>
      </c>
    </row>
    <row r="3632">
      <c r="A3632" t="inlineStr">
        <is>
          <t>14945623</t>
        </is>
      </c>
      <c r="B3632" t="inlineStr">
        <is>
          <t>65389e43-39c3-473a-ab35-3b2b2db5948a</t>
        </is>
      </c>
      <c r="D3632" t="inlineStr">
        <is>
          <t>30001087</t>
        </is>
      </c>
      <c r="E3632" t="inlineStr">
        <is>
          <t>ussd_funeral_leads_altitude_20260619</t>
        </is>
      </c>
      <c r="J3632" t="inlineStr">
        <is>
          <t>TDN</t>
        </is>
      </c>
      <c r="K3632" t="inlineStr">
        <is>
          <t>Temporary Disconnected Number</t>
        </is>
      </c>
      <c r="L3632" t="n">
        <v>3</v>
      </c>
      <c r="M3632" t="inlineStr">
        <is>
          <t>2026-06-23 09:49:06</t>
        </is>
      </c>
      <c r="N3632" t="inlineStr">
        <is>
          <t>system</t>
        </is>
      </c>
      <c r="O3632" t="inlineStr">
        <is>
          <t>2026-06-19 07:10:32</t>
        </is>
      </c>
      <c r="P3632" t="inlineStr">
        <is>
          <t>2026-06-19 07:10:32</t>
        </is>
      </c>
      <c r="Y3632" t="inlineStr">
        <is>
          <t>27826870888</t>
        </is>
      </c>
    </row>
    <row r="3633">
      <c r="A3633" t="inlineStr">
        <is>
          <t>14945622</t>
        </is>
      </c>
      <c r="B3633" t="inlineStr">
        <is>
          <t>a873f584-aaa7-41b7-8120-5c47e35189e5</t>
        </is>
      </c>
      <c r="D3633" t="inlineStr">
        <is>
          <t>30001087</t>
        </is>
      </c>
      <c r="E3633" t="inlineStr">
        <is>
          <t>ussd_funeral_leads_altitude_20260619</t>
        </is>
      </c>
      <c r="J3633" t="inlineStr">
        <is>
          <t>AA</t>
        </is>
      </c>
      <c r="K3633" t="inlineStr">
        <is>
          <t>Answering Machine Autodial</t>
        </is>
      </c>
      <c r="L3633" t="n">
        <v>3</v>
      </c>
      <c r="M3633" t="inlineStr">
        <is>
          <t>2026-06-23 09:49:04</t>
        </is>
      </c>
      <c r="N3633" t="inlineStr">
        <is>
          <t>system</t>
        </is>
      </c>
      <c r="O3633" t="inlineStr">
        <is>
          <t>2026-06-19 07:10:32</t>
        </is>
      </c>
      <c r="P3633" t="inlineStr">
        <is>
          <t>2026-06-19 07:10:32</t>
        </is>
      </c>
      <c r="Y3633" t="inlineStr">
        <is>
          <t>27764694208</t>
        </is>
      </c>
    </row>
    <row r="3634">
      <c r="A3634" t="inlineStr">
        <is>
          <t>14947021</t>
        </is>
      </c>
      <c r="B3634" t="inlineStr">
        <is>
          <t>9eb02ccd-e950-413e-b264-1d29a5d6e6b5</t>
        </is>
      </c>
      <c r="D3634" t="inlineStr">
        <is>
          <t>30001087</t>
        </is>
      </c>
      <c r="E3634" t="inlineStr">
        <is>
          <t>ussd_funeral_leads_altitude_20260619</t>
        </is>
      </c>
      <c r="J3634" t="inlineStr">
        <is>
          <t>AA</t>
        </is>
      </c>
      <c r="K3634" t="inlineStr">
        <is>
          <t>Answering Machine Autodial</t>
        </is>
      </c>
      <c r="L3634" t="n">
        <v>3</v>
      </c>
      <c r="M3634" t="inlineStr">
        <is>
          <t>2026-06-23 09:49:04</t>
        </is>
      </c>
      <c r="N3634" t="inlineStr">
        <is>
          <t>system</t>
        </is>
      </c>
      <c r="O3634" t="inlineStr">
        <is>
          <t>2026-06-19 07:10:32</t>
        </is>
      </c>
      <c r="P3634" t="inlineStr">
        <is>
          <t>2026-06-19 07:10:32</t>
        </is>
      </c>
      <c r="Y3634" t="inlineStr">
        <is>
          <t>27818868391</t>
        </is>
      </c>
    </row>
    <row r="3635">
      <c r="A3635" t="inlineStr">
        <is>
          <t>14947019</t>
        </is>
      </c>
      <c r="B3635" t="inlineStr">
        <is>
          <t>57cdafdd-25ab-4fbc-a0e6-37b84e19f887</t>
        </is>
      </c>
      <c r="D3635" t="inlineStr">
        <is>
          <t>30001087</t>
        </is>
      </c>
      <c r="E3635" t="inlineStr">
        <is>
          <t>ussd_funeral_leads_altitude_20260619</t>
        </is>
      </c>
      <c r="J3635" t="inlineStr">
        <is>
          <t>AA</t>
        </is>
      </c>
      <c r="K3635" t="inlineStr">
        <is>
          <t>Answering Machine Autodial</t>
        </is>
      </c>
      <c r="L3635" t="n">
        <v>3</v>
      </c>
      <c r="M3635" t="inlineStr">
        <is>
          <t>2026-06-23 09:49:03</t>
        </is>
      </c>
      <c r="N3635" t="inlineStr">
        <is>
          <t>system</t>
        </is>
      </c>
      <c r="O3635" t="inlineStr">
        <is>
          <t>2026-06-19 07:10:32</t>
        </is>
      </c>
      <c r="P3635" t="inlineStr">
        <is>
          <t>2026-06-19 07:10:32</t>
        </is>
      </c>
      <c r="Y3635" t="inlineStr">
        <is>
          <t>27663923841</t>
        </is>
      </c>
    </row>
    <row r="3636">
      <c r="A3636" t="inlineStr">
        <is>
          <t>14945620</t>
        </is>
      </c>
      <c r="B3636" t="inlineStr">
        <is>
          <t>2c180380-0190-46a6-99b9-84ce8d839651</t>
        </is>
      </c>
      <c r="D3636" t="inlineStr">
        <is>
          <t>30001087</t>
        </is>
      </c>
      <c r="E3636" t="inlineStr">
        <is>
          <t>ussd_funeral_leads_altitude_20260619</t>
        </is>
      </c>
      <c r="J3636" t="inlineStr">
        <is>
          <t>AA</t>
        </is>
      </c>
      <c r="K3636" t="inlineStr">
        <is>
          <t>Answering Machine Autodial</t>
        </is>
      </c>
      <c r="L3636" t="n">
        <v>3</v>
      </c>
      <c r="M3636" t="inlineStr">
        <is>
          <t>2026-06-23 09:49:02</t>
        </is>
      </c>
      <c r="N3636" t="inlineStr">
        <is>
          <t>system</t>
        </is>
      </c>
      <c r="O3636" t="inlineStr">
        <is>
          <t>2026-06-19 07:10:32</t>
        </is>
      </c>
      <c r="P3636" t="inlineStr">
        <is>
          <t>2026-06-19 07:10:32</t>
        </is>
      </c>
      <c r="Y3636" t="inlineStr">
        <is>
          <t>27763924256</t>
        </is>
      </c>
    </row>
    <row r="3637">
      <c r="A3637" t="inlineStr">
        <is>
          <t>14945621</t>
        </is>
      </c>
      <c r="B3637" t="inlineStr">
        <is>
          <t>34b159c8-28ad-4156-a875-da1a8f4e8d9e</t>
        </is>
      </c>
      <c r="D3637" t="inlineStr">
        <is>
          <t>30001087</t>
        </is>
      </c>
      <c r="E3637" t="inlineStr">
        <is>
          <t>ussd_funeral_leads_altitude_20260619</t>
        </is>
      </c>
      <c r="J3637" t="inlineStr">
        <is>
          <t>AE</t>
        </is>
      </c>
      <c r="K3637" t="inlineStr">
        <is>
          <t>Auto Engaged</t>
        </is>
      </c>
      <c r="L3637" t="n">
        <v>3</v>
      </c>
      <c r="M3637" t="inlineStr">
        <is>
          <t>2026-06-23 09:49:02</t>
        </is>
      </c>
      <c r="N3637" t="inlineStr">
        <is>
          <t>system</t>
        </is>
      </c>
      <c r="O3637" t="inlineStr">
        <is>
          <t>2026-06-19 07:10:32</t>
        </is>
      </c>
      <c r="P3637" t="inlineStr">
        <is>
          <t>2026-06-19 07:10:32</t>
        </is>
      </c>
      <c r="Y3637" t="inlineStr">
        <is>
          <t>27660209659</t>
        </is>
      </c>
    </row>
    <row r="3638">
      <c r="A3638" t="inlineStr">
        <is>
          <t>14947018</t>
        </is>
      </c>
      <c r="B3638" t="inlineStr">
        <is>
          <t>d61757f0-35bf-4396-9663-9b66dcb6238e</t>
        </is>
      </c>
      <c r="D3638" t="inlineStr">
        <is>
          <t>30001087</t>
        </is>
      </c>
      <c r="E3638" t="inlineStr">
        <is>
          <t>ussd_funeral_leads_altitude_20260619</t>
        </is>
      </c>
      <c r="J3638" t="inlineStr">
        <is>
          <t>AA</t>
        </is>
      </c>
      <c r="K3638" t="inlineStr">
        <is>
          <t>Answering Machine Autodial</t>
        </is>
      </c>
      <c r="L3638" t="n">
        <v>3</v>
      </c>
      <c r="M3638" t="inlineStr">
        <is>
          <t>2026-06-23 09:49:02</t>
        </is>
      </c>
      <c r="N3638" t="inlineStr">
        <is>
          <t>system</t>
        </is>
      </c>
      <c r="O3638" t="inlineStr">
        <is>
          <t>2026-06-19 07:10:32</t>
        </is>
      </c>
      <c r="P3638" t="inlineStr">
        <is>
          <t>2026-06-19 07:10:32</t>
        </is>
      </c>
      <c r="Y3638" t="inlineStr">
        <is>
          <t>27763207993</t>
        </is>
      </c>
    </row>
    <row r="3639">
      <c r="A3639" t="inlineStr">
        <is>
          <t>14945618</t>
        </is>
      </c>
      <c r="B3639" t="inlineStr">
        <is>
          <t>5c4c85d6-ac7a-41b0-94cb-2133246705b9</t>
        </is>
      </c>
      <c r="D3639" t="inlineStr">
        <is>
          <t>30001087</t>
        </is>
      </c>
      <c r="E3639" t="inlineStr">
        <is>
          <t>ussd_funeral_leads_altitude_20260619</t>
        </is>
      </c>
      <c r="J3639" t="inlineStr">
        <is>
          <t>AA</t>
        </is>
      </c>
      <c r="K3639" t="inlineStr">
        <is>
          <t>Answering Machine Autodial</t>
        </is>
      </c>
      <c r="L3639" t="n">
        <v>3</v>
      </c>
      <c r="M3639" t="inlineStr">
        <is>
          <t>2026-06-23 09:48:58</t>
        </is>
      </c>
      <c r="N3639" t="inlineStr">
        <is>
          <t>system</t>
        </is>
      </c>
      <c r="O3639" t="inlineStr">
        <is>
          <t>2026-06-19 07:10:32</t>
        </is>
      </c>
      <c r="P3639" t="inlineStr">
        <is>
          <t>2026-06-19 07:10:32</t>
        </is>
      </c>
      <c r="Y3639" t="inlineStr">
        <is>
          <t>27721354640</t>
        </is>
      </c>
    </row>
    <row r="3640">
      <c r="A3640" t="inlineStr">
        <is>
          <t>14947015</t>
        </is>
      </c>
      <c r="B3640" t="inlineStr">
        <is>
          <t>03631993-086d-4c10-bd96-52267e172d1b</t>
        </is>
      </c>
      <c r="D3640" t="inlineStr">
        <is>
          <t>30001087</t>
        </is>
      </c>
      <c r="E3640" t="inlineStr">
        <is>
          <t>ussd_funeral_leads_altitude_20260619</t>
        </is>
      </c>
      <c r="J3640" t="inlineStr">
        <is>
          <t>NA</t>
        </is>
      </c>
      <c r="K3640" t="inlineStr">
        <is>
          <t>No Answer Autodial</t>
        </is>
      </c>
      <c r="L3640" t="n">
        <v>3</v>
      </c>
      <c r="M3640" t="inlineStr">
        <is>
          <t>2026-06-23 09:48:58</t>
        </is>
      </c>
      <c r="N3640" t="inlineStr">
        <is>
          <t>system</t>
        </is>
      </c>
      <c r="O3640" t="inlineStr">
        <is>
          <t>2026-06-19 07:10:32</t>
        </is>
      </c>
      <c r="P3640" t="inlineStr">
        <is>
          <t>2026-06-19 07:10:32</t>
        </is>
      </c>
      <c r="Y3640" t="inlineStr">
        <is>
          <t>27764685305</t>
        </is>
      </c>
    </row>
    <row r="3641">
      <c r="A3641" t="inlineStr">
        <is>
          <t>14947016</t>
        </is>
      </c>
      <c r="B3641" t="inlineStr">
        <is>
          <t>cd33f1c2-1d9b-4bed-97ff-9982493a2eb6</t>
        </is>
      </c>
      <c r="D3641" t="inlineStr">
        <is>
          <t>30001087</t>
        </is>
      </c>
      <c r="E3641" t="inlineStr">
        <is>
          <t>ussd_funeral_leads_altitude_20260619</t>
        </is>
      </c>
      <c r="J3641" t="inlineStr">
        <is>
          <t>AA</t>
        </is>
      </c>
      <c r="K3641" t="inlineStr">
        <is>
          <t>Answering Machine Autodial</t>
        </is>
      </c>
      <c r="L3641" t="n">
        <v>3</v>
      </c>
      <c r="M3641" t="inlineStr">
        <is>
          <t>2026-06-23 09:48:58</t>
        </is>
      </c>
      <c r="N3641" t="inlineStr">
        <is>
          <t>system</t>
        </is>
      </c>
      <c r="O3641" t="inlineStr">
        <is>
          <t>2026-06-19 07:10:32</t>
        </is>
      </c>
      <c r="P3641" t="inlineStr">
        <is>
          <t>2026-06-19 07:10:32</t>
        </is>
      </c>
      <c r="Y3641" t="inlineStr">
        <is>
          <t>27772588142</t>
        </is>
      </c>
    </row>
    <row r="3642">
      <c r="A3642" t="inlineStr">
        <is>
          <t>14946817</t>
        </is>
      </c>
      <c r="B3642" t="inlineStr">
        <is>
          <t>025c7158-863e-4ac3-b9d9-cf64823cf34b</t>
        </is>
      </c>
      <c r="D3642" t="inlineStr">
        <is>
          <t>30001087</t>
        </is>
      </c>
      <c r="E3642" t="inlineStr">
        <is>
          <t>ussd_funeral_leads_altitude_20260619</t>
        </is>
      </c>
      <c r="J3642" t="inlineStr">
        <is>
          <t>NA</t>
        </is>
      </c>
      <c r="K3642" t="inlineStr">
        <is>
          <t>No Answer Autodial</t>
        </is>
      </c>
      <c r="L3642" t="n">
        <v>3</v>
      </c>
      <c r="M3642" t="inlineStr">
        <is>
          <t>2026-06-23 09:48:57</t>
        </is>
      </c>
      <c r="N3642" t="inlineStr">
        <is>
          <t>system</t>
        </is>
      </c>
      <c r="O3642" t="inlineStr">
        <is>
          <t>2026-06-19 07:10:32</t>
        </is>
      </c>
      <c r="P3642" t="inlineStr">
        <is>
          <t>2026-06-19 07:10:32</t>
        </is>
      </c>
      <c r="Y3642" t="inlineStr">
        <is>
          <t>27647511467</t>
        </is>
      </c>
    </row>
    <row r="3643">
      <c r="A3643" t="inlineStr">
        <is>
          <t>14946818</t>
        </is>
      </c>
      <c r="B3643" t="inlineStr">
        <is>
          <t>01313d08-b51b-4043-b4e6-c5bf60e418be</t>
        </is>
      </c>
      <c r="D3643" t="inlineStr">
        <is>
          <t>30001087</t>
        </is>
      </c>
      <c r="E3643" t="inlineStr">
        <is>
          <t>ussd_funeral_leads_altitude_20260619</t>
        </is>
      </c>
      <c r="J3643" t="inlineStr">
        <is>
          <t>AA</t>
        </is>
      </c>
      <c r="K3643" t="inlineStr">
        <is>
          <t>Answering Machine Autodial</t>
        </is>
      </c>
      <c r="L3643" t="n">
        <v>3</v>
      </c>
      <c r="M3643" t="inlineStr">
        <is>
          <t>2026-06-23 09:48:57</t>
        </is>
      </c>
      <c r="N3643" t="inlineStr">
        <is>
          <t>system</t>
        </is>
      </c>
      <c r="O3643" t="inlineStr">
        <is>
          <t>2026-06-19 07:10:32</t>
        </is>
      </c>
      <c r="P3643" t="inlineStr">
        <is>
          <t>2026-06-19 07:10:32</t>
        </is>
      </c>
      <c r="Y3643" t="inlineStr">
        <is>
          <t>27823120583</t>
        </is>
      </c>
    </row>
    <row r="3644">
      <c r="A3644" t="inlineStr">
        <is>
          <t>14947013</t>
        </is>
      </c>
      <c r="B3644" t="inlineStr">
        <is>
          <t>f9e4db44-d4e6-48a9-929a-24374ec305c2</t>
        </is>
      </c>
      <c r="D3644" t="inlineStr">
        <is>
          <t>30001087</t>
        </is>
      </c>
      <c r="E3644" t="inlineStr">
        <is>
          <t>ussd_funeral_leads_altitude_20260619</t>
        </is>
      </c>
      <c r="J3644" t="inlineStr">
        <is>
          <t>AA</t>
        </is>
      </c>
      <c r="K3644" t="inlineStr">
        <is>
          <t>Answering Machine Autodial</t>
        </is>
      </c>
      <c r="L3644" t="n">
        <v>3</v>
      </c>
      <c r="M3644" t="inlineStr">
        <is>
          <t>2026-06-23 09:48:57</t>
        </is>
      </c>
      <c r="N3644" t="inlineStr">
        <is>
          <t>system</t>
        </is>
      </c>
      <c r="O3644" t="inlineStr">
        <is>
          <t>2026-06-19 07:10:32</t>
        </is>
      </c>
      <c r="P3644" t="inlineStr">
        <is>
          <t>2026-06-19 07:10:32</t>
        </is>
      </c>
      <c r="Y3644" t="inlineStr">
        <is>
          <t>27763871141</t>
        </is>
      </c>
    </row>
    <row r="3645">
      <c r="A3645" t="inlineStr">
        <is>
          <t>14946816</t>
        </is>
      </c>
      <c r="B3645" t="inlineStr">
        <is>
          <t>1fa3a94a-d0bb-4692-b05b-4e32e7d5535d</t>
        </is>
      </c>
      <c r="D3645" t="inlineStr">
        <is>
          <t>30001087</t>
        </is>
      </c>
      <c r="E3645" t="inlineStr">
        <is>
          <t>ussd_funeral_leads_altitude_20260619</t>
        </is>
      </c>
      <c r="J3645" t="inlineStr">
        <is>
          <t>AA</t>
        </is>
      </c>
      <c r="K3645" t="inlineStr">
        <is>
          <t>Answering Machine Autodial</t>
        </is>
      </c>
      <c r="L3645" t="n">
        <v>3</v>
      </c>
      <c r="M3645" t="inlineStr">
        <is>
          <t>2026-06-23 09:48:56</t>
        </is>
      </c>
      <c r="N3645" t="inlineStr">
        <is>
          <t>system</t>
        </is>
      </c>
      <c r="O3645" t="inlineStr">
        <is>
          <t>2026-06-19 07:10:32</t>
        </is>
      </c>
      <c r="P3645" t="inlineStr">
        <is>
          <t>2026-06-19 07:10:32</t>
        </is>
      </c>
      <c r="Y3645" t="inlineStr">
        <is>
          <t>27674957028</t>
        </is>
      </c>
    </row>
    <row r="3646">
      <c r="A3646" t="inlineStr">
        <is>
          <t>14946488</t>
        </is>
      </c>
      <c r="B3646" t="inlineStr">
        <is>
          <t>cc702354-a5cd-4192-a647-1814afd4b5b8</t>
        </is>
      </c>
      <c r="D3646" t="inlineStr">
        <is>
          <t>30001087</t>
        </is>
      </c>
      <c r="E3646" t="inlineStr">
        <is>
          <t>ussd_funeral_leads_altitude_20260619</t>
        </is>
      </c>
      <c r="J3646" t="inlineStr">
        <is>
          <t>ADC</t>
        </is>
      </c>
      <c r="K3646" t="inlineStr">
        <is>
          <t>Auto Dial Disconnected</t>
        </is>
      </c>
      <c r="L3646" t="n">
        <v>3</v>
      </c>
      <c r="M3646" t="inlineStr">
        <is>
          <t>2026-06-23 09:48:55</t>
        </is>
      </c>
      <c r="N3646" t="inlineStr">
        <is>
          <t>system</t>
        </is>
      </c>
      <c r="O3646" t="inlineStr">
        <is>
          <t>2026-06-19 07:10:32</t>
        </is>
      </c>
      <c r="P3646" t="inlineStr">
        <is>
          <t>2026-06-19 07:10:32</t>
        </is>
      </c>
      <c r="Y3646" t="inlineStr">
        <is>
          <t>27664214360</t>
        </is>
      </c>
    </row>
    <row r="3647">
      <c r="A3647" t="inlineStr">
        <is>
          <t>14946489</t>
        </is>
      </c>
      <c r="B3647" t="inlineStr">
        <is>
          <t>8ddeb118-6adb-47be-bd20-84fc080c9c48</t>
        </is>
      </c>
      <c r="D3647" t="inlineStr">
        <is>
          <t>30001087</t>
        </is>
      </c>
      <c r="E3647" t="inlineStr">
        <is>
          <t>ussd_funeral_leads_altitude_20260619</t>
        </is>
      </c>
      <c r="J3647" t="inlineStr">
        <is>
          <t>AA</t>
        </is>
      </c>
      <c r="K3647" t="inlineStr">
        <is>
          <t>Answering Machine Autodial</t>
        </is>
      </c>
      <c r="L3647" t="n">
        <v>3</v>
      </c>
      <c r="M3647" t="inlineStr">
        <is>
          <t>2026-06-23 09:48:55</t>
        </is>
      </c>
      <c r="N3647" t="inlineStr">
        <is>
          <t>system</t>
        </is>
      </c>
      <c r="O3647" t="inlineStr">
        <is>
          <t>2026-06-19 07:10:32</t>
        </is>
      </c>
      <c r="P3647" t="inlineStr">
        <is>
          <t>2026-06-19 07:10:32</t>
        </is>
      </c>
      <c r="Y3647" t="inlineStr">
        <is>
          <t>27663770055</t>
        </is>
      </c>
    </row>
    <row r="3648">
      <c r="A3648" t="inlineStr">
        <is>
          <t>14946814</t>
        </is>
      </c>
      <c r="B3648" t="inlineStr">
        <is>
          <t>099c3523-c46b-49a0-bb85-2fb215279dd9</t>
        </is>
      </c>
      <c r="D3648" t="inlineStr">
        <is>
          <t>30001087</t>
        </is>
      </c>
      <c r="E3648" t="inlineStr">
        <is>
          <t>ussd_funeral_leads_altitude_20260619</t>
        </is>
      </c>
      <c r="J3648" t="inlineStr">
        <is>
          <t>CU</t>
        </is>
      </c>
      <c r="K3648" t="inlineStr">
        <is>
          <t>Client Hung Up</t>
        </is>
      </c>
      <c r="L3648" t="n">
        <v>3</v>
      </c>
      <c r="M3648" t="inlineStr">
        <is>
          <t>2026-06-23 09:48:55</t>
        </is>
      </c>
      <c r="N3648" t="inlineStr">
        <is>
          <t>Goitsimang Mogwasa</t>
        </is>
      </c>
      <c r="O3648" t="inlineStr">
        <is>
          <t>2026-06-19 07:10:32</t>
        </is>
      </c>
      <c r="P3648" t="inlineStr">
        <is>
          <t>2026-06-19 07:10:32</t>
        </is>
      </c>
      <c r="Y3648" t="inlineStr">
        <is>
          <t>27823651291</t>
        </is>
      </c>
    </row>
    <row r="3649">
      <c r="A3649" t="inlineStr">
        <is>
          <t>14946815</t>
        </is>
      </c>
      <c r="B3649" t="inlineStr">
        <is>
          <t>20802e0f-efef-4a70-b36e-a1ef27de1323</t>
        </is>
      </c>
      <c r="D3649" t="inlineStr">
        <is>
          <t>30001087</t>
        </is>
      </c>
      <c r="E3649" t="inlineStr">
        <is>
          <t>ussd_funeral_leads_altitude_20260619</t>
        </is>
      </c>
      <c r="J3649" t="inlineStr">
        <is>
          <t>NA</t>
        </is>
      </c>
      <c r="K3649" t="inlineStr">
        <is>
          <t>No Answer Autodial</t>
        </is>
      </c>
      <c r="L3649" t="n">
        <v>3</v>
      </c>
      <c r="M3649" t="inlineStr">
        <is>
          <t>2026-06-23 09:48:55</t>
        </is>
      </c>
      <c r="N3649" t="inlineStr">
        <is>
          <t>system</t>
        </is>
      </c>
      <c r="O3649" t="inlineStr">
        <is>
          <t>2026-06-19 07:10:32</t>
        </is>
      </c>
      <c r="P3649" t="inlineStr">
        <is>
          <t>2026-06-19 07:10:32</t>
        </is>
      </c>
      <c r="Y3649" t="inlineStr">
        <is>
          <t>27725609924</t>
        </is>
      </c>
    </row>
    <row r="3650">
      <c r="A3650" t="inlineStr">
        <is>
          <t>14946486</t>
        </is>
      </c>
      <c r="B3650" t="inlineStr">
        <is>
          <t>1853c8fb-0a06-4ff8-bae0-45649f4dd9f0</t>
        </is>
      </c>
      <c r="D3650" t="inlineStr">
        <is>
          <t>30001087</t>
        </is>
      </c>
      <c r="E3650" t="inlineStr">
        <is>
          <t>ussd_funeral_leads_altitude_20260619</t>
        </is>
      </c>
      <c r="J3650" t="inlineStr">
        <is>
          <t>AA</t>
        </is>
      </c>
      <c r="K3650" t="inlineStr">
        <is>
          <t>Answering Machine Autodial</t>
        </is>
      </c>
      <c r="L3650" t="n">
        <v>3</v>
      </c>
      <c r="M3650" t="inlineStr">
        <is>
          <t>2026-06-23 09:48:50</t>
        </is>
      </c>
      <c r="N3650" t="inlineStr">
        <is>
          <t>system</t>
        </is>
      </c>
      <c r="O3650" t="inlineStr">
        <is>
          <t>2026-06-19 07:10:32</t>
        </is>
      </c>
      <c r="P3650" t="inlineStr">
        <is>
          <t>2026-06-19 07:10:32</t>
        </is>
      </c>
      <c r="Y3650" t="inlineStr">
        <is>
          <t>27724670870</t>
        </is>
      </c>
    </row>
    <row r="3651">
      <c r="A3651" t="inlineStr">
        <is>
          <t>14946487</t>
        </is>
      </c>
      <c r="B3651" t="inlineStr">
        <is>
          <t>0653617f-7f2b-4a84-a728-67ba2e0ffecb</t>
        </is>
      </c>
      <c r="D3651" t="inlineStr">
        <is>
          <t>30001087</t>
        </is>
      </c>
      <c r="E3651" t="inlineStr">
        <is>
          <t>ussd_funeral_leads_altitude_20260619</t>
        </is>
      </c>
      <c r="J3651" t="inlineStr">
        <is>
          <t>AA</t>
        </is>
      </c>
      <c r="K3651" t="inlineStr">
        <is>
          <t>Answering Machine Autodial</t>
        </is>
      </c>
      <c r="L3651" t="n">
        <v>3</v>
      </c>
      <c r="M3651" t="inlineStr">
        <is>
          <t>2026-06-23 09:48:50</t>
        </is>
      </c>
      <c r="N3651" t="inlineStr">
        <is>
          <t>system</t>
        </is>
      </c>
      <c r="O3651" t="inlineStr">
        <is>
          <t>2026-06-19 07:10:32</t>
        </is>
      </c>
      <c r="P3651" t="inlineStr">
        <is>
          <t>2026-06-19 07:10:32</t>
        </is>
      </c>
      <c r="Y3651" t="inlineStr">
        <is>
          <t>27723021816</t>
        </is>
      </c>
    </row>
    <row r="3652">
      <c r="A3652" t="inlineStr">
        <is>
          <t>14946485</t>
        </is>
      </c>
      <c r="B3652" t="inlineStr">
        <is>
          <t>7e06e8ec-077f-4276-9454-142e99924d5a</t>
        </is>
      </c>
      <c r="D3652" t="inlineStr">
        <is>
          <t>30001087</t>
        </is>
      </c>
      <c r="E3652" t="inlineStr">
        <is>
          <t>ussd_funeral_leads_altitude_20260619</t>
        </is>
      </c>
      <c r="J3652" t="inlineStr">
        <is>
          <t>AA</t>
        </is>
      </c>
      <c r="K3652" t="inlineStr">
        <is>
          <t>Answering Machine Autodial</t>
        </is>
      </c>
      <c r="L3652" t="n">
        <v>3</v>
      </c>
      <c r="M3652" t="inlineStr">
        <is>
          <t>2026-06-23 09:48:43</t>
        </is>
      </c>
      <c r="N3652" t="inlineStr">
        <is>
          <t>system</t>
        </is>
      </c>
      <c r="O3652" t="inlineStr">
        <is>
          <t>2026-06-19 07:10:32</t>
        </is>
      </c>
      <c r="P3652" t="inlineStr">
        <is>
          <t>2026-06-19 07:10:32</t>
        </is>
      </c>
      <c r="Y3652" t="inlineStr">
        <is>
          <t>27762996908</t>
        </is>
      </c>
    </row>
    <row r="3653">
      <c r="A3653" t="inlineStr">
        <is>
          <t>14946484</t>
        </is>
      </c>
      <c r="B3653" t="inlineStr">
        <is>
          <t>644551b4-2ce0-4401-a37f-8fe2c7de34a5</t>
        </is>
      </c>
      <c r="D3653" t="inlineStr">
        <is>
          <t>30001087</t>
        </is>
      </c>
      <c r="E3653" t="inlineStr">
        <is>
          <t>ussd_funeral_leads_altitude_20260619</t>
        </is>
      </c>
      <c r="J3653" t="inlineStr">
        <is>
          <t>AA</t>
        </is>
      </c>
      <c r="K3653" t="inlineStr">
        <is>
          <t>Answering Machine Autodial</t>
        </is>
      </c>
      <c r="L3653" t="n">
        <v>3</v>
      </c>
      <c r="M3653" t="inlineStr">
        <is>
          <t>2026-06-23 09:48:42</t>
        </is>
      </c>
      <c r="N3653" t="inlineStr">
        <is>
          <t>system</t>
        </is>
      </c>
      <c r="O3653" t="inlineStr">
        <is>
          <t>2026-06-19 07:10:32</t>
        </is>
      </c>
      <c r="P3653" t="inlineStr">
        <is>
          <t>2026-06-19 07:10:32</t>
        </is>
      </c>
      <c r="Y3653" t="inlineStr">
        <is>
          <t>27768228749</t>
        </is>
      </c>
    </row>
    <row r="3654">
      <c r="A3654" t="inlineStr">
        <is>
          <t>14946483</t>
        </is>
      </c>
      <c r="B3654" t="inlineStr">
        <is>
          <t>f5152aa8-002c-4337-bae0-4ac1f7953013</t>
        </is>
      </c>
      <c r="D3654" t="inlineStr">
        <is>
          <t>30001087</t>
        </is>
      </c>
      <c r="E3654" t="inlineStr">
        <is>
          <t>ussd_funeral_leads_altitude_20260619</t>
        </is>
      </c>
      <c r="J3654" t="inlineStr">
        <is>
          <t>ADC</t>
        </is>
      </c>
      <c r="K3654" t="inlineStr">
        <is>
          <t>Auto Dial Disconnected</t>
        </is>
      </c>
      <c r="L3654" t="n">
        <v>3</v>
      </c>
      <c r="M3654" t="inlineStr">
        <is>
          <t>2026-06-23 09:48:35</t>
        </is>
      </c>
      <c r="N3654" t="inlineStr">
        <is>
          <t>system</t>
        </is>
      </c>
      <c r="O3654" t="inlineStr">
        <is>
          <t>2026-06-19 07:10:32</t>
        </is>
      </c>
      <c r="P3654" t="inlineStr">
        <is>
          <t>2026-06-19 07:10:32</t>
        </is>
      </c>
      <c r="Y3654" t="inlineStr">
        <is>
          <t>27646522068</t>
        </is>
      </c>
    </row>
    <row r="3655">
      <c r="A3655" t="inlineStr">
        <is>
          <t>14946482</t>
        </is>
      </c>
      <c r="B3655" t="inlineStr">
        <is>
          <t>5422b995-86e8-46c6-9422-acf28498075a</t>
        </is>
      </c>
      <c r="D3655" t="inlineStr">
        <is>
          <t>30001087</t>
        </is>
      </c>
      <c r="E3655" t="inlineStr">
        <is>
          <t>ussd_funeral_leads_altitude_20260619</t>
        </is>
      </c>
      <c r="J3655" t="inlineStr">
        <is>
          <t>AA</t>
        </is>
      </c>
      <c r="K3655" t="inlineStr">
        <is>
          <t>Answering Machine Autodial</t>
        </is>
      </c>
      <c r="L3655" t="n">
        <v>3</v>
      </c>
      <c r="M3655" t="inlineStr">
        <is>
          <t>2026-06-23 09:48:28</t>
        </is>
      </c>
      <c r="N3655" t="inlineStr">
        <is>
          <t>system</t>
        </is>
      </c>
      <c r="O3655" t="inlineStr">
        <is>
          <t>2026-06-19 07:10:32</t>
        </is>
      </c>
      <c r="P3655" t="inlineStr">
        <is>
          <t>2026-06-19 07:10:32</t>
        </is>
      </c>
      <c r="Y3655" t="inlineStr">
        <is>
          <t>27606573091</t>
        </is>
      </c>
    </row>
    <row r="3656">
      <c r="A3656" t="inlineStr">
        <is>
          <t>14946480</t>
        </is>
      </c>
      <c r="B3656" t="inlineStr">
        <is>
          <t>719584c3-68f4-4ec2-935b-51bbccbff750</t>
        </is>
      </c>
      <c r="D3656" t="inlineStr">
        <is>
          <t>30001087</t>
        </is>
      </c>
      <c r="E3656" t="inlineStr">
        <is>
          <t>ussd_funeral_leads_altitude_20260619</t>
        </is>
      </c>
      <c r="J3656" t="inlineStr">
        <is>
          <t>ADC</t>
        </is>
      </c>
      <c r="K3656" t="inlineStr">
        <is>
          <t>Auto Dial Disconnected</t>
        </is>
      </c>
      <c r="L3656" t="n">
        <v>3</v>
      </c>
      <c r="M3656" t="inlineStr">
        <is>
          <t>2026-06-23 09:48:23</t>
        </is>
      </c>
      <c r="N3656" t="inlineStr">
        <is>
          <t>system</t>
        </is>
      </c>
      <c r="O3656" t="inlineStr">
        <is>
          <t>2026-06-19 07:10:32</t>
        </is>
      </c>
      <c r="P3656" t="inlineStr">
        <is>
          <t>2026-06-19 07:10:32</t>
        </is>
      </c>
      <c r="Y3656" t="inlineStr">
        <is>
          <t>27648512444</t>
        </is>
      </c>
    </row>
    <row r="3657">
      <c r="A3657" t="inlineStr">
        <is>
          <t>14946481</t>
        </is>
      </c>
      <c r="B3657" t="inlineStr">
        <is>
          <t>89331bb6-bc90-455f-8d4a-fa137d9f7640</t>
        </is>
      </c>
      <c r="D3657" t="inlineStr">
        <is>
          <t>30001087</t>
        </is>
      </c>
      <c r="E3657" t="inlineStr">
        <is>
          <t>ussd_funeral_leads_altitude_20260619</t>
        </is>
      </c>
      <c r="J3657" t="inlineStr">
        <is>
          <t>AA</t>
        </is>
      </c>
      <c r="K3657" t="inlineStr">
        <is>
          <t>Answering Machine Autodial</t>
        </is>
      </c>
      <c r="L3657" t="n">
        <v>3</v>
      </c>
      <c r="M3657" t="inlineStr">
        <is>
          <t>2026-06-23 09:48:23</t>
        </is>
      </c>
      <c r="N3657" t="inlineStr">
        <is>
          <t>system</t>
        </is>
      </c>
      <c r="O3657" t="inlineStr">
        <is>
          <t>2026-06-19 07:10:32</t>
        </is>
      </c>
      <c r="P3657" t="inlineStr">
        <is>
          <t>2026-06-19 07:10:32</t>
        </is>
      </c>
      <c r="Y3657" t="inlineStr">
        <is>
          <t>27761178720</t>
        </is>
      </c>
    </row>
    <row r="3658">
      <c r="A3658" t="inlineStr">
        <is>
          <t>14946478</t>
        </is>
      </c>
      <c r="B3658" t="inlineStr">
        <is>
          <t>adc50f99-54fc-4e55-99d9-9fb5a446be4c</t>
        </is>
      </c>
      <c r="D3658" t="inlineStr">
        <is>
          <t>30001087</t>
        </is>
      </c>
      <c r="E3658" t="inlineStr">
        <is>
          <t>ussd_funeral_leads_altitude_20260619</t>
        </is>
      </c>
      <c r="J3658" t="inlineStr">
        <is>
          <t>AA</t>
        </is>
      </c>
      <c r="K3658" t="inlineStr">
        <is>
          <t>Answering Machine Autodial</t>
        </is>
      </c>
      <c r="L3658" t="n">
        <v>3</v>
      </c>
      <c r="M3658" t="inlineStr">
        <is>
          <t>2026-06-23 09:47:58</t>
        </is>
      </c>
      <c r="N3658" t="inlineStr">
        <is>
          <t>system</t>
        </is>
      </c>
      <c r="O3658" t="inlineStr">
        <is>
          <t>2026-06-19 07:10:32</t>
        </is>
      </c>
      <c r="P3658" t="inlineStr">
        <is>
          <t>2026-06-19 07:10:32</t>
        </is>
      </c>
      <c r="Y3658" t="inlineStr">
        <is>
          <t>27772941602</t>
        </is>
      </c>
    </row>
    <row r="3659">
      <c r="A3659" t="inlineStr">
        <is>
          <t>14946479</t>
        </is>
      </c>
      <c r="B3659" t="inlineStr">
        <is>
          <t>be52d751-16a8-47b4-aa89-9b076ff40720</t>
        </is>
      </c>
      <c r="D3659" t="inlineStr">
        <is>
          <t>30001087</t>
        </is>
      </c>
      <c r="E3659" t="inlineStr">
        <is>
          <t>ussd_funeral_leads_altitude_20260619</t>
        </is>
      </c>
      <c r="J3659" t="inlineStr">
        <is>
          <t>NA</t>
        </is>
      </c>
      <c r="K3659" t="inlineStr">
        <is>
          <t>No Answer Autodial</t>
        </is>
      </c>
      <c r="L3659" t="n">
        <v>3</v>
      </c>
      <c r="M3659" t="inlineStr">
        <is>
          <t>2026-06-23 09:47:58</t>
        </is>
      </c>
      <c r="N3659" t="inlineStr">
        <is>
          <t>system</t>
        </is>
      </c>
      <c r="O3659" t="inlineStr">
        <is>
          <t>2026-06-19 07:10:32</t>
        </is>
      </c>
      <c r="P3659" t="inlineStr">
        <is>
          <t>2026-06-19 07:10:32</t>
        </is>
      </c>
      <c r="Y3659" t="inlineStr">
        <is>
          <t>27723866376</t>
        </is>
      </c>
    </row>
    <row r="3660">
      <c r="A3660" t="inlineStr">
        <is>
          <t>14946477</t>
        </is>
      </c>
      <c r="B3660" t="inlineStr">
        <is>
          <t>093c5b47-6169-4787-bae6-f6de890874a4</t>
        </is>
      </c>
      <c r="D3660" t="inlineStr">
        <is>
          <t>30001087</t>
        </is>
      </c>
      <c r="E3660" t="inlineStr">
        <is>
          <t>ussd_funeral_leads_altitude_20260619</t>
        </is>
      </c>
      <c r="J3660" t="inlineStr">
        <is>
          <t>AA</t>
        </is>
      </c>
      <c r="K3660" t="inlineStr">
        <is>
          <t>Answering Machine Autodial</t>
        </is>
      </c>
      <c r="L3660" t="n">
        <v>3</v>
      </c>
      <c r="M3660" t="inlineStr">
        <is>
          <t>2026-06-23 09:47:57</t>
        </is>
      </c>
      <c r="N3660" t="inlineStr">
        <is>
          <t>system</t>
        </is>
      </c>
      <c r="O3660" t="inlineStr">
        <is>
          <t>2026-06-19 07:10:32</t>
        </is>
      </c>
      <c r="P3660" t="inlineStr">
        <is>
          <t>2026-06-19 07:10:32</t>
        </is>
      </c>
      <c r="Y3660" t="inlineStr">
        <is>
          <t>27823919875</t>
        </is>
      </c>
    </row>
    <row r="3661">
      <c r="A3661" t="inlineStr">
        <is>
          <t>14946476</t>
        </is>
      </c>
      <c r="B3661" t="inlineStr">
        <is>
          <t>660f23c2-b8d8-45ac-a554-77f5c63dba02</t>
        </is>
      </c>
      <c r="D3661" t="inlineStr">
        <is>
          <t>30001087</t>
        </is>
      </c>
      <c r="E3661" t="inlineStr">
        <is>
          <t>ussd_funeral_leads_altitude_20260619</t>
        </is>
      </c>
      <c r="J3661" t="inlineStr">
        <is>
          <t>NA</t>
        </is>
      </c>
      <c r="K3661" t="inlineStr">
        <is>
          <t>No Answer Autodial</t>
        </is>
      </c>
      <c r="L3661" t="n">
        <v>3</v>
      </c>
      <c r="M3661" t="inlineStr">
        <is>
          <t>2026-06-23 09:47:56</t>
        </is>
      </c>
      <c r="N3661" t="inlineStr">
        <is>
          <t>system</t>
        </is>
      </c>
      <c r="O3661" t="inlineStr">
        <is>
          <t>2026-06-19 07:10:32</t>
        </is>
      </c>
      <c r="P3661" t="inlineStr">
        <is>
          <t>2026-06-19 07:10:32</t>
        </is>
      </c>
      <c r="Y3661" t="inlineStr">
        <is>
          <t>27674343900</t>
        </is>
      </c>
    </row>
    <row r="3662">
      <c r="A3662" t="inlineStr">
        <is>
          <t>14946474</t>
        </is>
      </c>
      <c r="B3662" t="inlineStr">
        <is>
          <t>34830443-a0ce-416b-be36-2c0e2b9da5e3</t>
        </is>
      </c>
      <c r="D3662" t="inlineStr">
        <is>
          <t>30001087</t>
        </is>
      </c>
      <c r="E3662" t="inlineStr">
        <is>
          <t>ussd_funeral_leads_altitude_20260619</t>
        </is>
      </c>
      <c r="J3662" t="inlineStr">
        <is>
          <t>NA</t>
        </is>
      </c>
      <c r="K3662" t="inlineStr">
        <is>
          <t>No Answer Autodial</t>
        </is>
      </c>
      <c r="L3662" t="n">
        <v>3</v>
      </c>
      <c r="M3662" t="inlineStr">
        <is>
          <t>2026-06-23 09:47:53</t>
        </is>
      </c>
      <c r="N3662" t="inlineStr">
        <is>
          <t>system</t>
        </is>
      </c>
      <c r="O3662" t="inlineStr">
        <is>
          <t>2026-06-19 07:10:32</t>
        </is>
      </c>
      <c r="P3662" t="inlineStr">
        <is>
          <t>2026-06-19 07:10:32</t>
        </is>
      </c>
      <c r="Y3662" t="inlineStr">
        <is>
          <t>27791340147</t>
        </is>
      </c>
    </row>
    <row r="3663">
      <c r="A3663" t="inlineStr">
        <is>
          <t>14946473</t>
        </is>
      </c>
      <c r="B3663" t="inlineStr">
        <is>
          <t>44e237e1-a2a2-4659-aa6b-6a8ccef0d82b</t>
        </is>
      </c>
      <c r="D3663" t="inlineStr">
        <is>
          <t>30001087</t>
        </is>
      </c>
      <c r="E3663" t="inlineStr">
        <is>
          <t>ussd_funeral_leads_altitude_20260619</t>
        </is>
      </c>
      <c r="J3663" t="inlineStr">
        <is>
          <t>AA</t>
        </is>
      </c>
      <c r="K3663" t="inlineStr">
        <is>
          <t>Answering Machine Autodial</t>
        </is>
      </c>
      <c r="L3663" t="n">
        <v>3</v>
      </c>
      <c r="M3663" t="inlineStr">
        <is>
          <t>2026-06-23 09:47:51</t>
        </is>
      </c>
      <c r="N3663" t="inlineStr">
        <is>
          <t>system</t>
        </is>
      </c>
      <c r="O3663" t="inlineStr">
        <is>
          <t>2026-06-19 07:10:32</t>
        </is>
      </c>
      <c r="P3663" t="inlineStr">
        <is>
          <t>2026-06-19 07:10:32</t>
        </is>
      </c>
      <c r="Y3663" t="inlineStr">
        <is>
          <t>27793166507</t>
        </is>
      </c>
    </row>
    <row r="3664">
      <c r="A3664" t="inlineStr">
        <is>
          <t>14946472</t>
        </is>
      </c>
      <c r="B3664" t="inlineStr">
        <is>
          <t>9397ee89-6fb0-4a06-a678-793d41695da9</t>
        </is>
      </c>
      <c r="D3664" t="inlineStr">
        <is>
          <t>30001087</t>
        </is>
      </c>
      <c r="E3664" t="inlineStr">
        <is>
          <t>ussd_funeral_leads_altitude_20260619</t>
        </is>
      </c>
      <c r="J3664" t="inlineStr">
        <is>
          <t>AA</t>
        </is>
      </c>
      <c r="K3664" t="inlineStr">
        <is>
          <t>Answering Machine Autodial</t>
        </is>
      </c>
      <c r="L3664" t="n">
        <v>3</v>
      </c>
      <c r="M3664" t="inlineStr">
        <is>
          <t>2026-06-23 09:47:50</t>
        </is>
      </c>
      <c r="N3664" t="inlineStr">
        <is>
          <t>system</t>
        </is>
      </c>
      <c r="O3664" t="inlineStr">
        <is>
          <t>2026-06-19 07:10:32</t>
        </is>
      </c>
      <c r="P3664" t="inlineStr">
        <is>
          <t>2026-06-19 07:10:32</t>
        </is>
      </c>
      <c r="Y3664" t="inlineStr">
        <is>
          <t>27607385956</t>
        </is>
      </c>
    </row>
    <row r="3665">
      <c r="A3665" t="inlineStr">
        <is>
          <t>14946470</t>
        </is>
      </c>
      <c r="B3665" t="inlineStr">
        <is>
          <t>2c29d8b8-c006-437b-ac3b-6eb28c530897</t>
        </is>
      </c>
      <c r="D3665" t="inlineStr">
        <is>
          <t>30001087</t>
        </is>
      </c>
      <c r="E3665" t="inlineStr">
        <is>
          <t>ussd_funeral_leads_altitude_20260619</t>
        </is>
      </c>
      <c r="J3665" t="inlineStr">
        <is>
          <t>AA</t>
        </is>
      </c>
      <c r="K3665" t="inlineStr">
        <is>
          <t>Answering Machine Autodial</t>
        </is>
      </c>
      <c r="L3665" t="n">
        <v>3</v>
      </c>
      <c r="M3665" t="inlineStr">
        <is>
          <t>2026-06-23 09:47:45</t>
        </is>
      </c>
      <c r="N3665" t="inlineStr">
        <is>
          <t>system</t>
        </is>
      </c>
      <c r="O3665" t="inlineStr">
        <is>
          <t>2026-06-19 07:10:32</t>
        </is>
      </c>
      <c r="P3665" t="inlineStr">
        <is>
          <t>2026-06-19 07:10:32</t>
        </is>
      </c>
      <c r="Y3665" t="inlineStr">
        <is>
          <t>27825069901</t>
        </is>
      </c>
    </row>
    <row r="3666">
      <c r="A3666" t="inlineStr">
        <is>
          <t>14946471</t>
        </is>
      </c>
      <c r="B3666" t="inlineStr">
        <is>
          <t>d2f76659-55cd-40e5-a87a-6b3c92892906</t>
        </is>
      </c>
      <c r="D3666" t="inlineStr">
        <is>
          <t>30001087</t>
        </is>
      </c>
      <c r="E3666" t="inlineStr">
        <is>
          <t>ussd_funeral_leads_altitude_20260619</t>
        </is>
      </c>
      <c r="J3666" t="inlineStr">
        <is>
          <t>ADC</t>
        </is>
      </c>
      <c r="K3666" t="inlineStr">
        <is>
          <t>Auto Dial Disconnected</t>
        </is>
      </c>
      <c r="L3666" t="n">
        <v>3</v>
      </c>
      <c r="M3666" t="inlineStr">
        <is>
          <t>2026-06-23 09:47:45</t>
        </is>
      </c>
      <c r="N3666" t="inlineStr">
        <is>
          <t>system</t>
        </is>
      </c>
      <c r="O3666" t="inlineStr">
        <is>
          <t>2026-06-19 07:10:32</t>
        </is>
      </c>
      <c r="P3666" t="inlineStr">
        <is>
          <t>2026-06-19 07:10:32</t>
        </is>
      </c>
      <c r="Y3666" t="inlineStr">
        <is>
          <t>27713689724</t>
        </is>
      </c>
    </row>
    <row r="3667">
      <c r="A3667" t="inlineStr">
        <is>
          <t>14946469</t>
        </is>
      </c>
      <c r="B3667" t="inlineStr">
        <is>
          <t>5831e20f-6a57-438b-bd98-f8f2bd058cf0</t>
        </is>
      </c>
      <c r="D3667" t="inlineStr">
        <is>
          <t>30001087</t>
        </is>
      </c>
      <c r="E3667" t="inlineStr">
        <is>
          <t>ussd_funeral_leads_altitude_20260619</t>
        </is>
      </c>
      <c r="J3667" t="inlineStr">
        <is>
          <t>AA</t>
        </is>
      </c>
      <c r="K3667" t="inlineStr">
        <is>
          <t>Answering Machine Autodial</t>
        </is>
      </c>
      <c r="L3667" t="n">
        <v>3</v>
      </c>
      <c r="M3667" t="inlineStr">
        <is>
          <t>2026-06-23 09:47:44</t>
        </is>
      </c>
      <c r="N3667" t="inlineStr">
        <is>
          <t>system</t>
        </is>
      </c>
      <c r="O3667" t="inlineStr">
        <is>
          <t>2026-06-19 07:10:32</t>
        </is>
      </c>
      <c r="P3667" t="inlineStr">
        <is>
          <t>2026-06-19 07:10:32</t>
        </is>
      </c>
      <c r="Y3667" t="inlineStr">
        <is>
          <t>27793681294</t>
        </is>
      </c>
    </row>
    <row r="3668">
      <c r="A3668" t="inlineStr">
        <is>
          <t>14946468</t>
        </is>
      </c>
      <c r="B3668" t="inlineStr">
        <is>
          <t>4c1954fe-1812-419b-aec8-a8edd3e20f56</t>
        </is>
      </c>
      <c r="D3668" t="inlineStr">
        <is>
          <t>30001087</t>
        </is>
      </c>
      <c r="E3668" t="inlineStr">
        <is>
          <t>ussd_funeral_leads_altitude_20260619</t>
        </is>
      </c>
      <c r="J3668" t="inlineStr">
        <is>
          <t>TDN</t>
        </is>
      </c>
      <c r="K3668" t="inlineStr">
        <is>
          <t>Temporary Disconnected Number</t>
        </is>
      </c>
      <c r="L3668" t="n">
        <v>3</v>
      </c>
      <c r="M3668" t="inlineStr">
        <is>
          <t>2026-06-23 09:47:41</t>
        </is>
      </c>
      <c r="N3668" t="inlineStr">
        <is>
          <t>system</t>
        </is>
      </c>
      <c r="O3668" t="inlineStr">
        <is>
          <t>2026-06-19 07:10:32</t>
        </is>
      </c>
      <c r="P3668" t="inlineStr">
        <is>
          <t>2026-06-19 07:10:32</t>
        </is>
      </c>
      <c r="Y3668" t="inlineStr">
        <is>
          <t>27764887143</t>
        </is>
      </c>
    </row>
    <row r="3669">
      <c r="A3669" t="inlineStr">
        <is>
          <t>14946464</t>
        </is>
      </c>
      <c r="B3669" t="inlineStr">
        <is>
          <t>35be4af6-8b01-4c25-8317-14de32f55731</t>
        </is>
      </c>
      <c r="D3669" t="inlineStr">
        <is>
          <t>30001087</t>
        </is>
      </c>
      <c r="E3669" t="inlineStr">
        <is>
          <t>ussd_funeral_leads_altitude_20260619</t>
        </is>
      </c>
      <c r="J3669" t="inlineStr">
        <is>
          <t>AA</t>
        </is>
      </c>
      <c r="K3669" t="inlineStr">
        <is>
          <t>Answering Machine Autodial</t>
        </is>
      </c>
      <c r="L3669" t="n">
        <v>3</v>
      </c>
      <c r="M3669" t="inlineStr">
        <is>
          <t>2026-06-23 09:47:40</t>
        </is>
      </c>
      <c r="N3669" t="inlineStr">
        <is>
          <t>system</t>
        </is>
      </c>
      <c r="O3669" t="inlineStr">
        <is>
          <t>2026-06-19 07:10:32</t>
        </is>
      </c>
      <c r="P3669" t="inlineStr">
        <is>
          <t>2026-06-19 07:10:32</t>
        </is>
      </c>
      <c r="Y3669" t="inlineStr">
        <is>
          <t>27608005492</t>
        </is>
      </c>
    </row>
    <row r="3670">
      <c r="A3670" t="inlineStr">
        <is>
          <t>14946465</t>
        </is>
      </c>
      <c r="B3670" t="inlineStr">
        <is>
          <t>274906d0-d046-4661-b313-5bb2f3ea19ce</t>
        </is>
      </c>
      <c r="D3670" t="inlineStr">
        <is>
          <t>30001087</t>
        </is>
      </c>
      <c r="E3670" t="inlineStr">
        <is>
          <t>ussd_funeral_leads_altitude_20260619</t>
        </is>
      </c>
      <c r="J3670" t="inlineStr">
        <is>
          <t>AA</t>
        </is>
      </c>
      <c r="K3670" t="inlineStr">
        <is>
          <t>Answering Machine Autodial</t>
        </is>
      </c>
      <c r="L3670" t="n">
        <v>3</v>
      </c>
      <c r="M3670" t="inlineStr">
        <is>
          <t>2026-06-23 09:47:40</t>
        </is>
      </c>
      <c r="N3670" t="inlineStr">
        <is>
          <t>system</t>
        </is>
      </c>
      <c r="O3670" t="inlineStr">
        <is>
          <t>2026-06-19 07:10:32</t>
        </is>
      </c>
      <c r="P3670" t="inlineStr">
        <is>
          <t>2026-06-19 07:10:32</t>
        </is>
      </c>
      <c r="Y3670" t="inlineStr">
        <is>
          <t>27796631356</t>
        </is>
      </c>
    </row>
    <row r="3671">
      <c r="A3671" t="inlineStr">
        <is>
          <t>14946466</t>
        </is>
      </c>
      <c r="B3671" t="inlineStr">
        <is>
          <t>eeb73839-9121-48cf-a955-94f489e12c9a</t>
        </is>
      </c>
      <c r="D3671" t="inlineStr">
        <is>
          <t>30001087</t>
        </is>
      </c>
      <c r="E3671" t="inlineStr">
        <is>
          <t>ussd_funeral_leads_altitude_20260619</t>
        </is>
      </c>
      <c r="J3671" t="inlineStr">
        <is>
          <t>AA</t>
        </is>
      </c>
      <c r="K3671" t="inlineStr">
        <is>
          <t>Answering Machine Autodial</t>
        </is>
      </c>
      <c r="L3671" t="n">
        <v>3</v>
      </c>
      <c r="M3671" t="inlineStr">
        <is>
          <t>2026-06-23 09:47:39</t>
        </is>
      </c>
      <c r="N3671" t="inlineStr">
        <is>
          <t>system</t>
        </is>
      </c>
      <c r="O3671" t="inlineStr">
        <is>
          <t>2026-06-19 07:10:32</t>
        </is>
      </c>
      <c r="P3671" t="inlineStr">
        <is>
          <t>2026-06-19 07:10:32</t>
        </is>
      </c>
      <c r="Y3671" t="inlineStr">
        <is>
          <t>27715279855</t>
        </is>
      </c>
    </row>
    <row r="3672">
      <c r="A3672" t="inlineStr">
        <is>
          <t>14946467</t>
        </is>
      </c>
      <c r="B3672" t="inlineStr">
        <is>
          <t>cef8f19d-4e18-4286-abef-f2936f5a06c5</t>
        </is>
      </c>
      <c r="D3672" t="inlineStr">
        <is>
          <t>30001087</t>
        </is>
      </c>
      <c r="E3672" t="inlineStr">
        <is>
          <t>ussd_funeral_leads_altitude_20260619</t>
        </is>
      </c>
      <c r="J3672" t="inlineStr">
        <is>
          <t>NA</t>
        </is>
      </c>
      <c r="K3672" t="inlineStr">
        <is>
          <t>No Answer Autodial</t>
        </is>
      </c>
      <c r="L3672" t="n">
        <v>3</v>
      </c>
      <c r="M3672" t="inlineStr">
        <is>
          <t>2026-06-23 09:47:39</t>
        </is>
      </c>
      <c r="N3672" t="inlineStr">
        <is>
          <t>system</t>
        </is>
      </c>
      <c r="O3672" t="inlineStr">
        <is>
          <t>2026-06-19 07:10:32</t>
        </is>
      </c>
      <c r="P3672" t="inlineStr">
        <is>
          <t>2026-06-19 07:10:32</t>
        </is>
      </c>
      <c r="Y3672" t="inlineStr">
        <is>
          <t>27721859880</t>
        </is>
      </c>
    </row>
    <row r="3673">
      <c r="A3673" t="inlineStr">
        <is>
          <t>14946463</t>
        </is>
      </c>
      <c r="B3673" t="inlineStr">
        <is>
          <t>67658a94-3cd4-4864-b8e7-c7c3e2615200</t>
        </is>
      </c>
      <c r="D3673" t="inlineStr">
        <is>
          <t>30001087</t>
        </is>
      </c>
      <c r="E3673" t="inlineStr">
        <is>
          <t>ussd_funeral_leads_altitude_20260619</t>
        </is>
      </c>
      <c r="J3673" t="inlineStr">
        <is>
          <t>AA</t>
        </is>
      </c>
      <c r="K3673" t="inlineStr">
        <is>
          <t>Answering Machine Autodial</t>
        </is>
      </c>
      <c r="L3673" t="n">
        <v>3</v>
      </c>
      <c r="M3673" t="inlineStr">
        <is>
          <t>2026-06-23 09:47:36</t>
        </is>
      </c>
      <c r="N3673" t="inlineStr">
        <is>
          <t>system</t>
        </is>
      </c>
      <c r="O3673" t="inlineStr">
        <is>
          <t>2026-06-19 07:10:32</t>
        </is>
      </c>
      <c r="P3673" t="inlineStr">
        <is>
          <t>2026-06-19 07:10:32</t>
        </is>
      </c>
      <c r="Y3673" t="inlineStr">
        <is>
          <t>27720868079</t>
        </is>
      </c>
    </row>
    <row r="3674">
      <c r="A3674" t="inlineStr">
        <is>
          <t>14946462</t>
        </is>
      </c>
      <c r="B3674" t="inlineStr">
        <is>
          <t>9a810884-6710-4e0a-b61e-305ca8bc9c84</t>
        </is>
      </c>
      <c r="D3674" t="inlineStr">
        <is>
          <t>30001087</t>
        </is>
      </c>
      <c r="E3674" t="inlineStr">
        <is>
          <t>ussd_funeral_leads_altitude_20260619</t>
        </is>
      </c>
      <c r="J3674" t="inlineStr">
        <is>
          <t>AA</t>
        </is>
      </c>
      <c r="K3674" t="inlineStr">
        <is>
          <t>Answering Machine Autodial</t>
        </is>
      </c>
      <c r="L3674" t="n">
        <v>3</v>
      </c>
      <c r="M3674" t="inlineStr">
        <is>
          <t>2026-06-23 09:47:34</t>
        </is>
      </c>
      <c r="N3674" t="inlineStr">
        <is>
          <t>system</t>
        </is>
      </c>
      <c r="O3674" t="inlineStr">
        <is>
          <t>2026-06-19 07:10:32</t>
        </is>
      </c>
      <c r="P3674" t="inlineStr">
        <is>
          <t>2026-06-19 07:10:32</t>
        </is>
      </c>
      <c r="Y3674" t="inlineStr">
        <is>
          <t>27828456852</t>
        </is>
      </c>
    </row>
    <row r="3675">
      <c r="A3675" t="inlineStr">
        <is>
          <t>14946458</t>
        </is>
      </c>
      <c r="B3675" t="inlineStr">
        <is>
          <t>4c1f9aac-9229-4149-8b8c-955a53a883a9</t>
        </is>
      </c>
      <c r="D3675" t="inlineStr">
        <is>
          <t>30001087</t>
        </is>
      </c>
      <c r="E3675" t="inlineStr">
        <is>
          <t>ussd_funeral_leads_altitude_20260619</t>
        </is>
      </c>
      <c r="J3675" t="inlineStr">
        <is>
          <t>AA</t>
        </is>
      </c>
      <c r="K3675" t="inlineStr">
        <is>
          <t>Answering Machine Autodial</t>
        </is>
      </c>
      <c r="L3675" t="n">
        <v>3</v>
      </c>
      <c r="M3675" t="inlineStr">
        <is>
          <t>2026-06-23 09:47:33</t>
        </is>
      </c>
      <c r="N3675" t="inlineStr">
        <is>
          <t>system</t>
        </is>
      </c>
      <c r="O3675" t="inlineStr">
        <is>
          <t>2026-06-19 07:10:32</t>
        </is>
      </c>
      <c r="P3675" t="inlineStr">
        <is>
          <t>2026-06-19 07:10:32</t>
        </is>
      </c>
      <c r="Y3675" t="inlineStr">
        <is>
          <t>27607919224</t>
        </is>
      </c>
    </row>
    <row r="3676">
      <c r="A3676" t="inlineStr">
        <is>
          <t>14946459</t>
        </is>
      </c>
      <c r="B3676" t="inlineStr">
        <is>
          <t>259839a6-9272-45cb-abc2-547f55a75d84</t>
        </is>
      </c>
      <c r="D3676" t="inlineStr">
        <is>
          <t>30001087</t>
        </is>
      </c>
      <c r="E3676" t="inlineStr">
        <is>
          <t>ussd_funeral_leads_altitude_20260619</t>
        </is>
      </c>
      <c r="J3676" t="inlineStr">
        <is>
          <t>AA</t>
        </is>
      </c>
      <c r="K3676" t="inlineStr">
        <is>
          <t>Answering Machine Autodial</t>
        </is>
      </c>
      <c r="L3676" t="n">
        <v>3</v>
      </c>
      <c r="M3676" t="inlineStr">
        <is>
          <t>2026-06-23 09:47:33</t>
        </is>
      </c>
      <c r="N3676" t="inlineStr">
        <is>
          <t>system</t>
        </is>
      </c>
      <c r="O3676" t="inlineStr">
        <is>
          <t>2026-06-19 07:10:32</t>
        </is>
      </c>
      <c r="P3676" t="inlineStr">
        <is>
          <t>2026-06-19 07:10:32</t>
        </is>
      </c>
      <c r="Y3676" t="inlineStr">
        <is>
          <t>27725431337</t>
        </is>
      </c>
    </row>
    <row r="3677">
      <c r="A3677" t="inlineStr">
        <is>
          <t>14946460</t>
        </is>
      </c>
      <c r="B3677" t="inlineStr">
        <is>
          <t>39426b73-bdb8-4a1a-98c3-cd8ceef8fe94</t>
        </is>
      </c>
      <c r="D3677" t="inlineStr">
        <is>
          <t>30001087</t>
        </is>
      </c>
      <c r="E3677" t="inlineStr">
        <is>
          <t>ussd_funeral_leads_altitude_20260619</t>
        </is>
      </c>
      <c r="J3677" t="inlineStr">
        <is>
          <t>AA</t>
        </is>
      </c>
      <c r="K3677" t="inlineStr">
        <is>
          <t>Answering Machine Autodial</t>
        </is>
      </c>
      <c r="L3677" t="n">
        <v>3</v>
      </c>
      <c r="M3677" t="inlineStr">
        <is>
          <t>2026-06-23 09:47:33</t>
        </is>
      </c>
      <c r="N3677" t="inlineStr">
        <is>
          <t>system</t>
        </is>
      </c>
      <c r="O3677" t="inlineStr">
        <is>
          <t>2026-06-19 07:10:32</t>
        </is>
      </c>
      <c r="P3677" t="inlineStr">
        <is>
          <t>2026-06-19 07:10:32</t>
        </is>
      </c>
      <c r="Y3677" t="inlineStr">
        <is>
          <t>27664302209</t>
        </is>
      </c>
    </row>
    <row r="3678">
      <c r="A3678" t="inlineStr">
        <is>
          <t>14946461</t>
        </is>
      </c>
      <c r="B3678" t="inlineStr">
        <is>
          <t>9656ad4f-4800-4d02-aa60-54358cc1ad9d</t>
        </is>
      </c>
      <c r="D3678" t="inlineStr">
        <is>
          <t>30001087</t>
        </is>
      </c>
      <c r="E3678" t="inlineStr">
        <is>
          <t>ussd_funeral_leads_altitude_20260619</t>
        </is>
      </c>
      <c r="J3678" t="inlineStr">
        <is>
          <t>AA</t>
        </is>
      </c>
      <c r="K3678" t="inlineStr">
        <is>
          <t>Answering Machine Autodial</t>
        </is>
      </c>
      <c r="L3678" t="n">
        <v>3</v>
      </c>
      <c r="M3678" t="inlineStr">
        <is>
          <t>2026-06-23 09:47:33</t>
        </is>
      </c>
      <c r="N3678" t="inlineStr">
        <is>
          <t>system</t>
        </is>
      </c>
      <c r="O3678" t="inlineStr">
        <is>
          <t>2026-06-19 07:10:32</t>
        </is>
      </c>
      <c r="P3678" t="inlineStr">
        <is>
          <t>2026-06-19 07:10:32</t>
        </is>
      </c>
      <c r="Y3678" t="inlineStr">
        <is>
          <t>27663332392</t>
        </is>
      </c>
    </row>
    <row r="3679">
      <c r="A3679" t="inlineStr">
        <is>
          <t>14947689</t>
        </is>
      </c>
      <c r="B3679" t="inlineStr">
        <is>
          <t>9271a6cc-13b4-4eb8-8303-7f1923702517</t>
        </is>
      </c>
      <c r="D3679" t="inlineStr">
        <is>
          <t>30001087</t>
        </is>
      </c>
      <c r="E3679" t="inlineStr">
        <is>
          <t>ussd_funeral_leads_altitude_20260619</t>
        </is>
      </c>
      <c r="J3679" t="inlineStr">
        <is>
          <t>AE</t>
        </is>
      </c>
      <c r="K3679" t="inlineStr">
        <is>
          <t>Auto Engaged</t>
        </is>
      </c>
      <c r="L3679" t="n">
        <v>3</v>
      </c>
      <c r="M3679" t="inlineStr">
        <is>
          <t>2026-06-23 09:47:33</t>
        </is>
      </c>
      <c r="N3679" t="inlineStr">
        <is>
          <t>system</t>
        </is>
      </c>
      <c r="O3679" t="inlineStr">
        <is>
          <t>2026-06-19 07:10:32</t>
        </is>
      </c>
      <c r="P3679" t="inlineStr">
        <is>
          <t>2026-06-19 07:10:32</t>
        </is>
      </c>
      <c r="Y3679" t="inlineStr">
        <is>
          <t>27720908604</t>
        </is>
      </c>
    </row>
    <row r="3680">
      <c r="A3680" t="inlineStr">
        <is>
          <t>14946760</t>
        </is>
      </c>
      <c r="B3680" t="inlineStr">
        <is>
          <t>6253c4cc-5b81-4bd0-918f-dee01e148c51</t>
        </is>
      </c>
      <c r="D3680" t="inlineStr">
        <is>
          <t>30001087</t>
        </is>
      </c>
      <c r="E3680" t="inlineStr">
        <is>
          <t>ussd_funeral_leads_altitude_20260619</t>
        </is>
      </c>
      <c r="J3680" t="inlineStr">
        <is>
          <t>AA</t>
        </is>
      </c>
      <c r="K3680" t="inlineStr">
        <is>
          <t>Answering Machine Autodial</t>
        </is>
      </c>
      <c r="L3680" t="n">
        <v>3</v>
      </c>
      <c r="M3680" t="inlineStr">
        <is>
          <t>2026-06-23 09:46:08</t>
        </is>
      </c>
      <c r="N3680" t="inlineStr">
        <is>
          <t>system</t>
        </is>
      </c>
      <c r="O3680" t="inlineStr">
        <is>
          <t>2026-06-19 07:10:32</t>
        </is>
      </c>
      <c r="P3680" t="inlineStr">
        <is>
          <t>2026-06-19 07:10:32</t>
        </is>
      </c>
      <c r="Y3680" t="inlineStr">
        <is>
          <t>27818899263</t>
        </is>
      </c>
    </row>
    <row r="3681">
      <c r="A3681" t="inlineStr">
        <is>
          <t>14946761</t>
        </is>
      </c>
      <c r="B3681" t="inlineStr">
        <is>
          <t>ab020911-93fc-4668-8750-3550b0c167ea</t>
        </is>
      </c>
      <c r="D3681" t="inlineStr">
        <is>
          <t>30001087</t>
        </is>
      </c>
      <c r="E3681" t="inlineStr">
        <is>
          <t>ussd_funeral_leads_altitude_20260619</t>
        </is>
      </c>
      <c r="J3681" t="inlineStr">
        <is>
          <t>AA</t>
        </is>
      </c>
      <c r="K3681" t="inlineStr">
        <is>
          <t>Answering Machine Autodial</t>
        </is>
      </c>
      <c r="L3681" t="n">
        <v>3</v>
      </c>
      <c r="M3681" t="inlineStr">
        <is>
          <t>2026-06-23 09:46:08</t>
        </is>
      </c>
      <c r="N3681" t="inlineStr">
        <is>
          <t>system</t>
        </is>
      </c>
      <c r="O3681" t="inlineStr">
        <is>
          <t>2026-06-19 07:10:32</t>
        </is>
      </c>
      <c r="P3681" t="inlineStr">
        <is>
          <t>2026-06-19 07:10:32</t>
        </is>
      </c>
      <c r="Y3681" t="inlineStr">
        <is>
          <t>27660539254</t>
        </is>
      </c>
    </row>
    <row r="3682">
      <c r="A3682" t="inlineStr">
        <is>
          <t>14946623</t>
        </is>
      </c>
      <c r="B3682" t="inlineStr">
        <is>
          <t>27b0e8df-1f71-43ee-9188-f87c88011997</t>
        </is>
      </c>
      <c r="D3682" t="inlineStr">
        <is>
          <t>30001087</t>
        </is>
      </c>
      <c r="E3682" t="inlineStr">
        <is>
          <t>ussd_funeral_leads_altitude_20260619</t>
        </is>
      </c>
      <c r="J3682" t="inlineStr">
        <is>
          <t>NA</t>
        </is>
      </c>
      <c r="K3682" t="inlineStr">
        <is>
          <t>No Answer Autodial</t>
        </is>
      </c>
      <c r="L3682" t="n">
        <v>3</v>
      </c>
      <c r="M3682" t="inlineStr">
        <is>
          <t>2026-06-23 09:46:07</t>
        </is>
      </c>
      <c r="N3682" t="inlineStr">
        <is>
          <t>system</t>
        </is>
      </c>
      <c r="O3682" t="inlineStr">
        <is>
          <t>2026-06-19 07:10:32</t>
        </is>
      </c>
      <c r="P3682" t="inlineStr">
        <is>
          <t>2026-06-19 07:10:32</t>
        </is>
      </c>
      <c r="Y3682" t="inlineStr">
        <is>
          <t>27796307578</t>
        </is>
      </c>
    </row>
    <row r="3683">
      <c r="A3683" t="inlineStr">
        <is>
          <t>14946759</t>
        </is>
      </c>
      <c r="B3683" t="inlineStr">
        <is>
          <t>bb07e89f-c5a2-4a21-a943-b199d6b43ea2</t>
        </is>
      </c>
      <c r="D3683" t="inlineStr">
        <is>
          <t>30001087</t>
        </is>
      </c>
      <c r="E3683" t="inlineStr">
        <is>
          <t>ussd_funeral_leads_altitude_20260619</t>
        </is>
      </c>
      <c r="J3683" t="inlineStr">
        <is>
          <t>U</t>
        </is>
      </c>
      <c r="K3683" t="inlineStr">
        <is>
          <t>Unemployed</t>
        </is>
      </c>
      <c r="L3683" t="n">
        <v>3</v>
      </c>
      <c r="M3683" t="inlineStr">
        <is>
          <t>2026-06-23 09:46:07</t>
        </is>
      </c>
      <c r="N3683" t="inlineStr">
        <is>
          <t>Lebohang Mabotja</t>
        </is>
      </c>
      <c r="O3683" t="inlineStr">
        <is>
          <t>2026-06-19 07:10:32</t>
        </is>
      </c>
      <c r="P3683" t="inlineStr">
        <is>
          <t>2026-06-19 07:10:32</t>
        </is>
      </c>
      <c r="Y3683" t="inlineStr">
        <is>
          <t>27660924980</t>
        </is>
      </c>
    </row>
    <row r="3684">
      <c r="A3684" t="inlineStr">
        <is>
          <t>14946620</t>
        </is>
      </c>
      <c r="B3684" t="inlineStr">
        <is>
          <t>283b3fc7-174a-4f0b-8d13-9883c407182d</t>
        </is>
      </c>
      <c r="D3684" t="inlineStr">
        <is>
          <t>30001087</t>
        </is>
      </c>
      <c r="E3684" t="inlineStr">
        <is>
          <t>ussd_funeral_leads_altitude_20260619</t>
        </is>
      </c>
      <c r="J3684" t="inlineStr">
        <is>
          <t>DROP</t>
        </is>
      </c>
      <c r="K3684" t="inlineStr">
        <is>
          <t>Dropped</t>
        </is>
      </c>
      <c r="L3684" t="n">
        <v>3</v>
      </c>
      <c r="M3684" t="inlineStr">
        <is>
          <t>2026-06-23 09:46:06</t>
        </is>
      </c>
      <c r="N3684" t="inlineStr">
        <is>
          <t>system</t>
        </is>
      </c>
      <c r="O3684" t="inlineStr">
        <is>
          <t>2026-06-19 07:10:32</t>
        </is>
      </c>
      <c r="P3684" t="inlineStr">
        <is>
          <t>2026-06-19 07:10:32</t>
        </is>
      </c>
      <c r="Y3684" t="inlineStr">
        <is>
          <t>27675964260</t>
        </is>
      </c>
    </row>
    <row r="3685">
      <c r="A3685" t="inlineStr">
        <is>
          <t>14946621</t>
        </is>
      </c>
      <c r="B3685" t="inlineStr">
        <is>
          <t>f09584da-393f-476a-9b57-db84d5744f5c</t>
        </is>
      </c>
      <c r="D3685" t="inlineStr">
        <is>
          <t>30001087</t>
        </is>
      </c>
      <c r="E3685" t="inlineStr">
        <is>
          <t>ussd_funeral_leads_altitude_20260619</t>
        </is>
      </c>
      <c r="J3685" t="inlineStr">
        <is>
          <t>NA</t>
        </is>
      </c>
      <c r="K3685" t="inlineStr">
        <is>
          <t>No Answer Autodial</t>
        </is>
      </c>
      <c r="L3685" t="n">
        <v>3</v>
      </c>
      <c r="M3685" t="inlineStr">
        <is>
          <t>2026-06-23 09:46:06</t>
        </is>
      </c>
      <c r="N3685" t="inlineStr">
        <is>
          <t>system</t>
        </is>
      </c>
      <c r="O3685" t="inlineStr">
        <is>
          <t>2026-06-19 07:10:32</t>
        </is>
      </c>
      <c r="P3685" t="inlineStr">
        <is>
          <t>2026-06-19 07:10:32</t>
        </is>
      </c>
      <c r="Y3685" t="inlineStr">
        <is>
          <t>27673150654</t>
        </is>
      </c>
    </row>
    <row r="3686">
      <c r="A3686" t="inlineStr">
        <is>
          <t>14946622</t>
        </is>
      </c>
      <c r="B3686" t="inlineStr">
        <is>
          <t>926f92cc-d258-4c6e-bc35-a64565d026ce</t>
        </is>
      </c>
      <c r="D3686" t="inlineStr">
        <is>
          <t>30001087</t>
        </is>
      </c>
      <c r="E3686" t="inlineStr">
        <is>
          <t>ussd_funeral_leads_altitude_20260619</t>
        </is>
      </c>
      <c r="J3686" t="inlineStr">
        <is>
          <t>ADC</t>
        </is>
      </c>
      <c r="K3686" t="inlineStr">
        <is>
          <t>Auto Dial Disconnected</t>
        </is>
      </c>
      <c r="L3686" t="n">
        <v>3</v>
      </c>
      <c r="M3686" t="inlineStr">
        <is>
          <t>2026-06-23 09:46:06</t>
        </is>
      </c>
      <c r="N3686" t="inlineStr">
        <is>
          <t>system</t>
        </is>
      </c>
      <c r="O3686" t="inlineStr">
        <is>
          <t>2026-06-19 07:10:32</t>
        </is>
      </c>
      <c r="P3686" t="inlineStr">
        <is>
          <t>2026-06-19 07:10:32</t>
        </is>
      </c>
      <c r="Y3686" t="inlineStr">
        <is>
          <t>27794318557</t>
        </is>
      </c>
    </row>
    <row r="3687">
      <c r="A3687" t="inlineStr">
        <is>
          <t>14946619</t>
        </is>
      </c>
      <c r="B3687" t="inlineStr">
        <is>
          <t>ab31e432-5fee-459b-9b4b-629f66ebcdda</t>
        </is>
      </c>
      <c r="D3687" t="inlineStr">
        <is>
          <t>30001087</t>
        </is>
      </c>
      <c r="E3687" t="inlineStr">
        <is>
          <t>ussd_funeral_leads_altitude_20260619</t>
        </is>
      </c>
      <c r="J3687" t="inlineStr">
        <is>
          <t>ADC</t>
        </is>
      </c>
      <c r="K3687" t="inlineStr">
        <is>
          <t>Auto Dial Disconnected</t>
        </is>
      </c>
      <c r="L3687" t="n">
        <v>3</v>
      </c>
      <c r="M3687" t="inlineStr">
        <is>
          <t>2026-06-23 09:46:03</t>
        </is>
      </c>
      <c r="N3687" t="inlineStr">
        <is>
          <t>system</t>
        </is>
      </c>
      <c r="O3687" t="inlineStr">
        <is>
          <t>2026-06-19 07:10:32</t>
        </is>
      </c>
      <c r="P3687" t="inlineStr">
        <is>
          <t>2026-06-19 07:10:32</t>
        </is>
      </c>
      <c r="Y3687" t="inlineStr">
        <is>
          <t>27725778604</t>
        </is>
      </c>
    </row>
    <row r="3688">
      <c r="A3688" t="inlineStr">
        <is>
          <t>14946618</t>
        </is>
      </c>
      <c r="B3688" t="inlineStr">
        <is>
          <t>139a17d5-60ee-4478-8f23-ef50562e08b6</t>
        </is>
      </c>
      <c r="D3688" t="inlineStr">
        <is>
          <t>30001087</t>
        </is>
      </c>
      <c r="E3688" t="inlineStr">
        <is>
          <t>ussd_funeral_leads_altitude_20260619</t>
        </is>
      </c>
      <c r="J3688" t="inlineStr">
        <is>
          <t>AA</t>
        </is>
      </c>
      <c r="K3688" t="inlineStr">
        <is>
          <t>Answering Machine Autodial</t>
        </is>
      </c>
      <c r="L3688" t="n">
        <v>3</v>
      </c>
      <c r="M3688" t="inlineStr">
        <is>
          <t>2026-06-23 09:46:01</t>
        </is>
      </c>
      <c r="N3688" t="inlineStr">
        <is>
          <t>system</t>
        </is>
      </c>
      <c r="O3688" t="inlineStr">
        <is>
          <t>2026-06-19 07:10:32</t>
        </is>
      </c>
      <c r="P3688" t="inlineStr">
        <is>
          <t>2026-06-19 07:10:32</t>
        </is>
      </c>
      <c r="Y3688" t="inlineStr">
        <is>
          <t>27674495077</t>
        </is>
      </c>
    </row>
    <row r="3689">
      <c r="A3689" t="inlineStr">
        <is>
          <t>14946614</t>
        </is>
      </c>
      <c r="B3689" t="inlineStr">
        <is>
          <t>851d4b2b-15ef-4ed7-825d-37210397a27f</t>
        </is>
      </c>
      <c r="D3689" t="inlineStr">
        <is>
          <t>30001087</t>
        </is>
      </c>
      <c r="E3689" t="inlineStr">
        <is>
          <t>ussd_funeral_leads_altitude_20260619</t>
        </is>
      </c>
      <c r="J3689" t="inlineStr">
        <is>
          <t>AA</t>
        </is>
      </c>
      <c r="K3689" t="inlineStr">
        <is>
          <t>Answering Machine Autodial</t>
        </is>
      </c>
      <c r="L3689" t="n">
        <v>3</v>
      </c>
      <c r="M3689" t="inlineStr">
        <is>
          <t>2026-06-23 09:45:52</t>
        </is>
      </c>
      <c r="N3689" t="inlineStr">
        <is>
          <t>system</t>
        </is>
      </c>
      <c r="O3689" t="inlineStr">
        <is>
          <t>2026-06-19 07:10:32</t>
        </is>
      </c>
      <c r="P3689" t="inlineStr">
        <is>
          <t>2026-06-19 07:10:32</t>
        </is>
      </c>
      <c r="Y3689" t="inlineStr">
        <is>
          <t>27790245954</t>
        </is>
      </c>
    </row>
    <row r="3690">
      <c r="A3690" t="inlineStr">
        <is>
          <t>14946616</t>
        </is>
      </c>
      <c r="B3690" t="inlineStr">
        <is>
          <t>1b61ebd3-ab88-4930-8c6f-0dae1d9172b3</t>
        </is>
      </c>
      <c r="D3690" t="inlineStr">
        <is>
          <t>30001087</t>
        </is>
      </c>
      <c r="E3690" t="inlineStr">
        <is>
          <t>ussd_funeral_leads_altitude_20260619</t>
        </is>
      </c>
      <c r="J3690" t="inlineStr">
        <is>
          <t>AA</t>
        </is>
      </c>
      <c r="K3690" t="inlineStr">
        <is>
          <t>Answering Machine Autodial</t>
        </is>
      </c>
      <c r="L3690" t="n">
        <v>3</v>
      </c>
      <c r="M3690" t="inlineStr">
        <is>
          <t>2026-06-23 09:45:52</t>
        </is>
      </c>
      <c r="N3690" t="inlineStr">
        <is>
          <t>system</t>
        </is>
      </c>
      <c r="O3690" t="inlineStr">
        <is>
          <t>2026-06-19 07:10:32</t>
        </is>
      </c>
      <c r="P3690" t="inlineStr">
        <is>
          <t>2026-06-19 07:10:32</t>
        </is>
      </c>
      <c r="Y3690" t="inlineStr">
        <is>
          <t>27793468917</t>
        </is>
      </c>
    </row>
    <row r="3691">
      <c r="A3691" t="inlineStr">
        <is>
          <t>14946617</t>
        </is>
      </c>
      <c r="B3691" t="inlineStr">
        <is>
          <t>64c52549-ab4d-4a3c-9101-dcfe37a1eec0</t>
        </is>
      </c>
      <c r="D3691" t="inlineStr">
        <is>
          <t>30001087</t>
        </is>
      </c>
      <c r="E3691" t="inlineStr">
        <is>
          <t>ussd_funeral_leads_altitude_20260619</t>
        </is>
      </c>
      <c r="J3691" t="inlineStr">
        <is>
          <t>AA</t>
        </is>
      </c>
      <c r="K3691" t="inlineStr">
        <is>
          <t>Answering Machine Autodial</t>
        </is>
      </c>
      <c r="L3691" t="n">
        <v>3</v>
      </c>
      <c r="M3691" t="inlineStr">
        <is>
          <t>2026-06-23 09:45:52</t>
        </is>
      </c>
      <c r="N3691" t="inlineStr">
        <is>
          <t>system</t>
        </is>
      </c>
      <c r="O3691" t="inlineStr">
        <is>
          <t>2026-06-19 07:10:32</t>
        </is>
      </c>
      <c r="P3691" t="inlineStr">
        <is>
          <t>2026-06-19 07:10:32</t>
        </is>
      </c>
      <c r="Y3691" t="inlineStr">
        <is>
          <t>27725718359</t>
        </is>
      </c>
    </row>
    <row r="3692">
      <c r="A3692" t="inlineStr">
        <is>
          <t>14946610</t>
        </is>
      </c>
      <c r="B3692" t="inlineStr">
        <is>
          <t>9ea842c3-f6de-44bc-9b5c-72586e2fcd61</t>
        </is>
      </c>
      <c r="D3692" t="inlineStr">
        <is>
          <t>30001087</t>
        </is>
      </c>
      <c r="E3692" t="inlineStr">
        <is>
          <t>ussd_funeral_leads_altitude_20260619</t>
        </is>
      </c>
      <c r="J3692" t="inlineStr">
        <is>
          <t>NA</t>
        </is>
      </c>
      <c r="K3692" t="inlineStr">
        <is>
          <t>No Answer Autodial</t>
        </is>
      </c>
      <c r="L3692" t="n">
        <v>3</v>
      </c>
      <c r="M3692" t="inlineStr">
        <is>
          <t>2026-06-23 09:45:49</t>
        </is>
      </c>
      <c r="N3692" t="inlineStr">
        <is>
          <t>system</t>
        </is>
      </c>
      <c r="O3692" t="inlineStr">
        <is>
          <t>2026-06-19 07:10:32</t>
        </is>
      </c>
      <c r="P3692" t="inlineStr">
        <is>
          <t>2026-06-19 07:10:32</t>
        </is>
      </c>
      <c r="Y3692" t="inlineStr">
        <is>
          <t>27729562978</t>
        </is>
      </c>
    </row>
    <row r="3693">
      <c r="A3693" t="inlineStr">
        <is>
          <t>14946611</t>
        </is>
      </c>
      <c r="B3693" t="inlineStr">
        <is>
          <t>698b0e6f-b4c2-45a9-8412-1cba09b13526</t>
        </is>
      </c>
      <c r="D3693" t="inlineStr">
        <is>
          <t>30001087</t>
        </is>
      </c>
      <c r="E3693" t="inlineStr">
        <is>
          <t>ussd_funeral_leads_altitude_20260619</t>
        </is>
      </c>
      <c r="J3693" t="inlineStr">
        <is>
          <t>AE</t>
        </is>
      </c>
      <c r="K3693" t="inlineStr">
        <is>
          <t>Auto Engaged</t>
        </is>
      </c>
      <c r="L3693" t="n">
        <v>3</v>
      </c>
      <c r="M3693" t="inlineStr">
        <is>
          <t>2026-06-23 09:45:49</t>
        </is>
      </c>
      <c r="N3693" t="inlineStr">
        <is>
          <t>system</t>
        </is>
      </c>
      <c r="O3693" t="inlineStr">
        <is>
          <t>2026-06-19 07:10:32</t>
        </is>
      </c>
      <c r="P3693" t="inlineStr">
        <is>
          <t>2026-06-19 07:10:32</t>
        </is>
      </c>
      <c r="Y3693" t="inlineStr">
        <is>
          <t>27646526240</t>
        </is>
      </c>
    </row>
    <row r="3694">
      <c r="A3694" t="inlineStr">
        <is>
          <t>14946612</t>
        </is>
      </c>
      <c r="B3694" t="inlineStr">
        <is>
          <t>23d5a731-f865-4d8e-8e1d-3eb2c7ecdb28</t>
        </is>
      </c>
      <c r="D3694" t="inlineStr">
        <is>
          <t>30001087</t>
        </is>
      </c>
      <c r="E3694" t="inlineStr">
        <is>
          <t>ussd_funeral_leads_altitude_20260619</t>
        </is>
      </c>
      <c r="J3694" t="inlineStr">
        <is>
          <t>ADC</t>
        </is>
      </c>
      <c r="K3694" t="inlineStr">
        <is>
          <t>Auto Dial Disconnected</t>
        </is>
      </c>
      <c r="L3694" t="n">
        <v>3</v>
      </c>
      <c r="M3694" t="inlineStr">
        <is>
          <t>2026-06-23 09:45:49</t>
        </is>
      </c>
      <c r="N3694" t="inlineStr">
        <is>
          <t>system</t>
        </is>
      </c>
      <c r="O3694" t="inlineStr">
        <is>
          <t>2026-06-19 07:10:32</t>
        </is>
      </c>
      <c r="P3694" t="inlineStr">
        <is>
          <t>2026-06-19 07:10:32</t>
        </is>
      </c>
      <c r="Y3694" t="inlineStr">
        <is>
          <t>27664136826</t>
        </is>
      </c>
    </row>
    <row r="3695">
      <c r="A3695" t="inlineStr">
        <is>
          <t>14946613</t>
        </is>
      </c>
      <c r="B3695" t="inlineStr">
        <is>
          <t>d5c17078-1c4b-4164-95ee-36d265257f7e</t>
        </is>
      </c>
      <c r="D3695" t="inlineStr">
        <is>
          <t>30001087</t>
        </is>
      </c>
      <c r="E3695" t="inlineStr">
        <is>
          <t>ussd_funeral_leads_altitude_20260619</t>
        </is>
      </c>
      <c r="J3695" t="inlineStr">
        <is>
          <t>AA</t>
        </is>
      </c>
      <c r="K3695" t="inlineStr">
        <is>
          <t>Answering Machine Autodial</t>
        </is>
      </c>
      <c r="L3695" t="n">
        <v>3</v>
      </c>
      <c r="M3695" t="inlineStr">
        <is>
          <t>2026-06-23 09:45:49</t>
        </is>
      </c>
      <c r="N3695" t="inlineStr">
        <is>
          <t>system</t>
        </is>
      </c>
      <c r="O3695" t="inlineStr">
        <is>
          <t>2026-06-19 07:10:32</t>
        </is>
      </c>
      <c r="P3695" t="inlineStr">
        <is>
          <t>2026-06-19 07:10:32</t>
        </is>
      </c>
      <c r="Y3695" t="inlineStr">
        <is>
          <t>27820456758</t>
        </is>
      </c>
    </row>
    <row r="3696">
      <c r="A3696" t="inlineStr">
        <is>
          <t>14946608</t>
        </is>
      </c>
      <c r="B3696" t="inlineStr">
        <is>
          <t>782f1bd5-f07b-4eae-84d1-1fd41f8a62db</t>
        </is>
      </c>
      <c r="D3696" t="inlineStr">
        <is>
          <t>30001087</t>
        </is>
      </c>
      <c r="E3696" t="inlineStr">
        <is>
          <t>ussd_funeral_leads_altitude_20260619</t>
        </is>
      </c>
      <c r="J3696" t="inlineStr">
        <is>
          <t>CU</t>
        </is>
      </c>
      <c r="K3696" t="inlineStr">
        <is>
          <t>Client Hung Up</t>
        </is>
      </c>
      <c r="L3696" t="n">
        <v>3</v>
      </c>
      <c r="M3696" t="inlineStr">
        <is>
          <t>2026-06-23 09:45:48</t>
        </is>
      </c>
      <c r="N3696" t="inlineStr">
        <is>
          <t>Goitsimang Mogwasa</t>
        </is>
      </c>
      <c r="O3696" t="inlineStr">
        <is>
          <t>2026-06-19 07:10:32</t>
        </is>
      </c>
      <c r="P3696" t="inlineStr">
        <is>
          <t>2026-06-19 07:10:32</t>
        </is>
      </c>
      <c r="Y3696" t="inlineStr">
        <is>
          <t>27795152373</t>
        </is>
      </c>
    </row>
    <row r="3697">
      <c r="A3697" t="inlineStr">
        <is>
          <t>14946609</t>
        </is>
      </c>
      <c r="B3697" t="inlineStr">
        <is>
          <t>253f048e-047d-4f67-bbff-2e9532e9d72e</t>
        </is>
      </c>
      <c r="D3697" t="inlineStr">
        <is>
          <t>30001087</t>
        </is>
      </c>
      <c r="E3697" t="inlineStr">
        <is>
          <t>ussd_funeral_leads_altitude_20260619</t>
        </is>
      </c>
      <c r="J3697" t="inlineStr">
        <is>
          <t>AA</t>
        </is>
      </c>
      <c r="K3697" t="inlineStr">
        <is>
          <t>Answering Machine Autodial</t>
        </is>
      </c>
      <c r="L3697" t="n">
        <v>3</v>
      </c>
      <c r="M3697" t="inlineStr">
        <is>
          <t>2026-06-23 09:45:48</t>
        </is>
      </c>
      <c r="N3697" t="inlineStr">
        <is>
          <t>system</t>
        </is>
      </c>
      <c r="O3697" t="inlineStr">
        <is>
          <t>2026-06-19 07:10:32</t>
        </is>
      </c>
      <c r="P3697" t="inlineStr">
        <is>
          <t>2026-06-19 07:10:32</t>
        </is>
      </c>
      <c r="Y3697" t="inlineStr">
        <is>
          <t>27791676855</t>
        </is>
      </c>
    </row>
    <row r="3698">
      <c r="A3698" t="inlineStr">
        <is>
          <t>14946607</t>
        </is>
      </c>
      <c r="B3698" t="inlineStr">
        <is>
          <t>212f55af-a3cc-45e7-8a76-53b4b9bbb995</t>
        </is>
      </c>
      <c r="D3698" t="inlineStr">
        <is>
          <t>30001087</t>
        </is>
      </c>
      <c r="E3698" t="inlineStr">
        <is>
          <t>ussd_funeral_leads_altitude_20260619</t>
        </is>
      </c>
      <c r="J3698" t="inlineStr">
        <is>
          <t>AA</t>
        </is>
      </c>
      <c r="K3698" t="inlineStr">
        <is>
          <t>Answering Machine Autodial</t>
        </is>
      </c>
      <c r="L3698" t="n">
        <v>3</v>
      </c>
      <c r="M3698" t="inlineStr">
        <is>
          <t>2026-06-23 09:45:47</t>
        </is>
      </c>
      <c r="N3698" t="inlineStr">
        <is>
          <t>system</t>
        </is>
      </c>
      <c r="O3698" t="inlineStr">
        <is>
          <t>2026-06-19 07:10:32</t>
        </is>
      </c>
      <c r="P3698" t="inlineStr">
        <is>
          <t>2026-06-19 07:10:32</t>
        </is>
      </c>
      <c r="Y3698" t="inlineStr">
        <is>
          <t>27760496814</t>
        </is>
      </c>
    </row>
    <row r="3699">
      <c r="A3699" t="inlineStr">
        <is>
          <t>14946603</t>
        </is>
      </c>
      <c r="B3699" t="inlineStr">
        <is>
          <t>b667ffc3-76cd-4caa-88a4-436e4135d498</t>
        </is>
      </c>
      <c r="D3699" t="inlineStr">
        <is>
          <t>30001087</t>
        </is>
      </c>
      <c r="E3699" t="inlineStr">
        <is>
          <t>ussd_funeral_leads_altitude_20260619</t>
        </is>
      </c>
      <c r="J3699" t="inlineStr">
        <is>
          <t>TDN</t>
        </is>
      </c>
      <c r="K3699" t="inlineStr">
        <is>
          <t>Temporary Disconnected Number</t>
        </is>
      </c>
      <c r="L3699" t="n">
        <v>3</v>
      </c>
      <c r="M3699" t="inlineStr">
        <is>
          <t>2026-06-23 09:45:46</t>
        </is>
      </c>
      <c r="N3699" t="inlineStr">
        <is>
          <t>system</t>
        </is>
      </c>
      <c r="O3699" t="inlineStr">
        <is>
          <t>2026-06-19 07:10:32</t>
        </is>
      </c>
      <c r="P3699" t="inlineStr">
        <is>
          <t>2026-06-19 07:10:32</t>
        </is>
      </c>
      <c r="Y3699" t="inlineStr">
        <is>
          <t>27607004234</t>
        </is>
      </c>
    </row>
    <row r="3700">
      <c r="A3700" t="inlineStr">
        <is>
          <t>14900000</t>
        </is>
      </c>
      <c r="B3700" t="inlineStr">
        <is>
          <t>6e866844-d0bb-45c6-b488-05ec9eed2e8b</t>
        </is>
      </c>
      <c r="D3700" t="inlineStr">
        <is>
          <t>30001087</t>
        </is>
      </c>
      <c r="E3700" t="inlineStr">
        <is>
          <t>ussd_funeral_leads_altitude_20260619</t>
        </is>
      </c>
      <c r="J3700" t="inlineStr">
        <is>
          <t>AA</t>
        </is>
      </c>
      <c r="K3700" t="inlineStr">
        <is>
          <t>Answering Machine Autodial</t>
        </is>
      </c>
      <c r="L3700" t="n">
        <v>3</v>
      </c>
      <c r="M3700" t="inlineStr">
        <is>
          <t>2026-06-23 09:45:43</t>
        </is>
      </c>
      <c r="N3700" t="inlineStr">
        <is>
          <t>system</t>
        </is>
      </c>
      <c r="O3700" t="inlineStr">
        <is>
          <t>2026-06-19 07:10:32</t>
        </is>
      </c>
      <c r="P3700" t="inlineStr">
        <is>
          <t>2026-06-19 07:10:32</t>
        </is>
      </c>
      <c r="Y3700" t="inlineStr">
        <is>
          <t>27799711965</t>
        </is>
      </c>
    </row>
    <row r="3701">
      <c r="A3701" t="inlineStr">
        <is>
          <t>14946602</t>
        </is>
      </c>
      <c r="B3701" t="inlineStr">
        <is>
          <t>37f97c17-3cb5-4da5-9511-d30b8dd62b52</t>
        </is>
      </c>
      <c r="D3701" t="inlineStr">
        <is>
          <t>30001087</t>
        </is>
      </c>
      <c r="E3701" t="inlineStr">
        <is>
          <t>ussd_funeral_leads_altitude_20260619</t>
        </is>
      </c>
      <c r="J3701" t="inlineStr">
        <is>
          <t>AA</t>
        </is>
      </c>
      <c r="K3701" t="inlineStr">
        <is>
          <t>Answering Machine Autodial</t>
        </is>
      </c>
      <c r="L3701" t="n">
        <v>3</v>
      </c>
      <c r="M3701" t="inlineStr">
        <is>
          <t>2026-06-23 09:45:43</t>
        </is>
      </c>
      <c r="N3701" t="inlineStr">
        <is>
          <t>system</t>
        </is>
      </c>
      <c r="O3701" t="inlineStr">
        <is>
          <t>2026-06-19 07:10:32</t>
        </is>
      </c>
      <c r="P3701" t="inlineStr">
        <is>
          <t>2026-06-19 07:10:32</t>
        </is>
      </c>
      <c r="Y3701" t="inlineStr">
        <is>
          <t>27724833082</t>
        </is>
      </c>
    </row>
    <row r="3702">
      <c r="A3702" t="inlineStr">
        <is>
          <t>14946600</t>
        </is>
      </c>
      <c r="B3702" t="inlineStr">
        <is>
          <t>27067b42-e44c-4bb8-826c-bf2fc26b9d8d</t>
        </is>
      </c>
      <c r="D3702" t="inlineStr">
        <is>
          <t>30001087</t>
        </is>
      </c>
      <c r="E3702" t="inlineStr">
        <is>
          <t>ussd_funeral_leads_altitude_20260619</t>
        </is>
      </c>
      <c r="J3702" t="inlineStr">
        <is>
          <t>AA</t>
        </is>
      </c>
      <c r="K3702" t="inlineStr">
        <is>
          <t>Answering Machine Autodial</t>
        </is>
      </c>
      <c r="L3702" t="n">
        <v>3</v>
      </c>
      <c r="M3702" t="inlineStr">
        <is>
          <t>2026-06-23 09:45:42</t>
        </is>
      </c>
      <c r="N3702" t="inlineStr">
        <is>
          <t>system</t>
        </is>
      </c>
      <c r="O3702" t="inlineStr">
        <is>
          <t>2026-06-19 07:10:32</t>
        </is>
      </c>
      <c r="P3702" t="inlineStr">
        <is>
          <t>2026-06-19 07:10:32</t>
        </is>
      </c>
      <c r="Y3702" t="inlineStr">
        <is>
          <t>27636503732</t>
        </is>
      </c>
    </row>
    <row r="3703">
      <c r="A3703" t="inlineStr">
        <is>
          <t>14946599</t>
        </is>
      </c>
      <c r="B3703" t="inlineStr">
        <is>
          <t>15b916cd-e7bb-43a9-815e-b590f7243961</t>
        </is>
      </c>
      <c r="D3703" t="inlineStr">
        <is>
          <t>30001087</t>
        </is>
      </c>
      <c r="E3703" t="inlineStr">
        <is>
          <t>ussd_funeral_leads_altitude_20260619</t>
        </is>
      </c>
      <c r="J3703" t="inlineStr">
        <is>
          <t>CUA</t>
        </is>
      </c>
      <c r="K3703" t="inlineStr">
        <is>
          <t>Client Underage</t>
        </is>
      </c>
      <c r="L3703" t="n">
        <v>3</v>
      </c>
      <c r="M3703" t="inlineStr">
        <is>
          <t>2026-06-23 09:45:39</t>
        </is>
      </c>
      <c r="N3703" t="inlineStr">
        <is>
          <t>Dimakatso Nkomo</t>
        </is>
      </c>
      <c r="O3703" t="inlineStr">
        <is>
          <t>2026-06-19 07:10:32</t>
        </is>
      </c>
      <c r="P3703" t="inlineStr">
        <is>
          <t>2026-06-19 07:10:32</t>
        </is>
      </c>
      <c r="Y3703" t="inlineStr">
        <is>
          <t>27715270809</t>
        </is>
      </c>
    </row>
    <row r="3704">
      <c r="A3704" t="inlineStr">
        <is>
          <t>14946596</t>
        </is>
      </c>
      <c r="B3704" t="inlineStr">
        <is>
          <t>0ded6bf9-1f03-4435-b67c-186af8aa6520</t>
        </is>
      </c>
      <c r="D3704" t="inlineStr">
        <is>
          <t>30001087</t>
        </is>
      </c>
      <c r="E3704" t="inlineStr">
        <is>
          <t>ussd_funeral_leads_altitude_20260619</t>
        </is>
      </c>
      <c r="J3704" t="inlineStr">
        <is>
          <t>A</t>
        </is>
      </c>
      <c r="K3704" t="inlineStr">
        <is>
          <t>Answering Machine</t>
        </is>
      </c>
      <c r="L3704" t="n">
        <v>3</v>
      </c>
      <c r="M3704" t="inlineStr">
        <is>
          <t>2026-06-23 09:45:37</t>
        </is>
      </c>
      <c r="N3704" t="inlineStr">
        <is>
          <t>Lebohang Mabotja</t>
        </is>
      </c>
      <c r="O3704" t="inlineStr">
        <is>
          <t>2026-06-19 07:10:32</t>
        </is>
      </c>
      <c r="P3704" t="inlineStr">
        <is>
          <t>2026-06-19 07:10:32</t>
        </is>
      </c>
      <c r="Y3704" t="inlineStr">
        <is>
          <t>27729052064</t>
        </is>
      </c>
    </row>
    <row r="3705">
      <c r="A3705" t="inlineStr">
        <is>
          <t>14946597</t>
        </is>
      </c>
      <c r="B3705" t="inlineStr">
        <is>
          <t>ca142971-a02c-4423-b645-e49e093f2148</t>
        </is>
      </c>
      <c r="D3705" t="inlineStr">
        <is>
          <t>30001087</t>
        </is>
      </c>
      <c r="E3705" t="inlineStr">
        <is>
          <t>ussd_funeral_leads_altitude_20260619</t>
        </is>
      </c>
      <c r="J3705" t="inlineStr">
        <is>
          <t>AA</t>
        </is>
      </c>
      <c r="K3705" t="inlineStr">
        <is>
          <t>Answering Machine Autodial</t>
        </is>
      </c>
      <c r="L3705" t="n">
        <v>3</v>
      </c>
      <c r="M3705" t="inlineStr">
        <is>
          <t>2026-06-23 09:45:37</t>
        </is>
      </c>
      <c r="N3705" t="inlineStr">
        <is>
          <t>system</t>
        </is>
      </c>
      <c r="O3705" t="inlineStr">
        <is>
          <t>2026-06-19 07:10:32</t>
        </is>
      </c>
      <c r="P3705" t="inlineStr">
        <is>
          <t>2026-06-19 07:10:32</t>
        </is>
      </c>
      <c r="Y3705" t="inlineStr">
        <is>
          <t>27720465210</t>
        </is>
      </c>
    </row>
    <row r="3706">
      <c r="A3706" t="inlineStr">
        <is>
          <t>14946598</t>
        </is>
      </c>
      <c r="B3706" t="inlineStr">
        <is>
          <t>6ac9145b-dfff-47d9-a135-88a82196ee2e</t>
        </is>
      </c>
      <c r="D3706" t="inlineStr">
        <is>
          <t>30001087</t>
        </is>
      </c>
      <c r="E3706" t="inlineStr">
        <is>
          <t>ussd_funeral_leads_altitude_20260619</t>
        </is>
      </c>
      <c r="J3706" t="inlineStr">
        <is>
          <t>AA</t>
        </is>
      </c>
      <c r="K3706" t="inlineStr">
        <is>
          <t>Answering Machine Autodial</t>
        </is>
      </c>
      <c r="L3706" t="n">
        <v>3</v>
      </c>
      <c r="M3706" t="inlineStr">
        <is>
          <t>2026-06-23 09:45:37</t>
        </is>
      </c>
      <c r="N3706" t="inlineStr">
        <is>
          <t>system</t>
        </is>
      </c>
      <c r="O3706" t="inlineStr">
        <is>
          <t>2026-06-19 07:10:32</t>
        </is>
      </c>
      <c r="P3706" t="inlineStr">
        <is>
          <t>2026-06-19 07:10:32</t>
        </is>
      </c>
      <c r="Y3706" t="inlineStr">
        <is>
          <t>27674980270</t>
        </is>
      </c>
    </row>
    <row r="3707">
      <c r="A3707" t="inlineStr">
        <is>
          <t>14946528</t>
        </is>
      </c>
      <c r="B3707" t="inlineStr">
        <is>
          <t>6be7e31e-07e7-41aa-a764-5daf610ab432</t>
        </is>
      </c>
      <c r="D3707" t="inlineStr">
        <is>
          <t>30001087</t>
        </is>
      </c>
      <c r="E3707" t="inlineStr">
        <is>
          <t>ussd_funeral_leads_altitude_20260619</t>
        </is>
      </c>
      <c r="J3707" t="inlineStr">
        <is>
          <t>ADC</t>
        </is>
      </c>
      <c r="K3707" t="inlineStr">
        <is>
          <t>Auto Dial Disconnected</t>
        </is>
      </c>
      <c r="L3707" t="n">
        <v>3</v>
      </c>
      <c r="M3707" t="inlineStr">
        <is>
          <t>2026-06-23 09:45:36</t>
        </is>
      </c>
      <c r="N3707" t="inlineStr">
        <is>
          <t>system</t>
        </is>
      </c>
      <c r="O3707" t="inlineStr">
        <is>
          <t>2026-06-19 07:10:32</t>
        </is>
      </c>
      <c r="P3707" t="inlineStr">
        <is>
          <t>2026-06-19 07:10:32</t>
        </is>
      </c>
      <c r="Y3707" t="inlineStr">
        <is>
          <t>27674460551</t>
        </is>
      </c>
    </row>
    <row r="3708">
      <c r="A3708" t="inlineStr">
        <is>
          <t>14946495</t>
        </is>
      </c>
      <c r="B3708" t="inlineStr">
        <is>
          <t>d66f86db-a050-4a15-9d0e-3580e4dbd01e</t>
        </is>
      </c>
      <c r="D3708" t="inlineStr">
        <is>
          <t>30001087</t>
        </is>
      </c>
      <c r="E3708" t="inlineStr">
        <is>
          <t>ussd_funeral_leads_altitude_20260619</t>
        </is>
      </c>
      <c r="J3708" t="inlineStr">
        <is>
          <t>ADC</t>
        </is>
      </c>
      <c r="K3708" t="inlineStr">
        <is>
          <t>Auto Dial Disconnected</t>
        </is>
      </c>
      <c r="L3708" t="n">
        <v>3</v>
      </c>
      <c r="M3708" t="inlineStr">
        <is>
          <t>2026-06-23 09:45:36</t>
        </is>
      </c>
      <c r="N3708" t="inlineStr">
        <is>
          <t>system</t>
        </is>
      </c>
      <c r="O3708" t="inlineStr">
        <is>
          <t>2026-06-19 07:10:32</t>
        </is>
      </c>
      <c r="P3708" t="inlineStr">
        <is>
          <t>2026-06-19 07:10:32</t>
        </is>
      </c>
      <c r="Y3708" t="inlineStr">
        <is>
          <t>27609962623</t>
        </is>
      </c>
    </row>
    <row r="3709">
      <c r="A3709" t="inlineStr">
        <is>
          <t>14946490</t>
        </is>
      </c>
      <c r="B3709" t="inlineStr">
        <is>
          <t>252866a2-214b-417d-8135-be54706aaf5e</t>
        </is>
      </c>
      <c r="D3709" t="inlineStr">
        <is>
          <t>30001087</t>
        </is>
      </c>
      <c r="E3709" t="inlineStr">
        <is>
          <t>ussd_funeral_leads_altitude_20260619</t>
        </is>
      </c>
      <c r="J3709" t="inlineStr">
        <is>
          <t>ADC</t>
        </is>
      </c>
      <c r="K3709" t="inlineStr">
        <is>
          <t>Auto Dial Disconnected</t>
        </is>
      </c>
      <c r="L3709" t="n">
        <v>3</v>
      </c>
      <c r="M3709" t="inlineStr">
        <is>
          <t>2026-06-23 09:45:29</t>
        </is>
      </c>
      <c r="N3709" t="inlineStr">
        <is>
          <t>system</t>
        </is>
      </c>
      <c r="O3709" t="inlineStr">
        <is>
          <t>2026-06-19 07:10:32</t>
        </is>
      </c>
      <c r="P3709" t="inlineStr">
        <is>
          <t>2026-06-19 07:10:32</t>
        </is>
      </c>
      <c r="Y3709" t="inlineStr">
        <is>
          <t>27662460335</t>
        </is>
      </c>
    </row>
    <row r="3710">
      <c r="A3710" t="inlineStr">
        <is>
          <t>14946491</t>
        </is>
      </c>
      <c r="B3710" t="inlineStr">
        <is>
          <t>7f50064d-d84c-4cf8-a4d7-611fdbb9fb70</t>
        </is>
      </c>
      <c r="D3710" t="inlineStr">
        <is>
          <t>30001087</t>
        </is>
      </c>
      <c r="E3710" t="inlineStr">
        <is>
          <t>ussd_funeral_leads_altitude_20260619</t>
        </is>
      </c>
      <c r="J3710" t="inlineStr">
        <is>
          <t>AA</t>
        </is>
      </c>
      <c r="K3710" t="inlineStr">
        <is>
          <t>Answering Machine Autodial</t>
        </is>
      </c>
      <c r="L3710" t="n">
        <v>3</v>
      </c>
      <c r="M3710" t="inlineStr">
        <is>
          <t>2026-06-23 09:45:29</t>
        </is>
      </c>
      <c r="N3710" t="inlineStr">
        <is>
          <t>system</t>
        </is>
      </c>
      <c r="O3710" t="inlineStr">
        <is>
          <t>2026-06-19 07:10:32</t>
        </is>
      </c>
      <c r="P3710" t="inlineStr">
        <is>
          <t>2026-06-19 07:10:32</t>
        </is>
      </c>
      <c r="Y3710" t="inlineStr">
        <is>
          <t>27760566066</t>
        </is>
      </c>
    </row>
    <row r="3711">
      <c r="A3711" t="inlineStr">
        <is>
          <t>14946493</t>
        </is>
      </c>
      <c r="B3711" t="inlineStr">
        <is>
          <t>59b235b5-6e95-46c8-a8c8-be77a3f725c2</t>
        </is>
      </c>
      <c r="D3711" t="inlineStr">
        <is>
          <t>30001087</t>
        </is>
      </c>
      <c r="E3711" t="inlineStr">
        <is>
          <t>ussd_funeral_leads_altitude_20260619</t>
        </is>
      </c>
      <c r="J3711" t="inlineStr">
        <is>
          <t>NA</t>
        </is>
      </c>
      <c r="K3711" t="inlineStr">
        <is>
          <t>No Answer Autodial</t>
        </is>
      </c>
      <c r="L3711" t="n">
        <v>3</v>
      </c>
      <c r="M3711" t="inlineStr">
        <is>
          <t>2026-06-23 09:45:29</t>
        </is>
      </c>
      <c r="N3711" t="inlineStr">
        <is>
          <t>system</t>
        </is>
      </c>
      <c r="O3711" t="inlineStr">
        <is>
          <t>2026-06-19 07:10:32</t>
        </is>
      </c>
      <c r="P3711" t="inlineStr">
        <is>
          <t>2026-06-19 07:10:32</t>
        </is>
      </c>
      <c r="Y3711" t="inlineStr">
        <is>
          <t>27795445611</t>
        </is>
      </c>
    </row>
    <row r="3712">
      <c r="A3712" t="inlineStr">
        <is>
          <t>14946494</t>
        </is>
      </c>
      <c r="B3712" t="inlineStr">
        <is>
          <t>4ae491c4-2c03-401d-a5a7-d01c86fbfcc5</t>
        </is>
      </c>
      <c r="D3712" t="inlineStr">
        <is>
          <t>30001087</t>
        </is>
      </c>
      <c r="E3712" t="inlineStr">
        <is>
          <t>ussd_funeral_leads_altitude_20260619</t>
        </is>
      </c>
      <c r="J3712" t="inlineStr">
        <is>
          <t>ADC</t>
        </is>
      </c>
      <c r="K3712" t="inlineStr">
        <is>
          <t>Auto Dial Disconnected</t>
        </is>
      </c>
      <c r="L3712" t="n">
        <v>3</v>
      </c>
      <c r="M3712" t="inlineStr">
        <is>
          <t>2026-06-23 09:45:29</t>
        </is>
      </c>
      <c r="N3712" t="inlineStr">
        <is>
          <t>system</t>
        </is>
      </c>
      <c r="O3712" t="inlineStr">
        <is>
          <t>2026-06-19 07:10:32</t>
        </is>
      </c>
      <c r="P3712" t="inlineStr">
        <is>
          <t>2026-06-19 07:10:32</t>
        </is>
      </c>
      <c r="Y3712" t="inlineStr">
        <is>
          <t>27761479903</t>
        </is>
      </c>
    </row>
    <row r="3713">
      <c r="A3713" t="inlineStr">
        <is>
          <t>14947690</t>
        </is>
      </c>
      <c r="B3713" t="inlineStr">
        <is>
          <t>d389ecd7-3596-49d5-9e51-08bb742e8087</t>
        </is>
      </c>
      <c r="D3713" t="inlineStr">
        <is>
          <t>30001087</t>
        </is>
      </c>
      <c r="E3713" t="inlineStr">
        <is>
          <t>ussd_funeral_leads_altitude_20260619</t>
        </is>
      </c>
      <c r="J3713" t="inlineStr">
        <is>
          <t>TDN</t>
        </is>
      </c>
      <c r="K3713" t="inlineStr">
        <is>
          <t>Temporary Disconnected Number</t>
        </is>
      </c>
      <c r="L3713" t="n">
        <v>3</v>
      </c>
      <c r="M3713" t="inlineStr">
        <is>
          <t>2026-06-23 09:45:28</t>
        </is>
      </c>
      <c r="N3713" t="inlineStr">
        <is>
          <t>system</t>
        </is>
      </c>
      <c r="O3713" t="inlineStr">
        <is>
          <t>2026-06-19 07:10:32</t>
        </is>
      </c>
      <c r="P3713" t="inlineStr">
        <is>
          <t>2026-06-19 07:10:32</t>
        </is>
      </c>
      <c r="Y3713" t="inlineStr">
        <is>
          <t>27723264404</t>
        </is>
      </c>
    </row>
    <row r="3714">
      <c r="A3714" t="inlineStr">
        <is>
          <t>14946581</t>
        </is>
      </c>
      <c r="B3714" t="inlineStr">
        <is>
          <t>6a28e658-09fd-4a32-af99-c56983ca382e</t>
        </is>
      </c>
      <c r="D3714" t="inlineStr">
        <is>
          <t>30001087</t>
        </is>
      </c>
      <c r="E3714" t="inlineStr">
        <is>
          <t>ussd_funeral_leads_altitude_20260619</t>
        </is>
      </c>
      <c r="J3714" t="inlineStr">
        <is>
          <t>ADC</t>
        </is>
      </c>
      <c r="K3714" t="inlineStr">
        <is>
          <t>Auto Dial Disconnected</t>
        </is>
      </c>
      <c r="L3714" t="n">
        <v>3</v>
      </c>
      <c r="M3714" t="inlineStr">
        <is>
          <t>2026-06-23 09:44:47</t>
        </is>
      </c>
      <c r="N3714" t="inlineStr">
        <is>
          <t>system</t>
        </is>
      </c>
      <c r="O3714" t="inlineStr">
        <is>
          <t>2026-06-19 07:10:32</t>
        </is>
      </c>
      <c r="P3714" t="inlineStr">
        <is>
          <t>2026-06-19 07:10:32</t>
        </is>
      </c>
      <c r="Y3714" t="inlineStr">
        <is>
          <t>27796131969</t>
        </is>
      </c>
    </row>
    <row r="3715">
      <c r="A3715" t="inlineStr">
        <is>
          <t>14946582</t>
        </is>
      </c>
      <c r="B3715" t="inlineStr">
        <is>
          <t>4f86e04c-09a6-491f-bfba-868739bc7058</t>
        </is>
      </c>
      <c r="D3715" t="inlineStr">
        <is>
          <t>30001087</t>
        </is>
      </c>
      <c r="E3715" t="inlineStr">
        <is>
          <t>ussd_funeral_leads_altitude_20260619</t>
        </is>
      </c>
      <c r="J3715" t="inlineStr">
        <is>
          <t>DROP</t>
        </is>
      </c>
      <c r="K3715" t="inlineStr">
        <is>
          <t>Dropped</t>
        </is>
      </c>
      <c r="L3715" t="n">
        <v>3</v>
      </c>
      <c r="M3715" t="inlineStr">
        <is>
          <t>2026-06-23 09:44:47</t>
        </is>
      </c>
      <c r="N3715" t="inlineStr">
        <is>
          <t>system</t>
        </is>
      </c>
      <c r="O3715" t="inlineStr">
        <is>
          <t>2026-06-19 07:10:32</t>
        </is>
      </c>
      <c r="P3715" t="inlineStr">
        <is>
          <t>2026-06-19 07:10:32</t>
        </is>
      </c>
      <c r="Y3715" t="inlineStr">
        <is>
          <t>27722962226</t>
        </is>
      </c>
    </row>
    <row r="3716">
      <c r="A3716" t="inlineStr">
        <is>
          <t>14946583</t>
        </is>
      </c>
      <c r="B3716" t="inlineStr">
        <is>
          <t>60c88e79-4e57-43b4-914d-351ab6e26e14</t>
        </is>
      </c>
      <c r="D3716" t="inlineStr">
        <is>
          <t>30001087</t>
        </is>
      </c>
      <c r="E3716" t="inlineStr">
        <is>
          <t>ussd_funeral_leads_altitude_20260619</t>
        </is>
      </c>
      <c r="J3716" t="inlineStr">
        <is>
          <t>AA</t>
        </is>
      </c>
      <c r="K3716" t="inlineStr">
        <is>
          <t>Answering Machine Autodial</t>
        </is>
      </c>
      <c r="L3716" t="n">
        <v>3</v>
      </c>
      <c r="M3716" t="inlineStr">
        <is>
          <t>2026-06-23 09:44:47</t>
        </is>
      </c>
      <c r="N3716" t="inlineStr">
        <is>
          <t>system</t>
        </is>
      </c>
      <c r="O3716" t="inlineStr">
        <is>
          <t>2026-06-19 07:10:32</t>
        </is>
      </c>
      <c r="P3716" t="inlineStr">
        <is>
          <t>2026-06-19 07:10:32</t>
        </is>
      </c>
      <c r="Y3716" t="inlineStr">
        <is>
          <t>27797124211</t>
        </is>
      </c>
    </row>
    <row r="3717">
      <c r="A3717" t="inlineStr">
        <is>
          <t>14946590</t>
        </is>
      </c>
      <c r="B3717" t="inlineStr">
        <is>
          <t>669c6c4b-701c-4c80-af44-efab4f56c49d</t>
        </is>
      </c>
      <c r="D3717" t="inlineStr">
        <is>
          <t>30001087</t>
        </is>
      </c>
      <c r="E3717" t="inlineStr">
        <is>
          <t>ussd_funeral_leads_altitude_20260619</t>
        </is>
      </c>
      <c r="J3717" t="inlineStr">
        <is>
          <t>A</t>
        </is>
      </c>
      <c r="K3717" t="inlineStr">
        <is>
          <t>Answering Machine</t>
        </is>
      </c>
      <c r="L3717" t="n">
        <v>3</v>
      </c>
      <c r="M3717" t="inlineStr">
        <is>
          <t>2026-06-23 09:44:47</t>
        </is>
      </c>
      <c r="N3717" t="inlineStr">
        <is>
          <t>Lebohang Mabotja</t>
        </is>
      </c>
      <c r="O3717" t="inlineStr">
        <is>
          <t>2026-06-19 07:10:32</t>
        </is>
      </c>
      <c r="P3717" t="inlineStr">
        <is>
          <t>2026-06-19 07:10:32</t>
        </is>
      </c>
      <c r="Y3717" t="inlineStr">
        <is>
          <t>27673091907</t>
        </is>
      </c>
    </row>
    <row r="3718">
      <c r="A3718" t="inlineStr">
        <is>
          <t>14946580</t>
        </is>
      </c>
      <c r="B3718" t="inlineStr">
        <is>
          <t>f5e77264-2f7b-4b72-875e-9649caafddb1</t>
        </is>
      </c>
      <c r="D3718" t="inlineStr">
        <is>
          <t>30001087</t>
        </is>
      </c>
      <c r="E3718" t="inlineStr">
        <is>
          <t>ussd_funeral_leads_altitude_20260619</t>
        </is>
      </c>
      <c r="J3718" t="inlineStr">
        <is>
          <t>AA</t>
        </is>
      </c>
      <c r="K3718" t="inlineStr">
        <is>
          <t>Answering Machine Autodial</t>
        </is>
      </c>
      <c r="L3718" t="n">
        <v>3</v>
      </c>
      <c r="M3718" t="inlineStr">
        <is>
          <t>2026-06-23 09:44:46</t>
        </is>
      </c>
      <c r="N3718" t="inlineStr">
        <is>
          <t>system</t>
        </is>
      </c>
      <c r="O3718" t="inlineStr">
        <is>
          <t>2026-06-19 07:10:32</t>
        </is>
      </c>
      <c r="P3718" t="inlineStr">
        <is>
          <t>2026-06-19 07:10:32</t>
        </is>
      </c>
      <c r="Y3718" t="inlineStr">
        <is>
          <t>27825217234</t>
        </is>
      </c>
    </row>
    <row r="3719">
      <c r="A3719" t="inlineStr">
        <is>
          <t>14946594</t>
        </is>
      </c>
      <c r="B3719" t="inlineStr">
        <is>
          <t>4c22be86-d6f6-4e36-81a7-0c3e090ad2cb</t>
        </is>
      </c>
      <c r="D3719" t="inlineStr">
        <is>
          <t>30001087</t>
        </is>
      </c>
      <c r="E3719" t="inlineStr">
        <is>
          <t>ussd_funeral_leads_altitude_20260619</t>
        </is>
      </c>
      <c r="J3719" t="inlineStr">
        <is>
          <t>AA</t>
        </is>
      </c>
      <c r="K3719" t="inlineStr">
        <is>
          <t>Answering Machine Autodial</t>
        </is>
      </c>
      <c r="L3719" t="n">
        <v>3</v>
      </c>
      <c r="M3719" t="inlineStr">
        <is>
          <t>2026-06-23 09:44:46</t>
        </is>
      </c>
      <c r="N3719" t="inlineStr">
        <is>
          <t>system</t>
        </is>
      </c>
      <c r="O3719" t="inlineStr">
        <is>
          <t>2026-06-19 07:10:32</t>
        </is>
      </c>
      <c r="P3719" t="inlineStr">
        <is>
          <t>2026-06-19 07:10:32</t>
        </is>
      </c>
      <c r="Y3719" t="inlineStr">
        <is>
          <t>27768519315</t>
        </is>
      </c>
    </row>
    <row r="3720">
      <c r="A3720" t="inlineStr">
        <is>
          <t>14946578</t>
        </is>
      </c>
      <c r="B3720" t="inlineStr">
        <is>
          <t>1eb993d8-e941-4600-9b04-635b4ec771e4</t>
        </is>
      </c>
      <c r="D3720" t="inlineStr">
        <is>
          <t>30001087</t>
        </is>
      </c>
      <c r="E3720" t="inlineStr">
        <is>
          <t>ussd_funeral_leads_altitude_20260619</t>
        </is>
      </c>
      <c r="J3720" t="inlineStr">
        <is>
          <t>DROP</t>
        </is>
      </c>
      <c r="K3720" t="inlineStr">
        <is>
          <t>Dropped</t>
        </is>
      </c>
      <c r="L3720" t="n">
        <v>3</v>
      </c>
      <c r="M3720" t="inlineStr">
        <is>
          <t>2026-06-23 09:44:42</t>
        </is>
      </c>
      <c r="N3720" t="inlineStr">
        <is>
          <t>system</t>
        </is>
      </c>
      <c r="O3720" t="inlineStr">
        <is>
          <t>2026-06-19 07:10:32</t>
        </is>
      </c>
      <c r="P3720" t="inlineStr">
        <is>
          <t>2026-06-19 07:10:32</t>
        </is>
      </c>
      <c r="Y3720" t="inlineStr">
        <is>
          <t>27716398548</t>
        </is>
      </c>
    </row>
    <row r="3721">
      <c r="A3721" t="inlineStr">
        <is>
          <t>14946579</t>
        </is>
      </c>
      <c r="B3721" t="inlineStr">
        <is>
          <t>a357b04f-b639-4fca-84dc-13b12f7aeb57</t>
        </is>
      </c>
      <c r="D3721" t="inlineStr">
        <is>
          <t>30001087</t>
        </is>
      </c>
      <c r="E3721" t="inlineStr">
        <is>
          <t>ussd_funeral_leads_altitude_20260619</t>
        </is>
      </c>
      <c r="J3721" t="inlineStr">
        <is>
          <t>DROP</t>
        </is>
      </c>
      <c r="K3721" t="inlineStr">
        <is>
          <t>Dropped</t>
        </is>
      </c>
      <c r="L3721" t="n">
        <v>3</v>
      </c>
      <c r="M3721" t="inlineStr">
        <is>
          <t>2026-06-23 09:44:42</t>
        </is>
      </c>
      <c r="N3721" t="inlineStr">
        <is>
          <t>system</t>
        </is>
      </c>
      <c r="O3721" t="inlineStr">
        <is>
          <t>2026-06-19 07:10:32</t>
        </is>
      </c>
      <c r="P3721" t="inlineStr">
        <is>
          <t>2026-06-19 07:10:32</t>
        </is>
      </c>
      <c r="Y3721" t="inlineStr">
        <is>
          <t>27828770604</t>
        </is>
      </c>
    </row>
    <row r="3722">
      <c r="A3722" t="inlineStr">
        <is>
          <t>14946576</t>
        </is>
      </c>
      <c r="B3722" t="inlineStr">
        <is>
          <t>f8cd6417-f30e-4f98-9721-890bbde81c03</t>
        </is>
      </c>
      <c r="D3722" t="inlineStr">
        <is>
          <t>30001087</t>
        </is>
      </c>
      <c r="E3722" t="inlineStr">
        <is>
          <t>ussd_funeral_leads_altitude_20260619</t>
        </is>
      </c>
      <c r="J3722" t="inlineStr">
        <is>
          <t>ADC</t>
        </is>
      </c>
      <c r="K3722" t="inlineStr">
        <is>
          <t>Auto Dial Disconnected</t>
        </is>
      </c>
      <c r="L3722" t="n">
        <v>3</v>
      </c>
      <c r="M3722" t="inlineStr">
        <is>
          <t>2026-06-23 09:44:38</t>
        </is>
      </c>
      <c r="N3722" t="inlineStr">
        <is>
          <t>system</t>
        </is>
      </c>
      <c r="O3722" t="inlineStr">
        <is>
          <t>2026-06-19 07:10:32</t>
        </is>
      </c>
      <c r="P3722" t="inlineStr">
        <is>
          <t>2026-06-19 07:10:32</t>
        </is>
      </c>
      <c r="Y3722" t="inlineStr">
        <is>
          <t>27637399397</t>
        </is>
      </c>
    </row>
    <row r="3723">
      <c r="A3723" t="inlineStr">
        <is>
          <t>14947691</t>
        </is>
      </c>
      <c r="B3723" t="inlineStr">
        <is>
          <t>da3fcf75-fbac-4c31-8b74-270190db5ed7</t>
        </is>
      </c>
      <c r="D3723" t="inlineStr">
        <is>
          <t>30001087</t>
        </is>
      </c>
      <c r="E3723" t="inlineStr">
        <is>
          <t>ussd_funeral_leads_altitude_20260619</t>
        </is>
      </c>
      <c r="J3723" t="inlineStr">
        <is>
          <t>TDN</t>
        </is>
      </c>
      <c r="K3723" t="inlineStr">
        <is>
          <t>Temporary Disconnected Number</t>
        </is>
      </c>
      <c r="L3723" t="n">
        <v>3</v>
      </c>
      <c r="M3723" t="inlineStr">
        <is>
          <t>2026-06-23 09:44:35</t>
        </is>
      </c>
      <c r="N3723" t="inlineStr">
        <is>
          <t>system</t>
        </is>
      </c>
      <c r="O3723" t="inlineStr">
        <is>
          <t>2026-06-19 07:10:32</t>
        </is>
      </c>
      <c r="P3723" t="inlineStr">
        <is>
          <t>2026-06-19 07:10:32</t>
        </is>
      </c>
      <c r="Y3723" t="inlineStr">
        <is>
          <t>27725876176</t>
        </is>
      </c>
    </row>
    <row r="3724">
      <c r="A3724" t="inlineStr">
        <is>
          <t>14946535</t>
        </is>
      </c>
      <c r="B3724" t="inlineStr">
        <is>
          <t>fa5f9dcb-6274-46ce-95d6-8ce524755b0f</t>
        </is>
      </c>
      <c r="D3724" t="inlineStr">
        <is>
          <t>30001087</t>
        </is>
      </c>
      <c r="E3724" t="inlineStr">
        <is>
          <t>ussd_funeral_leads_altitude_20260619</t>
        </is>
      </c>
      <c r="J3724" t="inlineStr">
        <is>
          <t>AA</t>
        </is>
      </c>
      <c r="K3724" t="inlineStr">
        <is>
          <t>Answering Machine Autodial</t>
        </is>
      </c>
      <c r="L3724" t="n">
        <v>3</v>
      </c>
      <c r="M3724" t="inlineStr">
        <is>
          <t>2026-06-23 09:44:34</t>
        </is>
      </c>
      <c r="N3724" t="inlineStr">
        <is>
          <t>system</t>
        </is>
      </c>
      <c r="O3724" t="inlineStr">
        <is>
          <t>2026-06-19 07:10:32</t>
        </is>
      </c>
      <c r="P3724" t="inlineStr">
        <is>
          <t>2026-06-19 07:10:32</t>
        </is>
      </c>
      <c r="Y3724" t="inlineStr">
        <is>
          <t>27674955875</t>
        </is>
      </c>
    </row>
    <row r="3725">
      <c r="A3725" t="inlineStr">
        <is>
          <t>14946757</t>
        </is>
      </c>
      <c r="B3725" t="inlineStr">
        <is>
          <t>65a39aad-acc7-4802-a9c7-505fe9b65462</t>
        </is>
      </c>
      <c r="D3725" t="inlineStr">
        <is>
          <t>30001087</t>
        </is>
      </c>
      <c r="E3725" t="inlineStr">
        <is>
          <t>ussd_funeral_leads_altitude_20260619</t>
        </is>
      </c>
      <c r="J3725" t="inlineStr">
        <is>
          <t>NA</t>
        </is>
      </c>
      <c r="K3725" t="inlineStr">
        <is>
          <t>No Answer Autodial</t>
        </is>
      </c>
      <c r="L3725" t="n">
        <v>3</v>
      </c>
      <c r="M3725" t="inlineStr">
        <is>
          <t>2026-06-23 09:43:26</t>
        </is>
      </c>
      <c r="N3725" t="inlineStr">
        <is>
          <t>system</t>
        </is>
      </c>
      <c r="O3725" t="inlineStr">
        <is>
          <t>2026-06-19 07:10:32</t>
        </is>
      </c>
      <c r="P3725" t="inlineStr">
        <is>
          <t>2026-06-19 07:10:32</t>
        </is>
      </c>
      <c r="Y3725" t="inlineStr">
        <is>
          <t>27792538414</t>
        </is>
      </c>
    </row>
    <row r="3726">
      <c r="A3726" t="inlineStr">
        <is>
          <t>14946758</t>
        </is>
      </c>
      <c r="B3726" t="inlineStr">
        <is>
          <t>16099eda-095a-466e-a2d6-bb3e3f0b7ead</t>
        </is>
      </c>
      <c r="D3726" t="inlineStr">
        <is>
          <t>30001087</t>
        </is>
      </c>
      <c r="E3726" t="inlineStr">
        <is>
          <t>ussd_funeral_leads_altitude_20260619</t>
        </is>
      </c>
      <c r="J3726" t="inlineStr">
        <is>
          <t>AA</t>
        </is>
      </c>
      <c r="K3726" t="inlineStr">
        <is>
          <t>Answering Machine Autodial</t>
        </is>
      </c>
      <c r="L3726" t="n">
        <v>3</v>
      </c>
      <c r="M3726" t="inlineStr">
        <is>
          <t>2026-06-23 09:43:26</t>
        </is>
      </c>
      <c r="N3726" t="inlineStr">
        <is>
          <t>system</t>
        </is>
      </c>
      <c r="O3726" t="inlineStr">
        <is>
          <t>2026-06-19 07:10:32</t>
        </is>
      </c>
      <c r="P3726" t="inlineStr">
        <is>
          <t>2026-06-19 07:10:32</t>
        </is>
      </c>
      <c r="Y3726" t="inlineStr">
        <is>
          <t>27792892847</t>
        </is>
      </c>
    </row>
    <row r="3727">
      <c r="A3727" t="inlineStr">
        <is>
          <t>14946756</t>
        </is>
      </c>
      <c r="B3727" t="inlineStr">
        <is>
          <t>ec3282c4-85bb-415c-bfe0-3a3afb6cb541</t>
        </is>
      </c>
      <c r="D3727" t="inlineStr">
        <is>
          <t>30001087</t>
        </is>
      </c>
      <c r="E3727" t="inlineStr">
        <is>
          <t>ussd_funeral_leads_altitude_20260619</t>
        </is>
      </c>
      <c r="J3727" t="inlineStr">
        <is>
          <t>AA</t>
        </is>
      </c>
      <c r="K3727" t="inlineStr">
        <is>
          <t>Answering Machine Autodial</t>
        </is>
      </c>
      <c r="L3727" t="n">
        <v>3</v>
      </c>
      <c r="M3727" t="inlineStr">
        <is>
          <t>2026-06-23 09:43:22</t>
        </is>
      </c>
      <c r="N3727" t="inlineStr">
        <is>
          <t>system</t>
        </is>
      </c>
      <c r="O3727" t="inlineStr">
        <is>
          <t>2026-06-19 07:10:32</t>
        </is>
      </c>
      <c r="P3727" t="inlineStr">
        <is>
          <t>2026-06-19 07:10:32</t>
        </is>
      </c>
      <c r="Y3727" t="inlineStr">
        <is>
          <t>27673558107</t>
        </is>
      </c>
    </row>
    <row r="3728">
      <c r="A3728" t="inlineStr">
        <is>
          <t>14946755</t>
        </is>
      </c>
      <c r="B3728" t="inlineStr">
        <is>
          <t>3314a857-856d-42eb-867d-e48c4130174a</t>
        </is>
      </c>
      <c r="D3728" t="inlineStr">
        <is>
          <t>30001087</t>
        </is>
      </c>
      <c r="E3728" t="inlineStr">
        <is>
          <t>ussd_funeral_leads_altitude_20260619</t>
        </is>
      </c>
      <c r="J3728" t="inlineStr">
        <is>
          <t>OAL</t>
        </is>
      </c>
      <c r="K3728" t="inlineStr">
        <is>
          <t>Over Age Limit</t>
        </is>
      </c>
      <c r="L3728" t="n">
        <v>3</v>
      </c>
      <c r="M3728" t="inlineStr">
        <is>
          <t>2026-06-23 09:43:20</t>
        </is>
      </c>
      <c r="N3728" t="inlineStr">
        <is>
          <t>Dimakatso Nkomo</t>
        </is>
      </c>
      <c r="O3728" t="inlineStr">
        <is>
          <t>2026-06-19 07:10:32</t>
        </is>
      </c>
      <c r="P3728" t="inlineStr">
        <is>
          <t>2026-06-19 07:10:32</t>
        </is>
      </c>
      <c r="Y3728" t="inlineStr">
        <is>
          <t>27845718404</t>
        </is>
      </c>
    </row>
    <row r="3729">
      <c r="A3729" t="inlineStr">
        <is>
          <t>14946686</t>
        </is>
      </c>
      <c r="B3729" t="inlineStr">
        <is>
          <t>1cac9001-3c82-409b-98f3-6b9611ecb235</t>
        </is>
      </c>
      <c r="D3729" t="inlineStr">
        <is>
          <t>30001087</t>
        </is>
      </c>
      <c r="E3729" t="inlineStr">
        <is>
          <t>ussd_funeral_leads_altitude_20260619</t>
        </is>
      </c>
      <c r="J3729" t="inlineStr">
        <is>
          <t>TDN</t>
        </is>
      </c>
      <c r="K3729" t="inlineStr">
        <is>
          <t>Temporary Disconnected Number</t>
        </is>
      </c>
      <c r="L3729" t="n">
        <v>3</v>
      </c>
      <c r="M3729" t="inlineStr">
        <is>
          <t>2026-06-23 09:43:18</t>
        </is>
      </c>
      <c r="N3729" t="inlineStr">
        <is>
          <t>system</t>
        </is>
      </c>
      <c r="O3729" t="inlineStr">
        <is>
          <t>2026-06-19 07:10:32</t>
        </is>
      </c>
      <c r="P3729" t="inlineStr">
        <is>
          <t>2026-06-19 07:10:32</t>
        </is>
      </c>
      <c r="Y3729" t="inlineStr">
        <is>
          <t>27764175423</t>
        </is>
      </c>
    </row>
    <row r="3730">
      <c r="A3730" t="inlineStr">
        <is>
          <t>14946754</t>
        </is>
      </c>
      <c r="B3730" t="inlineStr">
        <is>
          <t>a2bc7cd8-8b58-4823-8077-2f2d75dce549</t>
        </is>
      </c>
      <c r="D3730" t="inlineStr">
        <is>
          <t>30001087</t>
        </is>
      </c>
      <c r="E3730" t="inlineStr">
        <is>
          <t>ussd_funeral_leads_altitude_20260619</t>
        </is>
      </c>
      <c r="J3730" t="inlineStr">
        <is>
          <t>AA</t>
        </is>
      </c>
      <c r="K3730" t="inlineStr">
        <is>
          <t>Answering Machine Autodial</t>
        </is>
      </c>
      <c r="L3730" t="n">
        <v>3</v>
      </c>
      <c r="M3730" t="inlineStr">
        <is>
          <t>2026-06-23 09:43:17</t>
        </is>
      </c>
      <c r="N3730" t="inlineStr">
        <is>
          <t>system</t>
        </is>
      </c>
      <c r="O3730" t="inlineStr">
        <is>
          <t>2026-06-19 07:10:32</t>
        </is>
      </c>
      <c r="P3730" t="inlineStr">
        <is>
          <t>2026-06-19 07:10:32</t>
        </is>
      </c>
      <c r="Y3730" t="inlineStr">
        <is>
          <t>27727246731</t>
        </is>
      </c>
    </row>
    <row r="3731">
      <c r="A3731" t="inlineStr">
        <is>
          <t>14946685</t>
        </is>
      </c>
      <c r="B3731" t="inlineStr">
        <is>
          <t>6aaa2e7e-3ef6-4adc-984f-d7c09c94e716</t>
        </is>
      </c>
      <c r="D3731" t="inlineStr">
        <is>
          <t>30001087</t>
        </is>
      </c>
      <c r="E3731" t="inlineStr">
        <is>
          <t>ussd_funeral_leads_altitude_20260619</t>
        </is>
      </c>
      <c r="J3731" t="inlineStr">
        <is>
          <t>NA</t>
        </is>
      </c>
      <c r="K3731" t="inlineStr">
        <is>
          <t>No Answer Autodial</t>
        </is>
      </c>
      <c r="L3731" t="n">
        <v>3</v>
      </c>
      <c r="M3731" t="inlineStr">
        <is>
          <t>2026-06-23 09:43:13</t>
        </is>
      </c>
      <c r="N3731" t="inlineStr">
        <is>
          <t>system</t>
        </is>
      </c>
      <c r="O3731" t="inlineStr">
        <is>
          <t>2026-06-19 07:10:32</t>
        </is>
      </c>
      <c r="P3731" t="inlineStr">
        <is>
          <t>2026-06-19 07:10:32</t>
        </is>
      </c>
      <c r="Y3731" t="inlineStr">
        <is>
          <t>27648105677</t>
        </is>
      </c>
    </row>
    <row r="3732">
      <c r="A3732" t="inlineStr">
        <is>
          <t>14946684</t>
        </is>
      </c>
      <c r="B3732" t="inlineStr">
        <is>
          <t>cdc405c0-48eb-43bc-aa27-9f43cec56857</t>
        </is>
      </c>
      <c r="D3732" t="inlineStr">
        <is>
          <t>30001087</t>
        </is>
      </c>
      <c r="E3732" t="inlineStr">
        <is>
          <t>ussd_funeral_leads_altitude_20260619</t>
        </is>
      </c>
      <c r="J3732" t="inlineStr">
        <is>
          <t>AA</t>
        </is>
      </c>
      <c r="K3732" t="inlineStr">
        <is>
          <t>Answering Machine Autodial</t>
        </is>
      </c>
      <c r="L3732" t="n">
        <v>3</v>
      </c>
      <c r="M3732" t="inlineStr">
        <is>
          <t>2026-06-23 09:43:12</t>
        </is>
      </c>
      <c r="N3732" t="inlineStr">
        <is>
          <t>system</t>
        </is>
      </c>
      <c r="O3732" t="inlineStr">
        <is>
          <t>2026-06-19 07:10:32</t>
        </is>
      </c>
      <c r="P3732" t="inlineStr">
        <is>
          <t>2026-06-19 07:10:32</t>
        </is>
      </c>
      <c r="Y3732" t="inlineStr">
        <is>
          <t>27768027494</t>
        </is>
      </c>
    </row>
    <row r="3733">
      <c r="A3733" t="inlineStr">
        <is>
          <t>14946680</t>
        </is>
      </c>
      <c r="B3733" t="inlineStr">
        <is>
          <t>0dbd0b31-5595-44fa-a4d3-bf6a7ae82b6d</t>
        </is>
      </c>
      <c r="D3733" t="inlineStr">
        <is>
          <t>30001087</t>
        </is>
      </c>
      <c r="E3733" t="inlineStr">
        <is>
          <t>ussd_funeral_leads_altitude_20260619</t>
        </is>
      </c>
      <c r="J3733" t="inlineStr">
        <is>
          <t>ADC</t>
        </is>
      </c>
      <c r="K3733" t="inlineStr">
        <is>
          <t>Auto Dial Disconnected</t>
        </is>
      </c>
      <c r="L3733" t="n">
        <v>3</v>
      </c>
      <c r="M3733" t="inlineStr">
        <is>
          <t>2026-06-23 09:43:08</t>
        </is>
      </c>
      <c r="N3733" t="inlineStr">
        <is>
          <t>system</t>
        </is>
      </c>
      <c r="O3733" t="inlineStr">
        <is>
          <t>2026-06-19 07:10:32</t>
        </is>
      </c>
      <c r="P3733" t="inlineStr">
        <is>
          <t>2026-06-19 07:10:32</t>
        </is>
      </c>
      <c r="Y3733" t="inlineStr">
        <is>
          <t>27646607409</t>
        </is>
      </c>
    </row>
    <row r="3734">
      <c r="A3734" t="inlineStr">
        <is>
          <t>14946681</t>
        </is>
      </c>
      <c r="B3734" t="inlineStr">
        <is>
          <t>caa19834-33d1-4fac-b7e7-6ab86077ea60</t>
        </is>
      </c>
      <c r="D3734" t="inlineStr">
        <is>
          <t>30001087</t>
        </is>
      </c>
      <c r="E3734" t="inlineStr">
        <is>
          <t>ussd_funeral_leads_altitude_20260619</t>
        </is>
      </c>
      <c r="J3734" t="inlineStr">
        <is>
          <t>CU</t>
        </is>
      </c>
      <c r="K3734" t="inlineStr">
        <is>
          <t>Client Hung Up</t>
        </is>
      </c>
      <c r="L3734" t="n">
        <v>3</v>
      </c>
      <c r="M3734" t="inlineStr">
        <is>
          <t>2026-06-23 09:43:08</t>
        </is>
      </c>
      <c r="N3734" t="inlineStr">
        <is>
          <t>Goitsimang Mogwasa</t>
        </is>
      </c>
      <c r="O3734" t="inlineStr">
        <is>
          <t>2026-06-19 07:10:32</t>
        </is>
      </c>
      <c r="P3734" t="inlineStr">
        <is>
          <t>2026-06-19 07:10:32</t>
        </is>
      </c>
      <c r="Y3734" t="inlineStr">
        <is>
          <t>27720814889</t>
        </is>
      </c>
    </row>
    <row r="3735">
      <c r="A3735" t="inlineStr">
        <is>
          <t>14946682</t>
        </is>
      </c>
      <c r="B3735" t="inlineStr">
        <is>
          <t>18dce38a-ab92-4cfe-a191-209977b7e93f</t>
        </is>
      </c>
      <c r="D3735" t="inlineStr">
        <is>
          <t>30001087</t>
        </is>
      </c>
      <c r="E3735" t="inlineStr">
        <is>
          <t>ussd_funeral_leads_altitude_20260619</t>
        </is>
      </c>
      <c r="J3735" t="inlineStr">
        <is>
          <t>TDN</t>
        </is>
      </c>
      <c r="K3735" t="inlineStr">
        <is>
          <t>Temporary Disconnected Number</t>
        </is>
      </c>
      <c r="L3735" t="n">
        <v>3</v>
      </c>
      <c r="M3735" t="inlineStr">
        <is>
          <t>2026-06-23 09:43:08</t>
        </is>
      </c>
      <c r="N3735" t="inlineStr">
        <is>
          <t>system</t>
        </is>
      </c>
      <c r="O3735" t="inlineStr">
        <is>
          <t>2026-06-19 07:10:32</t>
        </is>
      </c>
      <c r="P3735" t="inlineStr">
        <is>
          <t>2026-06-19 07:10:32</t>
        </is>
      </c>
      <c r="Y3735" t="inlineStr">
        <is>
          <t>27790708070</t>
        </is>
      </c>
    </row>
    <row r="3736">
      <c r="A3736" t="inlineStr">
        <is>
          <t>14946683</t>
        </is>
      </c>
      <c r="B3736" t="inlineStr">
        <is>
          <t>f65bb7d1-4415-426a-adab-ca9792b28bfc</t>
        </is>
      </c>
      <c r="D3736" t="inlineStr">
        <is>
          <t>30001087</t>
        </is>
      </c>
      <c r="E3736" t="inlineStr">
        <is>
          <t>ussd_funeral_leads_altitude_20260619</t>
        </is>
      </c>
      <c r="J3736" t="inlineStr">
        <is>
          <t>AA</t>
        </is>
      </c>
      <c r="K3736" t="inlineStr">
        <is>
          <t>Answering Machine Autodial</t>
        </is>
      </c>
      <c r="L3736" t="n">
        <v>3</v>
      </c>
      <c r="M3736" t="inlineStr">
        <is>
          <t>2026-06-23 09:43:08</t>
        </is>
      </c>
      <c r="N3736" t="inlineStr">
        <is>
          <t>system</t>
        </is>
      </c>
      <c r="O3736" t="inlineStr">
        <is>
          <t>2026-06-19 07:10:32</t>
        </is>
      </c>
      <c r="P3736" t="inlineStr">
        <is>
          <t>2026-06-19 07:10:32</t>
        </is>
      </c>
      <c r="Y3736" t="inlineStr">
        <is>
          <t>27796328880</t>
        </is>
      </c>
    </row>
    <row r="3737">
      <c r="A3737" t="inlineStr">
        <is>
          <t>14946677</t>
        </is>
      </c>
      <c r="B3737" t="inlineStr">
        <is>
          <t>a3c52611-329b-459f-8003-2e781f652cca</t>
        </is>
      </c>
      <c r="D3737" t="inlineStr">
        <is>
          <t>30001087</t>
        </is>
      </c>
      <c r="E3737" t="inlineStr">
        <is>
          <t>ussd_funeral_leads_altitude_20260619</t>
        </is>
      </c>
      <c r="J3737" t="inlineStr">
        <is>
          <t>AA</t>
        </is>
      </c>
      <c r="K3737" t="inlineStr">
        <is>
          <t>Answering Machine Autodial</t>
        </is>
      </c>
      <c r="L3737" t="n">
        <v>3</v>
      </c>
      <c r="M3737" t="inlineStr">
        <is>
          <t>2026-06-23 09:43:07</t>
        </is>
      </c>
      <c r="N3737" t="inlineStr">
        <is>
          <t>system</t>
        </is>
      </c>
      <c r="O3737" t="inlineStr">
        <is>
          <t>2026-06-19 07:10:32</t>
        </is>
      </c>
      <c r="P3737" t="inlineStr">
        <is>
          <t>2026-06-19 07:10:32</t>
        </is>
      </c>
      <c r="Y3737" t="inlineStr">
        <is>
          <t>27762693771</t>
        </is>
      </c>
    </row>
    <row r="3738">
      <c r="A3738" t="inlineStr">
        <is>
          <t>14946678</t>
        </is>
      </c>
      <c r="B3738" t="inlineStr">
        <is>
          <t>744506f9-9621-417b-862f-5641cf19e6c4</t>
        </is>
      </c>
      <c r="D3738" t="inlineStr">
        <is>
          <t>30001087</t>
        </is>
      </c>
      <c r="E3738" t="inlineStr">
        <is>
          <t>ussd_funeral_leads_altitude_20260619</t>
        </is>
      </c>
      <c r="J3738" t="inlineStr">
        <is>
          <t>NA</t>
        </is>
      </c>
      <c r="K3738" t="inlineStr">
        <is>
          <t>No Answer Autodial</t>
        </is>
      </c>
      <c r="L3738" t="n">
        <v>3</v>
      </c>
      <c r="M3738" t="inlineStr">
        <is>
          <t>2026-06-23 09:43:07</t>
        </is>
      </c>
      <c r="N3738" t="inlineStr">
        <is>
          <t>system</t>
        </is>
      </c>
      <c r="O3738" t="inlineStr">
        <is>
          <t>2026-06-19 07:10:32</t>
        </is>
      </c>
      <c r="P3738" t="inlineStr">
        <is>
          <t>2026-06-19 07:10:32</t>
        </is>
      </c>
      <c r="Y3738" t="inlineStr">
        <is>
          <t>27675391474</t>
        </is>
      </c>
    </row>
    <row r="3739">
      <c r="A3739" t="inlineStr">
        <is>
          <t>14946679</t>
        </is>
      </c>
      <c r="B3739" t="inlineStr">
        <is>
          <t>fc116b58-7d14-4e18-b090-7d0c0c870543</t>
        </is>
      </c>
      <c r="D3739" t="inlineStr">
        <is>
          <t>30001087</t>
        </is>
      </c>
      <c r="E3739" t="inlineStr">
        <is>
          <t>ussd_funeral_leads_altitude_20260619</t>
        </is>
      </c>
      <c r="J3739" t="inlineStr">
        <is>
          <t>ADC</t>
        </is>
      </c>
      <c r="K3739" t="inlineStr">
        <is>
          <t>Auto Dial Disconnected</t>
        </is>
      </c>
      <c r="L3739" t="n">
        <v>3</v>
      </c>
      <c r="M3739" t="inlineStr">
        <is>
          <t>2026-06-23 09:43:07</t>
        </is>
      </c>
      <c r="N3739" t="inlineStr">
        <is>
          <t>system</t>
        </is>
      </c>
      <c r="O3739" t="inlineStr">
        <is>
          <t>2026-06-19 07:10:32</t>
        </is>
      </c>
      <c r="P3739" t="inlineStr">
        <is>
          <t>2026-06-19 07:10:32</t>
        </is>
      </c>
      <c r="Y3739" t="inlineStr">
        <is>
          <t>27663759647</t>
        </is>
      </c>
    </row>
    <row r="3740">
      <c r="A3740" t="inlineStr">
        <is>
          <t>14946675</t>
        </is>
      </c>
      <c r="B3740" t="inlineStr">
        <is>
          <t>35404aba-a73d-4409-a446-59fbcb8273f4</t>
        </is>
      </c>
      <c r="D3740" t="inlineStr">
        <is>
          <t>30001087</t>
        </is>
      </c>
      <c r="E3740" t="inlineStr">
        <is>
          <t>ussd_funeral_leads_altitude_20260619</t>
        </is>
      </c>
      <c r="J3740" t="inlineStr">
        <is>
          <t>AA</t>
        </is>
      </c>
      <c r="K3740" t="inlineStr">
        <is>
          <t>Answering Machine Autodial</t>
        </is>
      </c>
      <c r="L3740" t="n">
        <v>3</v>
      </c>
      <c r="M3740" t="inlineStr">
        <is>
          <t>2026-06-23 09:43:03</t>
        </is>
      </c>
      <c r="N3740" t="inlineStr">
        <is>
          <t>system</t>
        </is>
      </c>
      <c r="O3740" t="inlineStr">
        <is>
          <t>2026-06-19 07:10:32</t>
        </is>
      </c>
      <c r="P3740" t="inlineStr">
        <is>
          <t>2026-06-19 07:10:32</t>
        </is>
      </c>
      <c r="Y3740" t="inlineStr">
        <is>
          <t>27793416730</t>
        </is>
      </c>
    </row>
    <row r="3741">
      <c r="A3741" t="inlineStr">
        <is>
          <t>14946676</t>
        </is>
      </c>
      <c r="B3741" t="inlineStr">
        <is>
          <t>50dd81da-63d1-4369-b4c7-78ed128d347d</t>
        </is>
      </c>
      <c r="D3741" t="inlineStr">
        <is>
          <t>30001087</t>
        </is>
      </c>
      <c r="E3741" t="inlineStr">
        <is>
          <t>ussd_funeral_leads_altitude_20260619</t>
        </is>
      </c>
      <c r="J3741" t="inlineStr">
        <is>
          <t>TDN</t>
        </is>
      </c>
      <c r="K3741" t="inlineStr">
        <is>
          <t>Temporary Disconnected Number</t>
        </is>
      </c>
      <c r="L3741" t="n">
        <v>3</v>
      </c>
      <c r="M3741" t="inlineStr">
        <is>
          <t>2026-06-23 09:43:03</t>
        </is>
      </c>
      <c r="N3741" t="inlineStr">
        <is>
          <t>system</t>
        </is>
      </c>
      <c r="O3741" t="inlineStr">
        <is>
          <t>2026-06-19 07:10:32</t>
        </is>
      </c>
      <c r="P3741" t="inlineStr">
        <is>
          <t>2026-06-19 07:10:32</t>
        </is>
      </c>
      <c r="Y3741" t="inlineStr">
        <is>
          <t>27762933837</t>
        </is>
      </c>
    </row>
    <row r="3742">
      <c r="A3742" t="inlineStr">
        <is>
          <t>14946673</t>
        </is>
      </c>
      <c r="B3742" t="inlineStr">
        <is>
          <t>960f9330-6b29-4aa6-87cf-6c48efbc1ee4</t>
        </is>
      </c>
      <c r="D3742" t="inlineStr">
        <is>
          <t>30001087</t>
        </is>
      </c>
      <c r="E3742" t="inlineStr">
        <is>
          <t>ussd_funeral_leads_altitude_20260619</t>
        </is>
      </c>
      <c r="J3742" t="inlineStr">
        <is>
          <t>AA</t>
        </is>
      </c>
      <c r="K3742" t="inlineStr">
        <is>
          <t>Answering Machine Autodial</t>
        </is>
      </c>
      <c r="L3742" t="n">
        <v>3</v>
      </c>
      <c r="M3742" t="inlineStr">
        <is>
          <t>2026-06-23 09:42:40</t>
        </is>
      </c>
      <c r="N3742" t="inlineStr">
        <is>
          <t>system</t>
        </is>
      </c>
      <c r="O3742" t="inlineStr">
        <is>
          <t>2026-06-19 07:10:32</t>
        </is>
      </c>
      <c r="P3742" t="inlineStr">
        <is>
          <t>2026-06-19 07:10:32</t>
        </is>
      </c>
      <c r="Y3742" t="inlineStr">
        <is>
          <t>27661433443</t>
        </is>
      </c>
    </row>
    <row r="3743">
      <c r="A3743" t="inlineStr">
        <is>
          <t>14946674</t>
        </is>
      </c>
      <c r="B3743" t="inlineStr">
        <is>
          <t>30015813-7cfa-46af-b200-09a7fa9cba6c</t>
        </is>
      </c>
      <c r="D3743" t="inlineStr">
        <is>
          <t>30001087</t>
        </is>
      </c>
      <c r="E3743" t="inlineStr">
        <is>
          <t>ussd_funeral_leads_altitude_20260619</t>
        </is>
      </c>
      <c r="J3743" t="inlineStr">
        <is>
          <t>AA</t>
        </is>
      </c>
      <c r="K3743" t="inlineStr">
        <is>
          <t>Answering Machine Autodial</t>
        </is>
      </c>
      <c r="L3743" t="n">
        <v>3</v>
      </c>
      <c r="M3743" t="inlineStr">
        <is>
          <t>2026-06-23 09:42:40</t>
        </is>
      </c>
      <c r="N3743" t="inlineStr">
        <is>
          <t>system</t>
        </is>
      </c>
      <c r="O3743" t="inlineStr">
        <is>
          <t>2026-06-19 07:10:32</t>
        </is>
      </c>
      <c r="P3743" t="inlineStr">
        <is>
          <t>2026-06-19 07:10:32</t>
        </is>
      </c>
      <c r="Y3743" t="inlineStr">
        <is>
          <t>27646100615</t>
        </is>
      </c>
    </row>
    <row r="3744">
      <c r="A3744" t="inlineStr">
        <is>
          <t>14946670</t>
        </is>
      </c>
      <c r="B3744" t="inlineStr">
        <is>
          <t>83fe8d8f-53ae-4f95-8787-3c5381432233</t>
        </is>
      </c>
      <c r="D3744" t="inlineStr">
        <is>
          <t>30001087</t>
        </is>
      </c>
      <c r="E3744" t="inlineStr">
        <is>
          <t>ussd_funeral_leads_altitude_20260619</t>
        </is>
      </c>
      <c r="J3744" t="inlineStr">
        <is>
          <t>AA</t>
        </is>
      </c>
      <c r="K3744" t="inlineStr">
        <is>
          <t>Answering Machine Autodial</t>
        </is>
      </c>
      <c r="L3744" t="n">
        <v>3</v>
      </c>
      <c r="M3744" t="inlineStr">
        <is>
          <t>2026-06-23 09:42:36</t>
        </is>
      </c>
      <c r="N3744" t="inlineStr">
        <is>
          <t>system</t>
        </is>
      </c>
      <c r="O3744" t="inlineStr">
        <is>
          <t>2026-06-19 07:10:32</t>
        </is>
      </c>
      <c r="P3744" t="inlineStr">
        <is>
          <t>2026-06-19 07:10:32</t>
        </is>
      </c>
      <c r="Y3744" t="inlineStr">
        <is>
          <t>27822080977</t>
        </is>
      </c>
    </row>
    <row r="3745">
      <c r="A3745" t="inlineStr">
        <is>
          <t>14946672</t>
        </is>
      </c>
      <c r="B3745" t="inlineStr">
        <is>
          <t>5f41d1d5-e1e7-481f-bc06-ac6b19f7a547</t>
        </is>
      </c>
      <c r="D3745" t="inlineStr">
        <is>
          <t>30001087</t>
        </is>
      </c>
      <c r="E3745" t="inlineStr">
        <is>
          <t>ussd_funeral_leads_altitude_20260619</t>
        </is>
      </c>
      <c r="J3745" t="inlineStr">
        <is>
          <t>AA</t>
        </is>
      </c>
      <c r="K3745" t="inlineStr">
        <is>
          <t>Answering Machine Autodial</t>
        </is>
      </c>
      <c r="L3745" t="n">
        <v>3</v>
      </c>
      <c r="M3745" t="inlineStr">
        <is>
          <t>2026-06-23 09:42:36</t>
        </is>
      </c>
      <c r="N3745" t="inlineStr">
        <is>
          <t>system</t>
        </is>
      </c>
      <c r="O3745" t="inlineStr">
        <is>
          <t>2026-06-19 07:10:32</t>
        </is>
      </c>
      <c r="P3745" t="inlineStr">
        <is>
          <t>2026-06-19 07:10:32</t>
        </is>
      </c>
      <c r="Y3745" t="inlineStr">
        <is>
          <t>27607564651</t>
        </is>
      </c>
    </row>
    <row r="3746">
      <c r="A3746" t="inlineStr">
        <is>
          <t>14946649</t>
        </is>
      </c>
      <c r="B3746" t="inlineStr">
        <is>
          <t>5804d28b-df56-45d1-bafb-3cca81d182f7</t>
        </is>
      </c>
      <c r="D3746" t="inlineStr">
        <is>
          <t>30001087</t>
        </is>
      </c>
      <c r="E3746" t="inlineStr">
        <is>
          <t>ussd_funeral_leads_altitude_20260619</t>
        </is>
      </c>
      <c r="J3746" t="inlineStr">
        <is>
          <t>AA</t>
        </is>
      </c>
      <c r="K3746" t="inlineStr">
        <is>
          <t>Answering Machine Autodial</t>
        </is>
      </c>
      <c r="L3746" t="n">
        <v>3</v>
      </c>
      <c r="M3746" t="inlineStr">
        <is>
          <t>2026-06-23 09:42:33</t>
        </is>
      </c>
      <c r="N3746" t="inlineStr">
        <is>
          <t>system</t>
        </is>
      </c>
      <c r="O3746" t="inlineStr">
        <is>
          <t>2026-06-19 07:10:32</t>
        </is>
      </c>
      <c r="P3746" t="inlineStr">
        <is>
          <t>2026-06-19 07:10:32</t>
        </is>
      </c>
      <c r="Y3746" t="inlineStr">
        <is>
          <t>27662841854</t>
        </is>
      </c>
    </row>
    <row r="3747">
      <c r="A3747" t="inlineStr">
        <is>
          <t>14900000</t>
        </is>
      </c>
      <c r="B3747" t="inlineStr">
        <is>
          <t>23e48025-7bf9-431d-8022-63439c10f1f6</t>
        </is>
      </c>
      <c r="D3747" t="inlineStr">
        <is>
          <t>30001087</t>
        </is>
      </c>
      <c r="E3747" t="inlineStr">
        <is>
          <t>ussd_funeral_leads_altitude_20260619</t>
        </is>
      </c>
      <c r="J3747" t="inlineStr">
        <is>
          <t>AA</t>
        </is>
      </c>
      <c r="K3747" t="inlineStr">
        <is>
          <t>Answering Machine Autodial</t>
        </is>
      </c>
      <c r="L3747" t="n">
        <v>3</v>
      </c>
      <c r="M3747" t="inlineStr">
        <is>
          <t>2026-06-23 09:42:33</t>
        </is>
      </c>
      <c r="N3747" t="inlineStr">
        <is>
          <t>system</t>
        </is>
      </c>
      <c r="O3747" t="inlineStr">
        <is>
          <t>2026-06-19 07:10:32</t>
        </is>
      </c>
      <c r="P3747" t="inlineStr">
        <is>
          <t>2026-06-19 07:10:32</t>
        </is>
      </c>
      <c r="Y3747" t="inlineStr">
        <is>
          <t>27637579009</t>
        </is>
      </c>
    </row>
    <row r="3748">
      <c r="A3748" t="inlineStr">
        <is>
          <t>14946651</t>
        </is>
      </c>
      <c r="B3748" t="inlineStr">
        <is>
          <t>1c7a49a2-bb58-4fe7-8419-37aee3151c61</t>
        </is>
      </c>
      <c r="D3748" t="inlineStr">
        <is>
          <t>30001087</t>
        </is>
      </c>
      <c r="E3748" t="inlineStr">
        <is>
          <t>ussd_funeral_leads_altitude_20260619</t>
        </is>
      </c>
      <c r="J3748" t="inlineStr">
        <is>
          <t>DROP</t>
        </is>
      </c>
      <c r="K3748" t="inlineStr">
        <is>
          <t>Dropped</t>
        </is>
      </c>
      <c r="L3748" t="n">
        <v>3</v>
      </c>
      <c r="M3748" t="inlineStr">
        <is>
          <t>2026-06-23 09:42:33</t>
        </is>
      </c>
      <c r="N3748" t="inlineStr">
        <is>
          <t>system</t>
        </is>
      </c>
      <c r="O3748" t="inlineStr">
        <is>
          <t>2026-06-19 07:10:32</t>
        </is>
      </c>
      <c r="P3748" t="inlineStr">
        <is>
          <t>2026-06-19 07:10:32</t>
        </is>
      </c>
      <c r="Y3748" t="inlineStr">
        <is>
          <t>27649554281</t>
        </is>
      </c>
    </row>
    <row r="3749">
      <c r="A3749" t="inlineStr">
        <is>
          <t>14900000</t>
        </is>
      </c>
      <c r="B3749" t="inlineStr">
        <is>
          <t>e623a20a-ba78-4cf5-8bf3-32a247c32f33</t>
        </is>
      </c>
      <c r="D3749" t="inlineStr">
        <is>
          <t>30001087</t>
        </is>
      </c>
      <c r="E3749" t="inlineStr">
        <is>
          <t>ussd_funeral_leads_altitude_20260619</t>
        </is>
      </c>
      <c r="J3749" t="inlineStr">
        <is>
          <t>AA</t>
        </is>
      </c>
      <c r="K3749" t="inlineStr">
        <is>
          <t>Answering Machine Autodial</t>
        </is>
      </c>
      <c r="L3749" t="n">
        <v>3</v>
      </c>
      <c r="M3749" t="inlineStr">
        <is>
          <t>2026-06-23 09:42:33</t>
        </is>
      </c>
      <c r="N3749" t="inlineStr">
        <is>
          <t>system</t>
        </is>
      </c>
      <c r="O3749" t="inlineStr">
        <is>
          <t>2026-06-19 07:10:32</t>
        </is>
      </c>
      <c r="P3749" t="inlineStr">
        <is>
          <t>2026-06-19 07:10:32</t>
        </is>
      </c>
      <c r="Y3749" t="inlineStr">
        <is>
          <t>27712003705</t>
        </is>
      </c>
    </row>
    <row r="3750">
      <c r="A3750" t="inlineStr">
        <is>
          <t>14946648</t>
        </is>
      </c>
      <c r="B3750" t="inlineStr">
        <is>
          <t>80946e3e-5071-4627-b13e-07c7f5cfdb8e</t>
        </is>
      </c>
      <c r="D3750" t="inlineStr">
        <is>
          <t>30001087</t>
        </is>
      </c>
      <c r="E3750" t="inlineStr">
        <is>
          <t>ussd_funeral_leads_altitude_20260619</t>
        </is>
      </c>
      <c r="J3750" t="inlineStr">
        <is>
          <t>AA</t>
        </is>
      </c>
      <c r="K3750" t="inlineStr">
        <is>
          <t>Answering Machine Autodial</t>
        </is>
      </c>
      <c r="L3750" t="n">
        <v>3</v>
      </c>
      <c r="M3750" t="inlineStr">
        <is>
          <t>2026-06-23 09:42:32</t>
        </is>
      </c>
      <c r="N3750" t="inlineStr">
        <is>
          <t>system</t>
        </is>
      </c>
      <c r="O3750" t="inlineStr">
        <is>
          <t>2026-06-19 07:10:32</t>
        </is>
      </c>
      <c r="P3750" t="inlineStr">
        <is>
          <t>2026-06-19 07:10:32</t>
        </is>
      </c>
      <c r="Y3750" t="inlineStr">
        <is>
          <t>27636385548</t>
        </is>
      </c>
    </row>
    <row r="3751">
      <c r="A3751" t="inlineStr">
        <is>
          <t>14947692</t>
        </is>
      </c>
      <c r="B3751" t="inlineStr">
        <is>
          <t>df9893fb-fdc9-488a-be46-00132585cd19</t>
        </is>
      </c>
      <c r="D3751" t="inlineStr">
        <is>
          <t>30001087</t>
        </is>
      </c>
      <c r="E3751" t="inlineStr">
        <is>
          <t>ussd_funeral_leads_altitude_20260619</t>
        </is>
      </c>
      <c r="J3751" t="inlineStr">
        <is>
          <t>ADC</t>
        </is>
      </c>
      <c r="K3751" t="inlineStr">
        <is>
          <t>Auto Dial Disconnected</t>
        </is>
      </c>
      <c r="L3751" t="n">
        <v>3</v>
      </c>
      <c r="M3751" t="inlineStr">
        <is>
          <t>2026-06-23 09:42:32</t>
        </is>
      </c>
      <c r="N3751" t="inlineStr">
        <is>
          <t>system</t>
        </is>
      </c>
      <c r="O3751" t="inlineStr">
        <is>
          <t>2026-06-19 07:10:32</t>
        </is>
      </c>
      <c r="P3751" t="inlineStr">
        <is>
          <t>2026-06-19 07:10:32</t>
        </is>
      </c>
      <c r="Y3751" t="inlineStr">
        <is>
          <t>27673762170</t>
        </is>
      </c>
    </row>
    <row r="3752">
      <c r="A3752" t="inlineStr">
        <is>
          <t>14946744</t>
        </is>
      </c>
      <c r="B3752" t="inlineStr">
        <is>
          <t>3a139ca8-226e-4c23-8085-8ab580c39abd</t>
        </is>
      </c>
      <c r="D3752" t="inlineStr">
        <is>
          <t>30001087</t>
        </is>
      </c>
      <c r="E3752" t="inlineStr">
        <is>
          <t>ussd_funeral_leads_altitude_20260619</t>
        </is>
      </c>
      <c r="J3752" t="inlineStr">
        <is>
          <t>NA</t>
        </is>
      </c>
      <c r="K3752" t="inlineStr">
        <is>
          <t>No Answer Autodial</t>
        </is>
      </c>
      <c r="L3752" t="n">
        <v>3</v>
      </c>
      <c r="M3752" t="inlineStr">
        <is>
          <t>2026-06-23 09:42:25</t>
        </is>
      </c>
      <c r="N3752" t="inlineStr">
        <is>
          <t>system</t>
        </is>
      </c>
      <c r="O3752" t="inlineStr">
        <is>
          <t>2026-06-19 07:10:32</t>
        </is>
      </c>
      <c r="P3752" t="inlineStr">
        <is>
          <t>2026-06-19 07:10:32</t>
        </is>
      </c>
      <c r="Y3752" t="inlineStr">
        <is>
          <t>27797080806</t>
        </is>
      </c>
    </row>
    <row r="3753">
      <c r="A3753" t="inlineStr">
        <is>
          <t>14946750</t>
        </is>
      </c>
      <c r="B3753" t="inlineStr">
        <is>
          <t>d34e47e7-90e4-47d0-9d09-e9f1e250ba4a</t>
        </is>
      </c>
      <c r="D3753" t="inlineStr">
        <is>
          <t>30001087</t>
        </is>
      </c>
      <c r="E3753" t="inlineStr">
        <is>
          <t>ussd_funeral_leads_altitude_20260619</t>
        </is>
      </c>
      <c r="J3753" t="inlineStr">
        <is>
          <t>LANG</t>
        </is>
      </c>
      <c r="K3753" t="inlineStr">
        <is>
          <t>Language Barrier</t>
        </is>
      </c>
      <c r="L3753" t="n">
        <v>3</v>
      </c>
      <c r="M3753" t="inlineStr">
        <is>
          <t>2026-06-23 09:42:25</t>
        </is>
      </c>
      <c r="N3753" t="inlineStr">
        <is>
          <t>Goitsimang Mogwasa</t>
        </is>
      </c>
      <c r="O3753" t="inlineStr">
        <is>
          <t>2026-06-19 07:10:32</t>
        </is>
      </c>
      <c r="P3753" t="inlineStr">
        <is>
          <t>2026-06-19 07:10:32</t>
        </is>
      </c>
      <c r="Y3753" t="inlineStr">
        <is>
          <t>27664667937</t>
        </is>
      </c>
    </row>
    <row r="3754">
      <c r="A3754" t="inlineStr">
        <is>
          <t>14946751</t>
        </is>
      </c>
      <c r="B3754" t="inlineStr">
        <is>
          <t>2dc8b23a-74b1-4068-b8a5-99eee9bd5ba8</t>
        </is>
      </c>
      <c r="D3754" t="inlineStr">
        <is>
          <t>30001087</t>
        </is>
      </c>
      <c r="E3754" t="inlineStr">
        <is>
          <t>ussd_funeral_leads_altitude_20260619</t>
        </is>
      </c>
      <c r="J3754" t="inlineStr">
        <is>
          <t>AA</t>
        </is>
      </c>
      <c r="K3754" t="inlineStr">
        <is>
          <t>Answering Machine Autodial</t>
        </is>
      </c>
      <c r="L3754" t="n">
        <v>3</v>
      </c>
      <c r="M3754" t="inlineStr">
        <is>
          <t>2026-06-23 09:42:25</t>
        </is>
      </c>
      <c r="N3754" t="inlineStr">
        <is>
          <t>system</t>
        </is>
      </c>
      <c r="O3754" t="inlineStr">
        <is>
          <t>2026-06-19 07:10:32</t>
        </is>
      </c>
      <c r="P3754" t="inlineStr">
        <is>
          <t>2026-06-19 07:10:32</t>
        </is>
      </c>
      <c r="Y3754" t="inlineStr">
        <is>
          <t>27715985494</t>
        </is>
      </c>
    </row>
    <row r="3755">
      <c r="A3755" t="inlineStr">
        <is>
          <t>14946752</t>
        </is>
      </c>
      <c r="B3755" t="inlineStr">
        <is>
          <t>3b689bd2-e244-4bd8-95f4-e82c0bba5725</t>
        </is>
      </c>
      <c r="D3755" t="inlineStr">
        <is>
          <t>30001087</t>
        </is>
      </c>
      <c r="E3755" t="inlineStr">
        <is>
          <t>ussd_funeral_leads_altitude_20260619</t>
        </is>
      </c>
      <c r="J3755" t="inlineStr">
        <is>
          <t>CU</t>
        </is>
      </c>
      <c r="K3755" t="inlineStr">
        <is>
          <t>Client Hung Up</t>
        </is>
      </c>
      <c r="L3755" t="n">
        <v>3</v>
      </c>
      <c r="M3755" t="inlineStr">
        <is>
          <t>2026-06-23 09:42:25</t>
        </is>
      </c>
      <c r="N3755" t="inlineStr">
        <is>
          <t>Dimakatso Nkomo</t>
        </is>
      </c>
      <c r="O3755" t="inlineStr">
        <is>
          <t>2026-06-19 07:10:32</t>
        </is>
      </c>
      <c r="P3755" t="inlineStr">
        <is>
          <t>2026-06-19 07:10:32</t>
        </is>
      </c>
      <c r="Y3755" t="inlineStr">
        <is>
          <t>27722893108</t>
        </is>
      </c>
    </row>
    <row r="3756">
      <c r="A3756" t="inlineStr">
        <is>
          <t>14946753</t>
        </is>
      </c>
      <c r="B3756" t="inlineStr">
        <is>
          <t>8c972bdf-dc2e-49fe-8beb-2b51b437b425</t>
        </is>
      </c>
      <c r="D3756" t="inlineStr">
        <is>
          <t>30001087</t>
        </is>
      </c>
      <c r="E3756" t="inlineStr">
        <is>
          <t>ussd_funeral_leads_altitude_20260619</t>
        </is>
      </c>
      <c r="J3756" t="inlineStr">
        <is>
          <t>AA</t>
        </is>
      </c>
      <c r="K3756" t="inlineStr">
        <is>
          <t>Answering Machine Autodial</t>
        </is>
      </c>
      <c r="L3756" t="n">
        <v>3</v>
      </c>
      <c r="M3756" t="inlineStr">
        <is>
          <t>2026-06-23 09:42:25</t>
        </is>
      </c>
      <c r="N3756" t="inlineStr">
        <is>
          <t>system</t>
        </is>
      </c>
      <c r="O3756" t="inlineStr">
        <is>
          <t>2026-06-19 07:10:32</t>
        </is>
      </c>
      <c r="P3756" t="inlineStr">
        <is>
          <t>2026-06-19 07:10:32</t>
        </is>
      </c>
      <c r="Y3756" t="inlineStr">
        <is>
          <t>27607465845</t>
        </is>
      </c>
    </row>
    <row r="3757">
      <c r="A3757" t="inlineStr">
        <is>
          <t>14946742</t>
        </is>
      </c>
      <c r="B3757" t="inlineStr">
        <is>
          <t>06cd1233-c5e4-43fe-a5c7-9a4a251636f0</t>
        </is>
      </c>
      <c r="D3757" t="inlineStr">
        <is>
          <t>30001087</t>
        </is>
      </c>
      <c r="E3757" t="inlineStr">
        <is>
          <t>ussd_funeral_leads_altitude_20260619</t>
        </is>
      </c>
      <c r="J3757" t="inlineStr">
        <is>
          <t>NA</t>
        </is>
      </c>
      <c r="K3757" t="inlineStr">
        <is>
          <t>No Answer Autodial</t>
        </is>
      </c>
      <c r="L3757" t="n">
        <v>3</v>
      </c>
      <c r="M3757" t="inlineStr">
        <is>
          <t>2026-06-23 09:42:24</t>
        </is>
      </c>
      <c r="N3757" t="inlineStr">
        <is>
          <t>system</t>
        </is>
      </c>
      <c r="O3757" t="inlineStr">
        <is>
          <t>2026-06-19 07:10:32</t>
        </is>
      </c>
      <c r="P3757" t="inlineStr">
        <is>
          <t>2026-06-19 07:10:32</t>
        </is>
      </c>
      <c r="Y3757" t="inlineStr">
        <is>
          <t>27763512515</t>
        </is>
      </c>
    </row>
    <row r="3758">
      <c r="A3758" t="inlineStr">
        <is>
          <t>14946743</t>
        </is>
      </c>
      <c r="B3758" t="inlineStr">
        <is>
          <t>b8a38d70-3229-40f4-a76c-65438b9c2745</t>
        </is>
      </c>
      <c r="D3758" t="inlineStr">
        <is>
          <t>30001087</t>
        </is>
      </c>
      <c r="E3758" t="inlineStr">
        <is>
          <t>ussd_funeral_leads_altitude_20260619</t>
        </is>
      </c>
      <c r="J3758" t="inlineStr">
        <is>
          <t>AA</t>
        </is>
      </c>
      <c r="K3758" t="inlineStr">
        <is>
          <t>Answering Machine Autodial</t>
        </is>
      </c>
      <c r="L3758" t="n">
        <v>3</v>
      </c>
      <c r="M3758" t="inlineStr">
        <is>
          <t>2026-06-23 09:42:24</t>
        </is>
      </c>
      <c r="N3758" t="inlineStr">
        <is>
          <t>system</t>
        </is>
      </c>
      <c r="O3758" t="inlineStr">
        <is>
          <t>2026-06-19 07:10:32</t>
        </is>
      </c>
      <c r="P3758" t="inlineStr">
        <is>
          <t>2026-06-19 07:10:32</t>
        </is>
      </c>
      <c r="Y3758" t="inlineStr">
        <is>
          <t>27822363873</t>
        </is>
      </c>
    </row>
    <row r="3759">
      <c r="A3759" t="inlineStr">
        <is>
          <t>14946741</t>
        </is>
      </c>
      <c r="B3759" t="inlineStr">
        <is>
          <t>4a3c80ef-0a05-4aae-9b00-0546065f3b4c</t>
        </is>
      </c>
      <c r="D3759" t="inlineStr">
        <is>
          <t>30001087</t>
        </is>
      </c>
      <c r="E3759" t="inlineStr">
        <is>
          <t>ussd_funeral_leads_altitude_20260619</t>
        </is>
      </c>
      <c r="J3759" t="inlineStr">
        <is>
          <t>AA</t>
        </is>
      </c>
      <c r="K3759" t="inlineStr">
        <is>
          <t>Answering Machine Autodial</t>
        </is>
      </c>
      <c r="L3759" t="n">
        <v>3</v>
      </c>
      <c r="M3759" t="inlineStr">
        <is>
          <t>2026-06-23 09:42:20</t>
        </is>
      </c>
      <c r="N3759" t="inlineStr">
        <is>
          <t>system</t>
        </is>
      </c>
      <c r="O3759" t="inlineStr">
        <is>
          <t>2026-06-19 07:10:32</t>
        </is>
      </c>
      <c r="P3759" t="inlineStr">
        <is>
          <t>2026-06-19 07:10:32</t>
        </is>
      </c>
      <c r="Y3759" t="inlineStr">
        <is>
          <t>27722438829</t>
        </is>
      </c>
    </row>
    <row r="3760">
      <c r="A3760" t="inlineStr">
        <is>
          <t>14946738</t>
        </is>
      </c>
      <c r="B3760" t="inlineStr">
        <is>
          <t>11912ded-fb54-41c2-a812-cbd83912df3a</t>
        </is>
      </c>
      <c r="D3760" t="inlineStr">
        <is>
          <t>30001087</t>
        </is>
      </c>
      <c r="E3760" t="inlineStr">
        <is>
          <t>ussd_funeral_leads_altitude_20260619</t>
        </is>
      </c>
      <c r="J3760" t="inlineStr">
        <is>
          <t>TDN</t>
        </is>
      </c>
      <c r="K3760" t="inlineStr">
        <is>
          <t>Temporary Disconnected Number</t>
        </is>
      </c>
      <c r="L3760" t="n">
        <v>3</v>
      </c>
      <c r="M3760" t="inlineStr">
        <is>
          <t>2026-06-23 09:42:19</t>
        </is>
      </c>
      <c r="N3760" t="inlineStr">
        <is>
          <t>system</t>
        </is>
      </c>
      <c r="O3760" t="inlineStr">
        <is>
          <t>2026-06-19 07:10:32</t>
        </is>
      </c>
      <c r="P3760" t="inlineStr">
        <is>
          <t>2026-06-19 07:10:32</t>
        </is>
      </c>
      <c r="Y3760" t="inlineStr">
        <is>
          <t>27824784808</t>
        </is>
      </c>
    </row>
    <row r="3761">
      <c r="A3761" t="inlineStr">
        <is>
          <t>14946722</t>
        </is>
      </c>
      <c r="B3761" t="inlineStr">
        <is>
          <t>2c55d642-e556-4e05-94a0-73f6db747feb</t>
        </is>
      </c>
      <c r="D3761" t="inlineStr">
        <is>
          <t>30001087</t>
        </is>
      </c>
      <c r="E3761" t="inlineStr">
        <is>
          <t>ussd_funeral_leads_altitude_20260619</t>
        </is>
      </c>
      <c r="J3761" t="inlineStr">
        <is>
          <t>AA</t>
        </is>
      </c>
      <c r="K3761" t="inlineStr">
        <is>
          <t>Answering Machine Autodial</t>
        </is>
      </c>
      <c r="L3761" t="n">
        <v>3</v>
      </c>
      <c r="M3761" t="inlineStr">
        <is>
          <t>2026-06-23 09:42:14</t>
        </is>
      </c>
      <c r="N3761" t="inlineStr">
        <is>
          <t>system</t>
        </is>
      </c>
      <c r="O3761" t="inlineStr">
        <is>
          <t>2026-06-19 07:10:32</t>
        </is>
      </c>
      <c r="P3761" t="inlineStr">
        <is>
          <t>2026-06-19 07:10:32</t>
        </is>
      </c>
      <c r="Y3761" t="inlineStr">
        <is>
          <t>27716794375</t>
        </is>
      </c>
    </row>
    <row r="3762">
      <c r="A3762" t="inlineStr">
        <is>
          <t>14946719</t>
        </is>
      </c>
      <c r="B3762" t="inlineStr">
        <is>
          <t>b0afba96-e89d-453d-96bc-6d775be2ba76</t>
        </is>
      </c>
      <c r="D3762" t="inlineStr">
        <is>
          <t>30001087</t>
        </is>
      </c>
      <c r="E3762" t="inlineStr">
        <is>
          <t>ussd_funeral_leads_altitude_20260619</t>
        </is>
      </c>
      <c r="J3762" t="inlineStr">
        <is>
          <t>TDN</t>
        </is>
      </c>
      <c r="K3762" t="inlineStr">
        <is>
          <t>Temporary Disconnected Number</t>
        </is>
      </c>
      <c r="L3762" t="n">
        <v>3</v>
      </c>
      <c r="M3762" t="inlineStr">
        <is>
          <t>2026-06-23 09:42:13</t>
        </is>
      </c>
      <c r="N3762" t="inlineStr">
        <is>
          <t>system</t>
        </is>
      </c>
      <c r="O3762" t="inlineStr">
        <is>
          <t>2026-06-19 07:10:32</t>
        </is>
      </c>
      <c r="P3762" t="inlineStr">
        <is>
          <t>2026-06-19 07:10:32</t>
        </is>
      </c>
      <c r="Y3762" t="inlineStr">
        <is>
          <t>27674906741</t>
        </is>
      </c>
    </row>
    <row r="3763">
      <c r="A3763" t="inlineStr">
        <is>
          <t>14946720</t>
        </is>
      </c>
      <c r="B3763" t="inlineStr">
        <is>
          <t>219d6cf8-52e6-470a-b6cb-85ad2ee7d0c1</t>
        </is>
      </c>
      <c r="D3763" t="inlineStr">
        <is>
          <t>30001087</t>
        </is>
      </c>
      <c r="E3763" t="inlineStr">
        <is>
          <t>ussd_funeral_leads_altitude_20260619</t>
        </is>
      </c>
      <c r="J3763" t="inlineStr">
        <is>
          <t>AA</t>
        </is>
      </c>
      <c r="K3763" t="inlineStr">
        <is>
          <t>Answering Machine Autodial</t>
        </is>
      </c>
      <c r="L3763" t="n">
        <v>3</v>
      </c>
      <c r="M3763" t="inlineStr">
        <is>
          <t>2026-06-23 09:42:13</t>
        </is>
      </c>
      <c r="N3763" t="inlineStr">
        <is>
          <t>system</t>
        </is>
      </c>
      <c r="O3763" t="inlineStr">
        <is>
          <t>2026-06-19 07:10:32</t>
        </is>
      </c>
      <c r="P3763" t="inlineStr">
        <is>
          <t>2026-06-19 07:10:32</t>
        </is>
      </c>
      <c r="Y3763" t="inlineStr">
        <is>
          <t>27794152931</t>
        </is>
      </c>
    </row>
    <row r="3764">
      <c r="A3764" t="inlineStr">
        <is>
          <t>14946721</t>
        </is>
      </c>
      <c r="B3764" t="inlineStr">
        <is>
          <t>54cafade-fc3f-4420-b6d3-c53beae804ef</t>
        </is>
      </c>
      <c r="D3764" t="inlineStr">
        <is>
          <t>30001087</t>
        </is>
      </c>
      <c r="E3764" t="inlineStr">
        <is>
          <t>ussd_funeral_leads_altitude_20260619</t>
        </is>
      </c>
      <c r="J3764" t="inlineStr">
        <is>
          <t>AA</t>
        </is>
      </c>
      <c r="K3764" t="inlineStr">
        <is>
          <t>Answering Machine Autodial</t>
        </is>
      </c>
      <c r="L3764" t="n">
        <v>3</v>
      </c>
      <c r="M3764" t="inlineStr">
        <is>
          <t>2026-06-23 09:42:13</t>
        </is>
      </c>
      <c r="N3764" t="inlineStr">
        <is>
          <t>system</t>
        </is>
      </c>
      <c r="O3764" t="inlineStr">
        <is>
          <t>2026-06-19 07:10:32</t>
        </is>
      </c>
      <c r="P3764" t="inlineStr">
        <is>
          <t>2026-06-19 07:10:32</t>
        </is>
      </c>
      <c r="Y3764" t="inlineStr">
        <is>
          <t>27665893437</t>
        </is>
      </c>
    </row>
    <row r="3765">
      <c r="A3765" t="inlineStr">
        <is>
          <t>14946717</t>
        </is>
      </c>
      <c r="B3765" t="inlineStr">
        <is>
          <t>1e5be134-cd60-46c5-bba5-484e3ce597c7</t>
        </is>
      </c>
      <c r="D3765" t="inlineStr">
        <is>
          <t>30001087</t>
        </is>
      </c>
      <c r="E3765" t="inlineStr">
        <is>
          <t>ussd_funeral_leads_altitude_20260619</t>
        </is>
      </c>
      <c r="J3765" t="inlineStr">
        <is>
          <t>AA</t>
        </is>
      </c>
      <c r="K3765" t="inlineStr">
        <is>
          <t>Answering Machine Autodial</t>
        </is>
      </c>
      <c r="L3765" t="n">
        <v>3</v>
      </c>
      <c r="M3765" t="inlineStr">
        <is>
          <t>2026-06-23 09:41:49</t>
        </is>
      </c>
      <c r="N3765" t="inlineStr">
        <is>
          <t>system</t>
        </is>
      </c>
      <c r="O3765" t="inlineStr">
        <is>
          <t>2026-06-19 07:10:32</t>
        </is>
      </c>
      <c r="P3765" t="inlineStr">
        <is>
          <t>2026-06-19 07:10:32</t>
        </is>
      </c>
      <c r="Y3765" t="inlineStr">
        <is>
          <t>27795561197</t>
        </is>
      </c>
    </row>
    <row r="3766">
      <c r="A3766" t="inlineStr">
        <is>
          <t>14946718</t>
        </is>
      </c>
      <c r="B3766" t="inlineStr">
        <is>
          <t>571298f6-0992-45fa-a7e6-4bc26045076b</t>
        </is>
      </c>
      <c r="D3766" t="inlineStr">
        <is>
          <t>30001087</t>
        </is>
      </c>
      <c r="E3766" t="inlineStr">
        <is>
          <t>ussd_funeral_leads_altitude_20260619</t>
        </is>
      </c>
      <c r="J3766" t="inlineStr">
        <is>
          <t>AA</t>
        </is>
      </c>
      <c r="K3766" t="inlineStr">
        <is>
          <t>Answering Machine Autodial</t>
        </is>
      </c>
      <c r="L3766" t="n">
        <v>3</v>
      </c>
      <c r="M3766" t="inlineStr">
        <is>
          <t>2026-06-23 09:41:49</t>
        </is>
      </c>
      <c r="N3766" t="inlineStr">
        <is>
          <t>system</t>
        </is>
      </c>
      <c r="O3766" t="inlineStr">
        <is>
          <t>2026-06-19 07:10:32</t>
        </is>
      </c>
      <c r="P3766" t="inlineStr">
        <is>
          <t>2026-06-19 07:10:32</t>
        </is>
      </c>
      <c r="Y3766" t="inlineStr">
        <is>
          <t>27761616227</t>
        </is>
      </c>
    </row>
    <row r="3767">
      <c r="A3767" t="inlineStr">
        <is>
          <t>14946702</t>
        </is>
      </c>
      <c r="B3767" t="inlineStr">
        <is>
          <t>3d2a26af-8601-47e1-9eb8-92709f9bf2cc</t>
        </is>
      </c>
      <c r="D3767" t="inlineStr">
        <is>
          <t>30001087</t>
        </is>
      </c>
      <c r="E3767" t="inlineStr">
        <is>
          <t>ussd_funeral_leads_altitude_20260619</t>
        </is>
      </c>
      <c r="J3767" t="inlineStr">
        <is>
          <t>AE</t>
        </is>
      </c>
      <c r="K3767" t="inlineStr">
        <is>
          <t>Auto Engaged</t>
        </is>
      </c>
      <c r="L3767" t="n">
        <v>3</v>
      </c>
      <c r="M3767" t="inlineStr">
        <is>
          <t>2026-06-23 09:41:48</t>
        </is>
      </c>
      <c r="N3767" t="inlineStr">
        <is>
          <t>system</t>
        </is>
      </c>
      <c r="O3767" t="inlineStr">
        <is>
          <t>2026-06-19 07:10:32</t>
        </is>
      </c>
      <c r="P3767" t="inlineStr">
        <is>
          <t>2026-06-19 07:10:32</t>
        </is>
      </c>
      <c r="Y3767" t="inlineStr">
        <is>
          <t>27842781170</t>
        </is>
      </c>
    </row>
    <row r="3768">
      <c r="A3768" t="inlineStr">
        <is>
          <t>14946703</t>
        </is>
      </c>
      <c r="B3768" t="inlineStr">
        <is>
          <t>eb96ecc3-a9f0-4021-b6eb-12ec955abedc</t>
        </is>
      </c>
      <c r="D3768" t="inlineStr">
        <is>
          <t>30001087</t>
        </is>
      </c>
      <c r="E3768" t="inlineStr">
        <is>
          <t>ussd_funeral_leads_altitude_20260619</t>
        </is>
      </c>
      <c r="J3768" t="inlineStr">
        <is>
          <t>AA</t>
        </is>
      </c>
      <c r="K3768" t="inlineStr">
        <is>
          <t>Answering Machine Autodial</t>
        </is>
      </c>
      <c r="L3768" t="n">
        <v>3</v>
      </c>
      <c r="M3768" t="inlineStr">
        <is>
          <t>2026-06-23 09:41:48</t>
        </is>
      </c>
      <c r="N3768" t="inlineStr">
        <is>
          <t>system</t>
        </is>
      </c>
      <c r="O3768" t="inlineStr">
        <is>
          <t>2026-06-19 07:10:32</t>
        </is>
      </c>
      <c r="P3768" t="inlineStr">
        <is>
          <t>2026-06-19 07:10:32</t>
        </is>
      </c>
      <c r="Y3768" t="inlineStr">
        <is>
          <t>27720441276</t>
        </is>
      </c>
    </row>
    <row r="3769">
      <c r="A3769" t="inlineStr">
        <is>
          <t>14946704</t>
        </is>
      </c>
      <c r="B3769" t="inlineStr">
        <is>
          <t>f2ee043e-29bb-475b-ba41-aaec52a3b433</t>
        </is>
      </c>
      <c r="D3769" t="inlineStr">
        <is>
          <t>30001087</t>
        </is>
      </c>
      <c r="E3769" t="inlineStr">
        <is>
          <t>ussd_funeral_leads_altitude_20260619</t>
        </is>
      </c>
      <c r="J3769" t="inlineStr">
        <is>
          <t>ADC</t>
        </is>
      </c>
      <c r="K3769" t="inlineStr">
        <is>
          <t>Auto Dial Disconnected</t>
        </is>
      </c>
      <c r="L3769" t="n">
        <v>3</v>
      </c>
      <c r="M3769" t="inlineStr">
        <is>
          <t>2026-06-23 09:41:48</t>
        </is>
      </c>
      <c r="N3769" t="inlineStr">
        <is>
          <t>system</t>
        </is>
      </c>
      <c r="O3769" t="inlineStr">
        <is>
          <t>2026-06-19 07:10:32</t>
        </is>
      </c>
      <c r="P3769" t="inlineStr">
        <is>
          <t>2026-06-19 07:10:32</t>
        </is>
      </c>
      <c r="Y3769" t="inlineStr">
        <is>
          <t>27663728290</t>
        </is>
      </c>
    </row>
    <row r="3770">
      <c r="A3770" t="inlineStr">
        <is>
          <t>14946705</t>
        </is>
      </c>
      <c r="B3770" t="inlineStr">
        <is>
          <t>81a1eb1d-55af-4ee4-8ff1-741002925b26</t>
        </is>
      </c>
      <c r="D3770" t="inlineStr">
        <is>
          <t>30001087</t>
        </is>
      </c>
      <c r="E3770" t="inlineStr">
        <is>
          <t>ussd_funeral_leads_altitude_20260619</t>
        </is>
      </c>
      <c r="J3770" t="inlineStr">
        <is>
          <t>NA</t>
        </is>
      </c>
      <c r="K3770" t="inlineStr">
        <is>
          <t>No Answer Autodial</t>
        </is>
      </c>
      <c r="L3770" t="n">
        <v>3</v>
      </c>
      <c r="M3770" t="inlineStr">
        <is>
          <t>2026-06-23 09:41:48</t>
        </is>
      </c>
      <c r="N3770" t="inlineStr">
        <is>
          <t>system</t>
        </is>
      </c>
      <c r="O3770" t="inlineStr">
        <is>
          <t>2026-06-19 07:10:32</t>
        </is>
      </c>
      <c r="P3770" t="inlineStr">
        <is>
          <t>2026-06-19 07:10:32</t>
        </is>
      </c>
      <c r="Y3770" t="inlineStr">
        <is>
          <t>27721393314</t>
        </is>
      </c>
    </row>
    <row r="3771">
      <c r="A3771" t="inlineStr">
        <is>
          <t>14946716</t>
        </is>
      </c>
      <c r="B3771" t="inlineStr">
        <is>
          <t>814f99c3-1c50-4522-9d81-08e76719278b</t>
        </is>
      </c>
      <c r="D3771" t="inlineStr">
        <is>
          <t>30001087</t>
        </is>
      </c>
      <c r="E3771" t="inlineStr">
        <is>
          <t>ussd_funeral_leads_altitude_20260619</t>
        </is>
      </c>
      <c r="J3771" t="inlineStr">
        <is>
          <t>AE</t>
        </is>
      </c>
      <c r="K3771" t="inlineStr">
        <is>
          <t>Auto Engaged</t>
        </is>
      </c>
      <c r="L3771" t="n">
        <v>3</v>
      </c>
      <c r="M3771" t="inlineStr">
        <is>
          <t>2026-06-23 09:41:48</t>
        </is>
      </c>
      <c r="N3771" t="inlineStr">
        <is>
          <t>system</t>
        </is>
      </c>
      <c r="O3771" t="inlineStr">
        <is>
          <t>2026-06-19 07:10:32</t>
        </is>
      </c>
      <c r="P3771" t="inlineStr">
        <is>
          <t>2026-06-19 07:10:32</t>
        </is>
      </c>
      <c r="Y3771" t="inlineStr">
        <is>
          <t>27723017113</t>
        </is>
      </c>
    </row>
    <row r="3772">
      <c r="A3772" t="inlineStr">
        <is>
          <t>14946691</t>
        </is>
      </c>
      <c r="B3772" t="inlineStr">
        <is>
          <t>ed18487f-fffd-4efb-877a-db8878da72a0</t>
        </is>
      </c>
      <c r="D3772" t="inlineStr">
        <is>
          <t>30001087</t>
        </is>
      </c>
      <c r="E3772" t="inlineStr">
        <is>
          <t>ussd_funeral_leads_altitude_20260619</t>
        </is>
      </c>
      <c r="J3772" t="inlineStr">
        <is>
          <t>AA</t>
        </is>
      </c>
      <c r="K3772" t="inlineStr">
        <is>
          <t>Answering Machine Autodial</t>
        </is>
      </c>
      <c r="L3772" t="n">
        <v>3</v>
      </c>
      <c r="M3772" t="inlineStr">
        <is>
          <t>2026-06-23 09:41:41</t>
        </is>
      </c>
      <c r="N3772" t="inlineStr">
        <is>
          <t>system</t>
        </is>
      </c>
      <c r="O3772" t="inlineStr">
        <is>
          <t>2026-06-19 07:10:32</t>
        </is>
      </c>
      <c r="P3772" t="inlineStr">
        <is>
          <t>2026-06-19 07:10:32</t>
        </is>
      </c>
      <c r="Y3772" t="inlineStr">
        <is>
          <t>27827216891</t>
        </is>
      </c>
    </row>
    <row r="3773">
      <c r="A3773" t="inlineStr">
        <is>
          <t>14946692</t>
        </is>
      </c>
      <c r="B3773" t="inlineStr">
        <is>
          <t>313b2eef-5d0d-4a97-81d0-e2115a897a39</t>
        </is>
      </c>
      <c r="D3773" t="inlineStr">
        <is>
          <t>30001087</t>
        </is>
      </c>
      <c r="E3773" t="inlineStr">
        <is>
          <t>ussd_funeral_leads_altitude_20260619</t>
        </is>
      </c>
      <c r="J3773" t="inlineStr">
        <is>
          <t>NA</t>
        </is>
      </c>
      <c r="K3773" t="inlineStr">
        <is>
          <t>No Answer Autodial</t>
        </is>
      </c>
      <c r="L3773" t="n">
        <v>3</v>
      </c>
      <c r="M3773" t="inlineStr">
        <is>
          <t>2026-06-23 09:41:41</t>
        </is>
      </c>
      <c r="N3773" t="inlineStr">
        <is>
          <t>system</t>
        </is>
      </c>
      <c r="O3773" t="inlineStr">
        <is>
          <t>2026-06-19 07:10:32</t>
        </is>
      </c>
      <c r="P3773" t="inlineStr">
        <is>
          <t>2026-06-19 07:10:32</t>
        </is>
      </c>
      <c r="Y3773" t="inlineStr">
        <is>
          <t>27606267736</t>
        </is>
      </c>
    </row>
    <row r="3774">
      <c r="A3774" t="inlineStr">
        <is>
          <t>14946693</t>
        </is>
      </c>
      <c r="B3774" t="inlineStr">
        <is>
          <t>5ead1050-4cc7-4191-99a8-5179d4ceb26b</t>
        </is>
      </c>
      <c r="D3774" t="inlineStr">
        <is>
          <t>30001087</t>
        </is>
      </c>
      <c r="E3774" t="inlineStr">
        <is>
          <t>ussd_funeral_leads_altitude_20260619</t>
        </is>
      </c>
      <c r="J3774" t="inlineStr">
        <is>
          <t>AA</t>
        </is>
      </c>
      <c r="K3774" t="inlineStr">
        <is>
          <t>Answering Machine Autodial</t>
        </is>
      </c>
      <c r="L3774" t="n">
        <v>3</v>
      </c>
      <c r="M3774" t="inlineStr">
        <is>
          <t>2026-06-23 09:41:41</t>
        </is>
      </c>
      <c r="N3774" t="inlineStr">
        <is>
          <t>system</t>
        </is>
      </c>
      <c r="O3774" t="inlineStr">
        <is>
          <t>2026-06-19 07:10:32</t>
        </is>
      </c>
      <c r="P3774" t="inlineStr">
        <is>
          <t>2026-06-19 07:10:32</t>
        </is>
      </c>
      <c r="Y3774" t="inlineStr">
        <is>
          <t>27767347644</t>
        </is>
      </c>
    </row>
    <row r="3775">
      <c r="A3775" t="inlineStr">
        <is>
          <t>14946690</t>
        </is>
      </c>
      <c r="B3775" t="inlineStr">
        <is>
          <t>3710c909-f979-4eb6-8716-57bc08dba7dc</t>
        </is>
      </c>
      <c r="D3775" t="inlineStr">
        <is>
          <t>30001087</t>
        </is>
      </c>
      <c r="E3775" t="inlineStr">
        <is>
          <t>ussd_funeral_leads_altitude_20260619</t>
        </is>
      </c>
      <c r="H3775" t="inlineStr">
        <is>
          <t>27769534810</t>
        </is>
      </c>
      <c r="J3775" t="inlineStr">
        <is>
          <t>AA</t>
        </is>
      </c>
      <c r="K3775" t="inlineStr">
        <is>
          <t>Answering Machine Autodial</t>
        </is>
      </c>
      <c r="L3775" t="n">
        <v>3</v>
      </c>
      <c r="M3775" t="inlineStr">
        <is>
          <t>2026-06-23 09:41:38</t>
        </is>
      </c>
      <c r="N3775" t="inlineStr">
        <is>
          <t>system</t>
        </is>
      </c>
      <c r="O3775" t="inlineStr">
        <is>
          <t>2026-06-19 07:10:32</t>
        </is>
      </c>
      <c r="P3775" t="inlineStr">
        <is>
          <t>2026-06-19 07:10:32</t>
        </is>
      </c>
      <c r="Y3775" t="inlineStr">
        <is>
          <t>27769534810</t>
        </is>
      </c>
    </row>
    <row r="3776">
      <c r="A3776" t="inlineStr">
        <is>
          <t>14946688</t>
        </is>
      </c>
      <c r="B3776" t="inlineStr">
        <is>
          <t>57f9d5fd-6b3d-4949-b442-5cee7c764951</t>
        </is>
      </c>
      <c r="D3776" t="inlineStr">
        <is>
          <t>30001087</t>
        </is>
      </c>
      <c r="E3776" t="inlineStr">
        <is>
          <t>ussd_funeral_leads_altitude_20260619</t>
        </is>
      </c>
      <c r="J3776" t="inlineStr">
        <is>
          <t>AA</t>
        </is>
      </c>
      <c r="K3776" t="inlineStr">
        <is>
          <t>Answering Machine Autodial</t>
        </is>
      </c>
      <c r="L3776" t="n">
        <v>3</v>
      </c>
      <c r="M3776" t="inlineStr">
        <is>
          <t>2026-06-23 09:41:32</t>
        </is>
      </c>
      <c r="N3776" t="inlineStr">
        <is>
          <t>system</t>
        </is>
      </c>
      <c r="O3776" t="inlineStr">
        <is>
          <t>2026-06-19 07:10:32</t>
        </is>
      </c>
      <c r="P3776" t="inlineStr">
        <is>
          <t>2026-06-19 07:10:32</t>
        </is>
      </c>
      <c r="Y3776" t="inlineStr">
        <is>
          <t>27661342080</t>
        </is>
      </c>
    </row>
    <row r="3777">
      <c r="A3777" t="inlineStr">
        <is>
          <t>14946689</t>
        </is>
      </c>
      <c r="B3777" t="inlineStr">
        <is>
          <t>1099b164-f1e2-4c18-ae22-2804e4b94c8e</t>
        </is>
      </c>
      <c r="D3777" t="inlineStr">
        <is>
          <t>30001087</t>
        </is>
      </c>
      <c r="E3777" t="inlineStr">
        <is>
          <t>ussd_funeral_leads_altitude_20260619</t>
        </is>
      </c>
      <c r="J3777" t="inlineStr">
        <is>
          <t>AA</t>
        </is>
      </c>
      <c r="K3777" t="inlineStr">
        <is>
          <t>Answering Machine Autodial</t>
        </is>
      </c>
      <c r="L3777" t="n">
        <v>3</v>
      </c>
      <c r="M3777" t="inlineStr">
        <is>
          <t>2026-06-23 09:41:32</t>
        </is>
      </c>
      <c r="N3777" t="inlineStr">
        <is>
          <t>system</t>
        </is>
      </c>
      <c r="O3777" t="inlineStr">
        <is>
          <t>2026-06-19 07:10:32</t>
        </is>
      </c>
      <c r="P3777" t="inlineStr">
        <is>
          <t>2026-06-19 07:10:32</t>
        </is>
      </c>
      <c r="Y3777" t="inlineStr">
        <is>
          <t>27720277384</t>
        </is>
      </c>
    </row>
    <row r="3778">
      <c r="A3778" t="inlineStr">
        <is>
          <t>14947694</t>
        </is>
      </c>
      <c r="B3778" t="inlineStr">
        <is>
          <t>0a8fd623-ebd5-4425-9c42-3165882063c7</t>
        </is>
      </c>
      <c r="D3778" t="inlineStr">
        <is>
          <t>30001087</t>
        </is>
      </c>
      <c r="E3778" t="inlineStr">
        <is>
          <t>ussd_funeral_leads_altitude_20260619</t>
        </is>
      </c>
      <c r="J3778" t="inlineStr">
        <is>
          <t>ADC</t>
        </is>
      </c>
      <c r="K3778" t="inlineStr">
        <is>
          <t>Auto Dial Disconnected</t>
        </is>
      </c>
      <c r="L3778" t="n">
        <v>3</v>
      </c>
      <c r="M3778" t="inlineStr">
        <is>
          <t>2026-06-23 09:41:32</t>
        </is>
      </c>
      <c r="N3778" t="inlineStr">
        <is>
          <t>system</t>
        </is>
      </c>
      <c r="O3778" t="inlineStr">
        <is>
          <t>2026-06-19 07:10:32</t>
        </is>
      </c>
      <c r="P3778" t="inlineStr">
        <is>
          <t>2026-06-19 07:10:32</t>
        </is>
      </c>
      <c r="Y3778" t="inlineStr">
        <is>
          <t>27664172135</t>
        </is>
      </c>
    </row>
    <row r="3779">
      <c r="A3779" t="inlineStr">
        <is>
          <t>14946713</t>
        </is>
      </c>
      <c r="B3779" t="inlineStr">
        <is>
          <t>10c5c8bc-8a7a-4cdb-83ae-9f08812a0117</t>
        </is>
      </c>
      <c r="D3779" t="inlineStr">
        <is>
          <t>30001087</t>
        </is>
      </c>
      <c r="E3779" t="inlineStr">
        <is>
          <t>ussd_funeral_leads_altitude_20260619</t>
        </is>
      </c>
      <c r="J3779" t="inlineStr">
        <is>
          <t>AA</t>
        </is>
      </c>
      <c r="K3779" t="inlineStr">
        <is>
          <t>Answering Machine Autodial</t>
        </is>
      </c>
      <c r="L3779" t="n">
        <v>3</v>
      </c>
      <c r="M3779" t="inlineStr">
        <is>
          <t>2026-06-23 09:41:13</t>
        </is>
      </c>
      <c r="N3779" t="inlineStr">
        <is>
          <t>system</t>
        </is>
      </c>
      <c r="O3779" t="inlineStr">
        <is>
          <t>2026-06-19 07:10:32</t>
        </is>
      </c>
      <c r="P3779" t="inlineStr">
        <is>
          <t>2026-06-19 07:10:32</t>
        </is>
      </c>
      <c r="Y3779" t="inlineStr">
        <is>
          <t>27764664401</t>
        </is>
      </c>
    </row>
    <row r="3780">
      <c r="A3780" t="inlineStr">
        <is>
          <t>14946714</t>
        </is>
      </c>
      <c r="B3780" t="inlineStr">
        <is>
          <t>0aa721b7-74ce-4d83-9f14-f9f7329d28b1</t>
        </is>
      </c>
      <c r="D3780" t="inlineStr">
        <is>
          <t>30001087</t>
        </is>
      </c>
      <c r="E3780" t="inlineStr">
        <is>
          <t>ussd_funeral_leads_altitude_20260619</t>
        </is>
      </c>
      <c r="J3780" t="inlineStr">
        <is>
          <t>A</t>
        </is>
      </c>
      <c r="K3780" t="inlineStr">
        <is>
          <t>Answering Machine</t>
        </is>
      </c>
      <c r="L3780" t="n">
        <v>3</v>
      </c>
      <c r="M3780" t="inlineStr">
        <is>
          <t>2026-06-23 09:41:13</t>
        </is>
      </c>
      <c r="N3780" t="inlineStr">
        <is>
          <t>Goitsimang Mogwasa</t>
        </is>
      </c>
      <c r="O3780" t="inlineStr">
        <is>
          <t>2026-06-19 07:10:32</t>
        </is>
      </c>
      <c r="P3780" t="inlineStr">
        <is>
          <t>2026-06-19 07:10:32</t>
        </is>
      </c>
      <c r="Y3780" t="inlineStr">
        <is>
          <t>27762619494</t>
        </is>
      </c>
    </row>
    <row r="3781">
      <c r="A3781" t="inlineStr">
        <is>
          <t>14946712</t>
        </is>
      </c>
      <c r="B3781" t="inlineStr">
        <is>
          <t>87f85d8a-453d-481a-a738-763ca771afbc</t>
        </is>
      </c>
      <c r="D3781" t="inlineStr">
        <is>
          <t>30001087</t>
        </is>
      </c>
      <c r="E3781" t="inlineStr">
        <is>
          <t>ussd_funeral_leads_altitude_20260619</t>
        </is>
      </c>
      <c r="J3781" t="inlineStr">
        <is>
          <t>AA</t>
        </is>
      </c>
      <c r="K3781" t="inlineStr">
        <is>
          <t>Answering Machine Autodial</t>
        </is>
      </c>
      <c r="L3781" t="n">
        <v>3</v>
      </c>
      <c r="M3781" t="inlineStr">
        <is>
          <t>2026-06-23 09:41:11</t>
        </is>
      </c>
      <c r="N3781" t="inlineStr">
        <is>
          <t>system</t>
        </is>
      </c>
      <c r="O3781" t="inlineStr">
        <is>
          <t>2026-06-19 07:10:32</t>
        </is>
      </c>
      <c r="P3781" t="inlineStr">
        <is>
          <t>2026-06-19 07:10:32</t>
        </is>
      </c>
      <c r="Y3781" t="inlineStr">
        <is>
          <t>27661943068</t>
        </is>
      </c>
    </row>
    <row r="3782">
      <c r="A3782" t="inlineStr">
        <is>
          <t>14946710</t>
        </is>
      </c>
      <c r="B3782" t="inlineStr">
        <is>
          <t>9c07be9e-bd62-4366-8f7b-47ecfd1ab79d</t>
        </is>
      </c>
      <c r="D3782" t="inlineStr">
        <is>
          <t>30001087</t>
        </is>
      </c>
      <c r="E3782" t="inlineStr">
        <is>
          <t>ussd_funeral_leads_altitude_20260619</t>
        </is>
      </c>
      <c r="J3782" t="inlineStr">
        <is>
          <t>AE</t>
        </is>
      </c>
      <c r="K3782" t="inlineStr">
        <is>
          <t>Auto Engaged</t>
        </is>
      </c>
      <c r="L3782" t="n">
        <v>3</v>
      </c>
      <c r="M3782" t="inlineStr">
        <is>
          <t>2026-06-23 09:41:09</t>
        </is>
      </c>
      <c r="N3782" t="inlineStr">
        <is>
          <t>system</t>
        </is>
      </c>
      <c r="O3782" t="inlineStr">
        <is>
          <t>2026-06-19 07:10:32</t>
        </is>
      </c>
      <c r="P3782" t="inlineStr">
        <is>
          <t>2026-06-19 07:10:32</t>
        </is>
      </c>
      <c r="Y3782" t="inlineStr">
        <is>
          <t>27824187806</t>
        </is>
      </c>
    </row>
    <row r="3783">
      <c r="A3783" t="inlineStr">
        <is>
          <t>14946711</t>
        </is>
      </c>
      <c r="B3783" t="inlineStr">
        <is>
          <t>1cab7209-d699-40ae-809c-85cda11d032f</t>
        </is>
      </c>
      <c r="D3783" t="inlineStr">
        <is>
          <t>30001087</t>
        </is>
      </c>
      <c r="E3783" t="inlineStr">
        <is>
          <t>ussd_funeral_leads_altitude_20260619</t>
        </is>
      </c>
      <c r="J3783" t="inlineStr">
        <is>
          <t>DROP</t>
        </is>
      </c>
      <c r="K3783" t="inlineStr">
        <is>
          <t>Dropped</t>
        </is>
      </c>
      <c r="L3783" t="n">
        <v>3</v>
      </c>
      <c r="M3783" t="inlineStr">
        <is>
          <t>2026-06-23 09:41:09</t>
        </is>
      </c>
      <c r="N3783" t="inlineStr">
        <is>
          <t>system</t>
        </is>
      </c>
      <c r="O3783" t="inlineStr">
        <is>
          <t>2026-06-19 07:10:32</t>
        </is>
      </c>
      <c r="P3783" t="inlineStr">
        <is>
          <t>2026-06-19 07:10:32</t>
        </is>
      </c>
      <c r="Y3783" t="inlineStr">
        <is>
          <t>27608832215</t>
        </is>
      </c>
    </row>
    <row r="3784">
      <c r="A3784" t="inlineStr">
        <is>
          <t>14946708</t>
        </is>
      </c>
      <c r="B3784" t="inlineStr">
        <is>
          <t>20a269e7-0cdd-44a7-9184-3e96427aa673</t>
        </is>
      </c>
      <c r="D3784" t="inlineStr">
        <is>
          <t>30001087</t>
        </is>
      </c>
      <c r="E3784" t="inlineStr">
        <is>
          <t>ussd_funeral_leads_altitude_20260619</t>
        </is>
      </c>
      <c r="J3784" t="inlineStr">
        <is>
          <t>ADC</t>
        </is>
      </c>
      <c r="K3784" t="inlineStr">
        <is>
          <t>Auto Dial Disconnected</t>
        </is>
      </c>
      <c r="L3784" t="n">
        <v>3</v>
      </c>
      <c r="M3784" t="inlineStr">
        <is>
          <t>2026-06-23 09:41:08</t>
        </is>
      </c>
      <c r="N3784" t="inlineStr">
        <is>
          <t>system</t>
        </is>
      </c>
      <c r="O3784" t="inlineStr">
        <is>
          <t>2026-06-19 07:10:32</t>
        </is>
      </c>
      <c r="P3784" t="inlineStr">
        <is>
          <t>2026-06-19 07:10:32</t>
        </is>
      </c>
      <c r="Y3784" t="inlineStr">
        <is>
          <t>27715326084</t>
        </is>
      </c>
    </row>
    <row r="3785">
      <c r="A3785" t="inlineStr">
        <is>
          <t>14946709</t>
        </is>
      </c>
      <c r="B3785" t="inlineStr">
        <is>
          <t>31697cfa-97ba-4333-9611-87c8c8130cf2</t>
        </is>
      </c>
      <c r="D3785" t="inlineStr">
        <is>
          <t>30001087</t>
        </is>
      </c>
      <c r="E3785" t="inlineStr">
        <is>
          <t>ussd_funeral_leads_altitude_20260619</t>
        </is>
      </c>
      <c r="J3785" t="inlineStr">
        <is>
          <t>ADC</t>
        </is>
      </c>
      <c r="K3785" t="inlineStr">
        <is>
          <t>Auto Dial Disconnected</t>
        </is>
      </c>
      <c r="L3785" t="n">
        <v>3</v>
      </c>
      <c r="M3785" t="inlineStr">
        <is>
          <t>2026-06-23 09:41:08</t>
        </is>
      </c>
      <c r="N3785" t="inlineStr">
        <is>
          <t>system</t>
        </is>
      </c>
      <c r="O3785" t="inlineStr">
        <is>
          <t>2026-06-19 07:10:32</t>
        </is>
      </c>
      <c r="P3785" t="inlineStr">
        <is>
          <t>2026-06-19 07:10:32</t>
        </is>
      </c>
      <c r="Y3785" t="inlineStr">
        <is>
          <t>27799740627</t>
        </is>
      </c>
    </row>
    <row r="3786">
      <c r="A3786" t="inlineStr">
        <is>
          <t>14946706</t>
        </is>
      </c>
      <c r="B3786" t="inlineStr">
        <is>
          <t>ed5e56e8-0611-458c-bce5-acc9eee30a43</t>
        </is>
      </c>
      <c r="D3786" t="inlineStr">
        <is>
          <t>30001087</t>
        </is>
      </c>
      <c r="E3786" t="inlineStr">
        <is>
          <t>ussd_funeral_leads_altitude_20260619</t>
        </is>
      </c>
      <c r="J3786" t="inlineStr">
        <is>
          <t>AA</t>
        </is>
      </c>
      <c r="K3786" t="inlineStr">
        <is>
          <t>Answering Machine Autodial</t>
        </is>
      </c>
      <c r="L3786" t="n">
        <v>3</v>
      </c>
      <c r="M3786" t="inlineStr">
        <is>
          <t>2026-06-23 09:41:05</t>
        </is>
      </c>
      <c r="N3786" t="inlineStr">
        <is>
          <t>system</t>
        </is>
      </c>
      <c r="O3786" t="inlineStr">
        <is>
          <t>2026-06-19 07:10:32</t>
        </is>
      </c>
      <c r="P3786" t="inlineStr">
        <is>
          <t>2026-06-19 07:10:32</t>
        </is>
      </c>
      <c r="Y3786" t="inlineStr">
        <is>
          <t>27724396321</t>
        </is>
      </c>
    </row>
    <row r="3787">
      <c r="A3787" t="inlineStr">
        <is>
          <t>14946707</t>
        </is>
      </c>
      <c r="B3787" t="inlineStr">
        <is>
          <t>62db8dcf-6333-4875-98d7-96fcbc8bb44e</t>
        </is>
      </c>
      <c r="D3787" t="inlineStr">
        <is>
          <t>30001087</t>
        </is>
      </c>
      <c r="E3787" t="inlineStr">
        <is>
          <t>ussd_funeral_leads_altitude_20260619</t>
        </is>
      </c>
      <c r="J3787" t="inlineStr">
        <is>
          <t>NA</t>
        </is>
      </c>
      <c r="K3787" t="inlineStr">
        <is>
          <t>No Answer Autodial</t>
        </is>
      </c>
      <c r="L3787" t="n">
        <v>3</v>
      </c>
      <c r="M3787" t="inlineStr">
        <is>
          <t>2026-06-23 09:41:05</t>
        </is>
      </c>
      <c r="N3787" t="inlineStr">
        <is>
          <t>system</t>
        </is>
      </c>
      <c r="O3787" t="inlineStr">
        <is>
          <t>2026-06-19 07:10:32</t>
        </is>
      </c>
      <c r="P3787" t="inlineStr">
        <is>
          <t>2026-06-19 07:10:32</t>
        </is>
      </c>
      <c r="Y3787" t="inlineStr">
        <is>
          <t>27607055257</t>
        </is>
      </c>
    </row>
    <row r="3788">
      <c r="A3788" t="inlineStr">
        <is>
          <t>14947695</t>
        </is>
      </c>
      <c r="B3788" t="inlineStr">
        <is>
          <t>acb563b0-096a-422c-9aee-72c10e29ff2d</t>
        </is>
      </c>
      <c r="D3788" t="inlineStr">
        <is>
          <t>30001087</t>
        </is>
      </c>
      <c r="E3788" t="inlineStr">
        <is>
          <t>ussd_funeral_leads_altitude_20260619</t>
        </is>
      </c>
      <c r="J3788" t="inlineStr">
        <is>
          <t>NA</t>
        </is>
      </c>
      <c r="K3788" t="inlineStr">
        <is>
          <t>No Answer Autodial</t>
        </is>
      </c>
      <c r="L3788" t="n">
        <v>3</v>
      </c>
      <c r="M3788" t="inlineStr">
        <is>
          <t>2026-06-23 09:41:05</t>
        </is>
      </c>
      <c r="N3788" t="inlineStr">
        <is>
          <t>system</t>
        </is>
      </c>
      <c r="O3788" t="inlineStr">
        <is>
          <t>2026-06-19 07:10:32</t>
        </is>
      </c>
      <c r="P3788" t="inlineStr">
        <is>
          <t>2026-06-19 07:10:32</t>
        </is>
      </c>
      <c r="Y3788" t="inlineStr">
        <is>
          <t>27766358324</t>
        </is>
      </c>
    </row>
    <row r="3789">
      <c r="A3789" t="inlineStr">
        <is>
          <t>14946813</t>
        </is>
      </c>
      <c r="B3789" t="inlineStr">
        <is>
          <t>b9ceade4-820d-4e8f-9f37-4ba2f3fc7272</t>
        </is>
      </c>
      <c r="D3789" t="inlineStr">
        <is>
          <t>30001087</t>
        </is>
      </c>
      <c r="E3789" t="inlineStr">
        <is>
          <t>ussd_funeral_leads_altitude_20260619</t>
        </is>
      </c>
      <c r="J3789" t="inlineStr">
        <is>
          <t>AA</t>
        </is>
      </c>
      <c r="K3789" t="inlineStr">
        <is>
          <t>Answering Machine Autodial</t>
        </is>
      </c>
      <c r="L3789" t="n">
        <v>3</v>
      </c>
      <c r="M3789" t="inlineStr">
        <is>
          <t>2026-06-23 09:40:16</t>
        </is>
      </c>
      <c r="N3789" t="inlineStr">
        <is>
          <t>system</t>
        </is>
      </c>
      <c r="O3789" t="inlineStr">
        <is>
          <t>2026-06-19 07:10:32</t>
        </is>
      </c>
      <c r="P3789" t="inlineStr">
        <is>
          <t>2026-06-19 07:10:32</t>
        </is>
      </c>
      <c r="Y3789" t="inlineStr">
        <is>
          <t>27637929710</t>
        </is>
      </c>
    </row>
    <row r="3790">
      <c r="A3790" t="inlineStr">
        <is>
          <t>14946810</t>
        </is>
      </c>
      <c r="B3790" t="inlineStr">
        <is>
          <t>c7aa4e9d-3981-4afc-98a1-5e8c90623d5a</t>
        </is>
      </c>
      <c r="D3790" t="inlineStr">
        <is>
          <t>30001087</t>
        </is>
      </c>
      <c r="E3790" t="inlineStr">
        <is>
          <t>ussd_funeral_leads_altitude_20260619</t>
        </is>
      </c>
      <c r="J3790" t="inlineStr">
        <is>
          <t>AA</t>
        </is>
      </c>
      <c r="K3790" t="inlineStr">
        <is>
          <t>Answering Machine Autodial</t>
        </is>
      </c>
      <c r="L3790" t="n">
        <v>3</v>
      </c>
      <c r="M3790" t="inlineStr">
        <is>
          <t>2026-06-23 09:40:13</t>
        </is>
      </c>
      <c r="N3790" t="inlineStr">
        <is>
          <t>system</t>
        </is>
      </c>
      <c r="O3790" t="inlineStr">
        <is>
          <t>2026-06-19 07:10:32</t>
        </is>
      </c>
      <c r="P3790" t="inlineStr">
        <is>
          <t>2026-06-19 07:10:32</t>
        </is>
      </c>
      <c r="Y3790" t="inlineStr">
        <is>
          <t>27720239439</t>
        </is>
      </c>
    </row>
    <row r="3791">
      <c r="A3791" t="inlineStr">
        <is>
          <t>14946811</t>
        </is>
      </c>
      <c r="B3791" t="inlineStr">
        <is>
          <t>c9469a90-4469-4ed4-9f79-978e61725e1a</t>
        </is>
      </c>
      <c r="D3791" t="inlineStr">
        <is>
          <t>30001087</t>
        </is>
      </c>
      <c r="E3791" t="inlineStr">
        <is>
          <t>ussd_funeral_leads_altitude_20260619</t>
        </is>
      </c>
      <c r="J3791" t="inlineStr">
        <is>
          <t>TDN</t>
        </is>
      </c>
      <c r="K3791" t="inlineStr">
        <is>
          <t>Temporary Disconnected Number</t>
        </is>
      </c>
      <c r="L3791" t="n">
        <v>3</v>
      </c>
      <c r="M3791" t="inlineStr">
        <is>
          <t>2026-06-23 09:40:13</t>
        </is>
      </c>
      <c r="N3791" t="inlineStr">
        <is>
          <t>system</t>
        </is>
      </c>
      <c r="O3791" t="inlineStr">
        <is>
          <t>2026-06-19 07:10:32</t>
        </is>
      </c>
      <c r="P3791" t="inlineStr">
        <is>
          <t>2026-06-19 07:10:32</t>
        </is>
      </c>
      <c r="Y3791" t="inlineStr">
        <is>
          <t>27762873880</t>
        </is>
      </c>
    </row>
    <row r="3792">
      <c r="A3792" t="inlineStr">
        <is>
          <t>14946812</t>
        </is>
      </c>
      <c r="B3792" t="inlineStr">
        <is>
          <t>d33b692f-5564-4e23-9852-d6d3e5adee7c</t>
        </is>
      </c>
      <c r="D3792" t="inlineStr">
        <is>
          <t>30001087</t>
        </is>
      </c>
      <c r="E3792" t="inlineStr">
        <is>
          <t>ussd_funeral_leads_altitude_20260619</t>
        </is>
      </c>
      <c r="J3792" t="inlineStr">
        <is>
          <t>AA</t>
        </is>
      </c>
      <c r="K3792" t="inlineStr">
        <is>
          <t>Answering Machine Autodial</t>
        </is>
      </c>
      <c r="L3792" t="n">
        <v>3</v>
      </c>
      <c r="M3792" t="inlineStr">
        <is>
          <t>2026-06-23 09:40:13</t>
        </is>
      </c>
      <c r="N3792" t="inlineStr">
        <is>
          <t>system</t>
        </is>
      </c>
      <c r="O3792" t="inlineStr">
        <is>
          <t>2026-06-19 07:10:32</t>
        </is>
      </c>
      <c r="P3792" t="inlineStr">
        <is>
          <t>2026-06-19 07:10:32</t>
        </is>
      </c>
      <c r="Y3792" t="inlineStr">
        <is>
          <t>27794160195</t>
        </is>
      </c>
    </row>
    <row r="3793">
      <c r="A3793" t="inlineStr">
        <is>
          <t>14946809</t>
        </is>
      </c>
      <c r="B3793" t="inlineStr">
        <is>
          <t>080c83e8-6d48-4831-bc62-e151607d6adf</t>
        </is>
      </c>
      <c r="D3793" t="inlineStr">
        <is>
          <t>30001087</t>
        </is>
      </c>
      <c r="E3793" t="inlineStr">
        <is>
          <t>ussd_funeral_leads_altitude_20260619</t>
        </is>
      </c>
      <c r="J3793" t="inlineStr">
        <is>
          <t>ADC</t>
        </is>
      </c>
      <c r="K3793" t="inlineStr">
        <is>
          <t>Auto Dial Disconnected</t>
        </is>
      </c>
      <c r="L3793" t="n">
        <v>3</v>
      </c>
      <c r="M3793" t="inlineStr">
        <is>
          <t>2026-06-23 09:40:06</t>
        </is>
      </c>
      <c r="N3793" t="inlineStr">
        <is>
          <t>system</t>
        </is>
      </c>
      <c r="O3793" t="inlineStr">
        <is>
          <t>2026-06-19 07:10:32</t>
        </is>
      </c>
      <c r="P3793" t="inlineStr">
        <is>
          <t>2026-06-19 07:10:32</t>
        </is>
      </c>
      <c r="Y3793" t="inlineStr">
        <is>
          <t>27729591042</t>
        </is>
      </c>
    </row>
    <row r="3794">
      <c r="A3794" t="inlineStr">
        <is>
          <t>14946808</t>
        </is>
      </c>
      <c r="B3794" t="inlineStr">
        <is>
          <t>e6fd0673-52dd-458c-a21d-b7066704af09</t>
        </is>
      </c>
      <c r="D3794" t="inlineStr">
        <is>
          <t>30001087</t>
        </is>
      </c>
      <c r="E3794" t="inlineStr">
        <is>
          <t>ussd_funeral_leads_altitude_20260619</t>
        </is>
      </c>
      <c r="J3794" t="inlineStr">
        <is>
          <t>AA</t>
        </is>
      </c>
      <c r="K3794" t="inlineStr">
        <is>
          <t>Answering Machine Autodial</t>
        </is>
      </c>
      <c r="L3794" t="n">
        <v>3</v>
      </c>
      <c r="M3794" t="inlineStr">
        <is>
          <t>2026-06-23 09:40:04</t>
        </is>
      </c>
      <c r="N3794" t="inlineStr">
        <is>
          <t>system</t>
        </is>
      </c>
      <c r="O3794" t="inlineStr">
        <is>
          <t>2026-06-19 07:10:32</t>
        </is>
      </c>
      <c r="P3794" t="inlineStr">
        <is>
          <t>2026-06-19 07:10:32</t>
        </is>
      </c>
      <c r="Y3794" t="inlineStr">
        <is>
          <t>27729010402</t>
        </is>
      </c>
    </row>
    <row r="3795">
      <c r="A3795" t="inlineStr">
        <is>
          <t>14946802</t>
        </is>
      </c>
      <c r="B3795" t="inlineStr">
        <is>
          <t>7ffd74b3-d4f1-42c8-8227-6ae0895b25b5</t>
        </is>
      </c>
      <c r="D3795" t="inlineStr">
        <is>
          <t>30001087</t>
        </is>
      </c>
      <c r="E3795" t="inlineStr">
        <is>
          <t>ussd_funeral_leads_altitude_20260619</t>
        </is>
      </c>
      <c r="J3795" t="inlineStr">
        <is>
          <t>TDN</t>
        </is>
      </c>
      <c r="K3795" t="inlineStr">
        <is>
          <t>Temporary Disconnected Number</t>
        </is>
      </c>
      <c r="L3795" t="n">
        <v>3</v>
      </c>
      <c r="M3795" t="inlineStr">
        <is>
          <t>2026-06-23 09:40:03</t>
        </is>
      </c>
      <c r="N3795" t="inlineStr">
        <is>
          <t>system</t>
        </is>
      </c>
      <c r="O3795" t="inlineStr">
        <is>
          <t>2026-06-19 07:10:32</t>
        </is>
      </c>
      <c r="P3795" t="inlineStr">
        <is>
          <t>2026-06-19 07:10:32</t>
        </is>
      </c>
      <c r="Y3795" t="inlineStr">
        <is>
          <t>27712157601</t>
        </is>
      </c>
    </row>
    <row r="3796">
      <c r="A3796" t="inlineStr">
        <is>
          <t>14946803</t>
        </is>
      </c>
      <c r="B3796" t="inlineStr">
        <is>
          <t>846ccbc8-0736-41fd-a2a6-008cb4c6fe9c</t>
        </is>
      </c>
      <c r="D3796" t="inlineStr">
        <is>
          <t>30001087</t>
        </is>
      </c>
      <c r="E3796" t="inlineStr">
        <is>
          <t>ussd_funeral_leads_altitude_20260619</t>
        </is>
      </c>
      <c r="J3796" t="inlineStr">
        <is>
          <t>AA</t>
        </is>
      </c>
      <c r="K3796" t="inlineStr">
        <is>
          <t>Answering Machine Autodial</t>
        </is>
      </c>
      <c r="L3796" t="n">
        <v>3</v>
      </c>
      <c r="M3796" t="inlineStr">
        <is>
          <t>2026-06-23 09:40:03</t>
        </is>
      </c>
      <c r="N3796" t="inlineStr">
        <is>
          <t>system</t>
        </is>
      </c>
      <c r="O3796" t="inlineStr">
        <is>
          <t>2026-06-19 07:10:32</t>
        </is>
      </c>
      <c r="P3796" t="inlineStr">
        <is>
          <t>2026-06-19 07:10:32</t>
        </is>
      </c>
      <c r="Y3796" t="inlineStr">
        <is>
          <t>27765548714</t>
        </is>
      </c>
    </row>
    <row r="3797">
      <c r="A3797" t="inlineStr">
        <is>
          <t>14946804</t>
        </is>
      </c>
      <c r="B3797" t="inlineStr">
        <is>
          <t>6ba720a6-fd03-44dd-b28d-c46826cc30bb</t>
        </is>
      </c>
      <c r="D3797" t="inlineStr">
        <is>
          <t>30001087</t>
        </is>
      </c>
      <c r="E3797" t="inlineStr">
        <is>
          <t>ussd_funeral_leads_altitude_20260619</t>
        </is>
      </c>
      <c r="J3797" t="inlineStr">
        <is>
          <t>TDN</t>
        </is>
      </c>
      <c r="K3797" t="inlineStr">
        <is>
          <t>Temporary Disconnected Number</t>
        </is>
      </c>
      <c r="L3797" t="n">
        <v>3</v>
      </c>
      <c r="M3797" t="inlineStr">
        <is>
          <t>2026-06-23 09:40:03</t>
        </is>
      </c>
      <c r="N3797" t="inlineStr">
        <is>
          <t>system</t>
        </is>
      </c>
      <c r="O3797" t="inlineStr">
        <is>
          <t>2026-06-19 07:10:32</t>
        </is>
      </c>
      <c r="P3797" t="inlineStr">
        <is>
          <t>2026-06-19 07:10:32</t>
        </is>
      </c>
      <c r="Y3797" t="inlineStr">
        <is>
          <t>27824374084</t>
        </is>
      </c>
    </row>
    <row r="3798">
      <c r="A3798" t="inlineStr">
        <is>
          <t>14946805</t>
        </is>
      </c>
      <c r="B3798" t="inlineStr">
        <is>
          <t>281e56a2-4934-4665-aa53-da9a52ffab4f</t>
        </is>
      </c>
      <c r="D3798" t="inlineStr">
        <is>
          <t>30001087</t>
        </is>
      </c>
      <c r="E3798" t="inlineStr">
        <is>
          <t>ussd_funeral_leads_altitude_20260619</t>
        </is>
      </c>
      <c r="J3798" t="inlineStr">
        <is>
          <t>TDN</t>
        </is>
      </c>
      <c r="K3798" t="inlineStr">
        <is>
          <t>Temporary Disconnected Number</t>
        </is>
      </c>
      <c r="L3798" t="n">
        <v>3</v>
      </c>
      <c r="M3798" t="inlineStr">
        <is>
          <t>2026-06-23 09:40:03</t>
        </is>
      </c>
      <c r="N3798" t="inlineStr">
        <is>
          <t>system</t>
        </is>
      </c>
      <c r="O3798" t="inlineStr">
        <is>
          <t>2026-06-19 07:10:32</t>
        </is>
      </c>
      <c r="P3798" t="inlineStr">
        <is>
          <t>2026-06-19 07:10:32</t>
        </is>
      </c>
      <c r="Y3798" t="inlineStr">
        <is>
          <t>27712701913</t>
        </is>
      </c>
    </row>
    <row r="3799">
      <c r="A3799" t="inlineStr">
        <is>
          <t>14946806</t>
        </is>
      </c>
      <c r="B3799" t="inlineStr">
        <is>
          <t>5b0c89d5-29ae-48e0-b920-f5a3424b41a3</t>
        </is>
      </c>
      <c r="D3799" t="inlineStr">
        <is>
          <t>30001087</t>
        </is>
      </c>
      <c r="E3799" t="inlineStr">
        <is>
          <t>ussd_funeral_leads_altitude_20260619</t>
        </is>
      </c>
      <c r="J3799" t="inlineStr">
        <is>
          <t>AA</t>
        </is>
      </c>
      <c r="K3799" t="inlineStr">
        <is>
          <t>Answering Machine Autodial</t>
        </is>
      </c>
      <c r="L3799" t="n">
        <v>3</v>
      </c>
      <c r="M3799" t="inlineStr">
        <is>
          <t>2026-06-23 09:40:03</t>
        </is>
      </c>
      <c r="N3799" t="inlineStr">
        <is>
          <t>system</t>
        </is>
      </c>
      <c r="O3799" t="inlineStr">
        <is>
          <t>2026-06-19 07:10:32</t>
        </is>
      </c>
      <c r="P3799" t="inlineStr">
        <is>
          <t>2026-06-19 07:10:32</t>
        </is>
      </c>
      <c r="Y3799" t="inlineStr">
        <is>
          <t>27661519706</t>
        </is>
      </c>
    </row>
    <row r="3800">
      <c r="A3800" t="inlineStr">
        <is>
          <t>14946801</t>
        </is>
      </c>
      <c r="B3800" t="inlineStr">
        <is>
          <t>3495ad4c-f54f-44ef-ba8e-cb881bba6967</t>
        </is>
      </c>
      <c r="D3800" t="inlineStr">
        <is>
          <t>30001087</t>
        </is>
      </c>
      <c r="E3800" t="inlineStr">
        <is>
          <t>ussd_funeral_leads_altitude_20260619</t>
        </is>
      </c>
      <c r="J3800" t="inlineStr">
        <is>
          <t>NA</t>
        </is>
      </c>
      <c r="K3800" t="inlineStr">
        <is>
          <t>No Answer Autodial</t>
        </is>
      </c>
      <c r="L3800" t="n">
        <v>3</v>
      </c>
      <c r="M3800" t="inlineStr">
        <is>
          <t>2026-06-23 09:40:02</t>
        </is>
      </c>
      <c r="N3800" t="inlineStr">
        <is>
          <t>system</t>
        </is>
      </c>
      <c r="O3800" t="inlineStr">
        <is>
          <t>2026-06-19 07:10:32</t>
        </is>
      </c>
      <c r="P3800" t="inlineStr">
        <is>
          <t>2026-06-19 07:10:32</t>
        </is>
      </c>
      <c r="Y3800" t="inlineStr">
        <is>
          <t>27727363840</t>
        </is>
      </c>
    </row>
    <row r="3801">
      <c r="A3801" t="inlineStr">
        <is>
          <t>14946799</t>
        </is>
      </c>
      <c r="B3801" t="inlineStr">
        <is>
          <t>4a15d27a-fdd8-4beb-8c14-d700e54f0eea</t>
        </is>
      </c>
      <c r="D3801" t="inlineStr">
        <is>
          <t>30001087</t>
        </is>
      </c>
      <c r="E3801" t="inlineStr">
        <is>
          <t>ussd_funeral_leads_altitude_20260619</t>
        </is>
      </c>
      <c r="J3801" t="inlineStr">
        <is>
          <t>ADC</t>
        </is>
      </c>
      <c r="K3801" t="inlineStr">
        <is>
          <t>Auto Dial Disconnected</t>
        </is>
      </c>
      <c r="L3801" t="n">
        <v>3</v>
      </c>
      <c r="M3801" t="inlineStr">
        <is>
          <t>2026-06-23 09:39:59</t>
        </is>
      </c>
      <c r="N3801" t="inlineStr">
        <is>
          <t>system</t>
        </is>
      </c>
      <c r="O3801" t="inlineStr">
        <is>
          <t>2026-06-19 07:10:32</t>
        </is>
      </c>
      <c r="P3801" t="inlineStr">
        <is>
          <t>2026-06-19 07:10:32</t>
        </is>
      </c>
      <c r="Y3801" t="inlineStr">
        <is>
          <t>27665858961</t>
        </is>
      </c>
    </row>
    <row r="3802">
      <c r="A3802" t="inlineStr">
        <is>
          <t>14946796</t>
        </is>
      </c>
      <c r="B3802" t="inlineStr">
        <is>
          <t>4b1e80e8-b0c5-463a-b35a-1cb9215e3b2f</t>
        </is>
      </c>
      <c r="D3802" t="inlineStr">
        <is>
          <t>30001087</t>
        </is>
      </c>
      <c r="E3802" t="inlineStr">
        <is>
          <t>ussd_funeral_leads_altitude_20260619</t>
        </is>
      </c>
      <c r="J3802" t="inlineStr">
        <is>
          <t>NA</t>
        </is>
      </c>
      <c r="K3802" t="inlineStr">
        <is>
          <t>No Answer Autodial</t>
        </is>
      </c>
      <c r="L3802" t="n">
        <v>3</v>
      </c>
      <c r="M3802" t="inlineStr">
        <is>
          <t>2026-06-23 09:39:56</t>
        </is>
      </c>
      <c r="N3802" t="inlineStr">
        <is>
          <t>system</t>
        </is>
      </c>
      <c r="O3802" t="inlineStr">
        <is>
          <t>2026-06-19 07:10:32</t>
        </is>
      </c>
      <c r="P3802" t="inlineStr">
        <is>
          <t>2026-06-19 07:10:32</t>
        </is>
      </c>
      <c r="Y3802" t="inlineStr">
        <is>
          <t>27715517414</t>
        </is>
      </c>
    </row>
    <row r="3803">
      <c r="A3803" t="inlineStr">
        <is>
          <t>14900000</t>
        </is>
      </c>
      <c r="B3803" t="inlineStr">
        <is>
          <t>0e727549-0c6d-4a23-b26a-f0b8ec03d38b</t>
        </is>
      </c>
      <c r="D3803" t="inlineStr">
        <is>
          <t>30001087</t>
        </is>
      </c>
      <c r="E3803" t="inlineStr">
        <is>
          <t>ussd_funeral_leads_altitude_20260619</t>
        </is>
      </c>
      <c r="J3803" t="inlineStr">
        <is>
          <t>NA</t>
        </is>
      </c>
      <c r="K3803" t="inlineStr">
        <is>
          <t>No Answer Autodial</t>
        </is>
      </c>
      <c r="L3803" t="n">
        <v>3</v>
      </c>
      <c r="M3803" t="inlineStr">
        <is>
          <t>2026-06-23 09:39:56</t>
        </is>
      </c>
      <c r="N3803" t="inlineStr">
        <is>
          <t>system</t>
        </is>
      </c>
      <c r="O3803" t="inlineStr">
        <is>
          <t>2026-06-19 07:10:32</t>
        </is>
      </c>
      <c r="P3803" t="inlineStr">
        <is>
          <t>2026-06-19 07:10:32</t>
        </is>
      </c>
      <c r="Y3803" t="inlineStr">
        <is>
          <t>27717676737</t>
        </is>
      </c>
    </row>
    <row r="3804">
      <c r="A3804" t="inlineStr">
        <is>
          <t>14946798</t>
        </is>
      </c>
      <c r="B3804" t="inlineStr">
        <is>
          <t>12787ac8-9362-4747-b310-3e13d6679a52</t>
        </is>
      </c>
      <c r="D3804" t="inlineStr">
        <is>
          <t>30001087</t>
        </is>
      </c>
      <c r="E3804" t="inlineStr">
        <is>
          <t>ussd_funeral_leads_altitude_20260619</t>
        </is>
      </c>
      <c r="J3804" t="inlineStr">
        <is>
          <t>TDN</t>
        </is>
      </c>
      <c r="K3804" t="inlineStr">
        <is>
          <t>Temporary Disconnected Number</t>
        </is>
      </c>
      <c r="L3804" t="n">
        <v>3</v>
      </c>
      <c r="M3804" t="inlineStr">
        <is>
          <t>2026-06-23 09:39:56</t>
        </is>
      </c>
      <c r="N3804" t="inlineStr">
        <is>
          <t>system</t>
        </is>
      </c>
      <c r="O3804" t="inlineStr">
        <is>
          <t>2026-06-19 07:10:32</t>
        </is>
      </c>
      <c r="P3804" t="inlineStr">
        <is>
          <t>2026-06-19 07:10:32</t>
        </is>
      </c>
      <c r="Y3804" t="inlineStr">
        <is>
          <t>27772492529</t>
        </is>
      </c>
    </row>
    <row r="3805">
      <c r="A3805" t="inlineStr">
        <is>
          <t>14946783</t>
        </is>
      </c>
      <c r="B3805" t="inlineStr">
        <is>
          <t>c5b4bf5c-d08c-4fc4-ba19-68afde976684</t>
        </is>
      </c>
      <c r="D3805" t="inlineStr">
        <is>
          <t>30001087</t>
        </is>
      </c>
      <c r="E3805" t="inlineStr">
        <is>
          <t>ussd_funeral_leads_altitude_20260619</t>
        </is>
      </c>
      <c r="J3805" t="inlineStr">
        <is>
          <t>AA</t>
        </is>
      </c>
      <c r="K3805" t="inlineStr">
        <is>
          <t>Answering Machine Autodial</t>
        </is>
      </c>
      <c r="L3805" t="n">
        <v>3</v>
      </c>
      <c r="M3805" t="inlineStr">
        <is>
          <t>2026-06-23 09:39:55</t>
        </is>
      </c>
      <c r="N3805" t="inlineStr">
        <is>
          <t>system</t>
        </is>
      </c>
      <c r="O3805" t="inlineStr">
        <is>
          <t>2026-06-19 07:10:32</t>
        </is>
      </c>
      <c r="P3805" t="inlineStr">
        <is>
          <t>2026-06-19 07:10:32</t>
        </is>
      </c>
      <c r="Y3805" t="inlineStr">
        <is>
          <t>27722272081</t>
        </is>
      </c>
    </row>
    <row r="3806">
      <c r="A3806" t="inlineStr">
        <is>
          <t>14946782</t>
        </is>
      </c>
      <c r="B3806" t="inlineStr">
        <is>
          <t>402d1606-09e8-48c3-a20e-7990982e938f</t>
        </is>
      </c>
      <c r="D3806" t="inlineStr">
        <is>
          <t>30001087</t>
        </is>
      </c>
      <c r="E3806" t="inlineStr">
        <is>
          <t>ussd_funeral_leads_altitude_20260619</t>
        </is>
      </c>
      <c r="J3806" t="inlineStr">
        <is>
          <t>AA</t>
        </is>
      </c>
      <c r="K3806" t="inlineStr">
        <is>
          <t>Answering Machine Autodial</t>
        </is>
      </c>
      <c r="L3806" t="n">
        <v>3</v>
      </c>
      <c r="M3806" t="inlineStr">
        <is>
          <t>2026-06-23 09:39:52</t>
        </is>
      </c>
      <c r="N3806" t="inlineStr">
        <is>
          <t>system</t>
        </is>
      </c>
      <c r="O3806" t="inlineStr">
        <is>
          <t>2026-06-19 07:10:32</t>
        </is>
      </c>
      <c r="P3806" t="inlineStr">
        <is>
          <t>2026-06-19 07:10:32</t>
        </is>
      </c>
      <c r="Y3806" t="inlineStr">
        <is>
          <t>27649544907</t>
        </is>
      </c>
    </row>
    <row r="3807">
      <c r="A3807" t="inlineStr">
        <is>
          <t>14946781</t>
        </is>
      </c>
      <c r="B3807" t="inlineStr">
        <is>
          <t>ede3364c-492e-4c0c-bc47-b1763a5e567a</t>
        </is>
      </c>
      <c r="D3807" t="inlineStr">
        <is>
          <t>30001087</t>
        </is>
      </c>
      <c r="E3807" t="inlineStr">
        <is>
          <t>ussd_funeral_leads_altitude_20260619</t>
        </is>
      </c>
      <c r="J3807" t="inlineStr">
        <is>
          <t>AA</t>
        </is>
      </c>
      <c r="K3807" t="inlineStr">
        <is>
          <t>Answering Machine Autodial</t>
        </is>
      </c>
      <c r="L3807" t="n">
        <v>3</v>
      </c>
      <c r="M3807" t="inlineStr">
        <is>
          <t>2026-06-23 09:39:51</t>
        </is>
      </c>
      <c r="N3807" t="inlineStr">
        <is>
          <t>system</t>
        </is>
      </c>
      <c r="O3807" t="inlineStr">
        <is>
          <t>2026-06-19 07:10:32</t>
        </is>
      </c>
      <c r="P3807" t="inlineStr">
        <is>
          <t>2026-06-19 07:10:32</t>
        </is>
      </c>
      <c r="Y3807" t="inlineStr">
        <is>
          <t>27715178870</t>
        </is>
      </c>
    </row>
    <row r="3808">
      <c r="A3808" t="inlineStr">
        <is>
          <t>14946780</t>
        </is>
      </c>
      <c r="B3808" t="inlineStr">
        <is>
          <t>b227d0e1-204e-47e7-99bf-1f608186e24a</t>
        </is>
      </c>
      <c r="D3808" t="inlineStr">
        <is>
          <t>30001087</t>
        </is>
      </c>
      <c r="E3808" t="inlineStr">
        <is>
          <t>ussd_funeral_leads_altitude_20260619</t>
        </is>
      </c>
      <c r="J3808" t="inlineStr">
        <is>
          <t>AA</t>
        </is>
      </c>
      <c r="K3808" t="inlineStr">
        <is>
          <t>Answering Machine Autodial</t>
        </is>
      </c>
      <c r="L3808" t="n">
        <v>3</v>
      </c>
      <c r="M3808" t="inlineStr">
        <is>
          <t>2026-06-23 09:39:51</t>
        </is>
      </c>
      <c r="N3808" t="inlineStr">
        <is>
          <t>system</t>
        </is>
      </c>
      <c r="O3808" t="inlineStr">
        <is>
          <t>2026-06-19 07:10:32</t>
        </is>
      </c>
      <c r="P3808" t="inlineStr">
        <is>
          <t>2026-06-19 07:10:32</t>
        </is>
      </c>
      <c r="Y3808" t="inlineStr">
        <is>
          <t>27791037540</t>
        </is>
      </c>
    </row>
    <row r="3809">
      <c r="A3809" t="inlineStr">
        <is>
          <t>14946777</t>
        </is>
      </c>
      <c r="B3809" t="inlineStr">
        <is>
          <t>7ad2c250-6d76-473a-b4eb-48c49af3e7d9</t>
        </is>
      </c>
      <c r="D3809" t="inlineStr">
        <is>
          <t>30001087</t>
        </is>
      </c>
      <c r="E3809" t="inlineStr">
        <is>
          <t>ussd_funeral_leads_altitude_20260619</t>
        </is>
      </c>
      <c r="J3809" t="inlineStr">
        <is>
          <t>AA</t>
        </is>
      </c>
      <c r="K3809" t="inlineStr">
        <is>
          <t>Answering Machine Autodial</t>
        </is>
      </c>
      <c r="L3809" t="n">
        <v>3</v>
      </c>
      <c r="M3809" t="inlineStr">
        <is>
          <t>2026-06-23 09:39:50</t>
        </is>
      </c>
      <c r="N3809" t="inlineStr">
        <is>
          <t>system</t>
        </is>
      </c>
      <c r="O3809" t="inlineStr">
        <is>
          <t>2026-06-19 07:10:32</t>
        </is>
      </c>
      <c r="P3809" t="inlineStr">
        <is>
          <t>2026-06-19 07:10:32</t>
        </is>
      </c>
      <c r="Y3809" t="inlineStr">
        <is>
          <t>27823995299</t>
        </is>
      </c>
    </row>
    <row r="3810">
      <c r="A3810" t="inlineStr">
        <is>
          <t>14946778</t>
        </is>
      </c>
      <c r="B3810" t="inlineStr">
        <is>
          <t>56bccc72-eb3c-4b85-a2ae-ea363130e613</t>
        </is>
      </c>
      <c r="D3810" t="inlineStr">
        <is>
          <t>30001087</t>
        </is>
      </c>
      <c r="E3810" t="inlineStr">
        <is>
          <t>ussd_funeral_leads_altitude_20260619</t>
        </is>
      </c>
      <c r="J3810" t="inlineStr">
        <is>
          <t>TDN</t>
        </is>
      </c>
      <c r="K3810" t="inlineStr">
        <is>
          <t>Temporary Disconnected Number</t>
        </is>
      </c>
      <c r="L3810" t="n">
        <v>3</v>
      </c>
      <c r="M3810" t="inlineStr">
        <is>
          <t>2026-06-23 09:39:50</t>
        </is>
      </c>
      <c r="N3810" t="inlineStr">
        <is>
          <t>system</t>
        </is>
      </c>
      <c r="O3810" t="inlineStr">
        <is>
          <t>2026-06-19 07:10:32</t>
        </is>
      </c>
      <c r="P3810" t="inlineStr">
        <is>
          <t>2026-06-19 07:10:32</t>
        </is>
      </c>
      <c r="Y3810" t="inlineStr">
        <is>
          <t>27765193039</t>
        </is>
      </c>
    </row>
    <row r="3811">
      <c r="A3811" t="inlineStr">
        <is>
          <t>14946779</t>
        </is>
      </c>
      <c r="B3811" t="inlineStr">
        <is>
          <t>f2ab65ee-a68b-43be-89b5-7b747373e41b</t>
        </is>
      </c>
      <c r="D3811" t="inlineStr">
        <is>
          <t>30001087</t>
        </is>
      </c>
      <c r="E3811" t="inlineStr">
        <is>
          <t>ussd_funeral_leads_altitude_20260619</t>
        </is>
      </c>
      <c r="J3811" t="inlineStr">
        <is>
          <t>AA</t>
        </is>
      </c>
      <c r="K3811" t="inlineStr">
        <is>
          <t>Answering Machine Autodial</t>
        </is>
      </c>
      <c r="L3811" t="n">
        <v>3</v>
      </c>
      <c r="M3811" t="inlineStr">
        <is>
          <t>2026-06-23 09:39:50</t>
        </is>
      </c>
      <c r="N3811" t="inlineStr">
        <is>
          <t>system</t>
        </is>
      </c>
      <c r="O3811" t="inlineStr">
        <is>
          <t>2026-06-19 07:10:32</t>
        </is>
      </c>
      <c r="P3811" t="inlineStr">
        <is>
          <t>2026-06-19 07:10:32</t>
        </is>
      </c>
      <c r="Y3811" t="inlineStr">
        <is>
          <t>27636540064</t>
        </is>
      </c>
    </row>
    <row r="3812">
      <c r="A3812" t="inlineStr">
        <is>
          <t>14946766</t>
        </is>
      </c>
      <c r="B3812" t="inlineStr">
        <is>
          <t>44a3b35e-9bd5-4099-acbe-38b3f619c649</t>
        </is>
      </c>
      <c r="D3812" t="inlineStr">
        <is>
          <t>30001087</t>
        </is>
      </c>
      <c r="E3812" t="inlineStr">
        <is>
          <t>ussd_funeral_leads_altitude_20260619</t>
        </is>
      </c>
      <c r="J3812" t="inlineStr">
        <is>
          <t>AA</t>
        </is>
      </c>
      <c r="K3812" t="inlineStr">
        <is>
          <t>Answering Machine Autodial</t>
        </is>
      </c>
      <c r="L3812" t="n">
        <v>3</v>
      </c>
      <c r="M3812" t="inlineStr">
        <is>
          <t>2026-06-23 09:39:40</t>
        </is>
      </c>
      <c r="N3812" t="inlineStr">
        <is>
          <t>system</t>
        </is>
      </c>
      <c r="O3812" t="inlineStr">
        <is>
          <t>2026-06-19 07:10:32</t>
        </is>
      </c>
      <c r="P3812" t="inlineStr">
        <is>
          <t>2026-06-19 07:10:32</t>
        </is>
      </c>
      <c r="Y3812" t="inlineStr">
        <is>
          <t>27725877153</t>
        </is>
      </c>
    </row>
    <row r="3813">
      <c r="A3813" t="inlineStr">
        <is>
          <t>14946767</t>
        </is>
      </c>
      <c r="B3813" t="inlineStr">
        <is>
          <t>3aac164d-d08f-4975-9e38-4e716c921108</t>
        </is>
      </c>
      <c r="D3813" t="inlineStr">
        <is>
          <t>30001087</t>
        </is>
      </c>
      <c r="E3813" t="inlineStr">
        <is>
          <t>ussd_funeral_leads_altitude_20260619</t>
        </is>
      </c>
      <c r="J3813" t="inlineStr">
        <is>
          <t>AA</t>
        </is>
      </c>
      <c r="K3813" t="inlineStr">
        <is>
          <t>Answering Machine Autodial</t>
        </is>
      </c>
      <c r="L3813" t="n">
        <v>3</v>
      </c>
      <c r="M3813" t="inlineStr">
        <is>
          <t>2026-06-23 09:39:40</t>
        </is>
      </c>
      <c r="N3813" t="inlineStr">
        <is>
          <t>system</t>
        </is>
      </c>
      <c r="O3813" t="inlineStr">
        <is>
          <t>2026-06-19 07:10:32</t>
        </is>
      </c>
      <c r="P3813" t="inlineStr">
        <is>
          <t>2026-06-19 07:10:32</t>
        </is>
      </c>
      <c r="Y3813" t="inlineStr">
        <is>
          <t>27729578803</t>
        </is>
      </c>
    </row>
    <row r="3814">
      <c r="A3814" t="inlineStr">
        <is>
          <t>14946768</t>
        </is>
      </c>
      <c r="B3814" t="inlineStr">
        <is>
          <t>bd9df34a-a853-4c00-8f24-c63e3d533c20</t>
        </is>
      </c>
      <c r="D3814" t="inlineStr">
        <is>
          <t>30001087</t>
        </is>
      </c>
      <c r="E3814" t="inlineStr">
        <is>
          <t>ussd_funeral_leads_altitude_20260619</t>
        </is>
      </c>
      <c r="J3814" t="inlineStr">
        <is>
          <t>NA</t>
        </is>
      </c>
      <c r="K3814" t="inlineStr">
        <is>
          <t>No Answer Autodial</t>
        </is>
      </c>
      <c r="L3814" t="n">
        <v>3</v>
      </c>
      <c r="M3814" t="inlineStr">
        <is>
          <t>2026-06-23 09:39:40</t>
        </is>
      </c>
      <c r="N3814" t="inlineStr">
        <is>
          <t>system</t>
        </is>
      </c>
      <c r="O3814" t="inlineStr">
        <is>
          <t>2026-06-19 07:10:32</t>
        </is>
      </c>
      <c r="P3814" t="inlineStr">
        <is>
          <t>2026-06-19 07:10:32</t>
        </is>
      </c>
      <c r="Y3814" t="inlineStr">
        <is>
          <t>27637530669</t>
        </is>
      </c>
    </row>
    <row r="3815">
      <c r="A3815" t="inlineStr">
        <is>
          <t>14946776</t>
        </is>
      </c>
      <c r="B3815" t="inlineStr">
        <is>
          <t>45b254bf-eee8-4313-8be8-dff9918f5ae6</t>
        </is>
      </c>
      <c r="D3815" t="inlineStr">
        <is>
          <t>30001087</t>
        </is>
      </c>
      <c r="E3815" t="inlineStr">
        <is>
          <t>ussd_funeral_leads_altitude_20260619</t>
        </is>
      </c>
      <c r="J3815" t="inlineStr">
        <is>
          <t>AA</t>
        </is>
      </c>
      <c r="K3815" t="inlineStr">
        <is>
          <t>Answering Machine Autodial</t>
        </is>
      </c>
      <c r="L3815" t="n">
        <v>3</v>
      </c>
      <c r="M3815" t="inlineStr">
        <is>
          <t>2026-06-23 09:39:40</t>
        </is>
      </c>
      <c r="N3815" t="inlineStr">
        <is>
          <t>system</t>
        </is>
      </c>
      <c r="O3815" t="inlineStr">
        <is>
          <t>2026-06-19 07:10:32</t>
        </is>
      </c>
      <c r="P3815" t="inlineStr">
        <is>
          <t>2026-06-19 07:10:32</t>
        </is>
      </c>
      <c r="Y3815" t="inlineStr">
        <is>
          <t>27712327949</t>
        </is>
      </c>
    </row>
    <row r="3816">
      <c r="A3816" t="inlineStr">
        <is>
          <t>14946763</t>
        </is>
      </c>
      <c r="B3816" t="inlineStr">
        <is>
          <t>4d7a6a7c-ae08-4f3a-838c-ef504c4e1d9c</t>
        </is>
      </c>
      <c r="D3816" t="inlineStr">
        <is>
          <t>30001087</t>
        </is>
      </c>
      <c r="E3816" t="inlineStr">
        <is>
          <t>ussd_funeral_leads_altitude_20260619</t>
        </is>
      </c>
      <c r="J3816" t="inlineStr">
        <is>
          <t>AA</t>
        </is>
      </c>
      <c r="K3816" t="inlineStr">
        <is>
          <t>Answering Machine Autodial</t>
        </is>
      </c>
      <c r="L3816" t="n">
        <v>3</v>
      </c>
      <c r="M3816" t="inlineStr">
        <is>
          <t>2026-06-23 09:39:24</t>
        </is>
      </c>
      <c r="N3816" t="inlineStr">
        <is>
          <t>system</t>
        </is>
      </c>
      <c r="O3816" t="inlineStr">
        <is>
          <t>2026-06-19 07:10:32</t>
        </is>
      </c>
      <c r="P3816" t="inlineStr">
        <is>
          <t>2026-06-19 07:10:32</t>
        </is>
      </c>
      <c r="Y3816" t="inlineStr">
        <is>
          <t>27714870065</t>
        </is>
      </c>
    </row>
    <row r="3817">
      <c r="A3817" t="inlineStr">
        <is>
          <t>14946764</t>
        </is>
      </c>
      <c r="B3817" t="inlineStr">
        <is>
          <t>5beb012b-4379-4297-89d9-611450c59922</t>
        </is>
      </c>
      <c r="D3817" t="inlineStr">
        <is>
          <t>30001087</t>
        </is>
      </c>
      <c r="E3817" t="inlineStr">
        <is>
          <t>ussd_funeral_leads_altitude_20260619</t>
        </is>
      </c>
      <c r="J3817" t="inlineStr">
        <is>
          <t>AA</t>
        </is>
      </c>
      <c r="K3817" t="inlineStr">
        <is>
          <t>Answering Machine Autodial</t>
        </is>
      </c>
      <c r="L3817" t="n">
        <v>3</v>
      </c>
      <c r="M3817" t="inlineStr">
        <is>
          <t>2026-06-23 09:39:24</t>
        </is>
      </c>
      <c r="N3817" t="inlineStr">
        <is>
          <t>system</t>
        </is>
      </c>
      <c r="O3817" t="inlineStr">
        <is>
          <t>2026-06-19 07:10:32</t>
        </is>
      </c>
      <c r="P3817" t="inlineStr">
        <is>
          <t>2026-06-19 07:10:32</t>
        </is>
      </c>
      <c r="Y3817" t="inlineStr">
        <is>
          <t>27729152010</t>
        </is>
      </c>
    </row>
    <row r="3818">
      <c r="A3818" t="inlineStr">
        <is>
          <t>14946765</t>
        </is>
      </c>
      <c r="B3818" t="inlineStr">
        <is>
          <t>23232fba-1c4d-4fd6-ace2-0f29d427d1be</t>
        </is>
      </c>
      <c r="D3818" t="inlineStr">
        <is>
          <t>30001087</t>
        </is>
      </c>
      <c r="E3818" t="inlineStr">
        <is>
          <t>ussd_funeral_leads_altitude_20260619</t>
        </is>
      </c>
      <c r="J3818" t="inlineStr">
        <is>
          <t>AA</t>
        </is>
      </c>
      <c r="K3818" t="inlineStr">
        <is>
          <t>Answering Machine Autodial</t>
        </is>
      </c>
      <c r="L3818" t="n">
        <v>3</v>
      </c>
      <c r="M3818" t="inlineStr">
        <is>
          <t>2026-06-23 09:39:24</t>
        </is>
      </c>
      <c r="N3818" t="inlineStr">
        <is>
          <t>system</t>
        </is>
      </c>
      <c r="O3818" t="inlineStr">
        <is>
          <t>2026-06-19 07:10:32</t>
        </is>
      </c>
      <c r="P3818" t="inlineStr">
        <is>
          <t>2026-06-19 07:10:32</t>
        </is>
      </c>
      <c r="Y3818" t="inlineStr">
        <is>
          <t>27764462531</t>
        </is>
      </c>
    </row>
    <row r="3819">
      <c r="A3819" t="inlineStr">
        <is>
          <t>14946762</t>
        </is>
      </c>
      <c r="B3819" t="inlineStr">
        <is>
          <t>a9ea550c-5aaf-4570-ab87-495627525882</t>
        </is>
      </c>
      <c r="D3819" t="inlineStr">
        <is>
          <t>30001087</t>
        </is>
      </c>
      <c r="E3819" t="inlineStr">
        <is>
          <t>ussd_funeral_leads_altitude_20260619</t>
        </is>
      </c>
      <c r="J3819" t="inlineStr">
        <is>
          <t>AA</t>
        </is>
      </c>
      <c r="K3819" t="inlineStr">
        <is>
          <t>Answering Machine Autodial</t>
        </is>
      </c>
      <c r="L3819" t="n">
        <v>3</v>
      </c>
      <c r="M3819" t="inlineStr">
        <is>
          <t>2026-06-23 09:39:20</t>
        </is>
      </c>
      <c r="N3819" t="inlineStr">
        <is>
          <t>system</t>
        </is>
      </c>
      <c r="O3819" t="inlineStr">
        <is>
          <t>2026-06-19 07:10:32</t>
        </is>
      </c>
      <c r="P3819" t="inlineStr">
        <is>
          <t>2026-06-19 07:10:32</t>
        </is>
      </c>
      <c r="Y3819" t="inlineStr">
        <is>
          <t>27608841650</t>
        </is>
      </c>
    </row>
    <row r="3820">
      <c r="A3820" t="inlineStr">
        <is>
          <t>14947696</t>
        </is>
      </c>
      <c r="B3820" t="inlineStr">
        <is>
          <t>8857b0f9-4bf8-4db8-87c2-044f71e03dba</t>
        </is>
      </c>
      <c r="D3820" t="inlineStr">
        <is>
          <t>30001087</t>
        </is>
      </c>
      <c r="E3820" t="inlineStr">
        <is>
          <t>ussd_funeral_leads_altitude_20260619</t>
        </is>
      </c>
      <c r="J3820" t="inlineStr">
        <is>
          <t>AA</t>
        </is>
      </c>
      <c r="K3820" t="inlineStr">
        <is>
          <t>Answering Machine Autodial</t>
        </is>
      </c>
      <c r="L3820" t="n">
        <v>3</v>
      </c>
      <c r="M3820" t="inlineStr">
        <is>
          <t>2026-06-23 09:39:18</t>
        </is>
      </c>
      <c r="N3820" t="inlineStr">
        <is>
          <t>system</t>
        </is>
      </c>
      <c r="O3820" t="inlineStr">
        <is>
          <t>2026-06-19 07:10:32</t>
        </is>
      </c>
      <c r="P3820" t="inlineStr">
        <is>
          <t>2026-06-19 07:10:32</t>
        </is>
      </c>
      <c r="Y3820" t="inlineStr">
        <is>
          <t>27606329791</t>
        </is>
      </c>
    </row>
    <row r="3821">
      <c r="A3821" t="inlineStr">
        <is>
          <t>14946773</t>
        </is>
      </c>
      <c r="B3821" t="inlineStr">
        <is>
          <t>7826b563-c7aa-415b-a084-6722fd27d0f7</t>
        </is>
      </c>
      <c r="D3821" t="inlineStr">
        <is>
          <t>30001087</t>
        </is>
      </c>
      <c r="E3821" t="inlineStr">
        <is>
          <t>ussd_funeral_leads_altitude_20260619</t>
        </is>
      </c>
      <c r="H3821" t="inlineStr">
        <is>
          <t>27723692810</t>
        </is>
      </c>
      <c r="J3821" t="inlineStr">
        <is>
          <t>CBACK</t>
        </is>
      </c>
      <c r="K3821" t="inlineStr">
        <is>
          <t>Callback</t>
        </is>
      </c>
      <c r="L3821" t="n">
        <v>3</v>
      </c>
      <c r="M3821" t="inlineStr">
        <is>
          <t>2026-06-23 09:39:16</t>
        </is>
      </c>
      <c r="N3821" t="inlineStr">
        <is>
          <t>Gontse Monageng</t>
        </is>
      </c>
      <c r="O3821" t="inlineStr">
        <is>
          <t>2026-06-19 07:10:32</t>
        </is>
      </c>
      <c r="P3821" t="inlineStr">
        <is>
          <t>2026-06-19 07:10:32</t>
        </is>
      </c>
      <c r="Y3821" t="inlineStr">
        <is>
          <t>27723692810</t>
        </is>
      </c>
    </row>
    <row r="3822">
      <c r="A3822" t="inlineStr">
        <is>
          <t>14900000</t>
        </is>
      </c>
      <c r="B3822" t="inlineStr">
        <is>
          <t>3e758e4a-0808-4ada-b231-303edfb5db1d</t>
        </is>
      </c>
      <c r="D3822" t="inlineStr">
        <is>
          <t>30001087</t>
        </is>
      </c>
      <c r="E3822" t="inlineStr">
        <is>
          <t>ussd_funeral_leads_altitude_20260619</t>
        </is>
      </c>
      <c r="J3822" t="inlineStr">
        <is>
          <t>AA</t>
        </is>
      </c>
      <c r="K3822" t="inlineStr">
        <is>
          <t>Answering Machine Autodial</t>
        </is>
      </c>
      <c r="L3822" t="n">
        <v>3</v>
      </c>
      <c r="M3822" t="inlineStr">
        <is>
          <t>2026-06-23 09:39:15</t>
        </is>
      </c>
      <c r="N3822" t="inlineStr">
        <is>
          <t>system</t>
        </is>
      </c>
      <c r="O3822" t="inlineStr">
        <is>
          <t>2026-06-19 07:10:32</t>
        </is>
      </c>
      <c r="P3822" t="inlineStr">
        <is>
          <t>2026-06-19 07:10:32</t>
        </is>
      </c>
      <c r="Y3822" t="inlineStr">
        <is>
          <t>27712845637</t>
        </is>
      </c>
    </row>
    <row r="3823">
      <c r="A3823" t="inlineStr">
        <is>
          <t>14946770</t>
        </is>
      </c>
      <c r="B3823" t="inlineStr">
        <is>
          <t>f137a804-5a18-4f75-b7e1-fd23351ede23</t>
        </is>
      </c>
      <c r="D3823" t="inlineStr">
        <is>
          <t>30001087</t>
        </is>
      </c>
      <c r="E3823" t="inlineStr">
        <is>
          <t>ussd_funeral_leads_altitude_20260619</t>
        </is>
      </c>
      <c r="J3823" t="inlineStr">
        <is>
          <t>AA</t>
        </is>
      </c>
      <c r="K3823" t="inlineStr">
        <is>
          <t>Answering Machine Autodial</t>
        </is>
      </c>
      <c r="L3823" t="n">
        <v>3</v>
      </c>
      <c r="M3823" t="inlineStr">
        <is>
          <t>2026-06-23 09:39:10</t>
        </is>
      </c>
      <c r="N3823" t="inlineStr">
        <is>
          <t>system</t>
        </is>
      </c>
      <c r="O3823" t="inlineStr">
        <is>
          <t>2026-06-19 07:10:32</t>
        </is>
      </c>
      <c r="P3823" t="inlineStr">
        <is>
          <t>2026-06-19 07:10:32</t>
        </is>
      </c>
      <c r="Y3823" t="inlineStr">
        <is>
          <t>27665728018</t>
        </is>
      </c>
    </row>
    <row r="3824">
      <c r="A3824" t="inlineStr">
        <is>
          <t>14946771</t>
        </is>
      </c>
      <c r="B3824" t="inlineStr">
        <is>
          <t>45dd061d-bb70-47ef-b5c3-29583e07f695</t>
        </is>
      </c>
      <c r="D3824" t="inlineStr">
        <is>
          <t>30001087</t>
        </is>
      </c>
      <c r="E3824" t="inlineStr">
        <is>
          <t>ussd_funeral_leads_altitude_20260619</t>
        </is>
      </c>
      <c r="J3824" t="inlineStr">
        <is>
          <t>NA</t>
        </is>
      </c>
      <c r="K3824" t="inlineStr">
        <is>
          <t>No Answer Autodial</t>
        </is>
      </c>
      <c r="L3824" t="n">
        <v>3</v>
      </c>
      <c r="M3824" t="inlineStr">
        <is>
          <t>2026-06-23 09:39:10</t>
        </is>
      </c>
      <c r="N3824" t="inlineStr">
        <is>
          <t>system</t>
        </is>
      </c>
      <c r="O3824" t="inlineStr">
        <is>
          <t>2026-06-19 07:10:32</t>
        </is>
      </c>
      <c r="P3824" t="inlineStr">
        <is>
          <t>2026-06-19 07:10:32</t>
        </is>
      </c>
      <c r="Y3824" t="inlineStr">
        <is>
          <t>27792331180</t>
        </is>
      </c>
    </row>
    <row r="3825">
      <c r="A3825" t="inlineStr">
        <is>
          <t>14946769</t>
        </is>
      </c>
      <c r="B3825" t="inlineStr">
        <is>
          <t>fc418d4d-89f4-4da0-b825-9eba762bb207</t>
        </is>
      </c>
      <c r="D3825" t="inlineStr">
        <is>
          <t>30001087</t>
        </is>
      </c>
      <c r="E3825" t="inlineStr">
        <is>
          <t>ussd_funeral_leads_altitude_20260619</t>
        </is>
      </c>
      <c r="H3825" t="inlineStr">
        <is>
          <t>27820853037</t>
        </is>
      </c>
      <c r="J3825" t="inlineStr">
        <is>
          <t>CU</t>
        </is>
      </c>
      <c r="K3825" t="inlineStr">
        <is>
          <t>Client Hung Up</t>
        </is>
      </c>
      <c r="L3825" t="n">
        <v>3</v>
      </c>
      <c r="M3825" t="inlineStr">
        <is>
          <t>2026-06-23 09:39:08</t>
        </is>
      </c>
      <c r="N3825" t="inlineStr">
        <is>
          <t>Dimakatso Nkomo</t>
        </is>
      </c>
      <c r="O3825" t="inlineStr">
        <is>
          <t>2026-06-19 07:10:32</t>
        </is>
      </c>
      <c r="P3825" t="inlineStr">
        <is>
          <t>2026-06-19 07:10:32</t>
        </is>
      </c>
      <c r="Y3825" t="inlineStr">
        <is>
          <t>27820853037</t>
        </is>
      </c>
    </row>
    <row r="3826">
      <c r="A3826" t="inlineStr">
        <is>
          <t>14947699</t>
        </is>
      </c>
      <c r="B3826" t="inlineStr">
        <is>
          <t>6162b5c4-7d36-4da7-b16c-dba0570853f6</t>
        </is>
      </c>
      <c r="D3826" t="inlineStr">
        <is>
          <t>30001087</t>
        </is>
      </c>
      <c r="E3826" t="inlineStr">
        <is>
          <t>ussd_funeral_leads_altitude_20260619</t>
        </is>
      </c>
      <c r="J3826" t="inlineStr">
        <is>
          <t>ADC</t>
        </is>
      </c>
      <c r="K3826" t="inlineStr">
        <is>
          <t>Auto Dial Disconnected</t>
        </is>
      </c>
      <c r="L3826" t="n">
        <v>3</v>
      </c>
      <c r="M3826" t="inlineStr">
        <is>
          <t>2026-06-23 09:39:08</t>
        </is>
      </c>
      <c r="N3826" t="inlineStr">
        <is>
          <t>system</t>
        </is>
      </c>
      <c r="O3826" t="inlineStr">
        <is>
          <t>2026-06-19 07:10:32</t>
        </is>
      </c>
      <c r="P3826" t="inlineStr">
        <is>
          <t>2026-06-19 07:10:32</t>
        </is>
      </c>
      <c r="Y3826" t="inlineStr">
        <is>
          <t>27799795381</t>
        </is>
      </c>
    </row>
    <row r="3827">
      <c r="A3827" t="inlineStr">
        <is>
          <t>14943441</t>
        </is>
      </c>
      <c r="B3827" t="inlineStr">
        <is>
          <t>2168a893-4550-4725-af95-789cc10f71dd</t>
        </is>
      </c>
      <c r="D3827" t="inlineStr">
        <is>
          <t>30001087</t>
        </is>
      </c>
      <c r="E3827" t="inlineStr">
        <is>
          <t>ussd_funeral_leads_altitude_20260619</t>
        </is>
      </c>
      <c r="J3827" t="inlineStr">
        <is>
          <t>CU</t>
        </is>
      </c>
      <c r="K3827" t="inlineStr">
        <is>
          <t>Client Hung Up</t>
        </is>
      </c>
      <c r="L3827" t="n">
        <v>3</v>
      </c>
      <c r="M3827" t="inlineStr">
        <is>
          <t>2026-06-23 09:38:29</t>
        </is>
      </c>
      <c r="N3827" t="inlineStr">
        <is>
          <t>Virginia Letsatsi</t>
        </is>
      </c>
      <c r="O3827" t="inlineStr">
        <is>
          <t>2026-06-19 07:10:32</t>
        </is>
      </c>
      <c r="P3827" t="inlineStr">
        <is>
          <t>2026-06-19 07:10:32</t>
        </is>
      </c>
      <c r="Y3827" t="inlineStr">
        <is>
          <t>27721560624</t>
        </is>
      </c>
    </row>
    <row r="3828">
      <c r="A3828" t="inlineStr">
        <is>
          <t>14945576</t>
        </is>
      </c>
      <c r="B3828" t="inlineStr">
        <is>
          <t>785991aa-40f6-4528-86c6-937731ab8c2f</t>
        </is>
      </c>
      <c r="D3828" t="inlineStr">
        <is>
          <t>30001087</t>
        </is>
      </c>
      <c r="E3828" t="inlineStr">
        <is>
          <t>ussd_funeral_leads_altitude_20260619</t>
        </is>
      </c>
      <c r="J3828" t="inlineStr">
        <is>
          <t>AA</t>
        </is>
      </c>
      <c r="K3828" t="inlineStr">
        <is>
          <t>Answering Machine Autodial</t>
        </is>
      </c>
      <c r="L3828" t="n">
        <v>3</v>
      </c>
      <c r="M3828" t="inlineStr">
        <is>
          <t>2026-06-23 09:38:25</t>
        </is>
      </c>
      <c r="N3828" t="inlineStr">
        <is>
          <t>system</t>
        </is>
      </c>
      <c r="O3828" t="inlineStr">
        <is>
          <t>2026-06-19 07:10:32</t>
        </is>
      </c>
      <c r="P3828" t="inlineStr">
        <is>
          <t>2026-06-19 07:10:32</t>
        </is>
      </c>
      <c r="Y3828" t="inlineStr">
        <is>
          <t>27796468645</t>
        </is>
      </c>
    </row>
    <row r="3829">
      <c r="A3829" t="inlineStr">
        <is>
          <t>14945617</t>
        </is>
      </c>
      <c r="B3829" t="inlineStr">
        <is>
          <t>d717379e-53c1-407d-a250-27240775cb01</t>
        </is>
      </c>
      <c r="D3829" t="inlineStr">
        <is>
          <t>30001087</t>
        </is>
      </c>
      <c r="E3829" t="inlineStr">
        <is>
          <t>ussd_funeral_leads_altitude_20260619</t>
        </is>
      </c>
      <c r="J3829" t="inlineStr">
        <is>
          <t>ADC</t>
        </is>
      </c>
      <c r="K3829" t="inlineStr">
        <is>
          <t>Auto Dial Disconnected</t>
        </is>
      </c>
      <c r="L3829" t="n">
        <v>3</v>
      </c>
      <c r="M3829" t="inlineStr">
        <is>
          <t>2026-06-23 09:38:25</t>
        </is>
      </c>
      <c r="N3829" t="inlineStr">
        <is>
          <t>system</t>
        </is>
      </c>
      <c r="O3829" t="inlineStr">
        <is>
          <t>2026-06-19 07:10:32</t>
        </is>
      </c>
      <c r="P3829" t="inlineStr">
        <is>
          <t>2026-06-19 07:10:32</t>
        </is>
      </c>
      <c r="Y3829" t="inlineStr">
        <is>
          <t>27760796213</t>
        </is>
      </c>
    </row>
    <row r="3830">
      <c r="A3830" t="inlineStr">
        <is>
          <t>14947011</t>
        </is>
      </c>
      <c r="B3830" t="inlineStr">
        <is>
          <t>b6bef255-ab4e-4752-9013-9d0f2e5bb8cf</t>
        </is>
      </c>
      <c r="D3830" t="inlineStr">
        <is>
          <t>30001087</t>
        </is>
      </c>
      <c r="E3830" t="inlineStr">
        <is>
          <t>ussd_funeral_leads_altitude_20260619</t>
        </is>
      </c>
      <c r="J3830" t="inlineStr">
        <is>
          <t>AA</t>
        </is>
      </c>
      <c r="K3830" t="inlineStr">
        <is>
          <t>Answering Machine Autodial</t>
        </is>
      </c>
      <c r="L3830" t="n">
        <v>3</v>
      </c>
      <c r="M3830" t="inlineStr">
        <is>
          <t>2026-06-23 09:38:25</t>
        </is>
      </c>
      <c r="N3830" t="inlineStr">
        <is>
          <t>system</t>
        </is>
      </c>
      <c r="O3830" t="inlineStr">
        <is>
          <t>2026-06-19 07:10:32</t>
        </is>
      </c>
      <c r="P3830" t="inlineStr">
        <is>
          <t>2026-06-19 07:10:32</t>
        </is>
      </c>
      <c r="Y3830" t="inlineStr">
        <is>
          <t>27795161944</t>
        </is>
      </c>
    </row>
    <row r="3831">
      <c r="A3831" t="inlineStr">
        <is>
          <t>14947012</t>
        </is>
      </c>
      <c r="B3831" t="inlineStr">
        <is>
          <t>c9be3b89-8d2f-402f-9412-a5a417f34360</t>
        </is>
      </c>
      <c r="D3831" t="inlineStr">
        <is>
          <t>30001087</t>
        </is>
      </c>
      <c r="E3831" t="inlineStr">
        <is>
          <t>ussd_funeral_leads_altitude_20260619</t>
        </is>
      </c>
      <c r="J3831" t="inlineStr">
        <is>
          <t>NA</t>
        </is>
      </c>
      <c r="K3831" t="inlineStr">
        <is>
          <t>No Answer Autodial</t>
        </is>
      </c>
      <c r="L3831" t="n">
        <v>3</v>
      </c>
      <c r="M3831" t="inlineStr">
        <is>
          <t>2026-06-23 09:38:25</t>
        </is>
      </c>
      <c r="N3831" t="inlineStr">
        <is>
          <t>system</t>
        </is>
      </c>
      <c r="O3831" t="inlineStr">
        <is>
          <t>2026-06-19 07:10:32</t>
        </is>
      </c>
      <c r="P3831" t="inlineStr">
        <is>
          <t>2026-06-19 07:10:32</t>
        </is>
      </c>
      <c r="Y3831" t="inlineStr">
        <is>
          <t>27663895355</t>
        </is>
      </c>
    </row>
    <row r="3832">
      <c r="A3832" t="inlineStr">
        <is>
          <t>14945574</t>
        </is>
      </c>
      <c r="B3832" t="inlineStr">
        <is>
          <t>c864e432-9e8a-4e9d-9d03-6415e4eba668</t>
        </is>
      </c>
      <c r="D3832" t="inlineStr">
        <is>
          <t>30001087</t>
        </is>
      </c>
      <c r="E3832" t="inlineStr">
        <is>
          <t>ussd_funeral_leads_altitude_20260619</t>
        </is>
      </c>
      <c r="J3832" t="inlineStr">
        <is>
          <t>AE</t>
        </is>
      </c>
      <c r="K3832" t="inlineStr">
        <is>
          <t>Auto Engaged</t>
        </is>
      </c>
      <c r="L3832" t="n">
        <v>3</v>
      </c>
      <c r="M3832" t="inlineStr">
        <is>
          <t>2026-06-23 09:38:20</t>
        </is>
      </c>
      <c r="N3832" t="inlineStr">
        <is>
          <t>system</t>
        </is>
      </c>
      <c r="O3832" t="inlineStr">
        <is>
          <t>2026-06-19 07:10:32</t>
        </is>
      </c>
      <c r="P3832" t="inlineStr">
        <is>
          <t>2026-06-19 07:10:32</t>
        </is>
      </c>
      <c r="Y3832" t="inlineStr">
        <is>
          <t>27798945216</t>
        </is>
      </c>
    </row>
    <row r="3833">
      <c r="A3833" t="inlineStr">
        <is>
          <t>14947010</t>
        </is>
      </c>
      <c r="B3833" t="inlineStr">
        <is>
          <t>753f999e-dfed-449b-9ac7-c19a482b9338</t>
        </is>
      </c>
      <c r="D3833" t="inlineStr">
        <is>
          <t>30001087</t>
        </is>
      </c>
      <c r="E3833" t="inlineStr">
        <is>
          <t>ussd_funeral_leads_altitude_20260619</t>
        </is>
      </c>
      <c r="J3833" t="inlineStr">
        <is>
          <t>ADC</t>
        </is>
      </c>
      <c r="K3833" t="inlineStr">
        <is>
          <t>Auto Dial Disconnected</t>
        </is>
      </c>
      <c r="L3833" t="n">
        <v>3</v>
      </c>
      <c r="M3833" t="inlineStr">
        <is>
          <t>2026-06-23 09:38:20</t>
        </is>
      </c>
      <c r="N3833" t="inlineStr">
        <is>
          <t>system</t>
        </is>
      </c>
      <c r="O3833" t="inlineStr">
        <is>
          <t>2026-06-19 07:10:32</t>
        </is>
      </c>
      <c r="P3833" t="inlineStr">
        <is>
          <t>2026-06-19 07:10:32</t>
        </is>
      </c>
      <c r="Y3833" t="inlineStr">
        <is>
          <t>27649032554</t>
        </is>
      </c>
    </row>
    <row r="3834">
      <c r="A3834" t="inlineStr">
        <is>
          <t>14945573</t>
        </is>
      </c>
      <c r="B3834" t="inlineStr">
        <is>
          <t>bdb2d014-ee3b-46da-8428-5112e92421c1</t>
        </is>
      </c>
      <c r="D3834" t="inlineStr">
        <is>
          <t>30001087</t>
        </is>
      </c>
      <c r="E3834" t="inlineStr">
        <is>
          <t>ussd_funeral_leads_altitude_20260619</t>
        </is>
      </c>
      <c r="J3834" t="inlineStr">
        <is>
          <t>AA</t>
        </is>
      </c>
      <c r="K3834" t="inlineStr">
        <is>
          <t>Answering Machine Autodial</t>
        </is>
      </c>
      <c r="L3834" t="n">
        <v>3</v>
      </c>
      <c r="M3834" t="inlineStr">
        <is>
          <t>2026-06-23 09:38:19</t>
        </is>
      </c>
      <c r="N3834" t="inlineStr">
        <is>
          <t>system</t>
        </is>
      </c>
      <c r="O3834" t="inlineStr">
        <is>
          <t>2026-06-19 07:10:32</t>
        </is>
      </c>
      <c r="P3834" t="inlineStr">
        <is>
          <t>2026-06-19 07:10:32</t>
        </is>
      </c>
      <c r="Y3834" t="inlineStr">
        <is>
          <t>27723551514</t>
        </is>
      </c>
    </row>
    <row r="3835">
      <c r="A3835" t="inlineStr">
        <is>
          <t>14947009</t>
        </is>
      </c>
      <c r="B3835" t="inlineStr">
        <is>
          <t>72922058-4f14-4c82-b89e-724c726de609</t>
        </is>
      </c>
      <c r="D3835" t="inlineStr">
        <is>
          <t>30001087</t>
        </is>
      </c>
      <c r="E3835" t="inlineStr">
        <is>
          <t>ussd_funeral_leads_altitude_20260619</t>
        </is>
      </c>
      <c r="J3835" t="inlineStr">
        <is>
          <t>AA</t>
        </is>
      </c>
      <c r="K3835" t="inlineStr">
        <is>
          <t>Answering Machine Autodial</t>
        </is>
      </c>
      <c r="L3835" t="n">
        <v>3</v>
      </c>
      <c r="M3835" t="inlineStr">
        <is>
          <t>2026-06-23 09:38:19</t>
        </is>
      </c>
      <c r="N3835" t="inlineStr">
        <is>
          <t>system</t>
        </is>
      </c>
      <c r="O3835" t="inlineStr">
        <is>
          <t>2026-06-19 07:10:32</t>
        </is>
      </c>
      <c r="P3835" t="inlineStr">
        <is>
          <t>2026-06-19 07:10:32</t>
        </is>
      </c>
      <c r="Y3835" t="inlineStr">
        <is>
          <t>27660377432</t>
        </is>
      </c>
    </row>
    <row r="3836">
      <c r="A3836" t="inlineStr">
        <is>
          <t>14945539</t>
        </is>
      </c>
      <c r="B3836" t="inlineStr">
        <is>
          <t>d3fbf52a-4bd8-44d7-a5f5-1e0408acb603</t>
        </is>
      </c>
      <c r="D3836" t="inlineStr">
        <is>
          <t>30001087</t>
        </is>
      </c>
      <c r="E3836" t="inlineStr">
        <is>
          <t>ussd_funeral_leads_altitude_20260619</t>
        </is>
      </c>
      <c r="J3836" t="inlineStr">
        <is>
          <t>AA</t>
        </is>
      </c>
      <c r="K3836" t="inlineStr">
        <is>
          <t>Answering Machine Autodial</t>
        </is>
      </c>
      <c r="L3836" t="n">
        <v>3</v>
      </c>
      <c r="M3836" t="inlineStr">
        <is>
          <t>2026-06-23 09:38:16</t>
        </is>
      </c>
      <c r="N3836" t="inlineStr">
        <is>
          <t>system</t>
        </is>
      </c>
      <c r="O3836" t="inlineStr">
        <is>
          <t>2026-06-19 07:10:32</t>
        </is>
      </c>
      <c r="P3836" t="inlineStr">
        <is>
          <t>2026-06-19 07:10:32</t>
        </is>
      </c>
      <c r="Y3836" t="inlineStr">
        <is>
          <t>27664516620</t>
        </is>
      </c>
    </row>
    <row r="3837">
      <c r="A3837" t="inlineStr">
        <is>
          <t>14945540</t>
        </is>
      </c>
      <c r="B3837" t="inlineStr">
        <is>
          <t>3f636d25-36ed-4369-b41c-bb9f7339afcd</t>
        </is>
      </c>
      <c r="D3837" t="inlineStr">
        <is>
          <t>30001087</t>
        </is>
      </c>
      <c r="E3837" t="inlineStr">
        <is>
          <t>ussd_funeral_leads_altitude_20260619</t>
        </is>
      </c>
      <c r="J3837" t="inlineStr">
        <is>
          <t>AA</t>
        </is>
      </c>
      <c r="K3837" t="inlineStr">
        <is>
          <t>Answering Machine Autodial</t>
        </is>
      </c>
      <c r="L3837" t="n">
        <v>3</v>
      </c>
      <c r="M3837" t="inlineStr">
        <is>
          <t>2026-06-23 09:38:16</t>
        </is>
      </c>
      <c r="N3837" t="inlineStr">
        <is>
          <t>system</t>
        </is>
      </c>
      <c r="O3837" t="inlineStr">
        <is>
          <t>2026-06-19 07:10:32</t>
        </is>
      </c>
      <c r="P3837" t="inlineStr">
        <is>
          <t>2026-06-19 07:10:32</t>
        </is>
      </c>
      <c r="Y3837" t="inlineStr">
        <is>
          <t>27798753203</t>
        </is>
      </c>
    </row>
    <row r="3838">
      <c r="A3838" t="inlineStr">
        <is>
          <t>14945541</t>
        </is>
      </c>
      <c r="B3838" t="inlineStr">
        <is>
          <t>39ca231a-dbc7-4e82-83f9-d46006c7a12b</t>
        </is>
      </c>
      <c r="D3838" t="inlineStr">
        <is>
          <t>30001087</t>
        </is>
      </c>
      <c r="E3838" t="inlineStr">
        <is>
          <t>ussd_funeral_leads_altitude_20260619</t>
        </is>
      </c>
      <c r="J3838" t="inlineStr">
        <is>
          <t>TDN</t>
        </is>
      </c>
      <c r="K3838" t="inlineStr">
        <is>
          <t>Temporary Disconnected Number</t>
        </is>
      </c>
      <c r="L3838" t="n">
        <v>3</v>
      </c>
      <c r="M3838" t="inlineStr">
        <is>
          <t>2026-06-23 09:38:16</t>
        </is>
      </c>
      <c r="N3838" t="inlineStr">
        <is>
          <t>system</t>
        </is>
      </c>
      <c r="O3838" t="inlineStr">
        <is>
          <t>2026-06-19 07:10:32</t>
        </is>
      </c>
      <c r="P3838" t="inlineStr">
        <is>
          <t>2026-06-19 07:10:32</t>
        </is>
      </c>
      <c r="Y3838" t="inlineStr">
        <is>
          <t>27637654265</t>
        </is>
      </c>
    </row>
    <row r="3839">
      <c r="A3839" t="inlineStr">
        <is>
          <t>14946932</t>
        </is>
      </c>
      <c r="B3839" t="inlineStr">
        <is>
          <t>aa6552c4-5437-4a6c-ac87-250d2ba58c8a</t>
        </is>
      </c>
      <c r="D3839" t="inlineStr">
        <is>
          <t>30001087</t>
        </is>
      </c>
      <c r="E3839" t="inlineStr">
        <is>
          <t>ussd_funeral_leads_altitude_20260619</t>
        </is>
      </c>
      <c r="J3839" t="inlineStr">
        <is>
          <t>NA</t>
        </is>
      </c>
      <c r="K3839" t="inlineStr">
        <is>
          <t>No Answer Autodial</t>
        </is>
      </c>
      <c r="L3839" t="n">
        <v>3</v>
      </c>
      <c r="M3839" t="inlineStr">
        <is>
          <t>2026-06-23 09:38:16</t>
        </is>
      </c>
      <c r="N3839" t="inlineStr">
        <is>
          <t>system</t>
        </is>
      </c>
      <c r="O3839" t="inlineStr">
        <is>
          <t>2026-06-19 07:10:32</t>
        </is>
      </c>
      <c r="P3839" t="inlineStr">
        <is>
          <t>2026-06-19 07:10:32</t>
        </is>
      </c>
      <c r="Y3839" t="inlineStr">
        <is>
          <t>27729936523</t>
        </is>
      </c>
    </row>
    <row r="3840">
      <c r="A3840" t="inlineStr">
        <is>
          <t>14947007</t>
        </is>
      </c>
      <c r="B3840" t="inlineStr">
        <is>
          <t>23ddfc2c-24df-4e40-9b93-2704f533292a</t>
        </is>
      </c>
      <c r="D3840" t="inlineStr">
        <is>
          <t>30001087</t>
        </is>
      </c>
      <c r="E3840" t="inlineStr">
        <is>
          <t>ussd_funeral_leads_altitude_20260619</t>
        </is>
      </c>
      <c r="J3840" t="inlineStr">
        <is>
          <t>AA</t>
        </is>
      </c>
      <c r="K3840" t="inlineStr">
        <is>
          <t>Answering Machine Autodial</t>
        </is>
      </c>
      <c r="L3840" t="n">
        <v>3</v>
      </c>
      <c r="M3840" t="inlineStr">
        <is>
          <t>2026-06-23 09:38:16</t>
        </is>
      </c>
      <c r="N3840" t="inlineStr">
        <is>
          <t>system</t>
        </is>
      </c>
      <c r="O3840" t="inlineStr">
        <is>
          <t>2026-06-19 07:10:32</t>
        </is>
      </c>
      <c r="P3840" t="inlineStr">
        <is>
          <t>2026-06-19 07:10:32</t>
        </is>
      </c>
      <c r="Y3840" t="inlineStr">
        <is>
          <t>27818078263</t>
        </is>
      </c>
    </row>
    <row r="3841">
      <c r="A3841" t="inlineStr">
        <is>
          <t>14947008</t>
        </is>
      </c>
      <c r="B3841" t="inlineStr">
        <is>
          <t>f891d7f4-aa30-4d0e-b269-f521944715c8</t>
        </is>
      </c>
      <c r="D3841" t="inlineStr">
        <is>
          <t>30001087</t>
        </is>
      </c>
      <c r="E3841" t="inlineStr">
        <is>
          <t>ussd_funeral_leads_altitude_20260619</t>
        </is>
      </c>
      <c r="J3841" t="inlineStr">
        <is>
          <t>ADC</t>
        </is>
      </c>
      <c r="K3841" t="inlineStr">
        <is>
          <t>Auto Dial Disconnected</t>
        </is>
      </c>
      <c r="L3841" t="n">
        <v>3</v>
      </c>
      <c r="M3841" t="inlineStr">
        <is>
          <t>2026-06-23 09:38:16</t>
        </is>
      </c>
      <c r="N3841" t="inlineStr">
        <is>
          <t>system</t>
        </is>
      </c>
      <c r="O3841" t="inlineStr">
        <is>
          <t>2026-06-19 07:10:32</t>
        </is>
      </c>
      <c r="P3841" t="inlineStr">
        <is>
          <t>2026-06-19 07:10:32</t>
        </is>
      </c>
      <c r="Y3841" t="inlineStr">
        <is>
          <t>27636073650</t>
        </is>
      </c>
    </row>
    <row r="3842">
      <c r="A3842" t="inlineStr">
        <is>
          <t>14945538</t>
        </is>
      </c>
      <c r="B3842" t="inlineStr">
        <is>
          <t>30dbe059-49ef-445e-bf22-958b93b92f41</t>
        </is>
      </c>
      <c r="D3842" t="inlineStr">
        <is>
          <t>30001087</t>
        </is>
      </c>
      <c r="E3842" t="inlineStr">
        <is>
          <t>ussd_funeral_leads_altitude_20260619</t>
        </is>
      </c>
      <c r="J3842" t="inlineStr">
        <is>
          <t>ADC</t>
        </is>
      </c>
      <c r="K3842" t="inlineStr">
        <is>
          <t>Auto Dial Disconnected</t>
        </is>
      </c>
      <c r="L3842" t="n">
        <v>3</v>
      </c>
      <c r="M3842" t="inlineStr">
        <is>
          <t>2026-06-23 09:38:12</t>
        </is>
      </c>
      <c r="N3842" t="inlineStr">
        <is>
          <t>system</t>
        </is>
      </c>
      <c r="O3842" t="inlineStr">
        <is>
          <t>2026-06-19 07:10:32</t>
        </is>
      </c>
      <c r="P3842" t="inlineStr">
        <is>
          <t>2026-06-19 07:10:32</t>
        </is>
      </c>
      <c r="Y3842" t="inlineStr">
        <is>
          <t>27607797325</t>
        </is>
      </c>
    </row>
    <row r="3843">
      <c r="A3843" t="inlineStr">
        <is>
          <t>14946919</t>
        </is>
      </c>
      <c r="B3843" t="inlineStr">
        <is>
          <t>1627d960-5f98-456d-8a44-fe5c72c78dc5</t>
        </is>
      </c>
      <c r="D3843" t="inlineStr">
        <is>
          <t>30001087</t>
        </is>
      </c>
      <c r="E3843" t="inlineStr">
        <is>
          <t>ussd_funeral_leads_altitude_20260619</t>
        </is>
      </c>
      <c r="J3843" t="inlineStr">
        <is>
          <t>AA</t>
        </is>
      </c>
      <c r="K3843" t="inlineStr">
        <is>
          <t>Answering Machine Autodial</t>
        </is>
      </c>
      <c r="L3843" t="n">
        <v>3</v>
      </c>
      <c r="M3843" t="inlineStr">
        <is>
          <t>2026-06-23 09:38:12</t>
        </is>
      </c>
      <c r="N3843" t="inlineStr">
        <is>
          <t>system</t>
        </is>
      </c>
      <c r="O3843" t="inlineStr">
        <is>
          <t>2026-06-19 07:10:32</t>
        </is>
      </c>
      <c r="P3843" t="inlineStr">
        <is>
          <t>2026-06-19 07:10:32</t>
        </is>
      </c>
      <c r="Y3843" t="inlineStr">
        <is>
          <t>27824010661</t>
        </is>
      </c>
    </row>
    <row r="3844">
      <c r="A3844" t="inlineStr">
        <is>
          <t>14945537</t>
        </is>
      </c>
      <c r="B3844" t="inlineStr">
        <is>
          <t>ce26ea8f-fe12-49aa-80f9-c718f3f958ed</t>
        </is>
      </c>
      <c r="D3844" t="inlineStr">
        <is>
          <t>30001087</t>
        </is>
      </c>
      <c r="E3844" t="inlineStr">
        <is>
          <t>ussd_funeral_leads_altitude_20260619</t>
        </is>
      </c>
      <c r="J3844" t="inlineStr">
        <is>
          <t>ADC</t>
        </is>
      </c>
      <c r="K3844" t="inlineStr">
        <is>
          <t>Auto Dial Disconnected</t>
        </is>
      </c>
      <c r="L3844" t="n">
        <v>3</v>
      </c>
      <c r="M3844" t="inlineStr">
        <is>
          <t>2026-06-23 09:38:06</t>
        </is>
      </c>
      <c r="N3844" t="inlineStr">
        <is>
          <t>system</t>
        </is>
      </c>
      <c r="O3844" t="inlineStr">
        <is>
          <t>2026-06-19 07:10:32</t>
        </is>
      </c>
      <c r="P3844" t="inlineStr">
        <is>
          <t>2026-06-19 07:10:32</t>
        </is>
      </c>
      <c r="Y3844" t="inlineStr">
        <is>
          <t>27712754743</t>
        </is>
      </c>
    </row>
    <row r="3845">
      <c r="A3845" t="inlineStr">
        <is>
          <t>14946918</t>
        </is>
      </c>
      <c r="B3845" t="inlineStr">
        <is>
          <t>3b81331e-94c2-4e10-be87-fcf88aaeafc4</t>
        </is>
      </c>
      <c r="D3845" t="inlineStr">
        <is>
          <t>30001087</t>
        </is>
      </c>
      <c r="E3845" t="inlineStr">
        <is>
          <t>ussd_funeral_leads_altitude_20260619</t>
        </is>
      </c>
      <c r="J3845" t="inlineStr">
        <is>
          <t>AE</t>
        </is>
      </c>
      <c r="K3845" t="inlineStr">
        <is>
          <t>Auto Engaged</t>
        </is>
      </c>
      <c r="L3845" t="n">
        <v>3</v>
      </c>
      <c r="M3845" t="inlineStr">
        <is>
          <t>2026-06-23 09:38:04</t>
        </is>
      </c>
      <c r="N3845" t="inlineStr">
        <is>
          <t>system</t>
        </is>
      </c>
      <c r="O3845" t="inlineStr">
        <is>
          <t>2026-06-19 07:10:32</t>
        </is>
      </c>
      <c r="P3845" t="inlineStr">
        <is>
          <t>2026-06-19 07:10:32</t>
        </is>
      </c>
      <c r="Y3845" t="inlineStr">
        <is>
          <t>27824973561</t>
        </is>
      </c>
    </row>
    <row r="3846">
      <c r="A3846" t="inlineStr">
        <is>
          <t>14900000</t>
        </is>
      </c>
      <c r="B3846" t="inlineStr">
        <is>
          <t>e967f951-ba8d-4c0d-b7d1-6906666b0c16</t>
        </is>
      </c>
      <c r="D3846" t="inlineStr">
        <is>
          <t>30001087</t>
        </is>
      </c>
      <c r="E3846" t="inlineStr">
        <is>
          <t>ussd_funeral_leads_altitude_20260619</t>
        </is>
      </c>
      <c r="J3846" t="inlineStr">
        <is>
          <t>NA</t>
        </is>
      </c>
      <c r="K3846" t="inlineStr">
        <is>
          <t>No Answer Autodial</t>
        </is>
      </c>
      <c r="L3846" t="n">
        <v>3</v>
      </c>
      <c r="M3846" t="inlineStr">
        <is>
          <t>2026-06-23 09:38:02</t>
        </is>
      </c>
      <c r="N3846" t="inlineStr">
        <is>
          <t>system</t>
        </is>
      </c>
      <c r="O3846" t="inlineStr">
        <is>
          <t>2026-06-19 07:10:32</t>
        </is>
      </c>
      <c r="P3846" t="inlineStr">
        <is>
          <t>2026-06-19 07:10:32</t>
        </is>
      </c>
      <c r="Y3846" t="inlineStr">
        <is>
          <t>27825385665</t>
        </is>
      </c>
    </row>
    <row r="3847">
      <c r="A3847" t="inlineStr">
        <is>
          <t>14945536</t>
        </is>
      </c>
      <c r="B3847" t="inlineStr">
        <is>
          <t>2552ffd3-3b23-46ad-813c-7ad4d956c710</t>
        </is>
      </c>
      <c r="D3847" t="inlineStr">
        <is>
          <t>30001087</t>
        </is>
      </c>
      <c r="E3847" t="inlineStr">
        <is>
          <t>ussd_funeral_leads_altitude_20260619</t>
        </is>
      </c>
      <c r="J3847" t="inlineStr">
        <is>
          <t>NA</t>
        </is>
      </c>
      <c r="K3847" t="inlineStr">
        <is>
          <t>No Answer Autodial</t>
        </is>
      </c>
      <c r="L3847" t="n">
        <v>3</v>
      </c>
      <c r="M3847" t="inlineStr">
        <is>
          <t>2026-06-23 09:38:02</t>
        </is>
      </c>
      <c r="N3847" t="inlineStr">
        <is>
          <t>system</t>
        </is>
      </c>
      <c r="O3847" t="inlineStr">
        <is>
          <t>2026-06-19 07:10:32</t>
        </is>
      </c>
      <c r="P3847" t="inlineStr">
        <is>
          <t>2026-06-19 07:10:32</t>
        </is>
      </c>
      <c r="Y3847" t="inlineStr">
        <is>
          <t>27796876411</t>
        </is>
      </c>
    </row>
    <row r="3848">
      <c r="A3848" t="inlineStr">
        <is>
          <t>14946917</t>
        </is>
      </c>
      <c r="B3848" t="inlineStr">
        <is>
          <t>89469b64-239b-403f-b7f7-3c1203cbe42d</t>
        </is>
      </c>
      <c r="D3848" t="inlineStr">
        <is>
          <t>30001087</t>
        </is>
      </c>
      <c r="E3848" t="inlineStr">
        <is>
          <t>ussd_funeral_leads_altitude_20260619</t>
        </is>
      </c>
      <c r="J3848" t="inlineStr">
        <is>
          <t>NA</t>
        </is>
      </c>
      <c r="K3848" t="inlineStr">
        <is>
          <t>No Answer Autodial</t>
        </is>
      </c>
      <c r="L3848" t="n">
        <v>3</v>
      </c>
      <c r="M3848" t="inlineStr">
        <is>
          <t>2026-06-23 09:38:02</t>
        </is>
      </c>
      <c r="N3848" t="inlineStr">
        <is>
          <t>system</t>
        </is>
      </c>
      <c r="O3848" t="inlineStr">
        <is>
          <t>2026-06-19 07:10:32</t>
        </is>
      </c>
      <c r="P3848" t="inlineStr">
        <is>
          <t>2026-06-19 07:10:32</t>
        </is>
      </c>
      <c r="Y3848" t="inlineStr">
        <is>
          <t>27714056976</t>
        </is>
      </c>
    </row>
    <row r="3849">
      <c r="A3849" t="inlineStr">
        <is>
          <t>14946857</t>
        </is>
      </c>
      <c r="B3849" t="inlineStr">
        <is>
          <t>c830c439-09fd-49c7-be2b-245367ae53e4</t>
        </is>
      </c>
      <c r="D3849" t="inlineStr">
        <is>
          <t>30001087</t>
        </is>
      </c>
      <c r="E3849" t="inlineStr">
        <is>
          <t>ussd_funeral_leads_altitude_20260619</t>
        </is>
      </c>
      <c r="J3849" t="inlineStr">
        <is>
          <t>AA</t>
        </is>
      </c>
      <c r="K3849" t="inlineStr">
        <is>
          <t>Answering Machine Autodial</t>
        </is>
      </c>
      <c r="L3849" t="n">
        <v>3</v>
      </c>
      <c r="M3849" t="inlineStr">
        <is>
          <t>2026-06-23 09:38:01</t>
        </is>
      </c>
      <c r="N3849" t="inlineStr">
        <is>
          <t>system</t>
        </is>
      </c>
      <c r="O3849" t="inlineStr">
        <is>
          <t>2026-06-19 07:10:32</t>
        </is>
      </c>
      <c r="P3849" t="inlineStr">
        <is>
          <t>2026-06-19 07:10:32</t>
        </is>
      </c>
      <c r="Y3849" t="inlineStr">
        <is>
          <t>27774869620</t>
        </is>
      </c>
    </row>
    <row r="3850">
      <c r="A3850" t="inlineStr">
        <is>
          <t>14946858</t>
        </is>
      </c>
      <c r="B3850" t="inlineStr">
        <is>
          <t>695a441f-63eb-4fd6-a043-33754b13cfea</t>
        </is>
      </c>
      <c r="D3850" t="inlineStr">
        <is>
          <t>30001087</t>
        </is>
      </c>
      <c r="E3850" t="inlineStr">
        <is>
          <t>ussd_funeral_leads_altitude_20260619</t>
        </is>
      </c>
      <c r="J3850" t="inlineStr">
        <is>
          <t>AA</t>
        </is>
      </c>
      <c r="K3850" t="inlineStr">
        <is>
          <t>Answering Machine Autodial</t>
        </is>
      </c>
      <c r="L3850" t="n">
        <v>3</v>
      </c>
      <c r="M3850" t="inlineStr">
        <is>
          <t>2026-06-23 09:38:01</t>
        </is>
      </c>
      <c r="N3850" t="inlineStr">
        <is>
          <t>system</t>
        </is>
      </c>
      <c r="O3850" t="inlineStr">
        <is>
          <t>2026-06-19 07:10:32</t>
        </is>
      </c>
      <c r="P3850" t="inlineStr">
        <is>
          <t>2026-06-19 07:10:32</t>
        </is>
      </c>
      <c r="Y3850" t="inlineStr">
        <is>
          <t>27607832237</t>
        </is>
      </c>
    </row>
    <row r="3851">
      <c r="A3851" t="inlineStr">
        <is>
          <t>14946859</t>
        </is>
      </c>
      <c r="B3851" t="inlineStr">
        <is>
          <t>299b0cd5-09ce-4bdb-8280-719f95686e7e</t>
        </is>
      </c>
      <c r="D3851" t="inlineStr">
        <is>
          <t>30001087</t>
        </is>
      </c>
      <c r="E3851" t="inlineStr">
        <is>
          <t>ussd_funeral_leads_altitude_20260619</t>
        </is>
      </c>
      <c r="J3851" t="inlineStr">
        <is>
          <t>CU</t>
        </is>
      </c>
      <c r="K3851" t="inlineStr">
        <is>
          <t>Client Hung Up</t>
        </is>
      </c>
      <c r="L3851" t="n">
        <v>3</v>
      </c>
      <c r="M3851" t="inlineStr">
        <is>
          <t>2026-06-23 09:38:01</t>
        </is>
      </c>
      <c r="N3851" t="inlineStr">
        <is>
          <t>Gontse Monageng</t>
        </is>
      </c>
      <c r="O3851" t="inlineStr">
        <is>
          <t>2026-06-19 07:10:32</t>
        </is>
      </c>
      <c r="P3851" t="inlineStr">
        <is>
          <t>2026-06-19 07:10:32</t>
        </is>
      </c>
      <c r="Y3851" t="inlineStr">
        <is>
          <t>27769929688</t>
        </is>
      </c>
    </row>
    <row r="3852">
      <c r="A3852" t="inlineStr">
        <is>
          <t>14946855</t>
        </is>
      </c>
      <c r="B3852" t="inlineStr">
        <is>
          <t>f0dcf941-4b4b-4fc8-9590-1a7f38f73737</t>
        </is>
      </c>
      <c r="D3852" t="inlineStr">
        <is>
          <t>30001087</t>
        </is>
      </c>
      <c r="E3852" t="inlineStr">
        <is>
          <t>ussd_funeral_leads_altitude_20260619</t>
        </is>
      </c>
      <c r="J3852" t="inlineStr">
        <is>
          <t>NA</t>
        </is>
      </c>
      <c r="K3852" t="inlineStr">
        <is>
          <t>No Answer Autodial</t>
        </is>
      </c>
      <c r="L3852" t="n">
        <v>3</v>
      </c>
      <c r="M3852" t="inlineStr">
        <is>
          <t>2026-06-23 09:38:01</t>
        </is>
      </c>
      <c r="N3852" t="inlineStr">
        <is>
          <t>system</t>
        </is>
      </c>
      <c r="O3852" t="inlineStr">
        <is>
          <t>2026-06-19 07:10:32</t>
        </is>
      </c>
      <c r="P3852" t="inlineStr">
        <is>
          <t>2026-06-19 07:10:32</t>
        </is>
      </c>
      <c r="Y3852" t="inlineStr">
        <is>
          <t>27606896467</t>
        </is>
      </c>
    </row>
    <row r="3853">
      <c r="A3853" t="inlineStr">
        <is>
          <t>14946916</t>
        </is>
      </c>
      <c r="B3853" t="inlineStr">
        <is>
          <t>73c5bd6c-ae74-47ba-a5ca-52e5776beb60</t>
        </is>
      </c>
      <c r="D3853" t="inlineStr">
        <is>
          <t>30001087</t>
        </is>
      </c>
      <c r="E3853" t="inlineStr">
        <is>
          <t>ussd_funeral_leads_altitude_20260619</t>
        </is>
      </c>
      <c r="J3853" t="inlineStr">
        <is>
          <t>ADC</t>
        </is>
      </c>
      <c r="K3853" t="inlineStr">
        <is>
          <t>Auto Dial Disconnected</t>
        </is>
      </c>
      <c r="L3853" t="n">
        <v>3</v>
      </c>
      <c r="M3853" t="inlineStr">
        <is>
          <t>2026-06-23 09:38:01</t>
        </is>
      </c>
      <c r="N3853" t="inlineStr">
        <is>
          <t>system</t>
        </is>
      </c>
      <c r="O3853" t="inlineStr">
        <is>
          <t>2026-06-19 07:10:32</t>
        </is>
      </c>
      <c r="P3853" t="inlineStr">
        <is>
          <t>2026-06-19 07:10:32</t>
        </is>
      </c>
      <c r="Y3853" t="inlineStr">
        <is>
          <t>27772950136</t>
        </is>
      </c>
    </row>
    <row r="3854">
      <c r="A3854" t="inlineStr">
        <is>
          <t>14946853</t>
        </is>
      </c>
      <c r="B3854" t="inlineStr">
        <is>
          <t>4d05fd19-6eb0-4775-8416-42139ed91eef</t>
        </is>
      </c>
      <c r="D3854" t="inlineStr">
        <is>
          <t>30001087</t>
        </is>
      </c>
      <c r="E3854" t="inlineStr">
        <is>
          <t>ussd_funeral_leads_altitude_20260619</t>
        </is>
      </c>
      <c r="H3854" t="inlineStr">
        <is>
          <t>27722117513</t>
        </is>
      </c>
      <c r="J3854" t="inlineStr">
        <is>
          <t>AA</t>
        </is>
      </c>
      <c r="K3854" t="inlineStr">
        <is>
          <t>Answering Machine Autodial</t>
        </is>
      </c>
      <c r="L3854" t="n">
        <v>3</v>
      </c>
      <c r="M3854" t="inlineStr">
        <is>
          <t>2026-06-23 09:37:58</t>
        </is>
      </c>
      <c r="N3854" t="inlineStr">
        <is>
          <t>system</t>
        </is>
      </c>
      <c r="O3854" t="inlineStr">
        <is>
          <t>2026-06-19 07:10:32</t>
        </is>
      </c>
      <c r="P3854" t="inlineStr">
        <is>
          <t>2026-06-19 07:10:32</t>
        </is>
      </c>
      <c r="Y3854" t="inlineStr">
        <is>
          <t>27722117513</t>
        </is>
      </c>
    </row>
    <row r="3855">
      <c r="A3855" t="inlineStr">
        <is>
          <t>14900000</t>
        </is>
      </c>
      <c r="B3855" t="inlineStr">
        <is>
          <t>e8766d82-8207-4b62-8cbe-ba4dc3a5fe96</t>
        </is>
      </c>
      <c r="D3855" t="inlineStr">
        <is>
          <t>30001087</t>
        </is>
      </c>
      <c r="E3855" t="inlineStr">
        <is>
          <t>ussd_funeral_leads_altitude_20260619</t>
        </is>
      </c>
      <c r="J3855" t="inlineStr">
        <is>
          <t>AA</t>
        </is>
      </c>
      <c r="K3855" t="inlineStr">
        <is>
          <t>Answering Machine Autodial</t>
        </is>
      </c>
      <c r="L3855" t="n">
        <v>3</v>
      </c>
      <c r="M3855" t="inlineStr">
        <is>
          <t>2026-06-23 09:37:58</t>
        </is>
      </c>
      <c r="N3855" t="inlineStr">
        <is>
          <t>system</t>
        </is>
      </c>
      <c r="O3855" t="inlineStr">
        <is>
          <t>2026-06-19 07:10:32</t>
        </is>
      </c>
      <c r="P3855" t="inlineStr">
        <is>
          <t>2026-06-19 07:10:32</t>
        </is>
      </c>
      <c r="Y3855" t="inlineStr">
        <is>
          <t>27769976322</t>
        </is>
      </c>
    </row>
    <row r="3856">
      <c r="A3856" t="inlineStr">
        <is>
          <t>14946852</t>
        </is>
      </c>
      <c r="B3856" t="inlineStr">
        <is>
          <t>6cc930b5-fe4c-4bcc-a73c-9661a110a457</t>
        </is>
      </c>
      <c r="D3856" t="inlineStr">
        <is>
          <t>30001087</t>
        </is>
      </c>
      <c r="E3856" t="inlineStr">
        <is>
          <t>ussd_funeral_leads_altitude_20260619</t>
        </is>
      </c>
      <c r="J3856" t="inlineStr">
        <is>
          <t>NA</t>
        </is>
      </c>
      <c r="K3856" t="inlineStr">
        <is>
          <t>No Answer Autodial</t>
        </is>
      </c>
      <c r="L3856" t="n">
        <v>3</v>
      </c>
      <c r="M3856" t="inlineStr">
        <is>
          <t>2026-06-23 09:37:57</t>
        </is>
      </c>
      <c r="N3856" t="inlineStr">
        <is>
          <t>system</t>
        </is>
      </c>
      <c r="O3856" t="inlineStr">
        <is>
          <t>2026-06-19 07:10:32</t>
        </is>
      </c>
      <c r="P3856" t="inlineStr">
        <is>
          <t>2026-06-19 07:10:32</t>
        </is>
      </c>
      <c r="Y3856" t="inlineStr">
        <is>
          <t>27769986502</t>
        </is>
      </c>
    </row>
    <row r="3857">
      <c r="A3857" t="inlineStr">
        <is>
          <t>14946851</t>
        </is>
      </c>
      <c r="B3857" t="inlineStr">
        <is>
          <t>982603be-1d3e-4635-8dc1-b5e925af4740</t>
        </is>
      </c>
      <c r="D3857" t="inlineStr">
        <is>
          <t>30001087</t>
        </is>
      </c>
      <c r="E3857" t="inlineStr">
        <is>
          <t>ussd_funeral_leads_altitude_20260619</t>
        </is>
      </c>
      <c r="J3857" t="inlineStr">
        <is>
          <t>TDN</t>
        </is>
      </c>
      <c r="K3857" t="inlineStr">
        <is>
          <t>Temporary Disconnected Number</t>
        </is>
      </c>
      <c r="L3857" t="n">
        <v>3</v>
      </c>
      <c r="M3857" t="inlineStr">
        <is>
          <t>2026-06-23 09:37:48</t>
        </is>
      </c>
      <c r="N3857" t="inlineStr">
        <is>
          <t>system</t>
        </is>
      </c>
      <c r="O3857" t="inlineStr">
        <is>
          <t>2026-06-19 07:10:32</t>
        </is>
      </c>
      <c r="P3857" t="inlineStr">
        <is>
          <t>2026-06-19 07:10:32</t>
        </is>
      </c>
      <c r="Y3857" t="inlineStr">
        <is>
          <t>27609507233</t>
        </is>
      </c>
    </row>
    <row r="3858">
      <c r="A3858" t="inlineStr">
        <is>
          <t>14946850</t>
        </is>
      </c>
      <c r="B3858" t="inlineStr">
        <is>
          <t>b65feb94-e8cc-4f36-813a-d14340bb0f65</t>
        </is>
      </c>
      <c r="D3858" t="inlineStr">
        <is>
          <t>30001087</t>
        </is>
      </c>
      <c r="E3858" t="inlineStr">
        <is>
          <t>ussd_funeral_leads_altitude_20260619</t>
        </is>
      </c>
      <c r="J3858" t="inlineStr">
        <is>
          <t>NA</t>
        </is>
      </c>
      <c r="K3858" t="inlineStr">
        <is>
          <t>No Answer Autodial</t>
        </is>
      </c>
      <c r="L3858" t="n">
        <v>3</v>
      </c>
      <c r="M3858" t="inlineStr">
        <is>
          <t>2026-06-23 09:37:46</t>
        </is>
      </c>
      <c r="N3858" t="inlineStr">
        <is>
          <t>system</t>
        </is>
      </c>
      <c r="O3858" t="inlineStr">
        <is>
          <t>2026-06-19 07:10:32</t>
        </is>
      </c>
      <c r="P3858" t="inlineStr">
        <is>
          <t>2026-06-19 07:10:32</t>
        </is>
      </c>
      <c r="Y3858" t="inlineStr">
        <is>
          <t>27764101274</t>
        </is>
      </c>
    </row>
    <row r="3859">
      <c r="A3859" t="inlineStr">
        <is>
          <t>14946849</t>
        </is>
      </c>
      <c r="B3859" t="inlineStr">
        <is>
          <t>a3574f23-c90c-4289-8552-7947b48562b8</t>
        </is>
      </c>
      <c r="D3859" t="inlineStr">
        <is>
          <t>30001087</t>
        </is>
      </c>
      <c r="E3859" t="inlineStr">
        <is>
          <t>ussd_funeral_leads_altitude_20260619</t>
        </is>
      </c>
      <c r="J3859" t="inlineStr">
        <is>
          <t>ADC</t>
        </is>
      </c>
      <c r="K3859" t="inlineStr">
        <is>
          <t>Auto Dial Disconnected</t>
        </is>
      </c>
      <c r="L3859" t="n">
        <v>3</v>
      </c>
      <c r="M3859" t="inlineStr">
        <is>
          <t>2026-06-23 09:37:45</t>
        </is>
      </c>
      <c r="N3859" t="inlineStr">
        <is>
          <t>system</t>
        </is>
      </c>
      <c r="O3859" t="inlineStr">
        <is>
          <t>2026-06-19 07:10:32</t>
        </is>
      </c>
      <c r="P3859" t="inlineStr">
        <is>
          <t>2026-06-19 07:10:32</t>
        </is>
      </c>
      <c r="Y3859" t="inlineStr">
        <is>
          <t>27721600798</t>
        </is>
      </c>
    </row>
    <row r="3860">
      <c r="A3860" t="inlineStr">
        <is>
          <t>14945702</t>
        </is>
      </c>
      <c r="B3860" t="inlineStr">
        <is>
          <t>c504d27c-0df9-42aa-b0d2-72289111f30e</t>
        </is>
      </c>
      <c r="D3860" t="inlineStr">
        <is>
          <t>30001087</t>
        </is>
      </c>
      <c r="E3860" t="inlineStr">
        <is>
          <t>ussd_funeral_leads_altitude_20260619</t>
        </is>
      </c>
      <c r="J3860" t="inlineStr">
        <is>
          <t>A</t>
        </is>
      </c>
      <c r="K3860" t="inlineStr">
        <is>
          <t>Answering Machine</t>
        </is>
      </c>
      <c r="L3860" t="n">
        <v>3</v>
      </c>
      <c r="M3860" t="inlineStr">
        <is>
          <t>2026-06-23 09:37:40</t>
        </is>
      </c>
      <c r="N3860" t="inlineStr">
        <is>
          <t>Dimakatso Nkomo</t>
        </is>
      </c>
      <c r="O3860" t="inlineStr">
        <is>
          <t>2026-06-19 07:10:32</t>
        </is>
      </c>
      <c r="P3860" t="inlineStr">
        <is>
          <t>2026-06-19 07:10:32</t>
        </is>
      </c>
      <c r="Y3860" t="inlineStr">
        <is>
          <t>27768543945</t>
        </is>
      </c>
    </row>
    <row r="3861">
      <c r="A3861" t="inlineStr">
        <is>
          <t>14946843</t>
        </is>
      </c>
      <c r="B3861" t="inlineStr">
        <is>
          <t>d0d59062-f4b7-49de-8812-7dc9bd355a47</t>
        </is>
      </c>
      <c r="D3861" t="inlineStr">
        <is>
          <t>30001087</t>
        </is>
      </c>
      <c r="E3861" t="inlineStr">
        <is>
          <t>ussd_funeral_leads_altitude_20260619</t>
        </is>
      </c>
      <c r="J3861" t="inlineStr">
        <is>
          <t>AE</t>
        </is>
      </c>
      <c r="K3861" t="inlineStr">
        <is>
          <t>Auto Engaged</t>
        </is>
      </c>
      <c r="L3861" t="n">
        <v>3</v>
      </c>
      <c r="M3861" t="inlineStr">
        <is>
          <t>2026-06-23 09:37:38</t>
        </is>
      </c>
      <c r="N3861" t="inlineStr">
        <is>
          <t>system</t>
        </is>
      </c>
      <c r="O3861" t="inlineStr">
        <is>
          <t>2026-06-19 07:10:32</t>
        </is>
      </c>
      <c r="P3861" t="inlineStr">
        <is>
          <t>2026-06-19 07:10:32</t>
        </is>
      </c>
      <c r="Y3861" t="inlineStr">
        <is>
          <t>27720563647</t>
        </is>
      </c>
    </row>
    <row r="3862">
      <c r="A3862" t="inlineStr">
        <is>
          <t>14946845</t>
        </is>
      </c>
      <c r="B3862" t="inlineStr">
        <is>
          <t>f5adb752-1e74-4bc3-898f-f01cb7dd2b67</t>
        </is>
      </c>
      <c r="D3862" t="inlineStr">
        <is>
          <t>30001087</t>
        </is>
      </c>
      <c r="E3862" t="inlineStr">
        <is>
          <t>ussd_funeral_leads_altitude_20260619</t>
        </is>
      </c>
      <c r="J3862" t="inlineStr">
        <is>
          <t>AA</t>
        </is>
      </c>
      <c r="K3862" t="inlineStr">
        <is>
          <t>Answering Machine Autodial</t>
        </is>
      </c>
      <c r="L3862" t="n">
        <v>3</v>
      </c>
      <c r="M3862" t="inlineStr">
        <is>
          <t>2026-06-23 09:37:38</t>
        </is>
      </c>
      <c r="N3862" t="inlineStr">
        <is>
          <t>system</t>
        </is>
      </c>
      <c r="O3862" t="inlineStr">
        <is>
          <t>2026-06-19 07:10:32</t>
        </is>
      </c>
      <c r="P3862" t="inlineStr">
        <is>
          <t>2026-06-19 07:10:32</t>
        </is>
      </c>
      <c r="Y3862" t="inlineStr">
        <is>
          <t>27713779589</t>
        </is>
      </c>
    </row>
    <row r="3863">
      <c r="A3863" t="inlineStr">
        <is>
          <t>14946848</t>
        </is>
      </c>
      <c r="B3863" t="inlineStr">
        <is>
          <t>046f9538-4ab6-4e25-bb41-95eccf20ad4c</t>
        </is>
      </c>
      <c r="D3863" t="inlineStr">
        <is>
          <t>30001087</t>
        </is>
      </c>
      <c r="E3863" t="inlineStr">
        <is>
          <t>ussd_funeral_leads_altitude_20260619</t>
        </is>
      </c>
      <c r="J3863" t="inlineStr">
        <is>
          <t>ADC</t>
        </is>
      </c>
      <c r="K3863" t="inlineStr">
        <is>
          <t>Auto Dial Disconnected</t>
        </is>
      </c>
      <c r="L3863" t="n">
        <v>3</v>
      </c>
      <c r="M3863" t="inlineStr">
        <is>
          <t>2026-06-23 09:37:38</t>
        </is>
      </c>
      <c r="N3863" t="inlineStr">
        <is>
          <t>system</t>
        </is>
      </c>
      <c r="O3863" t="inlineStr">
        <is>
          <t>2026-06-19 07:10:32</t>
        </is>
      </c>
      <c r="P3863" t="inlineStr">
        <is>
          <t>2026-06-19 07:10:32</t>
        </is>
      </c>
      <c r="Y3863" t="inlineStr">
        <is>
          <t>27649649545</t>
        </is>
      </c>
    </row>
    <row r="3864">
      <c r="A3864" t="inlineStr">
        <is>
          <t>14946830</t>
        </is>
      </c>
      <c r="B3864" t="inlineStr">
        <is>
          <t>7eccfd3c-f466-44aa-be58-3e56095d361b</t>
        </is>
      </c>
      <c r="D3864" t="inlineStr">
        <is>
          <t>30001087</t>
        </is>
      </c>
      <c r="E3864" t="inlineStr">
        <is>
          <t>ussd_funeral_leads_altitude_20260619</t>
        </is>
      </c>
      <c r="J3864" t="inlineStr">
        <is>
          <t>CU</t>
        </is>
      </c>
      <c r="K3864" t="inlineStr">
        <is>
          <t>Client Hung Up</t>
        </is>
      </c>
      <c r="L3864" t="n">
        <v>3</v>
      </c>
      <c r="M3864" t="inlineStr">
        <is>
          <t>2026-06-23 09:37:37</t>
        </is>
      </c>
      <c r="N3864" t="inlineStr">
        <is>
          <t>Dimakatso Nkomo</t>
        </is>
      </c>
      <c r="O3864" t="inlineStr">
        <is>
          <t>2026-06-19 07:10:32</t>
        </is>
      </c>
      <c r="P3864" t="inlineStr">
        <is>
          <t>2026-06-19 07:10:32</t>
        </is>
      </c>
      <c r="Y3864" t="inlineStr">
        <is>
          <t>27726772897</t>
        </is>
      </c>
    </row>
    <row r="3865">
      <c r="A3865" t="inlineStr">
        <is>
          <t>14946842</t>
        </is>
      </c>
      <c r="B3865" t="inlineStr">
        <is>
          <t>b0f2096a-db46-4ed3-acc7-e5a9a9215b76</t>
        </is>
      </c>
      <c r="D3865" t="inlineStr">
        <is>
          <t>30001087</t>
        </is>
      </c>
      <c r="E3865" t="inlineStr">
        <is>
          <t>ussd_funeral_leads_altitude_20260619</t>
        </is>
      </c>
      <c r="J3865" t="inlineStr">
        <is>
          <t>NA</t>
        </is>
      </c>
      <c r="K3865" t="inlineStr">
        <is>
          <t>No Answer Autodial</t>
        </is>
      </c>
      <c r="L3865" t="n">
        <v>3</v>
      </c>
      <c r="M3865" t="inlineStr">
        <is>
          <t>2026-06-23 09:37:37</t>
        </is>
      </c>
      <c r="N3865" t="inlineStr">
        <is>
          <t>system</t>
        </is>
      </c>
      <c r="O3865" t="inlineStr">
        <is>
          <t>2026-06-19 07:10:32</t>
        </is>
      </c>
      <c r="P3865" t="inlineStr">
        <is>
          <t>2026-06-19 07:10:32</t>
        </is>
      </c>
      <c r="Y3865" t="inlineStr">
        <is>
          <t>27660846557</t>
        </is>
      </c>
    </row>
    <row r="3866">
      <c r="A3866" t="inlineStr">
        <is>
          <t>14900000</t>
        </is>
      </c>
      <c r="B3866" t="inlineStr">
        <is>
          <t>e9364abe-a74b-4016-a0a2-461b120937f1</t>
        </is>
      </c>
      <c r="D3866" t="inlineStr">
        <is>
          <t>30001087</t>
        </is>
      </c>
      <c r="E3866" t="inlineStr">
        <is>
          <t>ussd_funeral_leads_altitude_20260619</t>
        </is>
      </c>
      <c r="J3866" t="inlineStr">
        <is>
          <t>AA</t>
        </is>
      </c>
      <c r="K3866" t="inlineStr">
        <is>
          <t>Answering Machine Autodial</t>
        </is>
      </c>
      <c r="L3866" t="n">
        <v>3</v>
      </c>
      <c r="M3866" t="inlineStr">
        <is>
          <t>2026-06-23 09:37:35</t>
        </is>
      </c>
      <c r="N3866" t="inlineStr">
        <is>
          <t>system</t>
        </is>
      </c>
      <c r="O3866" t="inlineStr">
        <is>
          <t>2026-06-19 07:10:32</t>
        </is>
      </c>
      <c r="P3866" t="inlineStr">
        <is>
          <t>2026-06-19 07:10:32</t>
        </is>
      </c>
      <c r="Y3866" t="inlineStr">
        <is>
          <t>27767722298</t>
        </is>
      </c>
    </row>
    <row r="3867">
      <c r="A3867" t="inlineStr">
        <is>
          <t>14946828</t>
        </is>
      </c>
      <c r="B3867" t="inlineStr">
        <is>
          <t>31617be8-bfc7-4a31-8dd8-27578cca18c0</t>
        </is>
      </c>
      <c r="D3867" t="inlineStr">
        <is>
          <t>30001087</t>
        </is>
      </c>
      <c r="E3867" t="inlineStr">
        <is>
          <t>ussd_funeral_leads_altitude_20260619</t>
        </is>
      </c>
      <c r="J3867" t="inlineStr">
        <is>
          <t>AE</t>
        </is>
      </c>
      <c r="K3867" t="inlineStr">
        <is>
          <t>Auto Engaged</t>
        </is>
      </c>
      <c r="L3867" t="n">
        <v>3</v>
      </c>
      <c r="M3867" t="inlineStr">
        <is>
          <t>2026-06-23 09:37:31</t>
        </is>
      </c>
      <c r="N3867" t="inlineStr">
        <is>
          <t>system</t>
        </is>
      </c>
      <c r="O3867" t="inlineStr">
        <is>
          <t>2026-06-19 07:10:32</t>
        </is>
      </c>
      <c r="P3867" t="inlineStr">
        <is>
          <t>2026-06-19 07:10:32</t>
        </is>
      </c>
      <c r="Y3867" t="inlineStr">
        <is>
          <t>27797411395</t>
        </is>
      </c>
    </row>
    <row r="3868">
      <c r="A3868" t="inlineStr">
        <is>
          <t>14946827</t>
        </is>
      </c>
      <c r="B3868" t="inlineStr">
        <is>
          <t>64cfbf68-a488-4753-ae0e-a015bf6042f1</t>
        </is>
      </c>
      <c r="D3868" t="inlineStr">
        <is>
          <t>30001087</t>
        </is>
      </c>
      <c r="E3868" t="inlineStr">
        <is>
          <t>ussd_funeral_leads_altitude_20260619</t>
        </is>
      </c>
      <c r="J3868" t="inlineStr">
        <is>
          <t>AA</t>
        </is>
      </c>
      <c r="K3868" t="inlineStr">
        <is>
          <t>Answering Machine Autodial</t>
        </is>
      </c>
      <c r="L3868" t="n">
        <v>3</v>
      </c>
      <c r="M3868" t="inlineStr">
        <is>
          <t>2026-06-23 09:37:28</t>
        </is>
      </c>
      <c r="N3868" t="inlineStr">
        <is>
          <t>system</t>
        </is>
      </c>
      <c r="O3868" t="inlineStr">
        <is>
          <t>2026-06-19 07:10:32</t>
        </is>
      </c>
      <c r="P3868" t="inlineStr">
        <is>
          <t>2026-06-19 07:10:32</t>
        </is>
      </c>
      <c r="Y3868" t="inlineStr">
        <is>
          <t>27662593311</t>
        </is>
      </c>
    </row>
    <row r="3869">
      <c r="A3869" t="inlineStr">
        <is>
          <t>14946825</t>
        </is>
      </c>
      <c r="B3869" t="inlineStr">
        <is>
          <t>1e5e7014-52cf-436f-a88a-5340bfe5177b</t>
        </is>
      </c>
      <c r="D3869" t="inlineStr">
        <is>
          <t>30001087</t>
        </is>
      </c>
      <c r="E3869" t="inlineStr">
        <is>
          <t>ussd_funeral_leads_altitude_20260619</t>
        </is>
      </c>
      <c r="J3869" t="inlineStr">
        <is>
          <t>AA</t>
        </is>
      </c>
      <c r="K3869" t="inlineStr">
        <is>
          <t>Answering Machine Autodial</t>
        </is>
      </c>
      <c r="L3869" t="n">
        <v>3</v>
      </c>
      <c r="M3869" t="inlineStr">
        <is>
          <t>2026-06-23 09:37:24</t>
        </is>
      </c>
      <c r="N3869" t="inlineStr">
        <is>
          <t>system</t>
        </is>
      </c>
      <c r="O3869" t="inlineStr">
        <is>
          <t>2026-06-19 07:10:32</t>
        </is>
      </c>
      <c r="P3869" t="inlineStr">
        <is>
          <t>2026-06-19 07:10:32</t>
        </is>
      </c>
      <c r="Y3869" t="inlineStr">
        <is>
          <t>27673328335</t>
        </is>
      </c>
    </row>
    <row r="3870">
      <c r="A3870" t="inlineStr">
        <is>
          <t>14946826</t>
        </is>
      </c>
      <c r="B3870" t="inlineStr">
        <is>
          <t>0a1774bf-a4ce-48d5-a4e7-cc4cf928b538</t>
        </is>
      </c>
      <c r="D3870" t="inlineStr">
        <is>
          <t>30001087</t>
        </is>
      </c>
      <c r="E3870" t="inlineStr">
        <is>
          <t>ussd_funeral_leads_altitude_20260619</t>
        </is>
      </c>
      <c r="J3870" t="inlineStr">
        <is>
          <t>NA</t>
        </is>
      </c>
      <c r="K3870" t="inlineStr">
        <is>
          <t>No Answer Autodial</t>
        </is>
      </c>
      <c r="L3870" t="n">
        <v>3</v>
      </c>
      <c r="M3870" t="inlineStr">
        <is>
          <t>2026-06-23 09:37:24</t>
        </is>
      </c>
      <c r="N3870" t="inlineStr">
        <is>
          <t>system</t>
        </is>
      </c>
      <c r="O3870" t="inlineStr">
        <is>
          <t>2026-06-19 07:10:32</t>
        </is>
      </c>
      <c r="P3870" t="inlineStr">
        <is>
          <t>2026-06-19 07:10:32</t>
        </is>
      </c>
      <c r="Y3870" t="inlineStr">
        <is>
          <t>27825936322</t>
        </is>
      </c>
    </row>
    <row r="3871">
      <c r="A3871" t="inlineStr">
        <is>
          <t>14946823</t>
        </is>
      </c>
      <c r="B3871" t="inlineStr">
        <is>
          <t>a51cd269-4c12-4677-a4e3-7b77954fab96</t>
        </is>
      </c>
      <c r="D3871" t="inlineStr">
        <is>
          <t>30001087</t>
        </is>
      </c>
      <c r="E3871" t="inlineStr">
        <is>
          <t>ussd_funeral_leads_altitude_20260619</t>
        </is>
      </c>
      <c r="J3871" t="inlineStr">
        <is>
          <t>AA</t>
        </is>
      </c>
      <c r="K3871" t="inlineStr">
        <is>
          <t>Answering Machine Autodial</t>
        </is>
      </c>
      <c r="L3871" t="n">
        <v>3</v>
      </c>
      <c r="M3871" t="inlineStr">
        <is>
          <t>2026-06-23 09:36:51</t>
        </is>
      </c>
      <c r="N3871" t="inlineStr">
        <is>
          <t>system</t>
        </is>
      </c>
      <c r="O3871" t="inlineStr">
        <is>
          <t>2026-06-19 07:10:32</t>
        </is>
      </c>
      <c r="P3871" t="inlineStr">
        <is>
          <t>2026-06-19 07:10:32</t>
        </is>
      </c>
      <c r="Y3871" t="inlineStr">
        <is>
          <t>27636129412</t>
        </is>
      </c>
    </row>
    <row r="3872">
      <c r="A3872" t="inlineStr">
        <is>
          <t>14946824</t>
        </is>
      </c>
      <c r="B3872" t="inlineStr">
        <is>
          <t>4d2e4da8-a2f3-4559-abea-1e7ea6c8f62b</t>
        </is>
      </c>
      <c r="D3872" t="inlineStr">
        <is>
          <t>30001087</t>
        </is>
      </c>
      <c r="E3872" t="inlineStr">
        <is>
          <t>ussd_funeral_leads_altitude_20260619</t>
        </is>
      </c>
      <c r="J3872" t="inlineStr">
        <is>
          <t>AA</t>
        </is>
      </c>
      <c r="K3872" t="inlineStr">
        <is>
          <t>Answering Machine Autodial</t>
        </is>
      </c>
      <c r="L3872" t="n">
        <v>3</v>
      </c>
      <c r="M3872" t="inlineStr">
        <is>
          <t>2026-06-23 09:36:51</t>
        </is>
      </c>
      <c r="N3872" t="inlineStr">
        <is>
          <t>system</t>
        </is>
      </c>
      <c r="O3872" t="inlineStr">
        <is>
          <t>2026-06-19 07:10:32</t>
        </is>
      </c>
      <c r="P3872" t="inlineStr">
        <is>
          <t>2026-06-19 07:10:32</t>
        </is>
      </c>
      <c r="Y3872" t="inlineStr">
        <is>
          <t>27663324609</t>
        </is>
      </c>
    </row>
    <row r="3873">
      <c r="A3873" t="inlineStr">
        <is>
          <t>14946819</t>
        </is>
      </c>
      <c r="B3873" t="inlineStr">
        <is>
          <t>6b7b362a-1248-4ba9-8842-f89306b0c213</t>
        </is>
      </c>
      <c r="D3873" t="inlineStr">
        <is>
          <t>30001087</t>
        </is>
      </c>
      <c r="E3873" t="inlineStr">
        <is>
          <t>ussd_funeral_leads_altitude_20260619</t>
        </is>
      </c>
      <c r="J3873" t="inlineStr">
        <is>
          <t>AA</t>
        </is>
      </c>
      <c r="K3873" t="inlineStr">
        <is>
          <t>Answering Machine Autodial</t>
        </is>
      </c>
      <c r="L3873" t="n">
        <v>3</v>
      </c>
      <c r="M3873" t="inlineStr">
        <is>
          <t>2026-06-23 09:36:50</t>
        </is>
      </c>
      <c r="N3873" t="inlineStr">
        <is>
          <t>system</t>
        </is>
      </c>
      <c r="O3873" t="inlineStr">
        <is>
          <t>2026-06-19 07:10:32</t>
        </is>
      </c>
      <c r="P3873" t="inlineStr">
        <is>
          <t>2026-06-19 07:10:32</t>
        </is>
      </c>
      <c r="Y3873" t="inlineStr">
        <is>
          <t>27760339745</t>
        </is>
      </c>
    </row>
    <row r="3874">
      <c r="A3874" t="inlineStr">
        <is>
          <t>14900000</t>
        </is>
      </c>
      <c r="B3874" t="inlineStr">
        <is>
          <t>e540496e-3c42-4aee-a5d5-92113d8150e1</t>
        </is>
      </c>
      <c r="D3874" t="inlineStr">
        <is>
          <t>30001087</t>
        </is>
      </c>
      <c r="E3874" t="inlineStr">
        <is>
          <t>ussd_funeral_leads_altitude_20260619</t>
        </is>
      </c>
      <c r="J3874" t="inlineStr">
        <is>
          <t>CU</t>
        </is>
      </c>
      <c r="K3874" t="inlineStr">
        <is>
          <t>Client Hung Up</t>
        </is>
      </c>
      <c r="L3874" t="n">
        <v>3</v>
      </c>
      <c r="M3874" t="inlineStr">
        <is>
          <t>2026-06-23 09:36:50</t>
        </is>
      </c>
      <c r="N3874" t="inlineStr">
        <is>
          <t>Vuyiswa Nxumalo</t>
        </is>
      </c>
      <c r="O3874" t="inlineStr">
        <is>
          <t>2026-06-19 07:10:32</t>
        </is>
      </c>
      <c r="P3874" t="inlineStr">
        <is>
          <t>2026-06-19 07:10:32</t>
        </is>
      </c>
      <c r="Y3874" t="inlineStr">
        <is>
          <t>27664479534</t>
        </is>
      </c>
    </row>
    <row r="3875">
      <c r="A3875" t="inlineStr">
        <is>
          <t>14946822</t>
        </is>
      </c>
      <c r="B3875" t="inlineStr">
        <is>
          <t>ce9ecd8b-95aa-46ca-b778-6a004a5e0eec</t>
        </is>
      </c>
      <c r="D3875" t="inlineStr">
        <is>
          <t>30001087</t>
        </is>
      </c>
      <c r="E3875" t="inlineStr">
        <is>
          <t>ussd_funeral_leads_altitude_20260619</t>
        </is>
      </c>
      <c r="J3875" t="inlineStr">
        <is>
          <t>AA</t>
        </is>
      </c>
      <c r="K3875" t="inlineStr">
        <is>
          <t>Answering Machine Autodial</t>
        </is>
      </c>
      <c r="L3875" t="n">
        <v>3</v>
      </c>
      <c r="M3875" t="inlineStr">
        <is>
          <t>2026-06-23 09:36:50</t>
        </is>
      </c>
      <c r="N3875" t="inlineStr">
        <is>
          <t>system</t>
        </is>
      </c>
      <c r="O3875" t="inlineStr">
        <is>
          <t>2026-06-19 07:10:32</t>
        </is>
      </c>
      <c r="P3875" t="inlineStr">
        <is>
          <t>2026-06-19 07:10:32</t>
        </is>
      </c>
      <c r="Y3875" t="inlineStr">
        <is>
          <t>27726507224</t>
        </is>
      </c>
    </row>
    <row r="3876">
      <c r="A3876" t="inlineStr">
        <is>
          <t>14947701</t>
        </is>
      </c>
      <c r="B3876" t="inlineStr">
        <is>
          <t>942d2cba-6dd4-44ee-b409-227eab7ec9e8</t>
        </is>
      </c>
      <c r="D3876" t="inlineStr">
        <is>
          <t>30001087</t>
        </is>
      </c>
      <c r="E3876" t="inlineStr">
        <is>
          <t>ussd_funeral_leads_altitude_20260619</t>
        </is>
      </c>
      <c r="J3876" t="inlineStr">
        <is>
          <t>NA</t>
        </is>
      </c>
      <c r="K3876" t="inlineStr">
        <is>
          <t>No Answer Autodial</t>
        </is>
      </c>
      <c r="L3876" t="n">
        <v>3</v>
      </c>
      <c r="M3876" t="inlineStr">
        <is>
          <t>2026-06-23 09:36:50</t>
        </is>
      </c>
      <c r="N3876" t="inlineStr">
        <is>
          <t>system</t>
        </is>
      </c>
      <c r="O3876" t="inlineStr">
        <is>
          <t>2026-06-19 07:10:32</t>
        </is>
      </c>
      <c r="P3876" t="inlineStr">
        <is>
          <t>2026-06-19 07:10:32</t>
        </is>
      </c>
      <c r="Y3876" t="inlineStr">
        <is>
          <t>27720228130</t>
        </is>
      </c>
    </row>
    <row r="3877">
      <c r="A3877" t="inlineStr">
        <is>
          <t>14946841</t>
        </is>
      </c>
      <c r="B3877" t="inlineStr">
        <is>
          <t>f68f5a93-51f4-44af-898b-050296aa4c03</t>
        </is>
      </c>
      <c r="D3877" t="inlineStr">
        <is>
          <t>30001087</t>
        </is>
      </c>
      <c r="E3877" t="inlineStr">
        <is>
          <t>ussd_funeral_leads_altitude_20260619</t>
        </is>
      </c>
      <c r="J3877" t="inlineStr">
        <is>
          <t>NA</t>
        </is>
      </c>
      <c r="K3877" t="inlineStr">
        <is>
          <t>No Answer Autodial</t>
        </is>
      </c>
      <c r="L3877" t="n">
        <v>3</v>
      </c>
      <c r="M3877" t="inlineStr">
        <is>
          <t>2026-06-23 09:36:14</t>
        </is>
      </c>
      <c r="N3877" t="inlineStr">
        <is>
          <t>system</t>
        </is>
      </c>
      <c r="O3877" t="inlineStr">
        <is>
          <t>2026-06-19 07:10:32</t>
        </is>
      </c>
      <c r="P3877" t="inlineStr">
        <is>
          <t>2026-06-19 07:10:32</t>
        </is>
      </c>
      <c r="Y3877" t="inlineStr">
        <is>
          <t>27674024171</t>
        </is>
      </c>
    </row>
    <row r="3878">
      <c r="A3878" t="inlineStr">
        <is>
          <t>14946839</t>
        </is>
      </c>
      <c r="B3878" t="inlineStr">
        <is>
          <t>c42a4598-458f-4d6f-871c-3a863c06f491</t>
        </is>
      </c>
      <c r="D3878" t="inlineStr">
        <is>
          <t>30001087</t>
        </is>
      </c>
      <c r="E3878" t="inlineStr">
        <is>
          <t>ussd_funeral_leads_altitude_20260619</t>
        </is>
      </c>
      <c r="J3878" t="inlineStr">
        <is>
          <t>TDN</t>
        </is>
      </c>
      <c r="K3878" t="inlineStr">
        <is>
          <t>Temporary Disconnected Number</t>
        </is>
      </c>
      <c r="L3878" t="n">
        <v>3</v>
      </c>
      <c r="M3878" t="inlineStr">
        <is>
          <t>2026-06-23 09:36:12</t>
        </is>
      </c>
      <c r="N3878" t="inlineStr">
        <is>
          <t>system</t>
        </is>
      </c>
      <c r="O3878" t="inlineStr">
        <is>
          <t>2026-06-19 07:10:32</t>
        </is>
      </c>
      <c r="P3878" t="inlineStr">
        <is>
          <t>2026-06-19 07:10:32</t>
        </is>
      </c>
      <c r="Y3878" t="inlineStr">
        <is>
          <t>27824087096</t>
        </is>
      </c>
    </row>
    <row r="3879">
      <c r="A3879" t="inlineStr">
        <is>
          <t>14946837</t>
        </is>
      </c>
      <c r="B3879" t="inlineStr">
        <is>
          <t>55bb2591-d0c2-47e9-8891-b31840746039</t>
        </is>
      </c>
      <c r="D3879" t="inlineStr">
        <is>
          <t>30001087</t>
        </is>
      </c>
      <c r="E3879" t="inlineStr">
        <is>
          <t>ussd_funeral_leads_altitude_20260619</t>
        </is>
      </c>
      <c r="J3879" t="inlineStr">
        <is>
          <t>AA</t>
        </is>
      </c>
      <c r="K3879" t="inlineStr">
        <is>
          <t>Answering Machine Autodial</t>
        </is>
      </c>
      <c r="L3879" t="n">
        <v>3</v>
      </c>
      <c r="M3879" t="inlineStr">
        <is>
          <t>2026-06-23 09:36:01</t>
        </is>
      </c>
      <c r="N3879" t="inlineStr">
        <is>
          <t>system</t>
        </is>
      </c>
      <c r="O3879" t="inlineStr">
        <is>
          <t>2026-06-19 07:10:32</t>
        </is>
      </c>
      <c r="P3879" t="inlineStr">
        <is>
          <t>2026-06-19 07:10:32</t>
        </is>
      </c>
      <c r="Y3879" t="inlineStr">
        <is>
          <t>27723934667</t>
        </is>
      </c>
    </row>
    <row r="3880">
      <c r="A3880" t="inlineStr">
        <is>
          <t>14946838</t>
        </is>
      </c>
      <c r="B3880" t="inlineStr">
        <is>
          <t>6dc7ddc7-d722-4f7e-a76f-66e205c1d997</t>
        </is>
      </c>
      <c r="D3880" t="inlineStr">
        <is>
          <t>30001087</t>
        </is>
      </c>
      <c r="E3880" t="inlineStr">
        <is>
          <t>ussd_funeral_leads_altitude_20260619</t>
        </is>
      </c>
      <c r="J3880" t="inlineStr">
        <is>
          <t>NA</t>
        </is>
      </c>
      <c r="K3880" t="inlineStr">
        <is>
          <t>No Answer Autodial</t>
        </is>
      </c>
      <c r="L3880" t="n">
        <v>3</v>
      </c>
      <c r="M3880" t="inlineStr">
        <is>
          <t>2026-06-23 09:36:01</t>
        </is>
      </c>
      <c r="N3880" t="inlineStr">
        <is>
          <t>system</t>
        </is>
      </c>
      <c r="O3880" t="inlineStr">
        <is>
          <t>2026-06-19 07:10:32</t>
        </is>
      </c>
      <c r="P3880" t="inlineStr">
        <is>
          <t>2026-06-19 07:10:32</t>
        </is>
      </c>
      <c r="Y3880" t="inlineStr">
        <is>
          <t>27712158404</t>
        </is>
      </c>
    </row>
    <row r="3881">
      <c r="A3881" t="inlineStr">
        <is>
          <t>14946836</t>
        </is>
      </c>
      <c r="B3881" t="inlineStr">
        <is>
          <t>21803371-e5f0-4993-889d-621c46914573</t>
        </is>
      </c>
      <c r="D3881" t="inlineStr">
        <is>
          <t>30001087</t>
        </is>
      </c>
      <c r="E3881" t="inlineStr">
        <is>
          <t>ussd_funeral_leads_altitude_20260619</t>
        </is>
      </c>
      <c r="J3881" t="inlineStr">
        <is>
          <t>AA</t>
        </is>
      </c>
      <c r="K3881" t="inlineStr">
        <is>
          <t>Answering Machine Autodial</t>
        </is>
      </c>
      <c r="L3881" t="n">
        <v>3</v>
      </c>
      <c r="M3881" t="inlineStr">
        <is>
          <t>2026-06-23 09:36:00</t>
        </is>
      </c>
      <c r="N3881" t="inlineStr">
        <is>
          <t>system</t>
        </is>
      </c>
      <c r="O3881" t="inlineStr">
        <is>
          <t>2026-06-19 07:10:32</t>
        </is>
      </c>
      <c r="P3881" t="inlineStr">
        <is>
          <t>2026-06-19 07:10:32</t>
        </is>
      </c>
      <c r="Y3881" t="inlineStr">
        <is>
          <t>27720666242</t>
        </is>
      </c>
    </row>
    <row r="3882">
      <c r="A3882" t="inlineStr">
        <is>
          <t>14946832</t>
        </is>
      </c>
      <c r="B3882" t="inlineStr">
        <is>
          <t>d688e1c2-a237-4230-8439-676b20f63b9c</t>
        </is>
      </c>
      <c r="D3882" t="inlineStr">
        <is>
          <t>30001087</t>
        </is>
      </c>
      <c r="E3882" t="inlineStr">
        <is>
          <t>ussd_funeral_leads_altitude_20260619</t>
        </is>
      </c>
      <c r="J3882" t="inlineStr">
        <is>
          <t>AA</t>
        </is>
      </c>
      <c r="K3882" t="inlineStr">
        <is>
          <t>Answering Machine Autodial</t>
        </is>
      </c>
      <c r="L3882" t="n">
        <v>3</v>
      </c>
      <c r="M3882" t="inlineStr">
        <is>
          <t>2026-06-23 09:35:56</t>
        </is>
      </c>
      <c r="N3882" t="inlineStr">
        <is>
          <t>system</t>
        </is>
      </c>
      <c r="O3882" t="inlineStr">
        <is>
          <t>2026-06-19 07:10:32</t>
        </is>
      </c>
      <c r="P3882" t="inlineStr">
        <is>
          <t>2026-06-19 07:10:32</t>
        </is>
      </c>
      <c r="Y3882" t="inlineStr">
        <is>
          <t>27795629112</t>
        </is>
      </c>
    </row>
    <row r="3883">
      <c r="A3883" t="inlineStr">
        <is>
          <t>14946833</t>
        </is>
      </c>
      <c r="B3883" t="inlineStr">
        <is>
          <t>fb373acb-cb89-4323-870f-ff0e00717140</t>
        </is>
      </c>
      <c r="D3883" t="inlineStr">
        <is>
          <t>30001087</t>
        </is>
      </c>
      <c r="E3883" t="inlineStr">
        <is>
          <t>ussd_funeral_leads_altitude_20260619</t>
        </is>
      </c>
      <c r="J3883" t="inlineStr">
        <is>
          <t>ADC</t>
        </is>
      </c>
      <c r="K3883" t="inlineStr">
        <is>
          <t>Auto Dial Disconnected</t>
        </is>
      </c>
      <c r="L3883" t="n">
        <v>3</v>
      </c>
      <c r="M3883" t="inlineStr">
        <is>
          <t>2026-06-23 09:35:56</t>
        </is>
      </c>
      <c r="N3883" t="inlineStr">
        <is>
          <t>system</t>
        </is>
      </c>
      <c r="O3883" t="inlineStr">
        <is>
          <t>2026-06-19 07:10:32</t>
        </is>
      </c>
      <c r="P3883" t="inlineStr">
        <is>
          <t>2026-06-19 07:10:32</t>
        </is>
      </c>
      <c r="Y3883" t="inlineStr">
        <is>
          <t>27720894567</t>
        </is>
      </c>
    </row>
    <row r="3884">
      <c r="A3884" t="inlineStr">
        <is>
          <t>14946834</t>
        </is>
      </c>
      <c r="B3884" t="inlineStr">
        <is>
          <t>839eaafc-8696-4d5f-b135-508e9138de1c</t>
        </is>
      </c>
      <c r="D3884" t="inlineStr">
        <is>
          <t>30001087</t>
        </is>
      </c>
      <c r="E3884" t="inlineStr">
        <is>
          <t>ussd_funeral_leads_altitude_20260619</t>
        </is>
      </c>
      <c r="J3884" t="inlineStr">
        <is>
          <t>AA</t>
        </is>
      </c>
      <c r="K3884" t="inlineStr">
        <is>
          <t>Answering Machine Autodial</t>
        </is>
      </c>
      <c r="L3884" t="n">
        <v>3</v>
      </c>
      <c r="M3884" t="inlineStr">
        <is>
          <t>2026-06-23 09:35:56</t>
        </is>
      </c>
      <c r="N3884" t="inlineStr">
        <is>
          <t>system</t>
        </is>
      </c>
      <c r="O3884" t="inlineStr">
        <is>
          <t>2026-06-19 07:10:32</t>
        </is>
      </c>
      <c r="P3884" t="inlineStr">
        <is>
          <t>2026-06-19 07:10:32</t>
        </is>
      </c>
      <c r="Y3884" t="inlineStr">
        <is>
          <t>27729568156</t>
        </is>
      </c>
    </row>
    <row r="3885">
      <c r="A3885" t="inlineStr">
        <is>
          <t>14947702</t>
        </is>
      </c>
      <c r="B3885" t="inlineStr">
        <is>
          <t>2709d547-263e-402f-a658-86ac4da1ca2f</t>
        </is>
      </c>
      <c r="D3885" t="inlineStr">
        <is>
          <t>30001087</t>
        </is>
      </c>
      <c r="E3885" t="inlineStr">
        <is>
          <t>ussd_funeral_leads_altitude_20260619</t>
        </is>
      </c>
      <c r="J3885" t="inlineStr">
        <is>
          <t>AA</t>
        </is>
      </c>
      <c r="K3885" t="inlineStr">
        <is>
          <t>Answering Machine Autodial</t>
        </is>
      </c>
      <c r="L3885" t="n">
        <v>3</v>
      </c>
      <c r="M3885" t="inlineStr">
        <is>
          <t>2026-06-23 09:35:52</t>
        </is>
      </c>
      <c r="N3885" t="inlineStr">
        <is>
          <t>system</t>
        </is>
      </c>
      <c r="O3885" t="inlineStr">
        <is>
          <t>2026-06-19 07:10:32</t>
        </is>
      </c>
      <c r="P3885" t="inlineStr">
        <is>
          <t>2026-06-19 07:10:32</t>
        </is>
      </c>
      <c r="Y3885" t="inlineStr">
        <is>
          <t>27764737771</t>
        </is>
      </c>
    </row>
    <row r="3886">
      <c r="A3886" t="inlineStr">
        <is>
          <t>14946831</t>
        </is>
      </c>
      <c r="B3886" t="inlineStr">
        <is>
          <t>250cb905-e669-4e6e-8b40-49f6d44ed809</t>
        </is>
      </c>
      <c r="D3886" t="inlineStr">
        <is>
          <t>30001087</t>
        </is>
      </c>
      <c r="E3886" t="inlineStr">
        <is>
          <t>ussd_funeral_leads_altitude_20260619</t>
        </is>
      </c>
      <c r="J3886" t="inlineStr">
        <is>
          <t>CU</t>
        </is>
      </c>
      <c r="K3886" t="inlineStr">
        <is>
          <t>Client Hung Up</t>
        </is>
      </c>
      <c r="L3886" t="n">
        <v>3</v>
      </c>
      <c r="M3886" t="inlineStr">
        <is>
          <t>2026-06-23 09:35:51</t>
        </is>
      </c>
      <c r="N3886" t="inlineStr">
        <is>
          <t>Vuyiswa Nxumalo</t>
        </is>
      </c>
      <c r="O3886" t="inlineStr">
        <is>
          <t>2026-06-19 07:10:32</t>
        </is>
      </c>
      <c r="P3886" t="inlineStr">
        <is>
          <t>2026-06-19 07:10:32</t>
        </is>
      </c>
      <c r="Y3886" t="inlineStr">
        <is>
          <t>27716360768</t>
        </is>
      </c>
    </row>
    <row r="3887">
      <c r="A3887" t="inlineStr">
        <is>
          <t>14946915</t>
        </is>
      </c>
      <c r="B3887" t="inlineStr">
        <is>
          <t>553144a9-a380-4946-92d3-d6f9cae2a6bb</t>
        </is>
      </c>
      <c r="D3887" t="inlineStr">
        <is>
          <t>30001087</t>
        </is>
      </c>
      <c r="E3887" t="inlineStr">
        <is>
          <t>ussd_funeral_leads_altitude_20260619</t>
        </is>
      </c>
      <c r="J3887" t="inlineStr">
        <is>
          <t>AA</t>
        </is>
      </c>
      <c r="K3887" t="inlineStr">
        <is>
          <t>Answering Machine Autodial</t>
        </is>
      </c>
      <c r="L3887" t="n">
        <v>3</v>
      </c>
      <c r="M3887" t="inlineStr">
        <is>
          <t>2026-06-23 09:35:23</t>
        </is>
      </c>
      <c r="N3887" t="inlineStr">
        <is>
          <t>system</t>
        </is>
      </c>
      <c r="O3887" t="inlineStr">
        <is>
          <t>2026-06-19 07:10:32</t>
        </is>
      </c>
      <c r="P3887" t="inlineStr">
        <is>
          <t>2026-06-19 07:10:32</t>
        </is>
      </c>
      <c r="Y3887" t="inlineStr">
        <is>
          <t>27762653467</t>
        </is>
      </c>
    </row>
    <row r="3888">
      <c r="A3888" t="inlineStr">
        <is>
          <t>14946914</t>
        </is>
      </c>
      <c r="B3888" t="inlineStr">
        <is>
          <t>124fdd11-f045-42a3-9b00-540ffc886297</t>
        </is>
      </c>
      <c r="D3888" t="inlineStr">
        <is>
          <t>30001087</t>
        </is>
      </c>
      <c r="E3888" t="inlineStr">
        <is>
          <t>ussd_funeral_leads_altitude_20260619</t>
        </is>
      </c>
      <c r="J3888" t="inlineStr">
        <is>
          <t>AA</t>
        </is>
      </c>
      <c r="K3888" t="inlineStr">
        <is>
          <t>Answering Machine Autodial</t>
        </is>
      </c>
      <c r="L3888" t="n">
        <v>3</v>
      </c>
      <c r="M3888" t="inlineStr">
        <is>
          <t>2026-06-23 09:35:19</t>
        </is>
      </c>
      <c r="N3888" t="inlineStr">
        <is>
          <t>system</t>
        </is>
      </c>
      <c r="O3888" t="inlineStr">
        <is>
          <t>2026-06-19 07:10:32</t>
        </is>
      </c>
      <c r="P3888" t="inlineStr">
        <is>
          <t>2026-06-19 07:10:32</t>
        </is>
      </c>
      <c r="Y3888" t="inlineStr">
        <is>
          <t>27716441798</t>
        </is>
      </c>
    </row>
    <row r="3889">
      <c r="A3889" t="inlineStr">
        <is>
          <t>14946913</t>
        </is>
      </c>
      <c r="B3889" t="inlineStr">
        <is>
          <t>34f401a7-e597-420d-aa62-2fe94bac8250</t>
        </is>
      </c>
      <c r="D3889" t="inlineStr">
        <is>
          <t>30001087</t>
        </is>
      </c>
      <c r="E3889" t="inlineStr">
        <is>
          <t>ussd_funeral_leads_altitude_20260619</t>
        </is>
      </c>
      <c r="J3889" t="inlineStr">
        <is>
          <t>ADC</t>
        </is>
      </c>
      <c r="K3889" t="inlineStr">
        <is>
          <t>Auto Dial Disconnected</t>
        </is>
      </c>
      <c r="L3889" t="n">
        <v>3</v>
      </c>
      <c r="M3889" t="inlineStr">
        <is>
          <t>2026-06-23 09:35:18</t>
        </is>
      </c>
      <c r="N3889" t="inlineStr">
        <is>
          <t>system</t>
        </is>
      </c>
      <c r="O3889" t="inlineStr">
        <is>
          <t>2026-06-19 07:10:32</t>
        </is>
      </c>
      <c r="P3889" t="inlineStr">
        <is>
          <t>2026-06-19 07:10:32</t>
        </is>
      </c>
      <c r="Y3889" t="inlineStr">
        <is>
          <t>27795697392</t>
        </is>
      </c>
    </row>
    <row r="3890">
      <c r="A3890" t="inlineStr">
        <is>
          <t>14946911</t>
        </is>
      </c>
      <c r="B3890" t="inlineStr">
        <is>
          <t>eb3a5f73-abc3-41b3-a6ec-46dfba5170bc</t>
        </is>
      </c>
      <c r="D3890" t="inlineStr">
        <is>
          <t>30001087</t>
        </is>
      </c>
      <c r="E3890" t="inlineStr">
        <is>
          <t>ussd_funeral_leads_altitude_20260619</t>
        </is>
      </c>
      <c r="J3890" t="inlineStr">
        <is>
          <t>NA</t>
        </is>
      </c>
      <c r="K3890" t="inlineStr">
        <is>
          <t>No Answer Autodial</t>
        </is>
      </c>
      <c r="L3890" t="n">
        <v>3</v>
      </c>
      <c r="M3890" t="inlineStr">
        <is>
          <t>2026-06-23 09:35:03</t>
        </is>
      </c>
      <c r="N3890" t="inlineStr">
        <is>
          <t>system</t>
        </is>
      </c>
      <c r="O3890" t="inlineStr">
        <is>
          <t>2026-06-19 07:10:32</t>
        </is>
      </c>
      <c r="P3890" t="inlineStr">
        <is>
          <t>2026-06-19 07:10:32</t>
        </is>
      </c>
      <c r="Y3890" t="inlineStr">
        <is>
          <t>27726650850</t>
        </is>
      </c>
    </row>
    <row r="3891">
      <c r="A3891" t="inlineStr">
        <is>
          <t>14946910</t>
        </is>
      </c>
      <c r="B3891" t="inlineStr">
        <is>
          <t>5d584029-e133-4257-836f-27d174ae744b</t>
        </is>
      </c>
      <c r="D3891" t="inlineStr">
        <is>
          <t>30001087</t>
        </is>
      </c>
      <c r="E3891" t="inlineStr">
        <is>
          <t>ussd_funeral_leads_altitude_20260619</t>
        </is>
      </c>
      <c r="J3891" t="inlineStr">
        <is>
          <t>ADC</t>
        </is>
      </c>
      <c r="K3891" t="inlineStr">
        <is>
          <t>Auto Dial Disconnected</t>
        </is>
      </c>
      <c r="L3891" t="n">
        <v>3</v>
      </c>
      <c r="M3891" t="inlineStr">
        <is>
          <t>2026-06-23 09:35:02</t>
        </is>
      </c>
      <c r="N3891" t="inlineStr">
        <is>
          <t>system</t>
        </is>
      </c>
      <c r="O3891" t="inlineStr">
        <is>
          <t>2026-06-19 07:10:32</t>
        </is>
      </c>
      <c r="P3891" t="inlineStr">
        <is>
          <t>2026-06-19 07:10:32</t>
        </is>
      </c>
      <c r="Y3891" t="inlineStr">
        <is>
          <t>27792811483</t>
        </is>
      </c>
    </row>
    <row r="3892">
      <c r="A3892" t="inlineStr">
        <is>
          <t>14946912</t>
        </is>
      </c>
      <c r="B3892" t="inlineStr">
        <is>
          <t>60d18152-2570-4623-bf50-3f81514e0a88</t>
        </is>
      </c>
      <c r="D3892" t="inlineStr">
        <is>
          <t>30001087</t>
        </is>
      </c>
      <c r="E3892" t="inlineStr">
        <is>
          <t>ussd_funeral_leads_altitude_20260619</t>
        </is>
      </c>
      <c r="J3892" t="inlineStr">
        <is>
          <t>CU</t>
        </is>
      </c>
      <c r="K3892" t="inlineStr">
        <is>
          <t>Client Hung Up</t>
        </is>
      </c>
      <c r="L3892" t="n">
        <v>3</v>
      </c>
      <c r="M3892" t="inlineStr">
        <is>
          <t>2026-06-23 09:35:02</t>
        </is>
      </c>
      <c r="N3892" t="inlineStr">
        <is>
          <t>Vuyiswa Nxumalo</t>
        </is>
      </c>
      <c r="O3892" t="inlineStr">
        <is>
          <t>2026-06-19 07:10:32</t>
        </is>
      </c>
      <c r="P3892" t="inlineStr">
        <is>
          <t>2026-06-19 07:10:32</t>
        </is>
      </c>
      <c r="Y3892" t="inlineStr">
        <is>
          <t>27646953763</t>
        </is>
      </c>
    </row>
    <row r="3893">
      <c r="A3893" t="inlineStr">
        <is>
          <t>14946879</t>
        </is>
      </c>
      <c r="B3893" t="inlineStr">
        <is>
          <t>5a4e9a40-fb44-4455-9316-3c79b2d3759e</t>
        </is>
      </c>
      <c r="D3893" t="inlineStr">
        <is>
          <t>30001087</t>
        </is>
      </c>
      <c r="E3893" t="inlineStr">
        <is>
          <t>ussd_funeral_leads_altitude_20260619</t>
        </is>
      </c>
      <c r="J3893" t="inlineStr">
        <is>
          <t>AA</t>
        </is>
      </c>
      <c r="K3893" t="inlineStr">
        <is>
          <t>Answering Machine Autodial</t>
        </is>
      </c>
      <c r="L3893" t="n">
        <v>3</v>
      </c>
      <c r="M3893" t="inlineStr">
        <is>
          <t>2026-06-23 09:34:55</t>
        </is>
      </c>
      <c r="N3893" t="inlineStr">
        <is>
          <t>system</t>
        </is>
      </c>
      <c r="O3893" t="inlineStr">
        <is>
          <t>2026-06-19 07:10:32</t>
        </is>
      </c>
      <c r="P3893" t="inlineStr">
        <is>
          <t>2026-06-19 07:10:32</t>
        </is>
      </c>
      <c r="Y3893" t="inlineStr">
        <is>
          <t>27660161792</t>
        </is>
      </c>
    </row>
    <row r="3894">
      <c r="A3894" t="inlineStr">
        <is>
          <t>14946878</t>
        </is>
      </c>
      <c r="B3894" t="inlineStr">
        <is>
          <t>8e47d1d8-42a7-43a9-a175-69b7a44b67a9</t>
        </is>
      </c>
      <c r="D3894" t="inlineStr">
        <is>
          <t>30001087</t>
        </is>
      </c>
      <c r="E3894" t="inlineStr">
        <is>
          <t>ussd_funeral_leads_altitude_20260619</t>
        </is>
      </c>
      <c r="J3894" t="inlineStr">
        <is>
          <t>AA</t>
        </is>
      </c>
      <c r="K3894" t="inlineStr">
        <is>
          <t>Answering Machine Autodial</t>
        </is>
      </c>
      <c r="L3894" t="n">
        <v>3</v>
      </c>
      <c r="M3894" t="inlineStr">
        <is>
          <t>2026-06-23 09:34:47</t>
        </is>
      </c>
      <c r="N3894" t="inlineStr">
        <is>
          <t>system</t>
        </is>
      </c>
      <c r="O3894" t="inlineStr">
        <is>
          <t>2026-06-19 07:10:32</t>
        </is>
      </c>
      <c r="P3894" t="inlineStr">
        <is>
          <t>2026-06-19 07:10:32</t>
        </is>
      </c>
      <c r="Y3894" t="inlineStr">
        <is>
          <t>27714969092</t>
        </is>
      </c>
    </row>
    <row r="3895">
      <c r="A3895" t="inlineStr">
        <is>
          <t>14946875</t>
        </is>
      </c>
      <c r="B3895" t="inlineStr">
        <is>
          <t>61c5841c-1feb-46f6-bdd1-4c599ad8918c</t>
        </is>
      </c>
      <c r="D3895" t="inlineStr">
        <is>
          <t>30001087</t>
        </is>
      </c>
      <c r="E3895" t="inlineStr">
        <is>
          <t>ussd_funeral_leads_altitude_20260619</t>
        </is>
      </c>
      <c r="J3895" t="inlineStr">
        <is>
          <t>NA</t>
        </is>
      </c>
      <c r="K3895" t="inlineStr">
        <is>
          <t>No Answer Autodial</t>
        </is>
      </c>
      <c r="L3895" t="n">
        <v>3</v>
      </c>
      <c r="M3895" t="inlineStr">
        <is>
          <t>2026-06-23 09:34:45</t>
        </is>
      </c>
      <c r="N3895" t="inlineStr">
        <is>
          <t>system</t>
        </is>
      </c>
      <c r="O3895" t="inlineStr">
        <is>
          <t>2026-06-19 07:10:32</t>
        </is>
      </c>
      <c r="P3895" t="inlineStr">
        <is>
          <t>2026-06-19 07:10:32</t>
        </is>
      </c>
      <c r="Y3895" t="inlineStr">
        <is>
          <t>27764541339</t>
        </is>
      </c>
    </row>
    <row r="3896">
      <c r="A3896" t="inlineStr">
        <is>
          <t>14946876</t>
        </is>
      </c>
      <c r="B3896" t="inlineStr">
        <is>
          <t>9d90231e-2bc8-4fee-9a38-008904a48606</t>
        </is>
      </c>
      <c r="D3896" t="inlineStr">
        <is>
          <t>30001087</t>
        </is>
      </c>
      <c r="E3896" t="inlineStr">
        <is>
          <t>ussd_funeral_leads_altitude_20260619</t>
        </is>
      </c>
      <c r="J3896" t="inlineStr">
        <is>
          <t>ADC</t>
        </is>
      </c>
      <c r="K3896" t="inlineStr">
        <is>
          <t>Auto Dial Disconnected</t>
        </is>
      </c>
      <c r="L3896" t="n">
        <v>3</v>
      </c>
      <c r="M3896" t="inlineStr">
        <is>
          <t>2026-06-23 09:34:45</t>
        </is>
      </c>
      <c r="N3896" t="inlineStr">
        <is>
          <t>system</t>
        </is>
      </c>
      <c r="O3896" t="inlineStr">
        <is>
          <t>2026-06-19 07:10:32</t>
        </is>
      </c>
      <c r="P3896" t="inlineStr">
        <is>
          <t>2026-06-19 07:10:32</t>
        </is>
      </c>
      <c r="Y3896" t="inlineStr">
        <is>
          <t>27763262936</t>
        </is>
      </c>
    </row>
    <row r="3897">
      <c r="A3897" t="inlineStr">
        <is>
          <t>14946877</t>
        </is>
      </c>
      <c r="B3897" t="inlineStr">
        <is>
          <t>8d2b829d-b74d-4800-9d8a-e69741cfe46b</t>
        </is>
      </c>
      <c r="D3897" t="inlineStr">
        <is>
          <t>30001087</t>
        </is>
      </c>
      <c r="E3897" t="inlineStr">
        <is>
          <t>ussd_funeral_leads_altitude_20260619</t>
        </is>
      </c>
      <c r="J3897" t="inlineStr">
        <is>
          <t>TDN</t>
        </is>
      </c>
      <c r="K3897" t="inlineStr">
        <is>
          <t>Temporary Disconnected Number</t>
        </is>
      </c>
      <c r="L3897" t="n">
        <v>3</v>
      </c>
      <c r="M3897" t="inlineStr">
        <is>
          <t>2026-06-23 09:34:45</t>
        </is>
      </c>
      <c r="N3897" t="inlineStr">
        <is>
          <t>system</t>
        </is>
      </c>
      <c r="O3897" t="inlineStr">
        <is>
          <t>2026-06-19 07:10:32</t>
        </is>
      </c>
      <c r="P3897" t="inlineStr">
        <is>
          <t>2026-06-19 07:10:32</t>
        </is>
      </c>
      <c r="Y3897" t="inlineStr">
        <is>
          <t>27720578514</t>
        </is>
      </c>
    </row>
    <row r="3898">
      <c r="A3898" t="inlineStr">
        <is>
          <t>14946874</t>
        </is>
      </c>
      <c r="B3898" t="inlineStr">
        <is>
          <t>1110df30-415f-4bcd-aaa5-f1804de07601</t>
        </is>
      </c>
      <c r="D3898" t="inlineStr">
        <is>
          <t>30001087</t>
        </is>
      </c>
      <c r="E3898" t="inlineStr">
        <is>
          <t>ussd_funeral_leads_altitude_20260619</t>
        </is>
      </c>
      <c r="J3898" t="inlineStr">
        <is>
          <t>ADC</t>
        </is>
      </c>
      <c r="K3898" t="inlineStr">
        <is>
          <t>Auto Dial Disconnected</t>
        </is>
      </c>
      <c r="L3898" t="n">
        <v>3</v>
      </c>
      <c r="M3898" t="inlineStr">
        <is>
          <t>2026-06-23 09:34:44</t>
        </is>
      </c>
      <c r="N3898" t="inlineStr">
        <is>
          <t>system</t>
        </is>
      </c>
      <c r="O3898" t="inlineStr">
        <is>
          <t>2026-06-19 07:10:32</t>
        </is>
      </c>
      <c r="P3898" t="inlineStr">
        <is>
          <t>2026-06-19 07:10:32</t>
        </is>
      </c>
      <c r="Y3898" t="inlineStr">
        <is>
          <t>27818018652</t>
        </is>
      </c>
    </row>
    <row r="3899">
      <c r="A3899" t="inlineStr">
        <is>
          <t>14946873</t>
        </is>
      </c>
      <c r="B3899" t="inlineStr">
        <is>
          <t>a48f06c8-d152-4bdb-93b4-27368f311c8b</t>
        </is>
      </c>
      <c r="D3899" t="inlineStr">
        <is>
          <t>30001087</t>
        </is>
      </c>
      <c r="E3899" t="inlineStr">
        <is>
          <t>ussd_funeral_leads_altitude_20260619</t>
        </is>
      </c>
      <c r="J3899" t="inlineStr">
        <is>
          <t>NA</t>
        </is>
      </c>
      <c r="K3899" t="inlineStr">
        <is>
          <t>No Answer Autodial</t>
        </is>
      </c>
      <c r="L3899" t="n">
        <v>3</v>
      </c>
      <c r="M3899" t="inlineStr">
        <is>
          <t>2026-06-23 09:34:07</t>
        </is>
      </c>
      <c r="N3899" t="inlineStr">
        <is>
          <t>system</t>
        </is>
      </c>
      <c r="O3899" t="inlineStr">
        <is>
          <t>2026-06-19 07:10:32</t>
        </is>
      </c>
      <c r="P3899" t="inlineStr">
        <is>
          <t>2026-06-19 07:10:32</t>
        </is>
      </c>
      <c r="Y3899" t="inlineStr">
        <is>
          <t>27793801090</t>
        </is>
      </c>
    </row>
    <row r="3900">
      <c r="A3900" t="inlineStr">
        <is>
          <t>14946872</t>
        </is>
      </c>
      <c r="B3900" t="inlineStr">
        <is>
          <t>42035c6e-d681-48db-a83d-4b5bdc1e0234</t>
        </is>
      </c>
      <c r="D3900" t="inlineStr">
        <is>
          <t>30001087</t>
        </is>
      </c>
      <c r="E3900" t="inlineStr">
        <is>
          <t>ussd_funeral_leads_altitude_20260619</t>
        </is>
      </c>
      <c r="J3900" t="inlineStr">
        <is>
          <t>ADC</t>
        </is>
      </c>
      <c r="K3900" t="inlineStr">
        <is>
          <t>Auto Dial Disconnected</t>
        </is>
      </c>
      <c r="L3900" t="n">
        <v>3</v>
      </c>
      <c r="M3900" t="inlineStr">
        <is>
          <t>2026-06-23 09:34:06</t>
        </is>
      </c>
      <c r="N3900" t="inlineStr">
        <is>
          <t>system</t>
        </is>
      </c>
      <c r="O3900" t="inlineStr">
        <is>
          <t>2026-06-19 07:10:32</t>
        </is>
      </c>
      <c r="P3900" t="inlineStr">
        <is>
          <t>2026-06-19 07:10:32</t>
        </is>
      </c>
      <c r="Y3900" t="inlineStr">
        <is>
          <t>27723398428</t>
        </is>
      </c>
    </row>
    <row r="3901">
      <c r="A3901" t="inlineStr">
        <is>
          <t>14946871</t>
        </is>
      </c>
      <c r="B3901" t="inlineStr">
        <is>
          <t>7c936f69-87ae-485e-9abe-07358717d3de</t>
        </is>
      </c>
      <c r="D3901" t="inlineStr">
        <is>
          <t>30001087</t>
        </is>
      </c>
      <c r="E3901" t="inlineStr">
        <is>
          <t>ussd_funeral_leads_altitude_20260619</t>
        </is>
      </c>
      <c r="J3901" t="inlineStr">
        <is>
          <t>ADC</t>
        </is>
      </c>
      <c r="K3901" t="inlineStr">
        <is>
          <t>Auto Dial Disconnected</t>
        </is>
      </c>
      <c r="L3901" t="n">
        <v>3</v>
      </c>
      <c r="M3901" t="inlineStr">
        <is>
          <t>2026-06-23 09:34:03</t>
        </is>
      </c>
      <c r="N3901" t="inlineStr">
        <is>
          <t>system</t>
        </is>
      </c>
      <c r="O3901" t="inlineStr">
        <is>
          <t>2026-06-19 07:10:32</t>
        </is>
      </c>
      <c r="P3901" t="inlineStr">
        <is>
          <t>2026-06-19 07:10:32</t>
        </is>
      </c>
      <c r="Y3901" t="inlineStr">
        <is>
          <t>27825231352</t>
        </is>
      </c>
    </row>
    <row r="3902">
      <c r="A3902" t="inlineStr">
        <is>
          <t>14946869</t>
        </is>
      </c>
      <c r="B3902" t="inlineStr">
        <is>
          <t>d2fd6c38-2fa9-4440-99fb-0617ef43b26b</t>
        </is>
      </c>
      <c r="D3902" t="inlineStr">
        <is>
          <t>30001087</t>
        </is>
      </c>
      <c r="E3902" t="inlineStr">
        <is>
          <t>ussd_funeral_leads_altitude_20260619</t>
        </is>
      </c>
      <c r="J3902" t="inlineStr">
        <is>
          <t>CU</t>
        </is>
      </c>
      <c r="K3902" t="inlineStr">
        <is>
          <t>Client Hung Up</t>
        </is>
      </c>
      <c r="L3902" t="n">
        <v>3</v>
      </c>
      <c r="M3902" t="inlineStr">
        <is>
          <t>2026-06-23 09:33:56</t>
        </is>
      </c>
      <c r="N3902" t="inlineStr">
        <is>
          <t>Vuyiswa Nxumalo</t>
        </is>
      </c>
      <c r="O3902" t="inlineStr">
        <is>
          <t>2026-06-19 07:10:32</t>
        </is>
      </c>
      <c r="P3902" t="inlineStr">
        <is>
          <t>2026-06-19 07:10:32</t>
        </is>
      </c>
      <c r="Y3902" t="inlineStr">
        <is>
          <t>27637646066</t>
        </is>
      </c>
    </row>
    <row r="3903">
      <c r="A3903" t="inlineStr">
        <is>
          <t>14946870</t>
        </is>
      </c>
      <c r="B3903" t="inlineStr">
        <is>
          <t>b1b996d6-c9ad-422d-be2e-4b730d4ea088</t>
        </is>
      </c>
      <c r="D3903" t="inlineStr">
        <is>
          <t>30001087</t>
        </is>
      </c>
      <c r="E3903" t="inlineStr">
        <is>
          <t>ussd_funeral_leads_altitude_20260619</t>
        </is>
      </c>
      <c r="J3903" t="inlineStr">
        <is>
          <t>AA</t>
        </is>
      </c>
      <c r="K3903" t="inlineStr">
        <is>
          <t>Answering Machine Autodial</t>
        </is>
      </c>
      <c r="L3903" t="n">
        <v>3</v>
      </c>
      <c r="M3903" t="inlineStr">
        <is>
          <t>2026-06-23 09:33:56</t>
        </is>
      </c>
      <c r="N3903" t="inlineStr">
        <is>
          <t>system</t>
        </is>
      </c>
      <c r="O3903" t="inlineStr">
        <is>
          <t>2026-06-19 07:10:32</t>
        </is>
      </c>
      <c r="P3903" t="inlineStr">
        <is>
          <t>2026-06-19 07:10:32</t>
        </is>
      </c>
      <c r="Y3903" t="inlineStr">
        <is>
          <t>27637818598</t>
        </is>
      </c>
    </row>
    <row r="3904">
      <c r="A3904" t="inlineStr">
        <is>
          <t>14946868</t>
        </is>
      </c>
      <c r="B3904" t="inlineStr">
        <is>
          <t>96b574c9-5843-431f-be95-0234b50278cf</t>
        </is>
      </c>
      <c r="D3904" t="inlineStr">
        <is>
          <t>30001087</t>
        </is>
      </c>
      <c r="E3904" t="inlineStr">
        <is>
          <t>ussd_funeral_leads_altitude_20260619</t>
        </is>
      </c>
      <c r="J3904" t="inlineStr">
        <is>
          <t>AA</t>
        </is>
      </c>
      <c r="K3904" t="inlineStr">
        <is>
          <t>Answering Machine Autodial</t>
        </is>
      </c>
      <c r="L3904" t="n">
        <v>3</v>
      </c>
      <c r="M3904" t="inlineStr">
        <is>
          <t>2026-06-23 09:33:54</t>
        </is>
      </c>
      <c r="N3904" t="inlineStr">
        <is>
          <t>system</t>
        </is>
      </c>
      <c r="O3904" t="inlineStr">
        <is>
          <t>2026-06-19 07:10:32</t>
        </is>
      </c>
      <c r="P3904" t="inlineStr">
        <is>
          <t>2026-06-19 07:10:32</t>
        </is>
      </c>
      <c r="Y3904" t="inlineStr">
        <is>
          <t>27636157771</t>
        </is>
      </c>
    </row>
    <row r="3905">
      <c r="A3905" t="inlineStr">
        <is>
          <t>14946867</t>
        </is>
      </c>
      <c r="B3905" t="inlineStr">
        <is>
          <t>868fc0f2-d0fd-4e36-9d93-a7515e8c6efd</t>
        </is>
      </c>
      <c r="D3905" t="inlineStr">
        <is>
          <t>30001087</t>
        </is>
      </c>
      <c r="E3905" t="inlineStr">
        <is>
          <t>ussd_funeral_leads_altitude_20260619</t>
        </is>
      </c>
      <c r="J3905" t="inlineStr">
        <is>
          <t>ADC</t>
        </is>
      </c>
      <c r="K3905" t="inlineStr">
        <is>
          <t>Auto Dial Disconnected</t>
        </is>
      </c>
      <c r="L3905" t="n">
        <v>3</v>
      </c>
      <c r="M3905" t="inlineStr">
        <is>
          <t>2026-06-23 09:33:53</t>
        </is>
      </c>
      <c r="N3905" t="inlineStr">
        <is>
          <t>system</t>
        </is>
      </c>
      <c r="O3905" t="inlineStr">
        <is>
          <t>2026-06-19 07:10:32</t>
        </is>
      </c>
      <c r="P3905" t="inlineStr">
        <is>
          <t>2026-06-19 07:10:32</t>
        </is>
      </c>
      <c r="Y3905" t="inlineStr">
        <is>
          <t>27712081274</t>
        </is>
      </c>
    </row>
    <row r="3906">
      <c r="A3906" t="inlineStr">
        <is>
          <t>14946862</t>
        </is>
      </c>
      <c r="B3906" t="inlineStr">
        <is>
          <t>40ecd42c-f9e0-4074-8f3b-f4fc7f048dc7</t>
        </is>
      </c>
      <c r="D3906" t="inlineStr">
        <is>
          <t>30001087</t>
        </is>
      </c>
      <c r="E3906" t="inlineStr">
        <is>
          <t>ussd_funeral_leads_altitude_20260619</t>
        </is>
      </c>
      <c r="J3906" t="inlineStr">
        <is>
          <t>NA</t>
        </is>
      </c>
      <c r="K3906" t="inlineStr">
        <is>
          <t>No Answer Autodial</t>
        </is>
      </c>
      <c r="L3906" t="n">
        <v>3</v>
      </c>
      <c r="M3906" t="inlineStr">
        <is>
          <t>2026-06-23 09:33:51</t>
        </is>
      </c>
      <c r="N3906" t="inlineStr">
        <is>
          <t>system</t>
        </is>
      </c>
      <c r="O3906" t="inlineStr">
        <is>
          <t>2026-06-19 07:10:32</t>
        </is>
      </c>
      <c r="P3906" t="inlineStr">
        <is>
          <t>2026-06-19 07:10:32</t>
        </is>
      </c>
      <c r="Y3906" t="inlineStr">
        <is>
          <t>27607771287</t>
        </is>
      </c>
    </row>
    <row r="3907">
      <c r="A3907" t="inlineStr">
        <is>
          <t>14946866</t>
        </is>
      </c>
      <c r="B3907" t="inlineStr">
        <is>
          <t>7cc9a113-2ebd-4be8-b7bf-5565e5d3d99a</t>
        </is>
      </c>
      <c r="D3907" t="inlineStr">
        <is>
          <t>30001087</t>
        </is>
      </c>
      <c r="E3907" t="inlineStr">
        <is>
          <t>ussd_funeral_leads_altitude_20260619</t>
        </is>
      </c>
      <c r="J3907" t="inlineStr">
        <is>
          <t>AA</t>
        </is>
      </c>
      <c r="K3907" t="inlineStr">
        <is>
          <t>Answering Machine Autodial</t>
        </is>
      </c>
      <c r="L3907" t="n">
        <v>3</v>
      </c>
      <c r="M3907" t="inlineStr">
        <is>
          <t>2026-06-23 09:33:51</t>
        </is>
      </c>
      <c r="N3907" t="inlineStr">
        <is>
          <t>system</t>
        </is>
      </c>
      <c r="O3907" t="inlineStr">
        <is>
          <t>2026-06-19 07:10:32</t>
        </is>
      </c>
      <c r="P3907" t="inlineStr">
        <is>
          <t>2026-06-19 07:10:32</t>
        </is>
      </c>
      <c r="Y3907" t="inlineStr">
        <is>
          <t>27762511451</t>
        </is>
      </c>
    </row>
    <row r="3908">
      <c r="A3908" t="inlineStr">
        <is>
          <t>14946860</t>
        </is>
      </c>
      <c r="B3908" t="inlineStr">
        <is>
          <t>34824bbe-11e8-425f-baa9-833f2ae9e48f</t>
        </is>
      </c>
      <c r="D3908" t="inlineStr">
        <is>
          <t>30001087</t>
        </is>
      </c>
      <c r="E3908" t="inlineStr">
        <is>
          <t>ussd_funeral_leads_altitude_20260619</t>
        </is>
      </c>
      <c r="J3908" t="inlineStr">
        <is>
          <t>ADC</t>
        </is>
      </c>
      <c r="K3908" t="inlineStr">
        <is>
          <t>Auto Dial Disconnected</t>
        </is>
      </c>
      <c r="L3908" t="n">
        <v>3</v>
      </c>
      <c r="M3908" t="inlineStr">
        <is>
          <t>2026-06-23 09:33:50</t>
        </is>
      </c>
      <c r="N3908" t="inlineStr">
        <is>
          <t>system</t>
        </is>
      </c>
      <c r="O3908" t="inlineStr">
        <is>
          <t>2026-06-19 07:10:32</t>
        </is>
      </c>
      <c r="P3908" t="inlineStr">
        <is>
          <t>2026-06-19 07:10:32</t>
        </is>
      </c>
      <c r="Y3908" t="inlineStr">
        <is>
          <t>27714553053</t>
        </is>
      </c>
    </row>
    <row r="3909">
      <c r="A3909" t="inlineStr">
        <is>
          <t>14946861</t>
        </is>
      </c>
      <c r="B3909" t="inlineStr">
        <is>
          <t>a177a783-c51f-458e-9fcd-0f1f952fa2f9</t>
        </is>
      </c>
      <c r="D3909" t="inlineStr">
        <is>
          <t>30001087</t>
        </is>
      </c>
      <c r="E3909" t="inlineStr">
        <is>
          <t>ussd_funeral_leads_altitude_20260619</t>
        </is>
      </c>
      <c r="J3909" t="inlineStr">
        <is>
          <t>AA</t>
        </is>
      </c>
      <c r="K3909" t="inlineStr">
        <is>
          <t>Answering Machine Autodial</t>
        </is>
      </c>
      <c r="L3909" t="n">
        <v>3</v>
      </c>
      <c r="M3909" t="inlineStr">
        <is>
          <t>2026-06-23 09:33:50</t>
        </is>
      </c>
      <c r="N3909" t="inlineStr">
        <is>
          <t>system</t>
        </is>
      </c>
      <c r="O3909" t="inlineStr">
        <is>
          <t>2026-06-19 07:10:32</t>
        </is>
      </c>
      <c r="P3909" t="inlineStr">
        <is>
          <t>2026-06-19 07:10:32</t>
        </is>
      </c>
      <c r="Y3909" t="inlineStr">
        <is>
          <t>27674666552</t>
        </is>
      </c>
    </row>
    <row r="3910">
      <c r="A3910" t="inlineStr">
        <is>
          <t>14947703</t>
        </is>
      </c>
      <c r="B3910" t="inlineStr">
        <is>
          <t>8b10bcea-5cc7-47da-bddd-6947748a0ad5</t>
        </is>
      </c>
      <c r="D3910" t="inlineStr">
        <is>
          <t>30001087</t>
        </is>
      </c>
      <c r="E3910" t="inlineStr">
        <is>
          <t>ussd_funeral_leads_altitude_20260619</t>
        </is>
      </c>
      <c r="J3910" t="inlineStr">
        <is>
          <t>AA</t>
        </is>
      </c>
      <c r="K3910" t="inlineStr">
        <is>
          <t>Answering Machine Autodial</t>
        </is>
      </c>
      <c r="L3910" t="n">
        <v>3</v>
      </c>
      <c r="M3910" t="inlineStr">
        <is>
          <t>2026-06-23 09:33:50</t>
        </is>
      </c>
      <c r="N3910" t="inlineStr">
        <is>
          <t>system</t>
        </is>
      </c>
      <c r="O3910" t="inlineStr">
        <is>
          <t>2026-06-19 07:10:32</t>
        </is>
      </c>
      <c r="P3910" t="inlineStr">
        <is>
          <t>2026-06-19 07:10:32</t>
        </is>
      </c>
      <c r="Y3910" t="inlineStr">
        <is>
          <t>27661928340</t>
        </is>
      </c>
    </row>
    <row r="3911">
      <c r="A3911" t="inlineStr">
        <is>
          <t>14946865</t>
        </is>
      </c>
      <c r="B3911" t="inlineStr">
        <is>
          <t>5618799b-5006-4152-9b66-be0dfc2f5334</t>
        </is>
      </c>
      <c r="D3911" t="inlineStr">
        <is>
          <t>30001087</t>
        </is>
      </c>
      <c r="E3911" t="inlineStr">
        <is>
          <t>ussd_funeral_leads_altitude_20260619</t>
        </is>
      </c>
      <c r="J3911" t="inlineStr">
        <is>
          <t>AA</t>
        </is>
      </c>
      <c r="K3911" t="inlineStr">
        <is>
          <t>Answering Machine Autodial</t>
        </is>
      </c>
      <c r="L3911" t="n">
        <v>3</v>
      </c>
      <c r="M3911" t="inlineStr">
        <is>
          <t>2026-06-23 09:33:25</t>
        </is>
      </c>
      <c r="N3911" t="inlineStr">
        <is>
          <t>system</t>
        </is>
      </c>
      <c r="O3911" t="inlineStr">
        <is>
          <t>2026-06-19 07:10:32</t>
        </is>
      </c>
      <c r="P3911" t="inlineStr">
        <is>
          <t>2026-06-19 07:10:32</t>
        </is>
      </c>
      <c r="Y3911" t="inlineStr">
        <is>
          <t>27606027127</t>
        </is>
      </c>
    </row>
    <row r="3912">
      <c r="A3912" t="inlineStr">
        <is>
          <t>14946864</t>
        </is>
      </c>
      <c r="B3912" t="inlineStr">
        <is>
          <t>83931e40-2809-4fe1-a78b-c8367a6a55df</t>
        </is>
      </c>
      <c r="D3912" t="inlineStr">
        <is>
          <t>30001087</t>
        </is>
      </c>
      <c r="E3912" t="inlineStr">
        <is>
          <t>ussd_funeral_leads_altitude_20260619</t>
        </is>
      </c>
      <c r="J3912" t="inlineStr">
        <is>
          <t>AA</t>
        </is>
      </c>
      <c r="K3912" t="inlineStr">
        <is>
          <t>Answering Machine Autodial</t>
        </is>
      </c>
      <c r="L3912" t="n">
        <v>3</v>
      </c>
      <c r="M3912" t="inlineStr">
        <is>
          <t>2026-06-23 09:33:19</t>
        </is>
      </c>
      <c r="N3912" t="inlineStr">
        <is>
          <t>system</t>
        </is>
      </c>
      <c r="O3912" t="inlineStr">
        <is>
          <t>2026-06-19 07:10:32</t>
        </is>
      </c>
      <c r="P3912" t="inlineStr">
        <is>
          <t>2026-06-19 07:10:32</t>
        </is>
      </c>
      <c r="Y3912" t="inlineStr">
        <is>
          <t>27793120717</t>
        </is>
      </c>
    </row>
    <row r="3913">
      <c r="A3913" t="inlineStr">
        <is>
          <t>14946863</t>
        </is>
      </c>
      <c r="B3913" t="inlineStr">
        <is>
          <t>6797b4ee-eae1-430a-b874-26901397f70c</t>
        </is>
      </c>
      <c r="D3913" t="inlineStr">
        <is>
          <t>30001087</t>
        </is>
      </c>
      <c r="E3913" t="inlineStr">
        <is>
          <t>ussd_funeral_leads_altitude_20260619</t>
        </is>
      </c>
      <c r="J3913" t="inlineStr">
        <is>
          <t>ADC</t>
        </is>
      </c>
      <c r="K3913" t="inlineStr">
        <is>
          <t>Auto Dial Disconnected</t>
        </is>
      </c>
      <c r="L3913" t="n">
        <v>3</v>
      </c>
      <c r="M3913" t="inlineStr">
        <is>
          <t>2026-06-23 09:33:17</t>
        </is>
      </c>
      <c r="N3913" t="inlineStr">
        <is>
          <t>system</t>
        </is>
      </c>
      <c r="O3913" t="inlineStr">
        <is>
          <t>2026-06-19 07:10:32</t>
        </is>
      </c>
      <c r="P3913" t="inlineStr">
        <is>
          <t>2026-06-19 07:10:32</t>
        </is>
      </c>
      <c r="Y3913" t="inlineStr">
        <is>
          <t>27674686447</t>
        </is>
      </c>
    </row>
    <row r="3914">
      <c r="A3914" t="inlineStr">
        <is>
          <t>14947704</t>
        </is>
      </c>
      <c r="B3914" t="inlineStr">
        <is>
          <t>5c3d89bb-3347-413f-9c5e-10b3a4bf74ce</t>
        </is>
      </c>
      <c r="D3914" t="inlineStr">
        <is>
          <t>30001087</t>
        </is>
      </c>
      <c r="E3914" t="inlineStr">
        <is>
          <t>ussd_funeral_leads_altitude_20260619</t>
        </is>
      </c>
      <c r="J3914" t="inlineStr">
        <is>
          <t>AA</t>
        </is>
      </c>
      <c r="K3914" t="inlineStr">
        <is>
          <t>Answering Machine Autodial</t>
        </is>
      </c>
      <c r="L3914" t="n">
        <v>3</v>
      </c>
      <c r="M3914" t="inlineStr">
        <is>
          <t>2026-06-23 09:33:14</t>
        </is>
      </c>
      <c r="N3914" t="inlineStr">
        <is>
          <t>system</t>
        </is>
      </c>
      <c r="O3914" t="inlineStr">
        <is>
          <t>2026-06-19 07:10:32</t>
        </is>
      </c>
      <c r="P3914" t="inlineStr">
        <is>
          <t>2026-06-19 07:10:32</t>
        </is>
      </c>
      <c r="Y3914" t="inlineStr">
        <is>
          <t>27823292536</t>
        </is>
      </c>
    </row>
    <row r="3915">
      <c r="A3915" t="inlineStr">
        <is>
          <t>14946894</t>
        </is>
      </c>
      <c r="B3915" t="inlineStr">
        <is>
          <t>3ecfb454-1f06-463e-9134-a225f912f2fe</t>
        </is>
      </c>
      <c r="D3915" t="inlineStr">
        <is>
          <t>30001087</t>
        </is>
      </c>
      <c r="E3915" t="inlineStr">
        <is>
          <t>ussd_funeral_leads_altitude_20260619</t>
        </is>
      </c>
      <c r="J3915" t="inlineStr">
        <is>
          <t>AA</t>
        </is>
      </c>
      <c r="K3915" t="inlineStr">
        <is>
          <t>Answering Machine Autodial</t>
        </is>
      </c>
      <c r="L3915" t="n">
        <v>3</v>
      </c>
      <c r="M3915" t="inlineStr">
        <is>
          <t>2026-06-23 09:32:07</t>
        </is>
      </c>
      <c r="N3915" t="inlineStr">
        <is>
          <t>system</t>
        </is>
      </c>
      <c r="O3915" t="inlineStr">
        <is>
          <t>2026-06-19 07:10:32</t>
        </is>
      </c>
      <c r="P3915" t="inlineStr">
        <is>
          <t>2026-06-19 07:10:32</t>
        </is>
      </c>
      <c r="Y3915" t="inlineStr">
        <is>
          <t>27664020559</t>
        </is>
      </c>
    </row>
    <row r="3916">
      <c r="A3916" t="inlineStr">
        <is>
          <t>14946895</t>
        </is>
      </c>
      <c r="B3916" t="inlineStr">
        <is>
          <t>cd6b3bb8-f9eb-4f3b-89fd-03fb189b182b</t>
        </is>
      </c>
      <c r="D3916" t="inlineStr">
        <is>
          <t>30001087</t>
        </is>
      </c>
      <c r="E3916" t="inlineStr">
        <is>
          <t>ussd_funeral_leads_altitude_20260619</t>
        </is>
      </c>
      <c r="J3916" t="inlineStr">
        <is>
          <t>AA</t>
        </is>
      </c>
      <c r="K3916" t="inlineStr">
        <is>
          <t>Answering Machine Autodial</t>
        </is>
      </c>
      <c r="L3916" t="n">
        <v>3</v>
      </c>
      <c r="M3916" t="inlineStr">
        <is>
          <t>2026-06-23 09:32:07</t>
        </is>
      </c>
      <c r="N3916" t="inlineStr">
        <is>
          <t>system</t>
        </is>
      </c>
      <c r="O3916" t="inlineStr">
        <is>
          <t>2026-06-19 07:10:32</t>
        </is>
      </c>
      <c r="P3916" t="inlineStr">
        <is>
          <t>2026-06-19 07:10:32</t>
        </is>
      </c>
      <c r="Y3916" t="inlineStr">
        <is>
          <t>27609142128</t>
        </is>
      </c>
    </row>
    <row r="3917">
      <c r="A3917" t="inlineStr">
        <is>
          <t>14946897</t>
        </is>
      </c>
      <c r="B3917" t="inlineStr">
        <is>
          <t>f41fabfb-a0a2-4875-bcb1-a627e8095211</t>
        </is>
      </c>
      <c r="D3917" t="inlineStr">
        <is>
          <t>30001087</t>
        </is>
      </c>
      <c r="E3917" t="inlineStr">
        <is>
          <t>ussd_funeral_leads_altitude_20260619</t>
        </is>
      </c>
      <c r="J3917" t="inlineStr">
        <is>
          <t>NA</t>
        </is>
      </c>
      <c r="K3917" t="inlineStr">
        <is>
          <t>No Answer Autodial</t>
        </is>
      </c>
      <c r="L3917" t="n">
        <v>3</v>
      </c>
      <c r="M3917" t="inlineStr">
        <is>
          <t>2026-06-23 09:32:07</t>
        </is>
      </c>
      <c r="N3917" t="inlineStr">
        <is>
          <t>system</t>
        </is>
      </c>
      <c r="O3917" t="inlineStr">
        <is>
          <t>2026-06-19 07:10:32</t>
        </is>
      </c>
      <c r="P3917" t="inlineStr">
        <is>
          <t>2026-06-19 07:10:32</t>
        </is>
      </c>
      <c r="Y3917" t="inlineStr">
        <is>
          <t>27718338138</t>
        </is>
      </c>
    </row>
    <row r="3918">
      <c r="A3918" t="inlineStr">
        <is>
          <t>14946888</t>
        </is>
      </c>
      <c r="B3918" t="inlineStr">
        <is>
          <t>be587a00-318f-4a6c-999a-0822811e995b</t>
        </is>
      </c>
      <c r="D3918" t="inlineStr">
        <is>
          <t>30001087</t>
        </is>
      </c>
      <c r="E3918" t="inlineStr">
        <is>
          <t>ussd_funeral_leads_altitude_20260619</t>
        </is>
      </c>
      <c r="J3918" t="inlineStr">
        <is>
          <t>AA</t>
        </is>
      </c>
      <c r="K3918" t="inlineStr">
        <is>
          <t>Answering Machine Autodial</t>
        </is>
      </c>
      <c r="L3918" t="n">
        <v>3</v>
      </c>
      <c r="M3918" t="inlineStr">
        <is>
          <t>2026-06-23 09:32:06</t>
        </is>
      </c>
      <c r="N3918" t="inlineStr">
        <is>
          <t>system</t>
        </is>
      </c>
      <c r="O3918" t="inlineStr">
        <is>
          <t>2026-06-19 07:10:32</t>
        </is>
      </c>
      <c r="P3918" t="inlineStr">
        <is>
          <t>2026-06-19 07:10:32</t>
        </is>
      </c>
      <c r="Y3918" t="inlineStr">
        <is>
          <t>27660314790</t>
        </is>
      </c>
    </row>
    <row r="3919">
      <c r="A3919" t="inlineStr">
        <is>
          <t>14946890</t>
        </is>
      </c>
      <c r="B3919" t="inlineStr">
        <is>
          <t>ff6df253-cb31-449f-9092-0409503fd88d</t>
        </is>
      </c>
      <c r="D3919" t="inlineStr">
        <is>
          <t>30001087</t>
        </is>
      </c>
      <c r="E3919" t="inlineStr">
        <is>
          <t>ussd_funeral_leads_altitude_20260619</t>
        </is>
      </c>
      <c r="J3919" t="inlineStr">
        <is>
          <t>ADC</t>
        </is>
      </c>
      <c r="K3919" t="inlineStr">
        <is>
          <t>Auto Dial Disconnected</t>
        </is>
      </c>
      <c r="L3919" t="n">
        <v>3</v>
      </c>
      <c r="M3919" t="inlineStr">
        <is>
          <t>2026-06-23 09:32:06</t>
        </is>
      </c>
      <c r="N3919" t="inlineStr">
        <is>
          <t>system</t>
        </is>
      </c>
      <c r="O3919" t="inlineStr">
        <is>
          <t>2026-06-19 07:10:32</t>
        </is>
      </c>
      <c r="P3919" t="inlineStr">
        <is>
          <t>2026-06-19 07:10:32</t>
        </is>
      </c>
      <c r="Y3919" t="inlineStr">
        <is>
          <t>27763643666</t>
        </is>
      </c>
    </row>
    <row r="3920">
      <c r="A3920" t="inlineStr">
        <is>
          <t>14946891</t>
        </is>
      </c>
      <c r="B3920" t="inlineStr">
        <is>
          <t>09941713-81f0-4375-976c-fd763f19627c</t>
        </is>
      </c>
      <c r="D3920" t="inlineStr">
        <is>
          <t>30001087</t>
        </is>
      </c>
      <c r="E3920" t="inlineStr">
        <is>
          <t>ussd_funeral_leads_altitude_20260619</t>
        </is>
      </c>
      <c r="J3920" t="inlineStr">
        <is>
          <t>AA</t>
        </is>
      </c>
      <c r="K3920" t="inlineStr">
        <is>
          <t>Answering Machine Autodial</t>
        </is>
      </c>
      <c r="L3920" t="n">
        <v>3</v>
      </c>
      <c r="M3920" t="inlineStr">
        <is>
          <t>2026-06-23 09:32:06</t>
        </is>
      </c>
      <c r="N3920" t="inlineStr">
        <is>
          <t>system</t>
        </is>
      </c>
      <c r="O3920" t="inlineStr">
        <is>
          <t>2026-06-19 07:10:32</t>
        </is>
      </c>
      <c r="P3920" t="inlineStr">
        <is>
          <t>2026-06-19 07:10:32</t>
        </is>
      </c>
      <c r="Y3920" t="inlineStr">
        <is>
          <t>27663495977</t>
        </is>
      </c>
    </row>
    <row r="3921">
      <c r="A3921" t="inlineStr">
        <is>
          <t>14946892</t>
        </is>
      </c>
      <c r="B3921" t="inlineStr">
        <is>
          <t>817b5ef1-296e-4609-bc8a-184c7f7099dd</t>
        </is>
      </c>
      <c r="D3921" t="inlineStr">
        <is>
          <t>30001087</t>
        </is>
      </c>
      <c r="E3921" t="inlineStr">
        <is>
          <t>ussd_funeral_leads_altitude_20260619</t>
        </is>
      </c>
      <c r="J3921" t="inlineStr">
        <is>
          <t>ADC</t>
        </is>
      </c>
      <c r="K3921" t="inlineStr">
        <is>
          <t>Auto Dial Disconnected</t>
        </is>
      </c>
      <c r="L3921" t="n">
        <v>3</v>
      </c>
      <c r="M3921" t="inlineStr">
        <is>
          <t>2026-06-23 09:32:06</t>
        </is>
      </c>
      <c r="N3921" t="inlineStr">
        <is>
          <t>system</t>
        </is>
      </c>
      <c r="O3921" t="inlineStr">
        <is>
          <t>2026-06-19 07:10:32</t>
        </is>
      </c>
      <c r="P3921" t="inlineStr">
        <is>
          <t>2026-06-19 07:10:32</t>
        </is>
      </c>
      <c r="Y3921" t="inlineStr">
        <is>
          <t>27818115694</t>
        </is>
      </c>
    </row>
    <row r="3922">
      <c r="A3922" t="inlineStr">
        <is>
          <t>14946893</t>
        </is>
      </c>
      <c r="B3922" t="inlineStr">
        <is>
          <t>38090047-7a29-4547-bbbb-93b69f6499ed</t>
        </is>
      </c>
      <c r="D3922" t="inlineStr">
        <is>
          <t>30001087</t>
        </is>
      </c>
      <c r="E3922" t="inlineStr">
        <is>
          <t>ussd_funeral_leads_altitude_20260619</t>
        </is>
      </c>
      <c r="J3922" t="inlineStr">
        <is>
          <t>NA</t>
        </is>
      </c>
      <c r="K3922" t="inlineStr">
        <is>
          <t>No Answer Autodial</t>
        </is>
      </c>
      <c r="L3922" t="n">
        <v>3</v>
      </c>
      <c r="M3922" t="inlineStr">
        <is>
          <t>2026-06-23 09:32:06</t>
        </is>
      </c>
      <c r="N3922" t="inlineStr">
        <is>
          <t>system</t>
        </is>
      </c>
      <c r="O3922" t="inlineStr">
        <is>
          <t>2026-06-19 07:10:32</t>
        </is>
      </c>
      <c r="P3922" t="inlineStr">
        <is>
          <t>2026-06-19 07:10:32</t>
        </is>
      </c>
      <c r="Y3922" t="inlineStr">
        <is>
          <t>27774904909</t>
        </is>
      </c>
    </row>
    <row r="3923">
      <c r="A3923" t="inlineStr">
        <is>
          <t>14946887</t>
        </is>
      </c>
      <c r="B3923" t="inlineStr">
        <is>
          <t>b4143930-b69d-4606-b756-d37f2b06ebc4</t>
        </is>
      </c>
      <c r="D3923" t="inlineStr">
        <is>
          <t>30001087</t>
        </is>
      </c>
      <c r="E3923" t="inlineStr">
        <is>
          <t>ussd_funeral_leads_altitude_20260619</t>
        </is>
      </c>
      <c r="J3923" t="inlineStr">
        <is>
          <t>ADC</t>
        </is>
      </c>
      <c r="K3923" t="inlineStr">
        <is>
          <t>Auto Dial Disconnected</t>
        </is>
      </c>
      <c r="L3923" t="n">
        <v>3</v>
      </c>
      <c r="M3923" t="inlineStr">
        <is>
          <t>2026-06-23 09:32:05</t>
        </is>
      </c>
      <c r="N3923" t="inlineStr">
        <is>
          <t>system</t>
        </is>
      </c>
      <c r="O3923" t="inlineStr">
        <is>
          <t>2026-06-19 07:10:32</t>
        </is>
      </c>
      <c r="P3923" t="inlineStr">
        <is>
          <t>2026-06-19 07:10:32</t>
        </is>
      </c>
      <c r="Y3923" t="inlineStr">
        <is>
          <t>27714363135</t>
        </is>
      </c>
    </row>
    <row r="3924">
      <c r="A3924" t="inlineStr">
        <is>
          <t>14946885</t>
        </is>
      </c>
      <c r="B3924" t="inlineStr">
        <is>
          <t>f484ead9-d781-423d-9d9c-9e468458e95f</t>
        </is>
      </c>
      <c r="D3924" t="inlineStr">
        <is>
          <t>30001087</t>
        </is>
      </c>
      <c r="E3924" t="inlineStr">
        <is>
          <t>ussd_funeral_leads_altitude_20260619</t>
        </is>
      </c>
      <c r="J3924" t="inlineStr">
        <is>
          <t>AA</t>
        </is>
      </c>
      <c r="K3924" t="inlineStr">
        <is>
          <t>Answering Machine Autodial</t>
        </is>
      </c>
      <c r="L3924" t="n">
        <v>3</v>
      </c>
      <c r="M3924" t="inlineStr">
        <is>
          <t>2026-06-23 09:32:01</t>
        </is>
      </c>
      <c r="N3924" t="inlineStr">
        <is>
          <t>system</t>
        </is>
      </c>
      <c r="O3924" t="inlineStr">
        <is>
          <t>2026-06-19 07:10:32</t>
        </is>
      </c>
      <c r="P3924" t="inlineStr">
        <is>
          <t>2026-06-19 07:10:32</t>
        </is>
      </c>
      <c r="Y3924" t="inlineStr">
        <is>
          <t>27774813030</t>
        </is>
      </c>
    </row>
    <row r="3925">
      <c r="A3925" t="inlineStr">
        <is>
          <t>14946886</t>
        </is>
      </c>
      <c r="B3925" t="inlineStr">
        <is>
          <t>b619d29a-ba65-40f0-9aec-e3bff49a0a42</t>
        </is>
      </c>
      <c r="D3925" t="inlineStr">
        <is>
          <t>30001087</t>
        </is>
      </c>
      <c r="E3925" t="inlineStr">
        <is>
          <t>ussd_funeral_leads_altitude_20260619</t>
        </is>
      </c>
      <c r="J3925" t="inlineStr">
        <is>
          <t>NA</t>
        </is>
      </c>
      <c r="K3925" t="inlineStr">
        <is>
          <t>No Answer Autodial</t>
        </is>
      </c>
      <c r="L3925" t="n">
        <v>3</v>
      </c>
      <c r="M3925" t="inlineStr">
        <is>
          <t>2026-06-23 09:32:01</t>
        </is>
      </c>
      <c r="N3925" t="inlineStr">
        <is>
          <t>system</t>
        </is>
      </c>
      <c r="O3925" t="inlineStr">
        <is>
          <t>2026-06-19 07:10:32</t>
        </is>
      </c>
      <c r="P3925" t="inlineStr">
        <is>
          <t>2026-06-19 07:10:32</t>
        </is>
      </c>
      <c r="Y3925" t="inlineStr">
        <is>
          <t>27823219041</t>
        </is>
      </c>
    </row>
    <row r="3926">
      <c r="A3926" t="inlineStr">
        <is>
          <t>14946880</t>
        </is>
      </c>
      <c r="B3926" t="inlineStr">
        <is>
          <t>bbe65d6b-2b96-4179-868e-0e75ea6428d8</t>
        </is>
      </c>
      <c r="D3926" t="inlineStr">
        <is>
          <t>30001087</t>
        </is>
      </c>
      <c r="E3926" t="inlineStr">
        <is>
          <t>ussd_funeral_leads_altitude_20260619</t>
        </is>
      </c>
      <c r="J3926" t="inlineStr">
        <is>
          <t>AA</t>
        </is>
      </c>
      <c r="K3926" t="inlineStr">
        <is>
          <t>Answering Machine Autodial</t>
        </is>
      </c>
      <c r="L3926" t="n">
        <v>3</v>
      </c>
      <c r="M3926" t="inlineStr">
        <is>
          <t>2026-06-23 09:32:00</t>
        </is>
      </c>
      <c r="N3926" t="inlineStr">
        <is>
          <t>system</t>
        </is>
      </c>
      <c r="O3926" t="inlineStr">
        <is>
          <t>2026-06-19 07:10:32</t>
        </is>
      </c>
      <c r="P3926" t="inlineStr">
        <is>
          <t>2026-06-19 07:10:32</t>
        </is>
      </c>
      <c r="Y3926" t="inlineStr">
        <is>
          <t>27637674175</t>
        </is>
      </c>
    </row>
    <row r="3927">
      <c r="A3927" t="inlineStr">
        <is>
          <t>14946882</t>
        </is>
      </c>
      <c r="B3927" t="inlineStr">
        <is>
          <t>71e9af80-dfa5-4500-b596-5ceaa3efe58b</t>
        </is>
      </c>
      <c r="D3927" t="inlineStr">
        <is>
          <t>30001087</t>
        </is>
      </c>
      <c r="E3927" t="inlineStr">
        <is>
          <t>ussd_funeral_leads_altitude_20260619</t>
        </is>
      </c>
      <c r="J3927" t="inlineStr">
        <is>
          <t>AA</t>
        </is>
      </c>
      <c r="K3927" t="inlineStr">
        <is>
          <t>Answering Machine Autodial</t>
        </is>
      </c>
      <c r="L3927" t="n">
        <v>3</v>
      </c>
      <c r="M3927" t="inlineStr">
        <is>
          <t>2026-06-23 09:32:00</t>
        </is>
      </c>
      <c r="N3927" t="inlineStr">
        <is>
          <t>system</t>
        </is>
      </c>
      <c r="O3927" t="inlineStr">
        <is>
          <t>2026-06-19 07:10:32</t>
        </is>
      </c>
      <c r="P3927" t="inlineStr">
        <is>
          <t>2026-06-19 07:10:32</t>
        </is>
      </c>
      <c r="Y3927" t="inlineStr">
        <is>
          <t>27761804797</t>
        </is>
      </c>
    </row>
    <row r="3928">
      <c r="A3928" t="inlineStr">
        <is>
          <t>14946883</t>
        </is>
      </c>
      <c r="B3928" t="inlineStr">
        <is>
          <t>77667fb3-5637-4b42-8900-f41bd8e55b01</t>
        </is>
      </c>
      <c r="D3928" t="inlineStr">
        <is>
          <t>30001087</t>
        </is>
      </c>
      <c r="E3928" t="inlineStr">
        <is>
          <t>ussd_funeral_leads_altitude_20260619</t>
        </is>
      </c>
      <c r="J3928" t="inlineStr">
        <is>
          <t>AA</t>
        </is>
      </c>
      <c r="K3928" t="inlineStr">
        <is>
          <t>Answering Machine Autodial</t>
        </is>
      </c>
      <c r="L3928" t="n">
        <v>3</v>
      </c>
      <c r="M3928" t="inlineStr">
        <is>
          <t>2026-06-23 09:32:00</t>
        </is>
      </c>
      <c r="N3928" t="inlineStr">
        <is>
          <t>system</t>
        </is>
      </c>
      <c r="O3928" t="inlineStr">
        <is>
          <t>2026-06-19 07:10:32</t>
        </is>
      </c>
      <c r="P3928" t="inlineStr">
        <is>
          <t>2026-06-19 07:10:32</t>
        </is>
      </c>
      <c r="Y3928" t="inlineStr">
        <is>
          <t>27716088351</t>
        </is>
      </c>
    </row>
    <row r="3929">
      <c r="A3929" t="inlineStr">
        <is>
          <t>14946884</t>
        </is>
      </c>
      <c r="B3929" t="inlineStr">
        <is>
          <t>c314aa82-1055-4c7c-9e33-91eda1350d37</t>
        </is>
      </c>
      <c r="D3929" t="inlineStr">
        <is>
          <t>30001087</t>
        </is>
      </c>
      <c r="E3929" t="inlineStr">
        <is>
          <t>ussd_funeral_leads_altitude_20260619</t>
        </is>
      </c>
      <c r="J3929" t="inlineStr">
        <is>
          <t>CU</t>
        </is>
      </c>
      <c r="K3929" t="inlineStr">
        <is>
          <t>Client Hung Up</t>
        </is>
      </c>
      <c r="L3929" t="n">
        <v>3</v>
      </c>
      <c r="M3929" t="inlineStr">
        <is>
          <t>2026-06-23 09:32:00</t>
        </is>
      </c>
      <c r="N3929" t="inlineStr">
        <is>
          <t>Vuyiswa Nxumalo</t>
        </is>
      </c>
      <c r="O3929" t="inlineStr">
        <is>
          <t>2026-06-19 07:10:32</t>
        </is>
      </c>
      <c r="P3929" t="inlineStr">
        <is>
          <t>2026-06-19 07:10:32</t>
        </is>
      </c>
      <c r="Y3929" t="inlineStr">
        <is>
          <t>27796119065</t>
        </is>
      </c>
    </row>
    <row r="3930">
      <c r="A3930" t="inlineStr">
        <is>
          <t>14947707</t>
        </is>
      </c>
      <c r="B3930" t="inlineStr">
        <is>
          <t>c25acb80-2e7d-4d9a-86fd-925112ed6544</t>
        </is>
      </c>
      <c r="D3930" t="inlineStr">
        <is>
          <t>30001087</t>
        </is>
      </c>
      <c r="E3930" t="inlineStr">
        <is>
          <t>ussd_funeral_leads_altitude_20260619</t>
        </is>
      </c>
      <c r="J3930" t="inlineStr">
        <is>
          <t>AA</t>
        </is>
      </c>
      <c r="K3930" t="inlineStr">
        <is>
          <t>Answering Machine Autodial</t>
        </is>
      </c>
      <c r="L3930" t="n">
        <v>3</v>
      </c>
      <c r="M3930" t="inlineStr">
        <is>
          <t>2026-06-23 09:31:52</t>
        </is>
      </c>
      <c r="N3930" t="inlineStr">
        <is>
          <t>system</t>
        </is>
      </c>
      <c r="O3930" t="inlineStr">
        <is>
          <t>2026-06-19 07:10:32</t>
        </is>
      </c>
      <c r="P3930" t="inlineStr">
        <is>
          <t>2026-06-19 07:10:32</t>
        </is>
      </c>
      <c r="Y3930" t="inlineStr">
        <is>
          <t>27728380415</t>
        </is>
      </c>
    </row>
    <row r="3931">
      <c r="A3931" t="inlineStr">
        <is>
          <t>14945533</t>
        </is>
      </c>
      <c r="B3931" t="inlineStr">
        <is>
          <t>7f8eca69-d717-4274-909c-b8b774b35416</t>
        </is>
      </c>
      <c r="D3931" t="inlineStr">
        <is>
          <t>30001087</t>
        </is>
      </c>
      <c r="E3931" t="inlineStr">
        <is>
          <t>ussd_funeral_leads_altitude_20260619</t>
        </is>
      </c>
      <c r="J3931" t="inlineStr">
        <is>
          <t>CU</t>
        </is>
      </c>
      <c r="K3931" t="inlineStr">
        <is>
          <t>Client Hung Up</t>
        </is>
      </c>
      <c r="L3931" t="n">
        <v>3</v>
      </c>
      <c r="M3931" t="inlineStr">
        <is>
          <t>2026-06-23 09:30:25</t>
        </is>
      </c>
      <c r="N3931" t="inlineStr">
        <is>
          <t>Goitsimang Mogwasa</t>
        </is>
      </c>
      <c r="O3931" t="inlineStr">
        <is>
          <t>2026-06-19 07:10:32</t>
        </is>
      </c>
      <c r="P3931" t="inlineStr">
        <is>
          <t>2026-06-19 07:10:32</t>
        </is>
      </c>
      <c r="Y3931" t="inlineStr">
        <is>
          <t>27793193377</t>
        </is>
      </c>
    </row>
    <row r="3932">
      <c r="A3932" t="inlineStr">
        <is>
          <t>14947006</t>
        </is>
      </c>
      <c r="B3932" t="inlineStr">
        <is>
          <t>6fd72b0d-ecd1-4f97-ba17-8711fa05b6f1</t>
        </is>
      </c>
      <c r="D3932" t="inlineStr">
        <is>
          <t>30001087</t>
        </is>
      </c>
      <c r="E3932" t="inlineStr">
        <is>
          <t>ussd_funeral_leads_altitude_20260619</t>
        </is>
      </c>
      <c r="J3932" t="inlineStr">
        <is>
          <t>AA</t>
        </is>
      </c>
      <c r="K3932" t="inlineStr">
        <is>
          <t>Answering Machine Autodial</t>
        </is>
      </c>
      <c r="L3932" t="n">
        <v>3</v>
      </c>
      <c r="M3932" t="inlineStr">
        <is>
          <t>2026-06-23 09:30:23</t>
        </is>
      </c>
      <c r="N3932" t="inlineStr">
        <is>
          <t>system</t>
        </is>
      </c>
      <c r="O3932" t="inlineStr">
        <is>
          <t>2026-06-19 07:10:32</t>
        </is>
      </c>
      <c r="P3932" t="inlineStr">
        <is>
          <t>2026-06-19 07:10:32</t>
        </is>
      </c>
      <c r="Y3932" t="inlineStr">
        <is>
          <t>27765860896</t>
        </is>
      </c>
    </row>
    <row r="3933">
      <c r="A3933" t="inlineStr">
        <is>
          <t>14945532</t>
        </is>
      </c>
      <c r="B3933" t="inlineStr">
        <is>
          <t>8bbdfa37-f4e5-47e8-a6ec-5e65f76b81c8</t>
        </is>
      </c>
      <c r="D3933" t="inlineStr">
        <is>
          <t>30001087</t>
        </is>
      </c>
      <c r="E3933" t="inlineStr">
        <is>
          <t>ussd_funeral_leads_altitude_20260619</t>
        </is>
      </c>
      <c r="J3933" t="inlineStr">
        <is>
          <t>AA</t>
        </is>
      </c>
      <c r="K3933" t="inlineStr">
        <is>
          <t>Answering Machine Autodial</t>
        </is>
      </c>
      <c r="L3933" t="n">
        <v>3</v>
      </c>
      <c r="M3933" t="inlineStr">
        <is>
          <t>2026-06-23 09:30:19</t>
        </is>
      </c>
      <c r="N3933" t="inlineStr">
        <is>
          <t>system</t>
        </is>
      </c>
      <c r="O3933" t="inlineStr">
        <is>
          <t>2026-06-19 07:10:32</t>
        </is>
      </c>
      <c r="P3933" t="inlineStr">
        <is>
          <t>2026-06-19 07:10:32</t>
        </is>
      </c>
      <c r="Y3933" t="inlineStr">
        <is>
          <t>27720982179</t>
        </is>
      </c>
    </row>
    <row r="3934">
      <c r="A3934" t="inlineStr">
        <is>
          <t>14945531</t>
        </is>
      </c>
      <c r="B3934" t="inlineStr">
        <is>
          <t>133ecade-bfb8-49ff-955d-ef43f807d560</t>
        </is>
      </c>
      <c r="D3934" t="inlineStr">
        <is>
          <t>30001087</t>
        </is>
      </c>
      <c r="E3934" t="inlineStr">
        <is>
          <t>ussd_funeral_leads_altitude_20260619</t>
        </is>
      </c>
      <c r="J3934" t="inlineStr">
        <is>
          <t>AA</t>
        </is>
      </c>
      <c r="K3934" t="inlineStr">
        <is>
          <t>Answering Machine Autodial</t>
        </is>
      </c>
      <c r="L3934" t="n">
        <v>3</v>
      </c>
      <c r="M3934" t="inlineStr">
        <is>
          <t>2026-06-23 09:30:08</t>
        </is>
      </c>
      <c r="N3934" t="inlineStr">
        <is>
          <t>system</t>
        </is>
      </c>
      <c r="O3934" t="inlineStr">
        <is>
          <t>2026-06-19 07:10:32</t>
        </is>
      </c>
      <c r="P3934" t="inlineStr">
        <is>
          <t>2026-06-19 07:10:32</t>
        </is>
      </c>
      <c r="Y3934" t="inlineStr">
        <is>
          <t>27723782944</t>
        </is>
      </c>
    </row>
    <row r="3935">
      <c r="A3935" t="inlineStr">
        <is>
          <t>14947005</t>
        </is>
      </c>
      <c r="B3935" t="inlineStr">
        <is>
          <t>e9fca5df-71ba-4861-94f7-da600c11411e</t>
        </is>
      </c>
      <c r="D3935" t="inlineStr">
        <is>
          <t>30001087</t>
        </is>
      </c>
      <c r="E3935" t="inlineStr">
        <is>
          <t>ussd_funeral_leads_altitude_20260619</t>
        </is>
      </c>
      <c r="J3935" t="inlineStr">
        <is>
          <t>ADC</t>
        </is>
      </c>
      <c r="K3935" t="inlineStr">
        <is>
          <t>Auto Dial Disconnected</t>
        </is>
      </c>
      <c r="L3935" t="n">
        <v>3</v>
      </c>
      <c r="M3935" t="inlineStr">
        <is>
          <t>2026-06-23 09:30:08</t>
        </is>
      </c>
      <c r="N3935" t="inlineStr">
        <is>
          <t>system</t>
        </is>
      </c>
      <c r="O3935" t="inlineStr">
        <is>
          <t>2026-06-19 07:10:32</t>
        </is>
      </c>
      <c r="P3935" t="inlineStr">
        <is>
          <t>2026-06-19 07:10:32</t>
        </is>
      </c>
      <c r="Y3935" t="inlineStr">
        <is>
          <t>27726216934</t>
        </is>
      </c>
    </row>
    <row r="3936">
      <c r="A3936" t="inlineStr">
        <is>
          <t>14945494</t>
        </is>
      </c>
      <c r="B3936" t="inlineStr">
        <is>
          <t>ae078a7a-2046-4ed3-8c1b-5e7d714dddfe</t>
        </is>
      </c>
      <c r="D3936" t="inlineStr">
        <is>
          <t>30001087</t>
        </is>
      </c>
      <c r="E3936" t="inlineStr">
        <is>
          <t>ussd_funeral_leads_altitude_20260619</t>
        </is>
      </c>
      <c r="J3936" t="inlineStr">
        <is>
          <t>TDN</t>
        </is>
      </c>
      <c r="K3936" t="inlineStr">
        <is>
          <t>Temporary Disconnected Number</t>
        </is>
      </c>
      <c r="L3936" t="n">
        <v>3</v>
      </c>
      <c r="M3936" t="inlineStr">
        <is>
          <t>2026-06-23 09:30:07</t>
        </is>
      </c>
      <c r="N3936" t="inlineStr">
        <is>
          <t>system</t>
        </is>
      </c>
      <c r="O3936" t="inlineStr">
        <is>
          <t>2026-06-19 07:10:32</t>
        </is>
      </c>
      <c r="P3936" t="inlineStr">
        <is>
          <t>2026-06-19 07:10:32</t>
        </is>
      </c>
      <c r="Y3936" t="inlineStr">
        <is>
          <t>27722048020</t>
        </is>
      </c>
    </row>
    <row r="3937">
      <c r="A3937" t="inlineStr">
        <is>
          <t>14900000</t>
        </is>
      </c>
      <c r="B3937" t="inlineStr">
        <is>
          <t>8e104428-5927-4f77-87af-19406200cbe6</t>
        </is>
      </c>
      <c r="D3937" t="inlineStr">
        <is>
          <t>30001087</t>
        </is>
      </c>
      <c r="E3937" t="inlineStr">
        <is>
          <t>ussd_funeral_leads_altitude_20260619</t>
        </is>
      </c>
      <c r="J3937" t="inlineStr">
        <is>
          <t>AA</t>
        </is>
      </c>
      <c r="K3937" t="inlineStr">
        <is>
          <t>Answering Machine Autodial</t>
        </is>
      </c>
      <c r="L3937" t="n">
        <v>3</v>
      </c>
      <c r="M3937" t="inlineStr">
        <is>
          <t>2026-06-23 09:30:07</t>
        </is>
      </c>
      <c r="N3937" t="inlineStr">
        <is>
          <t>system</t>
        </is>
      </c>
      <c r="O3937" t="inlineStr">
        <is>
          <t>2026-06-19 07:10:32</t>
        </is>
      </c>
      <c r="P3937" t="inlineStr">
        <is>
          <t>2026-06-19 07:10:32</t>
        </is>
      </c>
      <c r="Y3937" t="inlineStr">
        <is>
          <t>27772841702</t>
        </is>
      </c>
    </row>
    <row r="3938">
      <c r="A3938" t="inlineStr">
        <is>
          <t>14947003</t>
        </is>
      </c>
      <c r="B3938" t="inlineStr">
        <is>
          <t>8eba808e-9038-4db4-b32b-2509289a60cd</t>
        </is>
      </c>
      <c r="D3938" t="inlineStr">
        <is>
          <t>30001087</t>
        </is>
      </c>
      <c r="E3938" t="inlineStr">
        <is>
          <t>ussd_funeral_leads_altitude_20260619</t>
        </is>
      </c>
      <c r="J3938" t="inlineStr">
        <is>
          <t>ADC</t>
        </is>
      </c>
      <c r="K3938" t="inlineStr">
        <is>
          <t>Auto Dial Disconnected</t>
        </is>
      </c>
      <c r="L3938" t="n">
        <v>3</v>
      </c>
      <c r="M3938" t="inlineStr">
        <is>
          <t>2026-06-23 09:29:56</t>
        </is>
      </c>
      <c r="N3938" t="inlineStr">
        <is>
          <t>system</t>
        </is>
      </c>
      <c r="O3938" t="inlineStr">
        <is>
          <t>2026-06-19 07:10:32</t>
        </is>
      </c>
      <c r="P3938" t="inlineStr">
        <is>
          <t>2026-06-19 07:10:32</t>
        </is>
      </c>
      <c r="Y3938" t="inlineStr">
        <is>
          <t>27673451777</t>
        </is>
      </c>
    </row>
    <row r="3939">
      <c r="A3939" t="inlineStr">
        <is>
          <t>14945493</t>
        </is>
      </c>
      <c r="B3939" t="inlineStr">
        <is>
          <t>9d88f7de-ef91-4f4e-a0d3-260bdbd6b6af</t>
        </is>
      </c>
      <c r="D3939" t="inlineStr">
        <is>
          <t>30001087</t>
        </is>
      </c>
      <c r="E3939" t="inlineStr">
        <is>
          <t>ussd_funeral_leads_altitude_20260619</t>
        </is>
      </c>
      <c r="J3939" t="inlineStr">
        <is>
          <t>ADC</t>
        </is>
      </c>
      <c r="K3939" t="inlineStr">
        <is>
          <t>Auto Dial Disconnected</t>
        </is>
      </c>
      <c r="L3939" t="n">
        <v>3</v>
      </c>
      <c r="M3939" t="inlineStr">
        <is>
          <t>2026-06-23 09:29:55</t>
        </is>
      </c>
      <c r="N3939" t="inlineStr">
        <is>
          <t>system</t>
        </is>
      </c>
      <c r="O3939" t="inlineStr">
        <is>
          <t>2026-06-19 07:10:32</t>
        </is>
      </c>
      <c r="P3939" t="inlineStr">
        <is>
          <t>2026-06-19 07:10:32</t>
        </is>
      </c>
      <c r="Y3939" t="inlineStr">
        <is>
          <t>27763084084</t>
        </is>
      </c>
    </row>
    <row r="3940">
      <c r="A3940" t="inlineStr">
        <is>
          <t>14947002</t>
        </is>
      </c>
      <c r="B3940" t="inlineStr">
        <is>
          <t>f90e008e-6c94-461a-b5f3-9e2fd6c88986</t>
        </is>
      </c>
      <c r="D3940" t="inlineStr">
        <is>
          <t>30001087</t>
        </is>
      </c>
      <c r="E3940" t="inlineStr">
        <is>
          <t>ussd_funeral_leads_altitude_20260619</t>
        </is>
      </c>
      <c r="J3940" t="inlineStr">
        <is>
          <t>AE</t>
        </is>
      </c>
      <c r="K3940" t="inlineStr">
        <is>
          <t>Auto Engaged</t>
        </is>
      </c>
      <c r="L3940" t="n">
        <v>3</v>
      </c>
      <c r="M3940" t="inlineStr">
        <is>
          <t>2026-06-23 09:29:54</t>
        </is>
      </c>
      <c r="N3940" t="inlineStr">
        <is>
          <t>system</t>
        </is>
      </c>
      <c r="O3940" t="inlineStr">
        <is>
          <t>2026-06-19 07:10:32</t>
        </is>
      </c>
      <c r="P3940" t="inlineStr">
        <is>
          <t>2026-06-19 07:10:32</t>
        </is>
      </c>
      <c r="Y3940" t="inlineStr">
        <is>
          <t>27636255606</t>
        </is>
      </c>
    </row>
    <row r="3941">
      <c r="A3941" t="inlineStr">
        <is>
          <t>14945491</t>
        </is>
      </c>
      <c r="B3941" t="inlineStr">
        <is>
          <t>8ed3849f-dc89-4631-b138-bb79b16533aa</t>
        </is>
      </c>
      <c r="D3941" t="inlineStr">
        <is>
          <t>30001087</t>
        </is>
      </c>
      <c r="E3941" t="inlineStr">
        <is>
          <t>ussd_funeral_leads_altitude_20260619</t>
        </is>
      </c>
      <c r="J3941" t="inlineStr">
        <is>
          <t>AA</t>
        </is>
      </c>
      <c r="K3941" t="inlineStr">
        <is>
          <t>Answering Machine Autodial</t>
        </is>
      </c>
      <c r="L3941" t="n">
        <v>3</v>
      </c>
      <c r="M3941" t="inlineStr">
        <is>
          <t>2026-06-23 09:29:47</t>
        </is>
      </c>
      <c r="N3941" t="inlineStr">
        <is>
          <t>system</t>
        </is>
      </c>
      <c r="O3941" t="inlineStr">
        <is>
          <t>2026-06-19 07:10:32</t>
        </is>
      </c>
      <c r="P3941" t="inlineStr">
        <is>
          <t>2026-06-19 07:10:32</t>
        </is>
      </c>
      <c r="Y3941" t="inlineStr">
        <is>
          <t>27664253135</t>
        </is>
      </c>
    </row>
    <row r="3942">
      <c r="A3942" t="inlineStr">
        <is>
          <t>14945492</t>
        </is>
      </c>
      <c r="B3942" t="inlineStr">
        <is>
          <t>f6bb8ebf-40d6-4511-a24e-54da0048d4c6</t>
        </is>
      </c>
      <c r="D3942" t="inlineStr">
        <is>
          <t>30001087</t>
        </is>
      </c>
      <c r="E3942" t="inlineStr">
        <is>
          <t>ussd_funeral_leads_altitude_20260619</t>
        </is>
      </c>
      <c r="J3942" t="inlineStr">
        <is>
          <t>ADC</t>
        </is>
      </c>
      <c r="K3942" t="inlineStr">
        <is>
          <t>Auto Dial Disconnected</t>
        </is>
      </c>
      <c r="L3942" t="n">
        <v>3</v>
      </c>
      <c r="M3942" t="inlineStr">
        <is>
          <t>2026-06-23 09:29:47</t>
        </is>
      </c>
      <c r="N3942" t="inlineStr">
        <is>
          <t>system</t>
        </is>
      </c>
      <c r="O3942" t="inlineStr">
        <is>
          <t>2026-06-19 07:10:32</t>
        </is>
      </c>
      <c r="P3942" t="inlineStr">
        <is>
          <t>2026-06-19 07:10:32</t>
        </is>
      </c>
      <c r="Y3942" t="inlineStr">
        <is>
          <t>27673532707</t>
        </is>
      </c>
    </row>
    <row r="3943">
      <c r="A3943" t="inlineStr">
        <is>
          <t>14947001</t>
        </is>
      </c>
      <c r="B3943" t="inlineStr">
        <is>
          <t>61d8e431-6c32-4f87-9c6f-86aed131b72e</t>
        </is>
      </c>
      <c r="D3943" t="inlineStr">
        <is>
          <t>30001087</t>
        </is>
      </c>
      <c r="E3943" t="inlineStr">
        <is>
          <t>ussd_funeral_leads_altitude_20260619</t>
        </is>
      </c>
      <c r="J3943" t="inlineStr">
        <is>
          <t>ADC</t>
        </is>
      </c>
      <c r="K3943" t="inlineStr">
        <is>
          <t>Auto Dial Disconnected</t>
        </is>
      </c>
      <c r="L3943" t="n">
        <v>3</v>
      </c>
      <c r="M3943" t="inlineStr">
        <is>
          <t>2026-06-23 09:29:47</t>
        </is>
      </c>
      <c r="N3943" t="inlineStr">
        <is>
          <t>system</t>
        </is>
      </c>
      <c r="O3943" t="inlineStr">
        <is>
          <t>2026-06-19 07:10:32</t>
        </is>
      </c>
      <c r="P3943" t="inlineStr">
        <is>
          <t>2026-06-19 07:10:32</t>
        </is>
      </c>
      <c r="Y3943" t="inlineStr">
        <is>
          <t>27636208658</t>
        </is>
      </c>
    </row>
    <row r="3944">
      <c r="A3944" t="inlineStr">
        <is>
          <t>14945490</t>
        </is>
      </c>
      <c r="B3944" t="inlineStr">
        <is>
          <t>c7a00b35-0a45-4ac4-9d39-4a29d4c4d28a</t>
        </is>
      </c>
      <c r="D3944" t="inlineStr">
        <is>
          <t>30001087</t>
        </is>
      </c>
      <c r="E3944" t="inlineStr">
        <is>
          <t>ussd_funeral_leads_altitude_20260619</t>
        </is>
      </c>
      <c r="J3944" t="inlineStr">
        <is>
          <t>NA</t>
        </is>
      </c>
      <c r="K3944" t="inlineStr">
        <is>
          <t>No Answer Autodial</t>
        </is>
      </c>
      <c r="L3944" t="n">
        <v>3</v>
      </c>
      <c r="M3944" t="inlineStr">
        <is>
          <t>2026-06-23 09:29:46</t>
        </is>
      </c>
      <c r="N3944" t="inlineStr">
        <is>
          <t>system</t>
        </is>
      </c>
      <c r="O3944" t="inlineStr">
        <is>
          <t>2026-06-19 07:10:32</t>
        </is>
      </c>
      <c r="P3944" t="inlineStr">
        <is>
          <t>2026-06-19 07:10:32</t>
        </is>
      </c>
      <c r="Y3944" t="inlineStr">
        <is>
          <t>27722853182</t>
        </is>
      </c>
    </row>
    <row r="3945">
      <c r="A3945" t="inlineStr">
        <is>
          <t>14946999</t>
        </is>
      </c>
      <c r="B3945" t="inlineStr">
        <is>
          <t>347d0e16-6cfd-4f7e-b7d0-d5adb5a43cdf</t>
        </is>
      </c>
      <c r="D3945" t="inlineStr">
        <is>
          <t>30001087</t>
        </is>
      </c>
      <c r="E3945" t="inlineStr">
        <is>
          <t>ussd_funeral_leads_altitude_20260619</t>
        </is>
      </c>
      <c r="J3945" t="inlineStr">
        <is>
          <t>ADC</t>
        </is>
      </c>
      <c r="K3945" t="inlineStr">
        <is>
          <t>Auto Dial Disconnected</t>
        </is>
      </c>
      <c r="L3945" t="n">
        <v>3</v>
      </c>
      <c r="M3945" t="inlineStr">
        <is>
          <t>2026-06-23 09:29:46</t>
        </is>
      </c>
      <c r="N3945" t="inlineStr">
        <is>
          <t>system</t>
        </is>
      </c>
      <c r="O3945" t="inlineStr">
        <is>
          <t>2026-06-19 07:10:32</t>
        </is>
      </c>
      <c r="P3945" t="inlineStr">
        <is>
          <t>2026-06-19 07:10:32</t>
        </is>
      </c>
      <c r="Y3945" t="inlineStr">
        <is>
          <t>27726703953</t>
        </is>
      </c>
    </row>
    <row r="3946">
      <c r="A3946" t="inlineStr">
        <is>
          <t>14945527</t>
        </is>
      </c>
      <c r="B3946" t="inlineStr">
        <is>
          <t>7a1168e0-e6f4-45b3-858d-7d4536b9e1a5</t>
        </is>
      </c>
      <c r="D3946" t="inlineStr">
        <is>
          <t>30001087</t>
        </is>
      </c>
      <c r="E3946" t="inlineStr">
        <is>
          <t>ussd_funeral_leads_altitude_20260619</t>
        </is>
      </c>
      <c r="H3946" t="inlineStr">
        <is>
          <t>27662731978</t>
        </is>
      </c>
      <c r="J3946" t="inlineStr">
        <is>
          <t>CU</t>
        </is>
      </c>
      <c r="K3946" t="inlineStr">
        <is>
          <t>Client Hung Up</t>
        </is>
      </c>
      <c r="L3946" t="n">
        <v>3</v>
      </c>
      <c r="M3946" t="inlineStr">
        <is>
          <t>2026-06-23 09:29:24</t>
        </is>
      </c>
      <c r="N3946" t="inlineStr">
        <is>
          <t>Vuyiswa Nxumalo</t>
        </is>
      </c>
      <c r="O3946" t="inlineStr">
        <is>
          <t>2026-06-19 07:10:32</t>
        </is>
      </c>
      <c r="P3946" t="inlineStr">
        <is>
          <t>2026-06-19 07:10:32</t>
        </is>
      </c>
      <c r="Y3946" t="inlineStr">
        <is>
          <t>27662731978</t>
        </is>
      </c>
    </row>
    <row r="3947">
      <c r="A3947" t="inlineStr">
        <is>
          <t>14945489</t>
        </is>
      </c>
      <c r="B3947" t="inlineStr">
        <is>
          <t>96d04cfc-c00e-4b10-86c5-ec5e92f73696</t>
        </is>
      </c>
      <c r="D3947" t="inlineStr">
        <is>
          <t>30001087</t>
        </is>
      </c>
      <c r="E3947" t="inlineStr">
        <is>
          <t>ussd_funeral_leads_altitude_20260619</t>
        </is>
      </c>
      <c r="J3947" t="inlineStr">
        <is>
          <t>AA</t>
        </is>
      </c>
      <c r="K3947" t="inlineStr">
        <is>
          <t>Answering Machine Autodial</t>
        </is>
      </c>
      <c r="L3947" t="n">
        <v>3</v>
      </c>
      <c r="M3947" t="inlineStr">
        <is>
          <t>2026-06-23 09:29:20</t>
        </is>
      </c>
      <c r="N3947" t="inlineStr">
        <is>
          <t>system</t>
        </is>
      </c>
      <c r="O3947" t="inlineStr">
        <is>
          <t>2026-06-19 07:10:32</t>
        </is>
      </c>
      <c r="P3947" t="inlineStr">
        <is>
          <t>2026-06-19 07:10:32</t>
        </is>
      </c>
      <c r="Y3947" t="inlineStr">
        <is>
          <t>27794445357</t>
        </is>
      </c>
    </row>
    <row r="3948">
      <c r="A3948" t="inlineStr">
        <is>
          <t>14946996</t>
        </is>
      </c>
      <c r="B3948" t="inlineStr">
        <is>
          <t>4d157f57-26f1-45a7-b131-1123a5231f57</t>
        </is>
      </c>
      <c r="D3948" t="inlineStr">
        <is>
          <t>30001087</t>
        </is>
      </c>
      <c r="E3948" t="inlineStr">
        <is>
          <t>ussd_funeral_leads_altitude_20260619</t>
        </is>
      </c>
      <c r="J3948" t="inlineStr">
        <is>
          <t>AA</t>
        </is>
      </c>
      <c r="K3948" t="inlineStr">
        <is>
          <t>Answering Machine Autodial</t>
        </is>
      </c>
      <c r="L3948" t="n">
        <v>3</v>
      </c>
      <c r="M3948" t="inlineStr">
        <is>
          <t>2026-06-23 09:29:18</t>
        </is>
      </c>
      <c r="N3948" t="inlineStr">
        <is>
          <t>system</t>
        </is>
      </c>
      <c r="O3948" t="inlineStr">
        <is>
          <t>2026-06-19 07:10:32</t>
        </is>
      </c>
      <c r="P3948" t="inlineStr">
        <is>
          <t>2026-06-19 07:10:32</t>
        </is>
      </c>
      <c r="Y3948" t="inlineStr">
        <is>
          <t>27722289303</t>
        </is>
      </c>
    </row>
    <row r="3949">
      <c r="A3949" t="inlineStr">
        <is>
          <t>14946965</t>
        </is>
      </c>
      <c r="B3949" t="inlineStr">
        <is>
          <t>4647c3bf-8cb9-4272-892e-36f687afbdd8</t>
        </is>
      </c>
      <c r="D3949" t="inlineStr">
        <is>
          <t>30001087</t>
        </is>
      </c>
      <c r="E3949" t="inlineStr">
        <is>
          <t>ussd_funeral_leads_altitude_20260619</t>
        </is>
      </c>
      <c r="J3949" t="inlineStr">
        <is>
          <t>AA</t>
        </is>
      </c>
      <c r="K3949" t="inlineStr">
        <is>
          <t>Answering Machine Autodial</t>
        </is>
      </c>
      <c r="L3949" t="n">
        <v>3</v>
      </c>
      <c r="M3949" t="inlineStr">
        <is>
          <t>2026-06-23 09:29:15</t>
        </is>
      </c>
      <c r="N3949" t="inlineStr">
        <is>
          <t>system</t>
        </is>
      </c>
      <c r="O3949" t="inlineStr">
        <is>
          <t>2026-06-19 07:10:32</t>
        </is>
      </c>
      <c r="P3949" t="inlineStr">
        <is>
          <t>2026-06-19 07:10:32</t>
        </is>
      </c>
      <c r="Y3949" t="inlineStr">
        <is>
          <t>27823731509</t>
        </is>
      </c>
    </row>
    <row r="3950">
      <c r="A3950" t="inlineStr">
        <is>
          <t>14945488</t>
        </is>
      </c>
      <c r="B3950" t="inlineStr">
        <is>
          <t>711b3783-8851-468a-9d07-d229f2082827</t>
        </is>
      </c>
      <c r="D3950" t="inlineStr">
        <is>
          <t>30001087</t>
        </is>
      </c>
      <c r="E3950" t="inlineStr">
        <is>
          <t>ussd_funeral_leads_altitude_20260619</t>
        </is>
      </c>
      <c r="J3950" t="inlineStr">
        <is>
          <t>AA</t>
        </is>
      </c>
      <c r="K3950" t="inlineStr">
        <is>
          <t>Answering Machine Autodial</t>
        </is>
      </c>
      <c r="L3950" t="n">
        <v>3</v>
      </c>
      <c r="M3950" t="inlineStr">
        <is>
          <t>2026-06-23 09:29:13</t>
        </is>
      </c>
      <c r="N3950" t="inlineStr">
        <is>
          <t>system</t>
        </is>
      </c>
      <c r="O3950" t="inlineStr">
        <is>
          <t>2026-06-19 07:10:32</t>
        </is>
      </c>
      <c r="P3950" t="inlineStr">
        <is>
          <t>2026-06-19 07:10:32</t>
        </is>
      </c>
      <c r="Y3950" t="inlineStr">
        <is>
          <t>27799822595</t>
        </is>
      </c>
    </row>
    <row r="3951">
      <c r="A3951" t="inlineStr">
        <is>
          <t>14946964</t>
        </is>
      </c>
      <c r="B3951" t="inlineStr">
        <is>
          <t>6d40d5fa-7400-4538-b61f-c95e26b25a1f</t>
        </is>
      </c>
      <c r="D3951" t="inlineStr">
        <is>
          <t>30001087</t>
        </is>
      </c>
      <c r="E3951" t="inlineStr">
        <is>
          <t>ussd_funeral_leads_altitude_20260619</t>
        </is>
      </c>
      <c r="J3951" t="inlineStr">
        <is>
          <t>TDN</t>
        </is>
      </c>
      <c r="K3951" t="inlineStr">
        <is>
          <t>Temporary Disconnected Number</t>
        </is>
      </c>
      <c r="L3951" t="n">
        <v>3</v>
      </c>
      <c r="M3951" t="inlineStr">
        <is>
          <t>2026-06-23 09:29:13</t>
        </is>
      </c>
      <c r="N3951" t="inlineStr">
        <is>
          <t>system</t>
        </is>
      </c>
      <c r="O3951" t="inlineStr">
        <is>
          <t>2026-06-19 07:10:32</t>
        </is>
      </c>
      <c r="P3951" t="inlineStr">
        <is>
          <t>2026-06-19 07:10:32</t>
        </is>
      </c>
      <c r="Y3951" t="inlineStr">
        <is>
          <t>27823612639</t>
        </is>
      </c>
    </row>
    <row r="3952">
      <c r="A3952" t="inlineStr">
        <is>
          <t>14945487</t>
        </is>
      </c>
      <c r="B3952" t="inlineStr">
        <is>
          <t>a8afd81a-b946-47aa-ab1f-0e5481a14e3b</t>
        </is>
      </c>
      <c r="D3952" t="inlineStr">
        <is>
          <t>30001087</t>
        </is>
      </c>
      <c r="E3952" t="inlineStr">
        <is>
          <t>ussd_funeral_leads_altitude_20260619</t>
        </is>
      </c>
      <c r="J3952" t="inlineStr">
        <is>
          <t>AA</t>
        </is>
      </c>
      <c r="K3952" t="inlineStr">
        <is>
          <t>Answering Machine Autodial</t>
        </is>
      </c>
      <c r="L3952" t="n">
        <v>3</v>
      </c>
      <c r="M3952" t="inlineStr">
        <is>
          <t>2026-06-23 09:29:12</t>
        </is>
      </c>
      <c r="N3952" t="inlineStr">
        <is>
          <t>system</t>
        </is>
      </c>
      <c r="O3952" t="inlineStr">
        <is>
          <t>2026-06-19 07:10:32</t>
        </is>
      </c>
      <c r="P3952" t="inlineStr">
        <is>
          <t>2026-06-19 07:10:32</t>
        </is>
      </c>
      <c r="Y3952" t="inlineStr">
        <is>
          <t>27609615303</t>
        </is>
      </c>
    </row>
    <row r="3953">
      <c r="A3953" t="inlineStr">
        <is>
          <t>14945486</t>
        </is>
      </c>
      <c r="B3953" t="inlineStr">
        <is>
          <t>4fc6af42-b1ec-4b2b-b147-b3faef97b89d</t>
        </is>
      </c>
      <c r="D3953" t="inlineStr">
        <is>
          <t>30001087</t>
        </is>
      </c>
      <c r="E3953" t="inlineStr">
        <is>
          <t>ussd_funeral_leads_altitude_20260619</t>
        </is>
      </c>
      <c r="J3953" t="inlineStr">
        <is>
          <t>AA</t>
        </is>
      </c>
      <c r="K3953" t="inlineStr">
        <is>
          <t>Answering Machine Autodial</t>
        </is>
      </c>
      <c r="L3953" t="n">
        <v>3</v>
      </c>
      <c r="M3953" t="inlineStr">
        <is>
          <t>2026-06-23 09:29:07</t>
        </is>
      </c>
      <c r="N3953" t="inlineStr">
        <is>
          <t>system</t>
        </is>
      </c>
      <c r="O3953" t="inlineStr">
        <is>
          <t>2026-06-19 07:10:32</t>
        </is>
      </c>
      <c r="P3953" t="inlineStr">
        <is>
          <t>2026-06-19 07:10:32</t>
        </is>
      </c>
      <c r="Y3953" t="inlineStr">
        <is>
          <t>27609575972</t>
        </is>
      </c>
    </row>
    <row r="3954">
      <c r="A3954" t="inlineStr">
        <is>
          <t>14946962</t>
        </is>
      </c>
      <c r="B3954" t="inlineStr">
        <is>
          <t>06128d0d-0078-4930-85a5-fdaf3193e085</t>
        </is>
      </c>
      <c r="D3954" t="inlineStr">
        <is>
          <t>30001087</t>
        </is>
      </c>
      <c r="E3954" t="inlineStr">
        <is>
          <t>ussd_funeral_leads_altitude_20260619</t>
        </is>
      </c>
      <c r="J3954" t="inlineStr">
        <is>
          <t>ADC</t>
        </is>
      </c>
      <c r="K3954" t="inlineStr">
        <is>
          <t>Auto Dial Disconnected</t>
        </is>
      </c>
      <c r="L3954" t="n">
        <v>3</v>
      </c>
      <c r="M3954" t="inlineStr">
        <is>
          <t>2026-06-23 09:29:06</t>
        </is>
      </c>
      <c r="N3954" t="inlineStr">
        <is>
          <t>system</t>
        </is>
      </c>
      <c r="O3954" t="inlineStr">
        <is>
          <t>2026-06-19 07:10:32</t>
        </is>
      </c>
      <c r="P3954" t="inlineStr">
        <is>
          <t>2026-06-19 07:10:32</t>
        </is>
      </c>
      <c r="Y3954" t="inlineStr">
        <is>
          <t>27768034089</t>
        </is>
      </c>
    </row>
    <row r="3955">
      <c r="A3955" t="inlineStr">
        <is>
          <t>14945485</t>
        </is>
      </c>
      <c r="B3955" t="inlineStr">
        <is>
          <t>2884cdaa-33ad-459f-9d08-755367fcd610</t>
        </is>
      </c>
      <c r="D3955" t="inlineStr">
        <is>
          <t>30001087</t>
        </is>
      </c>
      <c r="E3955" t="inlineStr">
        <is>
          <t>ussd_funeral_leads_altitude_20260619</t>
        </is>
      </c>
      <c r="J3955" t="inlineStr">
        <is>
          <t>AA</t>
        </is>
      </c>
      <c r="K3955" t="inlineStr">
        <is>
          <t>Answering Machine Autodial</t>
        </is>
      </c>
      <c r="L3955" t="n">
        <v>3</v>
      </c>
      <c r="M3955" t="inlineStr">
        <is>
          <t>2026-06-23 09:29:00</t>
        </is>
      </c>
      <c r="N3955" t="inlineStr">
        <is>
          <t>system</t>
        </is>
      </c>
      <c r="O3955" t="inlineStr">
        <is>
          <t>2026-06-19 07:10:32</t>
        </is>
      </c>
      <c r="P3955" t="inlineStr">
        <is>
          <t>2026-06-19 07:10:32</t>
        </is>
      </c>
      <c r="Y3955" t="inlineStr">
        <is>
          <t>27824805302</t>
        </is>
      </c>
    </row>
    <row r="3956">
      <c r="A3956" t="inlineStr">
        <is>
          <t>14946953</t>
        </is>
      </c>
      <c r="B3956" t="inlineStr">
        <is>
          <t>fc1c3bd4-7d10-4f58-9f83-fc93cf62637b</t>
        </is>
      </c>
      <c r="D3956" t="inlineStr">
        <is>
          <t>30001087</t>
        </is>
      </c>
      <c r="E3956" t="inlineStr">
        <is>
          <t>ussd_funeral_leads_altitude_20260619</t>
        </is>
      </c>
      <c r="J3956" t="inlineStr">
        <is>
          <t>TDN</t>
        </is>
      </c>
      <c r="K3956" t="inlineStr">
        <is>
          <t>Temporary Disconnected Number</t>
        </is>
      </c>
      <c r="L3956" t="n">
        <v>3</v>
      </c>
      <c r="M3956" t="inlineStr">
        <is>
          <t>2026-06-23 09:28:59</t>
        </is>
      </c>
      <c r="N3956" t="inlineStr">
        <is>
          <t>system</t>
        </is>
      </c>
      <c r="O3956" t="inlineStr">
        <is>
          <t>2026-06-19 07:10:32</t>
        </is>
      </c>
      <c r="P3956" t="inlineStr">
        <is>
          <t>2026-06-19 07:10:32</t>
        </is>
      </c>
      <c r="Y3956" t="inlineStr">
        <is>
          <t>27798236996</t>
        </is>
      </c>
    </row>
    <row r="3957">
      <c r="A3957" t="inlineStr">
        <is>
          <t>14946954</t>
        </is>
      </c>
      <c r="B3957" t="inlineStr">
        <is>
          <t>7a7d6cfb-56ee-4058-b972-a23ef7b62af9</t>
        </is>
      </c>
      <c r="D3957" t="inlineStr">
        <is>
          <t>30001087</t>
        </is>
      </c>
      <c r="E3957" t="inlineStr">
        <is>
          <t>ussd_funeral_leads_altitude_20260619</t>
        </is>
      </c>
      <c r="J3957" t="inlineStr">
        <is>
          <t>AA</t>
        </is>
      </c>
      <c r="K3957" t="inlineStr">
        <is>
          <t>Answering Machine Autodial</t>
        </is>
      </c>
      <c r="L3957" t="n">
        <v>3</v>
      </c>
      <c r="M3957" t="inlineStr">
        <is>
          <t>2026-06-23 09:28:59</t>
        </is>
      </c>
      <c r="N3957" t="inlineStr">
        <is>
          <t>system</t>
        </is>
      </c>
      <c r="O3957" t="inlineStr">
        <is>
          <t>2026-06-19 07:10:32</t>
        </is>
      </c>
      <c r="P3957" t="inlineStr">
        <is>
          <t>2026-06-19 07:10:32</t>
        </is>
      </c>
      <c r="Y3957" t="inlineStr">
        <is>
          <t>27636227786</t>
        </is>
      </c>
    </row>
    <row r="3958">
      <c r="A3958" t="inlineStr">
        <is>
          <t>14946961</t>
        </is>
      </c>
      <c r="B3958" t="inlineStr">
        <is>
          <t>1bd15e50-336b-41c1-a42d-2457c51199b0</t>
        </is>
      </c>
      <c r="D3958" t="inlineStr">
        <is>
          <t>30001087</t>
        </is>
      </c>
      <c r="E3958" t="inlineStr">
        <is>
          <t>ussd_funeral_leads_altitude_20260619</t>
        </is>
      </c>
      <c r="J3958" t="inlineStr">
        <is>
          <t>NA</t>
        </is>
      </c>
      <c r="K3958" t="inlineStr">
        <is>
          <t>No Answer Autodial</t>
        </is>
      </c>
      <c r="L3958" t="n">
        <v>3</v>
      </c>
      <c r="M3958" t="inlineStr">
        <is>
          <t>2026-06-23 09:28:59</t>
        </is>
      </c>
      <c r="N3958" t="inlineStr">
        <is>
          <t>system</t>
        </is>
      </c>
      <c r="O3958" t="inlineStr">
        <is>
          <t>2026-06-19 07:10:32</t>
        </is>
      </c>
      <c r="P3958" t="inlineStr">
        <is>
          <t>2026-06-19 07:10:32</t>
        </is>
      </c>
      <c r="Y3958" t="inlineStr">
        <is>
          <t>27796725738</t>
        </is>
      </c>
    </row>
    <row r="3959">
      <c r="A3959" t="inlineStr">
        <is>
          <t>14946952</t>
        </is>
      </c>
      <c r="B3959" t="inlineStr">
        <is>
          <t>15c46fc9-6e89-46a6-836a-76dade5b72c2</t>
        </is>
      </c>
      <c r="D3959" t="inlineStr">
        <is>
          <t>30001087</t>
        </is>
      </c>
      <c r="E3959" t="inlineStr">
        <is>
          <t>ussd_funeral_leads_altitude_20260619</t>
        </is>
      </c>
      <c r="J3959" t="inlineStr">
        <is>
          <t>NA</t>
        </is>
      </c>
      <c r="K3959" t="inlineStr">
        <is>
          <t>No Answer Autodial</t>
        </is>
      </c>
      <c r="L3959" t="n">
        <v>3</v>
      </c>
      <c r="M3959" t="inlineStr">
        <is>
          <t>2026-06-23 09:28:56</t>
        </is>
      </c>
      <c r="N3959" t="inlineStr">
        <is>
          <t>system</t>
        </is>
      </c>
      <c r="O3959" t="inlineStr">
        <is>
          <t>2026-06-19 07:10:32</t>
        </is>
      </c>
      <c r="P3959" t="inlineStr">
        <is>
          <t>2026-06-19 07:10:32</t>
        </is>
      </c>
      <c r="Y3959" t="inlineStr">
        <is>
          <t>27636703059</t>
        </is>
      </c>
    </row>
    <row r="3960">
      <c r="A3960" t="inlineStr">
        <is>
          <t>14946937</t>
        </is>
      </c>
      <c r="B3960" t="inlineStr">
        <is>
          <t>afc491a7-8e0c-443f-837c-20add6e5e9a0</t>
        </is>
      </c>
      <c r="D3960" t="inlineStr">
        <is>
          <t>30001087</t>
        </is>
      </c>
      <c r="E3960" t="inlineStr">
        <is>
          <t>ussd_funeral_leads_altitude_20260619</t>
        </is>
      </c>
      <c r="J3960" t="inlineStr">
        <is>
          <t>AE</t>
        </is>
      </c>
      <c r="K3960" t="inlineStr">
        <is>
          <t>Auto Engaged</t>
        </is>
      </c>
      <c r="L3960" t="n">
        <v>3</v>
      </c>
      <c r="M3960" t="inlineStr">
        <is>
          <t>2026-06-23 09:28:50</t>
        </is>
      </c>
      <c r="N3960" t="inlineStr">
        <is>
          <t>system</t>
        </is>
      </c>
      <c r="O3960" t="inlineStr">
        <is>
          <t>2026-06-19 07:10:32</t>
        </is>
      </c>
      <c r="P3960" t="inlineStr">
        <is>
          <t>2026-06-19 07:10:32</t>
        </is>
      </c>
      <c r="Y3960" t="inlineStr">
        <is>
          <t>27715904745</t>
        </is>
      </c>
    </row>
    <row r="3961">
      <c r="A3961" t="inlineStr">
        <is>
          <t>14946938</t>
        </is>
      </c>
      <c r="B3961" t="inlineStr">
        <is>
          <t>98b5ccfb-8797-4cb3-8b06-eb3dac2e0506</t>
        </is>
      </c>
      <c r="D3961" t="inlineStr">
        <is>
          <t>30001087</t>
        </is>
      </c>
      <c r="E3961" t="inlineStr">
        <is>
          <t>ussd_funeral_leads_altitude_20260619</t>
        </is>
      </c>
      <c r="J3961" t="inlineStr">
        <is>
          <t>AA</t>
        </is>
      </c>
      <c r="K3961" t="inlineStr">
        <is>
          <t>Answering Machine Autodial</t>
        </is>
      </c>
      <c r="L3961" t="n">
        <v>3</v>
      </c>
      <c r="M3961" t="inlineStr">
        <is>
          <t>2026-06-23 09:28:50</t>
        </is>
      </c>
      <c r="N3961" t="inlineStr">
        <is>
          <t>system</t>
        </is>
      </c>
      <c r="O3961" t="inlineStr">
        <is>
          <t>2026-06-19 07:10:32</t>
        </is>
      </c>
      <c r="P3961" t="inlineStr">
        <is>
          <t>2026-06-19 07:10:32</t>
        </is>
      </c>
      <c r="Y3961" t="inlineStr">
        <is>
          <t>27715778964</t>
        </is>
      </c>
    </row>
    <row r="3962">
      <c r="A3962" t="inlineStr">
        <is>
          <t>14946939</t>
        </is>
      </c>
      <c r="B3962" t="inlineStr">
        <is>
          <t>54894ea9-92d3-4d29-9749-a6f32ba9b3df</t>
        </is>
      </c>
      <c r="D3962" t="inlineStr">
        <is>
          <t>30001087</t>
        </is>
      </c>
      <c r="E3962" t="inlineStr">
        <is>
          <t>ussd_funeral_leads_altitude_20260619</t>
        </is>
      </c>
      <c r="J3962" t="inlineStr">
        <is>
          <t>NA</t>
        </is>
      </c>
      <c r="K3962" t="inlineStr">
        <is>
          <t>No Answer Autodial</t>
        </is>
      </c>
      <c r="L3962" t="n">
        <v>3</v>
      </c>
      <c r="M3962" t="inlineStr">
        <is>
          <t>2026-06-23 09:28:50</t>
        </is>
      </c>
      <c r="N3962" t="inlineStr">
        <is>
          <t>system</t>
        </is>
      </c>
      <c r="O3962" t="inlineStr">
        <is>
          <t>2026-06-19 07:10:32</t>
        </is>
      </c>
      <c r="P3962" t="inlineStr">
        <is>
          <t>2026-06-19 07:10:32</t>
        </is>
      </c>
      <c r="Y3962" t="inlineStr">
        <is>
          <t>27637146853</t>
        </is>
      </c>
    </row>
    <row r="3963">
      <c r="A3963" t="inlineStr">
        <is>
          <t>14946940</t>
        </is>
      </c>
      <c r="B3963" t="inlineStr">
        <is>
          <t>325ab78c-1a18-451b-9755-1154ef02e085</t>
        </is>
      </c>
      <c r="D3963" t="inlineStr">
        <is>
          <t>30001087</t>
        </is>
      </c>
      <c r="E3963" t="inlineStr">
        <is>
          <t>ussd_funeral_leads_altitude_20260619</t>
        </is>
      </c>
      <c r="J3963" t="inlineStr">
        <is>
          <t>AA</t>
        </is>
      </c>
      <c r="K3963" t="inlineStr">
        <is>
          <t>Answering Machine Autodial</t>
        </is>
      </c>
      <c r="L3963" t="n">
        <v>3</v>
      </c>
      <c r="M3963" t="inlineStr">
        <is>
          <t>2026-06-23 09:28:50</t>
        </is>
      </c>
      <c r="N3963" t="inlineStr">
        <is>
          <t>system</t>
        </is>
      </c>
      <c r="O3963" t="inlineStr">
        <is>
          <t>2026-06-19 07:10:32</t>
        </is>
      </c>
      <c r="P3963" t="inlineStr">
        <is>
          <t>2026-06-19 07:10:32</t>
        </is>
      </c>
      <c r="Y3963" t="inlineStr">
        <is>
          <t>27664242000</t>
        </is>
      </c>
    </row>
    <row r="3964">
      <c r="A3964" t="inlineStr">
        <is>
          <t>14946941</t>
        </is>
      </c>
      <c r="B3964" t="inlineStr">
        <is>
          <t>6da86498-6247-4753-9a40-c36c62c5998f</t>
        </is>
      </c>
      <c r="D3964" t="inlineStr">
        <is>
          <t>30001087</t>
        </is>
      </c>
      <c r="E3964" t="inlineStr">
        <is>
          <t>ussd_funeral_leads_altitude_20260619</t>
        </is>
      </c>
      <c r="J3964" t="inlineStr">
        <is>
          <t>AA</t>
        </is>
      </c>
      <c r="K3964" t="inlineStr">
        <is>
          <t>Answering Machine Autodial</t>
        </is>
      </c>
      <c r="L3964" t="n">
        <v>3</v>
      </c>
      <c r="M3964" t="inlineStr">
        <is>
          <t>2026-06-23 09:28:50</t>
        </is>
      </c>
      <c r="N3964" t="inlineStr">
        <is>
          <t>system</t>
        </is>
      </c>
      <c r="O3964" t="inlineStr">
        <is>
          <t>2026-06-19 07:10:32</t>
        </is>
      </c>
      <c r="P3964" t="inlineStr">
        <is>
          <t>2026-06-19 07:10:32</t>
        </is>
      </c>
      <c r="Y3964" t="inlineStr">
        <is>
          <t>27608506718</t>
        </is>
      </c>
    </row>
    <row r="3965">
      <c r="A3965" t="inlineStr">
        <is>
          <t>14946935</t>
        </is>
      </c>
      <c r="B3965" t="inlineStr">
        <is>
          <t>2c02ab3b-5ba1-42ac-91b6-37bad63b8661</t>
        </is>
      </c>
      <c r="D3965" t="inlineStr">
        <is>
          <t>30001087</t>
        </is>
      </c>
      <c r="E3965" t="inlineStr">
        <is>
          <t>ussd_funeral_leads_altitude_20260619</t>
        </is>
      </c>
      <c r="J3965" t="inlineStr">
        <is>
          <t>NA</t>
        </is>
      </c>
      <c r="K3965" t="inlineStr">
        <is>
          <t>No Answer Autodial</t>
        </is>
      </c>
      <c r="L3965" t="n">
        <v>3</v>
      </c>
      <c r="M3965" t="inlineStr">
        <is>
          <t>2026-06-23 09:28:49</t>
        </is>
      </c>
      <c r="N3965" t="inlineStr">
        <is>
          <t>system</t>
        </is>
      </c>
      <c r="O3965" t="inlineStr">
        <is>
          <t>2026-06-19 07:10:32</t>
        </is>
      </c>
      <c r="P3965" t="inlineStr">
        <is>
          <t>2026-06-19 07:10:32</t>
        </is>
      </c>
      <c r="Y3965" t="inlineStr">
        <is>
          <t>27649508315</t>
        </is>
      </c>
    </row>
    <row r="3966">
      <c r="A3966" t="inlineStr">
        <is>
          <t>14946936</t>
        </is>
      </c>
      <c r="B3966" t="inlineStr">
        <is>
          <t>c5fa4d4f-bd97-448a-a543-67b396f2b2a6</t>
        </is>
      </c>
      <c r="D3966" t="inlineStr">
        <is>
          <t>30001087</t>
        </is>
      </c>
      <c r="E3966" t="inlineStr">
        <is>
          <t>ussd_funeral_leads_altitude_20260619</t>
        </is>
      </c>
      <c r="J3966" t="inlineStr">
        <is>
          <t>NA</t>
        </is>
      </c>
      <c r="K3966" t="inlineStr">
        <is>
          <t>No Answer Autodial</t>
        </is>
      </c>
      <c r="L3966" t="n">
        <v>3</v>
      </c>
      <c r="M3966" t="inlineStr">
        <is>
          <t>2026-06-23 09:28:49</t>
        </is>
      </c>
      <c r="N3966" t="inlineStr">
        <is>
          <t>system</t>
        </is>
      </c>
      <c r="O3966" t="inlineStr">
        <is>
          <t>2026-06-19 07:10:32</t>
        </is>
      </c>
      <c r="P3966" t="inlineStr">
        <is>
          <t>2026-06-19 07:10:32</t>
        </is>
      </c>
      <c r="Y3966" t="inlineStr">
        <is>
          <t>27791909329</t>
        </is>
      </c>
    </row>
    <row r="3967">
      <c r="A3967" t="inlineStr">
        <is>
          <t>14946934</t>
        </is>
      </c>
      <c r="B3967" t="inlineStr">
        <is>
          <t>df4f8420-baf6-4918-b138-dbd92a868d21</t>
        </is>
      </c>
      <c r="D3967" t="inlineStr">
        <is>
          <t>30001087</t>
        </is>
      </c>
      <c r="E3967" t="inlineStr">
        <is>
          <t>ussd_funeral_leads_altitude_20260619</t>
        </is>
      </c>
      <c r="J3967" t="inlineStr">
        <is>
          <t>AA</t>
        </is>
      </c>
      <c r="K3967" t="inlineStr">
        <is>
          <t>Answering Machine Autodial</t>
        </is>
      </c>
      <c r="L3967" t="n">
        <v>3</v>
      </c>
      <c r="M3967" t="inlineStr">
        <is>
          <t>2026-06-23 09:28:45</t>
        </is>
      </c>
      <c r="N3967" t="inlineStr">
        <is>
          <t>system</t>
        </is>
      </c>
      <c r="O3967" t="inlineStr">
        <is>
          <t>2026-06-19 07:10:32</t>
        </is>
      </c>
      <c r="P3967" t="inlineStr">
        <is>
          <t>2026-06-19 07:10:32</t>
        </is>
      </c>
      <c r="Y3967" t="inlineStr">
        <is>
          <t>27790255547</t>
        </is>
      </c>
    </row>
    <row r="3968">
      <c r="A3968" t="inlineStr">
        <is>
          <t>14946933</t>
        </is>
      </c>
      <c r="B3968" t="inlineStr">
        <is>
          <t>bc6b3edd-e9c4-438a-831b-8c988818dc29</t>
        </is>
      </c>
      <c r="D3968" t="inlineStr">
        <is>
          <t>30001087</t>
        </is>
      </c>
      <c r="E3968" t="inlineStr">
        <is>
          <t>ussd_funeral_leads_altitude_20260619</t>
        </is>
      </c>
      <c r="J3968" t="inlineStr">
        <is>
          <t>AA</t>
        </is>
      </c>
      <c r="K3968" t="inlineStr">
        <is>
          <t>Answering Machine Autodial</t>
        </is>
      </c>
      <c r="L3968" t="n">
        <v>3</v>
      </c>
      <c r="M3968" t="inlineStr">
        <is>
          <t>2026-06-23 09:28:44</t>
        </is>
      </c>
      <c r="N3968" t="inlineStr">
        <is>
          <t>system</t>
        </is>
      </c>
      <c r="O3968" t="inlineStr">
        <is>
          <t>2026-06-19 07:10:32</t>
        </is>
      </c>
      <c r="P3968" t="inlineStr">
        <is>
          <t>2026-06-19 07:10:32</t>
        </is>
      </c>
      <c r="Y3968" t="inlineStr">
        <is>
          <t>27725127797</t>
        </is>
      </c>
    </row>
    <row r="3969">
      <c r="A3969" t="inlineStr">
        <is>
          <t>14947709</t>
        </is>
      </c>
      <c r="B3969" t="inlineStr">
        <is>
          <t>5f933f77-4cd3-4dbc-8ace-21b627044381</t>
        </is>
      </c>
      <c r="D3969" t="inlineStr">
        <is>
          <t>30001087</t>
        </is>
      </c>
      <c r="E3969" t="inlineStr">
        <is>
          <t>ussd_funeral_leads_altitude_20260619</t>
        </is>
      </c>
      <c r="J3969" t="inlineStr">
        <is>
          <t>AA</t>
        </is>
      </c>
      <c r="K3969" t="inlineStr">
        <is>
          <t>Answering Machine Autodial</t>
        </is>
      </c>
      <c r="L3969" t="n">
        <v>3</v>
      </c>
      <c r="M3969" t="inlineStr">
        <is>
          <t>2026-06-23 09:28:44</t>
        </is>
      </c>
      <c r="N3969" t="inlineStr">
        <is>
          <t>system</t>
        </is>
      </c>
      <c r="O3969" t="inlineStr">
        <is>
          <t>2026-06-19 07:10:32</t>
        </is>
      </c>
      <c r="P3969" t="inlineStr">
        <is>
          <t>2026-06-19 07:10:32</t>
        </is>
      </c>
      <c r="Y3969" t="inlineStr">
        <is>
          <t>27731640816</t>
        </is>
      </c>
    </row>
    <row r="3970">
      <c r="A3970" t="inlineStr">
        <is>
          <t>14946951</t>
        </is>
      </c>
      <c r="B3970" t="inlineStr">
        <is>
          <t>8df9d6b5-a1b4-4926-a5dc-04119b750325</t>
        </is>
      </c>
      <c r="D3970" t="inlineStr">
        <is>
          <t>30001087</t>
        </is>
      </c>
      <c r="E3970" t="inlineStr">
        <is>
          <t>ussd_funeral_leads_altitude_20260619</t>
        </is>
      </c>
      <c r="J3970" t="inlineStr">
        <is>
          <t>AA</t>
        </is>
      </c>
      <c r="K3970" t="inlineStr">
        <is>
          <t>Answering Machine Autodial</t>
        </is>
      </c>
      <c r="L3970" t="n">
        <v>3</v>
      </c>
      <c r="M3970" t="inlineStr">
        <is>
          <t>2026-06-23 09:27:07</t>
        </is>
      </c>
      <c r="N3970" t="inlineStr">
        <is>
          <t>system</t>
        </is>
      </c>
      <c r="O3970" t="inlineStr">
        <is>
          <t>2026-06-19 07:10:32</t>
        </is>
      </c>
      <c r="P3970" t="inlineStr">
        <is>
          <t>2026-06-19 07:10:32</t>
        </is>
      </c>
      <c r="Y3970" t="inlineStr">
        <is>
          <t>27799595745</t>
        </is>
      </c>
    </row>
    <row r="3971">
      <c r="A3971" t="inlineStr">
        <is>
          <t>14946950</t>
        </is>
      </c>
      <c r="B3971" t="inlineStr">
        <is>
          <t>969b96bd-c3b1-4dff-9685-b529c4e22062</t>
        </is>
      </c>
      <c r="D3971" t="inlineStr">
        <is>
          <t>30001087</t>
        </is>
      </c>
      <c r="E3971" t="inlineStr">
        <is>
          <t>ussd_funeral_leads_altitude_20260619</t>
        </is>
      </c>
      <c r="J3971" t="inlineStr">
        <is>
          <t>AA</t>
        </is>
      </c>
      <c r="K3971" t="inlineStr">
        <is>
          <t>Answering Machine Autodial</t>
        </is>
      </c>
      <c r="L3971" t="n">
        <v>3</v>
      </c>
      <c r="M3971" t="inlineStr">
        <is>
          <t>2026-06-23 09:26:53</t>
        </is>
      </c>
      <c r="N3971" t="inlineStr">
        <is>
          <t>system</t>
        </is>
      </c>
      <c r="O3971" t="inlineStr">
        <is>
          <t>2026-06-19 07:10:32</t>
        </is>
      </c>
      <c r="P3971" t="inlineStr">
        <is>
          <t>2026-06-19 07:10:32</t>
        </is>
      </c>
      <c r="Y3971" t="inlineStr">
        <is>
          <t>27763014502</t>
        </is>
      </c>
    </row>
    <row r="3972">
      <c r="A3972" t="inlineStr">
        <is>
          <t>14946949</t>
        </is>
      </c>
      <c r="B3972" t="inlineStr">
        <is>
          <t>5753a9f8-ffca-4f52-b699-bfe11229b74a</t>
        </is>
      </c>
      <c r="D3972" t="inlineStr">
        <is>
          <t>30001087</t>
        </is>
      </c>
      <c r="E3972" t="inlineStr">
        <is>
          <t>ussd_funeral_leads_altitude_20260619</t>
        </is>
      </c>
      <c r="J3972" t="inlineStr">
        <is>
          <t>AA</t>
        </is>
      </c>
      <c r="K3972" t="inlineStr">
        <is>
          <t>Answering Machine Autodial</t>
        </is>
      </c>
      <c r="L3972" t="n">
        <v>3</v>
      </c>
      <c r="M3972" t="inlineStr">
        <is>
          <t>2026-06-23 09:26:52</t>
        </is>
      </c>
      <c r="N3972" t="inlineStr">
        <is>
          <t>system</t>
        </is>
      </c>
      <c r="O3972" t="inlineStr">
        <is>
          <t>2026-06-19 07:10:32</t>
        </is>
      </c>
      <c r="P3972" t="inlineStr">
        <is>
          <t>2026-06-19 07:10:32</t>
        </is>
      </c>
      <c r="Y3972" t="inlineStr">
        <is>
          <t>27716280556</t>
        </is>
      </c>
    </row>
    <row r="3973">
      <c r="A3973" t="inlineStr">
        <is>
          <t>14946945</t>
        </is>
      </c>
      <c r="B3973" t="inlineStr">
        <is>
          <t>f3733fbd-f5de-49e5-a716-9a79a68427c7</t>
        </is>
      </c>
      <c r="D3973" t="inlineStr">
        <is>
          <t>30001087</t>
        </is>
      </c>
      <c r="E3973" t="inlineStr">
        <is>
          <t>ussd_funeral_leads_altitude_20260619</t>
        </is>
      </c>
      <c r="J3973" t="inlineStr">
        <is>
          <t>ADC</t>
        </is>
      </c>
      <c r="K3973" t="inlineStr">
        <is>
          <t>Auto Dial Disconnected</t>
        </is>
      </c>
      <c r="L3973" t="n">
        <v>3</v>
      </c>
      <c r="M3973" t="inlineStr">
        <is>
          <t>2026-06-23 09:26:47</t>
        </is>
      </c>
      <c r="N3973" t="inlineStr">
        <is>
          <t>system</t>
        </is>
      </c>
      <c r="O3973" t="inlineStr">
        <is>
          <t>2026-06-19 07:10:32</t>
        </is>
      </c>
      <c r="P3973" t="inlineStr">
        <is>
          <t>2026-06-19 07:10:32</t>
        </is>
      </c>
      <c r="Y3973" t="inlineStr">
        <is>
          <t>27799344976</t>
        </is>
      </c>
    </row>
    <row r="3974">
      <c r="A3974" t="inlineStr">
        <is>
          <t>14946946</t>
        </is>
      </c>
      <c r="B3974" t="inlineStr">
        <is>
          <t>d066221e-a1e2-48e2-abb7-99fc48dfd8f8</t>
        </is>
      </c>
      <c r="D3974" t="inlineStr">
        <is>
          <t>30001087</t>
        </is>
      </c>
      <c r="E3974" t="inlineStr">
        <is>
          <t>ussd_funeral_leads_altitude_20260619</t>
        </is>
      </c>
      <c r="J3974" t="inlineStr">
        <is>
          <t>AA</t>
        </is>
      </c>
      <c r="K3974" t="inlineStr">
        <is>
          <t>Answering Machine Autodial</t>
        </is>
      </c>
      <c r="L3974" t="n">
        <v>3</v>
      </c>
      <c r="M3974" t="inlineStr">
        <is>
          <t>2026-06-23 09:26:47</t>
        </is>
      </c>
      <c r="N3974" t="inlineStr">
        <is>
          <t>system</t>
        </is>
      </c>
      <c r="O3974" t="inlineStr">
        <is>
          <t>2026-06-19 07:10:32</t>
        </is>
      </c>
      <c r="P3974" t="inlineStr">
        <is>
          <t>2026-06-19 07:10:32</t>
        </is>
      </c>
      <c r="Y3974" t="inlineStr">
        <is>
          <t>27648661756</t>
        </is>
      </c>
    </row>
    <row r="3975">
      <c r="A3975" t="inlineStr">
        <is>
          <t>14946944</t>
        </is>
      </c>
      <c r="B3975" t="inlineStr">
        <is>
          <t>62cb43b5-7c64-49d0-9182-492dcefa927a</t>
        </is>
      </c>
      <c r="D3975" t="inlineStr">
        <is>
          <t>30001087</t>
        </is>
      </c>
      <c r="E3975" t="inlineStr">
        <is>
          <t>ussd_funeral_leads_altitude_20260619</t>
        </is>
      </c>
      <c r="H3975" t="inlineStr">
        <is>
          <t>27606243604</t>
        </is>
      </c>
      <c r="J3975" t="inlineStr">
        <is>
          <t>BLQ</t>
        </is>
      </c>
      <c r="K3975" t="inlineStr">
        <is>
          <t>Bad Line Quality</t>
        </is>
      </c>
      <c r="L3975" t="n">
        <v>3</v>
      </c>
      <c r="M3975" t="inlineStr">
        <is>
          <t>2026-06-23 09:26:42</t>
        </is>
      </c>
      <c r="N3975" t="inlineStr">
        <is>
          <t>Vuyiswa Nxumalo</t>
        </is>
      </c>
      <c r="O3975" t="inlineStr">
        <is>
          <t>2026-06-19 07:10:32</t>
        </is>
      </c>
      <c r="P3975" t="inlineStr">
        <is>
          <t>2026-06-19 07:10:32</t>
        </is>
      </c>
      <c r="Y3975" t="inlineStr">
        <is>
          <t>27606243604</t>
        </is>
      </c>
    </row>
    <row r="3976">
      <c r="A3976" t="inlineStr">
        <is>
          <t>14900000</t>
        </is>
      </c>
      <c r="B3976" t="inlineStr">
        <is>
          <t>5362e370-3185-4314-ba71-85fed74d6a7b</t>
        </is>
      </c>
      <c r="D3976" t="inlineStr">
        <is>
          <t>30001087</t>
        </is>
      </c>
      <c r="E3976" t="inlineStr">
        <is>
          <t>ussd_funeral_leads_altitude_20260619</t>
        </is>
      </c>
      <c r="J3976" t="inlineStr">
        <is>
          <t>ADC</t>
        </is>
      </c>
      <c r="K3976" t="inlineStr">
        <is>
          <t>Auto Dial Disconnected</t>
        </is>
      </c>
      <c r="L3976" t="n">
        <v>3</v>
      </c>
      <c r="M3976" t="inlineStr">
        <is>
          <t>2026-06-23 09:26:41</t>
        </is>
      </c>
      <c r="N3976" t="inlineStr">
        <is>
          <t>system</t>
        </is>
      </c>
      <c r="O3976" t="inlineStr">
        <is>
          <t>2026-06-19 07:10:32</t>
        </is>
      </c>
      <c r="P3976" t="inlineStr">
        <is>
          <t>2026-06-19 07:10:32</t>
        </is>
      </c>
      <c r="Y3976" t="inlineStr">
        <is>
          <t>27769537406</t>
        </is>
      </c>
    </row>
    <row r="3977">
      <c r="A3977" t="inlineStr">
        <is>
          <t>14946943</t>
        </is>
      </c>
      <c r="B3977" t="inlineStr">
        <is>
          <t>97a81264-737f-4cc1-a62f-f5277ab3332a</t>
        </is>
      </c>
      <c r="D3977" t="inlineStr">
        <is>
          <t>30001087</t>
        </is>
      </c>
      <c r="E3977" t="inlineStr">
        <is>
          <t>ussd_funeral_leads_altitude_20260619</t>
        </is>
      </c>
      <c r="J3977" t="inlineStr">
        <is>
          <t>U</t>
        </is>
      </c>
      <c r="K3977" t="inlineStr">
        <is>
          <t>Unemployed</t>
        </is>
      </c>
      <c r="L3977" t="n">
        <v>3</v>
      </c>
      <c r="M3977" t="inlineStr">
        <is>
          <t>2026-06-23 09:26:41</t>
        </is>
      </c>
      <c r="N3977" t="inlineStr">
        <is>
          <t>Goitsimang Mogwasa</t>
        </is>
      </c>
      <c r="O3977" t="inlineStr">
        <is>
          <t>2026-06-19 07:10:32</t>
        </is>
      </c>
      <c r="P3977" t="inlineStr">
        <is>
          <t>2026-06-19 07:10:32</t>
        </is>
      </c>
      <c r="Y3977" t="inlineStr">
        <is>
          <t>27825253630</t>
        </is>
      </c>
    </row>
    <row r="3978">
      <c r="A3978" t="inlineStr">
        <is>
          <t>14947710</t>
        </is>
      </c>
      <c r="B3978" t="inlineStr">
        <is>
          <t>cf0627d2-2b5b-4393-bee0-3bb8764a349b</t>
        </is>
      </c>
      <c r="D3978" t="inlineStr">
        <is>
          <t>30001087</t>
        </is>
      </c>
      <c r="E3978" t="inlineStr">
        <is>
          <t>ussd_funeral_leads_altitude_20260619</t>
        </is>
      </c>
      <c r="H3978" t="inlineStr">
        <is>
          <t>27767478034</t>
        </is>
      </c>
      <c r="J3978" t="inlineStr">
        <is>
          <t>NA</t>
        </is>
      </c>
      <c r="K3978" t="inlineStr">
        <is>
          <t>No Answer Autodial</t>
        </is>
      </c>
      <c r="L3978" t="n">
        <v>3</v>
      </c>
      <c r="M3978" t="inlineStr">
        <is>
          <t>2026-06-23 09:26:41</t>
        </is>
      </c>
      <c r="N3978" t="inlineStr">
        <is>
          <t>system</t>
        </is>
      </c>
      <c r="O3978" t="inlineStr">
        <is>
          <t>2026-06-19 07:10:32</t>
        </is>
      </c>
      <c r="P3978" t="inlineStr">
        <is>
          <t>2026-06-19 07:10:32</t>
        </is>
      </c>
      <c r="Y3978" t="inlineStr">
        <is>
          <t>27767478034</t>
        </is>
      </c>
    </row>
    <row r="3979">
      <c r="A3979" t="inlineStr">
        <is>
          <t>14945484</t>
        </is>
      </c>
      <c r="B3979" t="inlineStr">
        <is>
          <t>88afa143-1a5c-40d5-b2ee-fe81acbda415</t>
        </is>
      </c>
      <c r="D3979" t="inlineStr">
        <is>
          <t>30001087</t>
        </is>
      </c>
      <c r="E3979" t="inlineStr">
        <is>
          <t>ussd_funeral_leads_altitude_20260619</t>
        </is>
      </c>
      <c r="J3979" t="inlineStr">
        <is>
          <t>AA</t>
        </is>
      </c>
      <c r="K3979" t="inlineStr">
        <is>
          <t>Answering Machine Autodial</t>
        </is>
      </c>
      <c r="L3979" t="n">
        <v>3</v>
      </c>
      <c r="M3979" t="inlineStr">
        <is>
          <t>2026-06-23 09:26:03</t>
        </is>
      </c>
      <c r="N3979" t="inlineStr">
        <is>
          <t>system</t>
        </is>
      </c>
      <c r="O3979" t="inlineStr">
        <is>
          <t>2026-06-19 07:10:32</t>
        </is>
      </c>
      <c r="P3979" t="inlineStr">
        <is>
          <t>2026-06-19 07:10:32</t>
        </is>
      </c>
      <c r="Y3979" t="inlineStr">
        <is>
          <t>27795359137</t>
        </is>
      </c>
    </row>
    <row r="3980">
      <c r="A3980" t="inlineStr">
        <is>
          <t>14947511</t>
        </is>
      </c>
      <c r="B3980" t="inlineStr">
        <is>
          <t>84eb4c14-1796-4a01-9ccd-f48e73cd0613</t>
        </is>
      </c>
      <c r="D3980" t="inlineStr">
        <is>
          <t>30001087</t>
        </is>
      </c>
      <c r="E3980" t="inlineStr">
        <is>
          <t>ussd_funeral_leads_altitude_20260619</t>
        </is>
      </c>
      <c r="H3980" t="inlineStr">
        <is>
          <t>27663657528</t>
        </is>
      </c>
      <c r="J3980" t="inlineStr">
        <is>
          <t>CU</t>
        </is>
      </c>
      <c r="K3980" t="inlineStr">
        <is>
          <t>Client Hung Up</t>
        </is>
      </c>
      <c r="L3980" t="n">
        <v>2</v>
      </c>
      <c r="M3980" t="inlineStr">
        <is>
          <t>2026-06-23 09:26:03</t>
        </is>
      </c>
      <c r="N3980" t="inlineStr">
        <is>
          <t>Vuyiswa Nxumalo</t>
        </is>
      </c>
      <c r="O3980" t="inlineStr">
        <is>
          <t>2026-06-19 07:10:32</t>
        </is>
      </c>
      <c r="P3980" t="inlineStr">
        <is>
          <t>2026-06-19 07:10:32</t>
        </is>
      </c>
      <c r="Y3980" t="inlineStr">
        <is>
          <t>27663657528</t>
        </is>
      </c>
    </row>
    <row r="3981">
      <c r="A3981" t="inlineStr">
        <is>
          <t>14946995</t>
        </is>
      </c>
      <c r="B3981" t="inlineStr">
        <is>
          <t>0bc602d6-2feb-4aa6-b915-5812b05e42c4</t>
        </is>
      </c>
      <c r="D3981" t="inlineStr">
        <is>
          <t>30001087</t>
        </is>
      </c>
      <c r="E3981" t="inlineStr">
        <is>
          <t>ussd_funeral_leads_altitude_20260619</t>
        </is>
      </c>
      <c r="J3981" t="inlineStr">
        <is>
          <t>AA</t>
        </is>
      </c>
      <c r="K3981" t="inlineStr">
        <is>
          <t>Answering Machine Autodial</t>
        </is>
      </c>
      <c r="L3981" t="n">
        <v>3</v>
      </c>
      <c r="M3981" t="inlineStr">
        <is>
          <t>2026-06-23 09:26:01</t>
        </is>
      </c>
      <c r="N3981" t="inlineStr">
        <is>
          <t>system</t>
        </is>
      </c>
      <c r="O3981" t="inlineStr">
        <is>
          <t>2026-06-19 07:10:32</t>
        </is>
      </c>
      <c r="P3981" t="inlineStr">
        <is>
          <t>2026-06-19 07:10:32</t>
        </is>
      </c>
      <c r="Y3981" t="inlineStr">
        <is>
          <t>27663140663</t>
        </is>
      </c>
    </row>
    <row r="3982">
      <c r="A3982" t="inlineStr">
        <is>
          <t>14945483</t>
        </is>
      </c>
      <c r="B3982" t="inlineStr">
        <is>
          <t>b07a2213-f9e4-4d18-b886-5f9c57d8f14c</t>
        </is>
      </c>
      <c r="D3982" t="inlineStr">
        <is>
          <t>30001087</t>
        </is>
      </c>
      <c r="E3982" t="inlineStr">
        <is>
          <t>ussd_funeral_leads_altitude_20260619</t>
        </is>
      </c>
      <c r="J3982" t="inlineStr">
        <is>
          <t>ADC</t>
        </is>
      </c>
      <c r="K3982" t="inlineStr">
        <is>
          <t>Auto Dial Disconnected</t>
        </is>
      </c>
      <c r="L3982" t="n">
        <v>3</v>
      </c>
      <c r="M3982" t="inlineStr">
        <is>
          <t>2026-06-23 09:25:58</t>
        </is>
      </c>
      <c r="N3982" t="inlineStr">
        <is>
          <t>system</t>
        </is>
      </c>
      <c r="O3982" t="inlineStr">
        <is>
          <t>2026-06-19 07:10:32</t>
        </is>
      </c>
      <c r="P3982" t="inlineStr">
        <is>
          <t>2026-06-19 07:10:32</t>
        </is>
      </c>
      <c r="Y3982" t="inlineStr">
        <is>
          <t>27774540687</t>
        </is>
      </c>
    </row>
    <row r="3983">
      <c r="A3983" t="inlineStr">
        <is>
          <t>14946994</t>
        </is>
      </c>
      <c r="B3983" t="inlineStr">
        <is>
          <t>46fe5306-0a20-42a2-a2d0-a2332f171362</t>
        </is>
      </c>
      <c r="D3983" t="inlineStr">
        <is>
          <t>30001087</t>
        </is>
      </c>
      <c r="E3983" t="inlineStr">
        <is>
          <t>ussd_funeral_leads_altitude_20260619</t>
        </is>
      </c>
      <c r="J3983" t="inlineStr">
        <is>
          <t>AA</t>
        </is>
      </c>
      <c r="K3983" t="inlineStr">
        <is>
          <t>Answering Machine Autodial</t>
        </is>
      </c>
      <c r="L3983" t="n">
        <v>3</v>
      </c>
      <c r="M3983" t="inlineStr">
        <is>
          <t>2026-06-23 09:25:58</t>
        </is>
      </c>
      <c r="N3983" t="inlineStr">
        <is>
          <t>system</t>
        </is>
      </c>
      <c r="O3983" t="inlineStr">
        <is>
          <t>2026-06-19 07:10:32</t>
        </is>
      </c>
      <c r="P3983" t="inlineStr">
        <is>
          <t>2026-06-19 07:10:32</t>
        </is>
      </c>
      <c r="Y3983" t="inlineStr">
        <is>
          <t>27665797722</t>
        </is>
      </c>
    </row>
    <row r="3984">
      <c r="A3984" t="inlineStr">
        <is>
          <t>14946993</t>
        </is>
      </c>
      <c r="B3984" t="inlineStr">
        <is>
          <t>c8712020-df46-47c3-a5ea-f8afac860357</t>
        </is>
      </c>
      <c r="D3984" t="inlineStr">
        <is>
          <t>30001087</t>
        </is>
      </c>
      <c r="E3984" t="inlineStr">
        <is>
          <t>ussd_funeral_leads_altitude_20260619</t>
        </is>
      </c>
      <c r="J3984" t="inlineStr">
        <is>
          <t>AA</t>
        </is>
      </c>
      <c r="K3984" t="inlineStr">
        <is>
          <t>Answering Machine Autodial</t>
        </is>
      </c>
      <c r="L3984" t="n">
        <v>3</v>
      </c>
      <c r="M3984" t="inlineStr">
        <is>
          <t>2026-06-23 09:25:57</t>
        </is>
      </c>
      <c r="N3984" t="inlineStr">
        <is>
          <t>system</t>
        </is>
      </c>
      <c r="O3984" t="inlineStr">
        <is>
          <t>2026-06-19 07:10:32</t>
        </is>
      </c>
      <c r="P3984" t="inlineStr">
        <is>
          <t>2026-06-19 07:10:32</t>
        </is>
      </c>
      <c r="Y3984" t="inlineStr">
        <is>
          <t>27663200884</t>
        </is>
      </c>
    </row>
    <row r="3985">
      <c r="A3985" t="inlineStr">
        <is>
          <t>14946980</t>
        </is>
      </c>
      <c r="B3985" t="inlineStr">
        <is>
          <t>3c417743-2f4a-4d6a-9c4b-72736297990d</t>
        </is>
      </c>
      <c r="D3985" t="inlineStr">
        <is>
          <t>30001087</t>
        </is>
      </c>
      <c r="E3985" t="inlineStr">
        <is>
          <t>ussd_funeral_leads_altitude_20260619</t>
        </is>
      </c>
      <c r="J3985" t="inlineStr">
        <is>
          <t>AA</t>
        </is>
      </c>
      <c r="K3985" t="inlineStr">
        <is>
          <t>Answering Machine Autodial</t>
        </is>
      </c>
      <c r="L3985" t="n">
        <v>3</v>
      </c>
      <c r="M3985" t="inlineStr">
        <is>
          <t>2026-06-23 09:25:55</t>
        </is>
      </c>
      <c r="N3985" t="inlineStr">
        <is>
          <t>system</t>
        </is>
      </c>
      <c r="O3985" t="inlineStr">
        <is>
          <t>2026-06-19 07:10:32</t>
        </is>
      </c>
      <c r="P3985" t="inlineStr">
        <is>
          <t>2026-06-19 07:10:32</t>
        </is>
      </c>
      <c r="Y3985" t="inlineStr">
        <is>
          <t>27729556744</t>
        </is>
      </c>
    </row>
    <row r="3986">
      <c r="A3986" t="inlineStr">
        <is>
          <t>14946979</t>
        </is>
      </c>
      <c r="B3986" t="inlineStr">
        <is>
          <t>5034d2c6-1ee1-4faf-b44d-14e5848d0111</t>
        </is>
      </c>
      <c r="D3986" t="inlineStr">
        <is>
          <t>30001087</t>
        </is>
      </c>
      <c r="E3986" t="inlineStr">
        <is>
          <t>ussd_funeral_leads_altitude_20260619</t>
        </is>
      </c>
      <c r="J3986" t="inlineStr">
        <is>
          <t>CU</t>
        </is>
      </c>
      <c r="K3986" t="inlineStr">
        <is>
          <t>Client Hung Up</t>
        </is>
      </c>
      <c r="L3986" t="n">
        <v>3</v>
      </c>
      <c r="M3986" t="inlineStr">
        <is>
          <t>2026-06-23 09:25:53</t>
        </is>
      </c>
      <c r="N3986" t="inlineStr">
        <is>
          <t>Vuyiswa Nxumalo</t>
        </is>
      </c>
      <c r="O3986" t="inlineStr">
        <is>
          <t>2026-06-19 07:10:32</t>
        </is>
      </c>
      <c r="P3986" t="inlineStr">
        <is>
          <t>2026-06-19 07:10:32</t>
        </is>
      </c>
      <c r="Y3986" t="inlineStr">
        <is>
          <t>27766120594</t>
        </is>
      </c>
    </row>
    <row r="3987">
      <c r="A3987" t="inlineStr">
        <is>
          <t>14946977</t>
        </is>
      </c>
      <c r="B3987" t="inlineStr">
        <is>
          <t>dfe995a7-c57d-4344-b3a9-defacd938184</t>
        </is>
      </c>
      <c r="D3987" t="inlineStr">
        <is>
          <t>30001087</t>
        </is>
      </c>
      <c r="E3987" t="inlineStr">
        <is>
          <t>ussd_funeral_leads_altitude_20260619</t>
        </is>
      </c>
      <c r="J3987" t="inlineStr">
        <is>
          <t>AA</t>
        </is>
      </c>
      <c r="K3987" t="inlineStr">
        <is>
          <t>Answering Machine Autodial</t>
        </is>
      </c>
      <c r="L3987" t="n">
        <v>3</v>
      </c>
      <c r="M3987" t="inlineStr">
        <is>
          <t>2026-06-23 09:25:51</t>
        </is>
      </c>
      <c r="N3987" t="inlineStr">
        <is>
          <t>system</t>
        </is>
      </c>
      <c r="O3987" t="inlineStr">
        <is>
          <t>2026-06-19 07:10:32</t>
        </is>
      </c>
      <c r="P3987" t="inlineStr">
        <is>
          <t>2026-06-19 07:10:32</t>
        </is>
      </c>
      <c r="Y3987" t="inlineStr">
        <is>
          <t>27762457884</t>
        </is>
      </c>
    </row>
    <row r="3988">
      <c r="A3988" t="inlineStr">
        <is>
          <t>14946978</t>
        </is>
      </c>
      <c r="B3988" t="inlineStr">
        <is>
          <t>536f6836-914d-444a-8335-bd2c26cf2354</t>
        </is>
      </c>
      <c r="D3988" t="inlineStr">
        <is>
          <t>30001087</t>
        </is>
      </c>
      <c r="E3988" t="inlineStr">
        <is>
          <t>ussd_funeral_leads_altitude_20260619</t>
        </is>
      </c>
      <c r="J3988" t="inlineStr">
        <is>
          <t>AA</t>
        </is>
      </c>
      <c r="K3988" t="inlineStr">
        <is>
          <t>Answering Machine Autodial</t>
        </is>
      </c>
      <c r="L3988" t="n">
        <v>3</v>
      </c>
      <c r="M3988" t="inlineStr">
        <is>
          <t>2026-06-23 09:25:51</t>
        </is>
      </c>
      <c r="N3988" t="inlineStr">
        <is>
          <t>system</t>
        </is>
      </c>
      <c r="O3988" t="inlineStr">
        <is>
          <t>2026-06-19 07:10:32</t>
        </is>
      </c>
      <c r="P3988" t="inlineStr">
        <is>
          <t>2026-06-19 07:10:32</t>
        </is>
      </c>
      <c r="Y3988" t="inlineStr">
        <is>
          <t>27673449358</t>
        </is>
      </c>
    </row>
    <row r="3989">
      <c r="A3989" t="inlineStr">
        <is>
          <t>14946975</t>
        </is>
      </c>
      <c r="B3989" t="inlineStr">
        <is>
          <t>08e26a68-b6d7-4d30-ac7a-0f82913b6a0a</t>
        </is>
      </c>
      <c r="D3989" t="inlineStr">
        <is>
          <t>30001087</t>
        </is>
      </c>
      <c r="E3989" t="inlineStr">
        <is>
          <t>ussd_funeral_leads_altitude_20260619</t>
        </is>
      </c>
      <c r="J3989" t="inlineStr">
        <is>
          <t>ADC</t>
        </is>
      </c>
      <c r="K3989" t="inlineStr">
        <is>
          <t>Auto Dial Disconnected</t>
        </is>
      </c>
      <c r="L3989" t="n">
        <v>3</v>
      </c>
      <c r="M3989" t="inlineStr">
        <is>
          <t>2026-06-23 09:25:50</t>
        </is>
      </c>
      <c r="N3989" t="inlineStr">
        <is>
          <t>system</t>
        </is>
      </c>
      <c r="O3989" t="inlineStr">
        <is>
          <t>2026-06-19 07:10:32</t>
        </is>
      </c>
      <c r="P3989" t="inlineStr">
        <is>
          <t>2026-06-19 07:10:32</t>
        </is>
      </c>
      <c r="Y3989" t="inlineStr">
        <is>
          <t>27765357243</t>
        </is>
      </c>
    </row>
    <row r="3990">
      <c r="A3990" t="inlineStr">
        <is>
          <t>14946976</t>
        </is>
      </c>
      <c r="B3990" t="inlineStr">
        <is>
          <t>199b2429-85d5-4ed2-8827-46149ddaca90</t>
        </is>
      </c>
      <c r="D3990" t="inlineStr">
        <is>
          <t>30001087</t>
        </is>
      </c>
      <c r="E3990" t="inlineStr">
        <is>
          <t>ussd_funeral_leads_altitude_20260619</t>
        </is>
      </c>
      <c r="J3990" t="inlineStr">
        <is>
          <t>AA</t>
        </is>
      </c>
      <c r="K3990" t="inlineStr">
        <is>
          <t>Answering Machine Autodial</t>
        </is>
      </c>
      <c r="L3990" t="n">
        <v>3</v>
      </c>
      <c r="M3990" t="inlineStr">
        <is>
          <t>2026-06-23 09:25:50</t>
        </is>
      </c>
      <c r="N3990" t="inlineStr">
        <is>
          <t>system</t>
        </is>
      </c>
      <c r="O3990" t="inlineStr">
        <is>
          <t>2026-06-19 07:10:32</t>
        </is>
      </c>
      <c r="P3990" t="inlineStr">
        <is>
          <t>2026-06-19 07:10:32</t>
        </is>
      </c>
      <c r="Y3990" t="inlineStr">
        <is>
          <t>27714520662</t>
        </is>
      </c>
    </row>
    <row r="3991">
      <c r="A3991" t="inlineStr">
        <is>
          <t>14946974</t>
        </is>
      </c>
      <c r="B3991" t="inlineStr">
        <is>
          <t>90c705f2-1d50-40c1-8ea8-0770f6c244c3</t>
        </is>
      </c>
      <c r="D3991" t="inlineStr">
        <is>
          <t>30001087</t>
        </is>
      </c>
      <c r="E3991" t="inlineStr">
        <is>
          <t>ussd_funeral_leads_altitude_20260619</t>
        </is>
      </c>
      <c r="J3991" t="inlineStr">
        <is>
          <t>ADC</t>
        </is>
      </c>
      <c r="K3991" t="inlineStr">
        <is>
          <t>Auto Dial Disconnected</t>
        </is>
      </c>
      <c r="L3991" t="n">
        <v>3</v>
      </c>
      <c r="M3991" t="inlineStr">
        <is>
          <t>2026-06-23 09:25:48</t>
        </is>
      </c>
      <c r="N3991" t="inlineStr">
        <is>
          <t>system</t>
        </is>
      </c>
      <c r="O3991" t="inlineStr">
        <is>
          <t>2026-06-19 07:10:32</t>
        </is>
      </c>
      <c r="P3991" t="inlineStr">
        <is>
          <t>2026-06-19 07:10:32</t>
        </is>
      </c>
      <c r="Y3991" t="inlineStr">
        <is>
          <t>27792647253</t>
        </is>
      </c>
    </row>
    <row r="3992">
      <c r="A3992" t="inlineStr">
        <is>
          <t>14946971</t>
        </is>
      </c>
      <c r="B3992" t="inlineStr">
        <is>
          <t>b587240f-95e3-432f-8751-5a59ca086703</t>
        </is>
      </c>
      <c r="D3992" t="inlineStr">
        <is>
          <t>30001087</t>
        </is>
      </c>
      <c r="E3992" t="inlineStr">
        <is>
          <t>ussd_funeral_leads_altitude_20260619</t>
        </is>
      </c>
      <c r="J3992" t="inlineStr">
        <is>
          <t>AE</t>
        </is>
      </c>
      <c r="K3992" t="inlineStr">
        <is>
          <t>Auto Engaged</t>
        </is>
      </c>
      <c r="L3992" t="n">
        <v>3</v>
      </c>
      <c r="M3992" t="inlineStr">
        <is>
          <t>2026-06-23 09:25:46</t>
        </is>
      </c>
      <c r="N3992" t="inlineStr">
        <is>
          <t>system</t>
        </is>
      </c>
      <c r="O3992" t="inlineStr">
        <is>
          <t>2026-06-19 07:10:32</t>
        </is>
      </c>
      <c r="P3992" t="inlineStr">
        <is>
          <t>2026-06-19 07:10:32</t>
        </is>
      </c>
      <c r="Y3992" t="inlineStr">
        <is>
          <t>27673626820</t>
        </is>
      </c>
    </row>
    <row r="3993">
      <c r="A3993" t="inlineStr">
        <is>
          <t>14946970</t>
        </is>
      </c>
      <c r="B3993" t="inlineStr">
        <is>
          <t>2d0bfd0b-2d76-4b65-86b6-03542289a870</t>
        </is>
      </c>
      <c r="D3993" t="inlineStr">
        <is>
          <t>30001087</t>
        </is>
      </c>
      <c r="E3993" t="inlineStr">
        <is>
          <t>ussd_funeral_leads_altitude_20260619</t>
        </is>
      </c>
      <c r="J3993" t="inlineStr">
        <is>
          <t>NA</t>
        </is>
      </c>
      <c r="K3993" t="inlineStr">
        <is>
          <t>No Answer Autodial</t>
        </is>
      </c>
      <c r="L3993" t="n">
        <v>3</v>
      </c>
      <c r="M3993" t="inlineStr">
        <is>
          <t>2026-06-23 09:25:45</t>
        </is>
      </c>
      <c r="N3993" t="inlineStr">
        <is>
          <t>system</t>
        </is>
      </c>
      <c r="O3993" t="inlineStr">
        <is>
          <t>2026-06-19 07:10:32</t>
        </is>
      </c>
      <c r="P3993" t="inlineStr">
        <is>
          <t>2026-06-19 07:10:32</t>
        </is>
      </c>
      <c r="Y3993" t="inlineStr">
        <is>
          <t>27760571953</t>
        </is>
      </c>
    </row>
    <row r="3994">
      <c r="A3994" t="inlineStr">
        <is>
          <t>14946966</t>
        </is>
      </c>
      <c r="B3994" t="inlineStr">
        <is>
          <t>310b1b64-53aa-45ff-a97f-45a65aa386bf</t>
        </is>
      </c>
      <c r="D3994" t="inlineStr">
        <is>
          <t>30001087</t>
        </is>
      </c>
      <c r="E3994" t="inlineStr">
        <is>
          <t>ussd_funeral_leads_altitude_20260619</t>
        </is>
      </c>
      <c r="J3994" t="inlineStr">
        <is>
          <t>NA</t>
        </is>
      </c>
      <c r="K3994" t="inlineStr">
        <is>
          <t>No Answer Autodial</t>
        </is>
      </c>
      <c r="L3994" t="n">
        <v>3</v>
      </c>
      <c r="M3994" t="inlineStr">
        <is>
          <t>2026-06-23 09:25:44</t>
        </is>
      </c>
      <c r="N3994" t="inlineStr">
        <is>
          <t>system</t>
        </is>
      </c>
      <c r="O3994" t="inlineStr">
        <is>
          <t>2026-06-19 07:10:32</t>
        </is>
      </c>
      <c r="P3994" t="inlineStr">
        <is>
          <t>2026-06-19 07:10:32</t>
        </is>
      </c>
      <c r="Y3994" t="inlineStr">
        <is>
          <t>27793586236</t>
        </is>
      </c>
    </row>
    <row r="3995">
      <c r="A3995" t="inlineStr">
        <is>
          <t>14946968</t>
        </is>
      </c>
      <c r="B3995" t="inlineStr">
        <is>
          <t>6f2578f3-289f-4568-987f-63355b5db36f</t>
        </is>
      </c>
      <c r="D3995" t="inlineStr">
        <is>
          <t>30001087</t>
        </is>
      </c>
      <c r="E3995" t="inlineStr">
        <is>
          <t>ussd_funeral_leads_altitude_20260619</t>
        </is>
      </c>
      <c r="J3995" t="inlineStr">
        <is>
          <t>AA</t>
        </is>
      </c>
      <c r="K3995" t="inlineStr">
        <is>
          <t>Answering Machine Autodial</t>
        </is>
      </c>
      <c r="L3995" t="n">
        <v>3</v>
      </c>
      <c r="M3995" t="inlineStr">
        <is>
          <t>2026-06-23 09:25:44</t>
        </is>
      </c>
      <c r="N3995" t="inlineStr">
        <is>
          <t>system</t>
        </is>
      </c>
      <c r="O3995" t="inlineStr">
        <is>
          <t>2026-06-19 07:10:32</t>
        </is>
      </c>
      <c r="P3995" t="inlineStr">
        <is>
          <t>2026-06-19 07:10:32</t>
        </is>
      </c>
      <c r="Y3995" t="inlineStr">
        <is>
          <t>27649684091</t>
        </is>
      </c>
    </row>
    <row r="3996">
      <c r="A3996" t="inlineStr">
        <is>
          <t>14946162</t>
        </is>
      </c>
      <c r="B3996" t="inlineStr">
        <is>
          <t>763cabf8-adf7-4f2a-ad23-15acec3c75b3</t>
        </is>
      </c>
      <c r="D3996" t="inlineStr">
        <is>
          <t>30001087</t>
        </is>
      </c>
      <c r="E3996" t="inlineStr">
        <is>
          <t>ussd_funeral_leads_altitude_20260619</t>
        </is>
      </c>
      <c r="J3996" t="inlineStr">
        <is>
          <t>QAVER</t>
        </is>
      </c>
      <c r="K3996" t="inlineStr">
        <is>
          <t>Sale Made</t>
        </is>
      </c>
      <c r="L3996" t="n">
        <v>3</v>
      </c>
      <c r="M3996" t="inlineStr">
        <is>
          <t>2026-06-23 09:25:39</t>
        </is>
      </c>
      <c r="N3996" t="inlineStr">
        <is>
          <t>Gontse Monageng</t>
        </is>
      </c>
      <c r="O3996" t="inlineStr">
        <is>
          <t>2026-06-19 07:10:32</t>
        </is>
      </c>
      <c r="P3996" t="inlineStr">
        <is>
          <t>2026-06-19 07:10:32</t>
        </is>
      </c>
      <c r="Y3996" t="inlineStr">
        <is>
          <t>27728684917</t>
        </is>
      </c>
    </row>
    <row r="3997">
      <c r="A3997" t="inlineStr">
        <is>
          <t>14947711</t>
        </is>
      </c>
      <c r="B3997" t="inlineStr">
        <is>
          <t>9e0f079c-70ad-4e97-9ac1-5b1bf7ea6b42</t>
        </is>
      </c>
      <c r="D3997" t="inlineStr">
        <is>
          <t>30001087</t>
        </is>
      </c>
      <c r="E3997" t="inlineStr">
        <is>
          <t>ussd_funeral_leads_altitude_20260619</t>
        </is>
      </c>
      <c r="J3997" t="inlineStr">
        <is>
          <t>AE</t>
        </is>
      </c>
      <c r="K3997" t="inlineStr">
        <is>
          <t>Auto Engaged</t>
        </is>
      </c>
      <c r="L3997" t="n">
        <v>3</v>
      </c>
      <c r="M3997" t="inlineStr">
        <is>
          <t>2026-06-23 09:25:18</t>
        </is>
      </c>
      <c r="N3997" t="inlineStr">
        <is>
          <t>system</t>
        </is>
      </c>
      <c r="O3997" t="inlineStr">
        <is>
          <t>2026-06-19 07:10:32</t>
        </is>
      </c>
      <c r="P3997" t="inlineStr">
        <is>
          <t>2026-06-19 07:10:32</t>
        </is>
      </c>
      <c r="Y3997" t="inlineStr">
        <is>
          <t>27767908957</t>
        </is>
      </c>
    </row>
    <row r="3998">
      <c r="A3998" t="inlineStr">
        <is>
          <t>14946991</t>
        </is>
      </c>
      <c r="B3998" t="inlineStr">
        <is>
          <t>03fba3fe-e3fb-4c26-a9f3-f8eed3c5ae16</t>
        </is>
      </c>
      <c r="D3998" t="inlineStr">
        <is>
          <t>30001087</t>
        </is>
      </c>
      <c r="E3998" t="inlineStr">
        <is>
          <t>ussd_funeral_leads_altitude_20260619</t>
        </is>
      </c>
      <c r="H3998" t="inlineStr">
        <is>
          <t>27766271706</t>
        </is>
      </c>
      <c r="J3998" t="inlineStr">
        <is>
          <t>NA</t>
        </is>
      </c>
      <c r="K3998" t="inlineStr">
        <is>
          <t>No Answer Autodial</t>
        </is>
      </c>
      <c r="L3998" t="n">
        <v>3</v>
      </c>
      <c r="M3998" t="inlineStr">
        <is>
          <t>2026-06-23 09:23:58</t>
        </is>
      </c>
      <c r="N3998" t="inlineStr">
        <is>
          <t>Goitsimang Mogwasa</t>
        </is>
      </c>
      <c r="O3998" t="inlineStr">
        <is>
          <t>2026-06-19 07:10:32</t>
        </is>
      </c>
      <c r="P3998" t="inlineStr">
        <is>
          <t>2026-06-19 07:10:32</t>
        </is>
      </c>
      <c r="Y3998" t="inlineStr">
        <is>
          <t>27766271706</t>
        </is>
      </c>
    </row>
    <row r="3999">
      <c r="A3999" t="inlineStr">
        <is>
          <t>14946992</t>
        </is>
      </c>
      <c r="B3999" t="inlineStr">
        <is>
          <t>f9194bc9-7f1b-43a5-974b-a59594187d87</t>
        </is>
      </c>
      <c r="D3999" t="inlineStr">
        <is>
          <t>30001087</t>
        </is>
      </c>
      <c r="E3999" t="inlineStr">
        <is>
          <t>ussd_funeral_leads_altitude_20260619</t>
        </is>
      </c>
      <c r="H3999" t="inlineStr">
        <is>
          <t>27826234560</t>
        </is>
      </c>
      <c r="J3999" t="inlineStr">
        <is>
          <t>AA</t>
        </is>
      </c>
      <c r="K3999" t="inlineStr">
        <is>
          <t>Answering Machine Autodial</t>
        </is>
      </c>
      <c r="L3999" t="n">
        <v>3</v>
      </c>
      <c r="M3999" t="inlineStr">
        <is>
          <t>2026-06-23 09:23:18</t>
        </is>
      </c>
      <c r="N3999" t="inlineStr">
        <is>
          <t>system</t>
        </is>
      </c>
      <c r="O3999" t="inlineStr">
        <is>
          <t>2026-06-19 07:10:32</t>
        </is>
      </c>
      <c r="P3999" t="inlineStr">
        <is>
          <t>2026-06-19 07:10:32</t>
        </is>
      </c>
      <c r="Y3999" t="inlineStr">
        <is>
          <t>27826234560</t>
        </is>
      </c>
    </row>
    <row r="4000">
      <c r="A4000" t="inlineStr">
        <is>
          <t>14946987</t>
        </is>
      </c>
      <c r="B4000" t="inlineStr">
        <is>
          <t>7a2c11e6-2c6b-4b6a-8f6d-846e26a814eb</t>
        </is>
      </c>
      <c r="D4000" t="inlineStr">
        <is>
          <t>30001087</t>
        </is>
      </c>
      <c r="E4000" t="inlineStr">
        <is>
          <t>ussd_funeral_leads_altitude_20260619</t>
        </is>
      </c>
      <c r="J4000" t="inlineStr">
        <is>
          <t>NA</t>
        </is>
      </c>
      <c r="K4000" t="inlineStr">
        <is>
          <t>No Answer Autodial</t>
        </is>
      </c>
      <c r="L4000" t="n">
        <v>3</v>
      </c>
      <c r="M4000" t="inlineStr">
        <is>
          <t>2026-06-23 09:23:07</t>
        </is>
      </c>
      <c r="N4000" t="inlineStr">
        <is>
          <t>system</t>
        </is>
      </c>
      <c r="O4000" t="inlineStr">
        <is>
          <t>2026-06-19 07:10:32</t>
        </is>
      </c>
      <c r="P4000" t="inlineStr">
        <is>
          <t>2026-06-19 07:10:32</t>
        </is>
      </c>
      <c r="Y4000" t="inlineStr">
        <is>
          <t>27647007174</t>
        </is>
      </c>
    </row>
    <row r="4001">
      <c r="A4001" t="inlineStr">
        <is>
          <t>14946989</t>
        </is>
      </c>
      <c r="B4001" t="inlineStr">
        <is>
          <t>80700862-c97f-4ca6-8ff6-1cd4bc486e99</t>
        </is>
      </c>
      <c r="D4001" t="inlineStr">
        <is>
          <t>30001087</t>
        </is>
      </c>
      <c r="E4001" t="inlineStr">
        <is>
          <t>ussd_funeral_leads_altitude_20260619</t>
        </is>
      </c>
      <c r="J4001" t="inlineStr">
        <is>
          <t>NA</t>
        </is>
      </c>
      <c r="K4001" t="inlineStr">
        <is>
          <t>No Answer Autodial</t>
        </is>
      </c>
      <c r="L4001" t="n">
        <v>3</v>
      </c>
      <c r="M4001" t="inlineStr">
        <is>
          <t>2026-06-23 09:23:07</t>
        </is>
      </c>
      <c r="N4001" t="inlineStr">
        <is>
          <t>system</t>
        </is>
      </c>
      <c r="O4001" t="inlineStr">
        <is>
          <t>2026-06-19 07:10:32</t>
        </is>
      </c>
      <c r="P4001" t="inlineStr">
        <is>
          <t>2026-06-19 07:10:32</t>
        </is>
      </c>
      <c r="Y4001" t="inlineStr">
        <is>
          <t>27713929543</t>
        </is>
      </c>
    </row>
    <row r="4002">
      <c r="A4002" t="inlineStr">
        <is>
          <t>14946990</t>
        </is>
      </c>
      <c r="B4002" t="inlineStr">
        <is>
          <t>60dda943-bbfc-4912-8e92-3434bf7e0841</t>
        </is>
      </c>
      <c r="D4002" t="inlineStr">
        <is>
          <t>30001087</t>
        </is>
      </c>
      <c r="E4002" t="inlineStr">
        <is>
          <t>ussd_funeral_leads_altitude_20260619</t>
        </is>
      </c>
      <c r="J4002" t="inlineStr">
        <is>
          <t>AA</t>
        </is>
      </c>
      <c r="K4002" t="inlineStr">
        <is>
          <t>Answering Machine Autodial</t>
        </is>
      </c>
      <c r="L4002" t="n">
        <v>3</v>
      </c>
      <c r="M4002" t="inlineStr">
        <is>
          <t>2026-06-23 09:23:07</t>
        </is>
      </c>
      <c r="N4002" t="inlineStr">
        <is>
          <t>system</t>
        </is>
      </c>
      <c r="O4002" t="inlineStr">
        <is>
          <t>2026-06-19 07:10:32</t>
        </is>
      </c>
      <c r="P4002" t="inlineStr">
        <is>
          <t>2026-06-19 07:10:32</t>
        </is>
      </c>
      <c r="Y4002" t="inlineStr">
        <is>
          <t>27792195707</t>
        </is>
      </c>
    </row>
    <row r="4003">
      <c r="A4003" t="inlineStr">
        <is>
          <t>14946985</t>
        </is>
      </c>
      <c r="B4003" t="inlineStr">
        <is>
          <t>e8dc703e-c10b-49f1-9459-fb94ed8ea9de</t>
        </is>
      </c>
      <c r="D4003" t="inlineStr">
        <is>
          <t>30001087</t>
        </is>
      </c>
      <c r="E4003" t="inlineStr">
        <is>
          <t>ussd_funeral_leads_altitude_20260619</t>
        </is>
      </c>
      <c r="J4003" t="inlineStr">
        <is>
          <t>AA</t>
        </is>
      </c>
      <c r="K4003" t="inlineStr">
        <is>
          <t>Answering Machine Autodial</t>
        </is>
      </c>
      <c r="L4003" t="n">
        <v>3</v>
      </c>
      <c r="M4003" t="inlineStr">
        <is>
          <t>2026-06-23 09:22:59</t>
        </is>
      </c>
      <c r="N4003" t="inlineStr">
        <is>
          <t>system</t>
        </is>
      </c>
      <c r="O4003" t="inlineStr">
        <is>
          <t>2026-06-19 07:10:32</t>
        </is>
      </c>
      <c r="P4003" t="inlineStr">
        <is>
          <t>2026-06-19 07:10:32</t>
        </is>
      </c>
      <c r="Y4003" t="inlineStr">
        <is>
          <t>27728772112</t>
        </is>
      </c>
    </row>
    <row r="4004">
      <c r="A4004" t="inlineStr">
        <is>
          <t>14946986</t>
        </is>
      </c>
      <c r="B4004" t="inlineStr">
        <is>
          <t>6edfe282-2b3f-45b2-9942-6aaf3ffece65</t>
        </is>
      </c>
      <c r="D4004" t="inlineStr">
        <is>
          <t>30001087</t>
        </is>
      </c>
      <c r="E4004" t="inlineStr">
        <is>
          <t>ussd_funeral_leads_altitude_20260619</t>
        </is>
      </c>
      <c r="J4004" t="inlineStr">
        <is>
          <t>AA</t>
        </is>
      </c>
      <c r="K4004" t="inlineStr">
        <is>
          <t>Answering Machine Autodial</t>
        </is>
      </c>
      <c r="L4004" t="n">
        <v>3</v>
      </c>
      <c r="M4004" t="inlineStr">
        <is>
          <t>2026-06-23 09:22:59</t>
        </is>
      </c>
      <c r="N4004" t="inlineStr">
        <is>
          <t>system</t>
        </is>
      </c>
      <c r="O4004" t="inlineStr">
        <is>
          <t>2026-06-19 07:10:32</t>
        </is>
      </c>
      <c r="P4004" t="inlineStr">
        <is>
          <t>2026-06-19 07:10:32</t>
        </is>
      </c>
      <c r="Y4004" t="inlineStr">
        <is>
          <t>27711391555</t>
        </is>
      </c>
    </row>
    <row r="4005">
      <c r="A4005" t="inlineStr">
        <is>
          <t>14946981</t>
        </is>
      </c>
      <c r="B4005" t="inlineStr">
        <is>
          <t>8a15c7ad-c844-4c4c-989d-be49483797ff</t>
        </is>
      </c>
      <c r="D4005" t="inlineStr">
        <is>
          <t>30001087</t>
        </is>
      </c>
      <c r="E4005" t="inlineStr">
        <is>
          <t>ussd_funeral_leads_altitude_20260619</t>
        </is>
      </c>
      <c r="J4005" t="inlineStr">
        <is>
          <t>AA</t>
        </is>
      </c>
      <c r="K4005" t="inlineStr">
        <is>
          <t>Answering Machine Autodial</t>
        </is>
      </c>
      <c r="L4005" t="n">
        <v>3</v>
      </c>
      <c r="M4005" t="inlineStr">
        <is>
          <t>2026-06-23 09:22:58</t>
        </is>
      </c>
      <c r="N4005" t="inlineStr">
        <is>
          <t>system</t>
        </is>
      </c>
      <c r="O4005" t="inlineStr">
        <is>
          <t>2026-06-19 07:10:32</t>
        </is>
      </c>
      <c r="P4005" t="inlineStr">
        <is>
          <t>2026-06-19 07:10:32</t>
        </is>
      </c>
      <c r="Y4005" t="inlineStr">
        <is>
          <t>27822205170</t>
        </is>
      </c>
    </row>
    <row r="4006">
      <c r="A4006" t="inlineStr">
        <is>
          <t>14946982</t>
        </is>
      </c>
      <c r="B4006" t="inlineStr">
        <is>
          <t>6b9e0dd6-2e8d-4b62-a342-aaa8ed0d456b</t>
        </is>
      </c>
      <c r="D4006" t="inlineStr">
        <is>
          <t>30001087</t>
        </is>
      </c>
      <c r="E4006" t="inlineStr">
        <is>
          <t>ussd_funeral_leads_altitude_20260619</t>
        </is>
      </c>
      <c r="J4006" t="inlineStr">
        <is>
          <t>DNQS</t>
        </is>
      </c>
      <c r="K4006" t="inlineStr">
        <is>
          <t>Does Not Qualify</t>
        </is>
      </c>
      <c r="L4006" t="n">
        <v>3</v>
      </c>
      <c r="M4006" t="inlineStr">
        <is>
          <t>2026-06-23 09:22:58</t>
        </is>
      </c>
      <c r="N4006" t="inlineStr">
        <is>
          <t>Vuyiswa Nxumalo</t>
        </is>
      </c>
      <c r="O4006" t="inlineStr">
        <is>
          <t>2026-06-19 07:10:32</t>
        </is>
      </c>
      <c r="P4006" t="inlineStr">
        <is>
          <t>2026-06-19 07:10:32</t>
        </is>
      </c>
      <c r="Y4006" t="inlineStr">
        <is>
          <t>27648790956</t>
        </is>
      </c>
    </row>
    <row r="4007">
      <c r="A4007" t="inlineStr">
        <is>
          <t>14946983</t>
        </is>
      </c>
      <c r="B4007" t="inlineStr">
        <is>
          <t>aaf07507-2b01-4975-8e99-3824e3ef8c49</t>
        </is>
      </c>
      <c r="D4007" t="inlineStr">
        <is>
          <t>30001087</t>
        </is>
      </c>
      <c r="E4007" t="inlineStr">
        <is>
          <t>ussd_funeral_leads_altitude_20260619</t>
        </is>
      </c>
      <c r="J4007" t="inlineStr">
        <is>
          <t>NA</t>
        </is>
      </c>
      <c r="K4007" t="inlineStr">
        <is>
          <t>No Answer Autodial</t>
        </is>
      </c>
      <c r="L4007" t="n">
        <v>3</v>
      </c>
      <c r="M4007" t="inlineStr">
        <is>
          <t>2026-06-23 09:22:58</t>
        </is>
      </c>
      <c r="N4007" t="inlineStr">
        <is>
          <t>system</t>
        </is>
      </c>
      <c r="O4007" t="inlineStr">
        <is>
          <t>2026-06-19 07:10:32</t>
        </is>
      </c>
      <c r="P4007" t="inlineStr">
        <is>
          <t>2026-06-19 07:10:32</t>
        </is>
      </c>
      <c r="Y4007" t="inlineStr">
        <is>
          <t>27723584722</t>
        </is>
      </c>
    </row>
    <row r="4008">
      <c r="A4008" t="inlineStr">
        <is>
          <t>14947712</t>
        </is>
      </c>
      <c r="B4008" t="inlineStr">
        <is>
          <t>a5dd877b-295e-4a71-8561-1b8d3fb0f29b</t>
        </is>
      </c>
      <c r="D4008" t="inlineStr">
        <is>
          <t>30001087</t>
        </is>
      </c>
      <c r="E4008" t="inlineStr">
        <is>
          <t>ussd_funeral_leads_altitude_20260619</t>
        </is>
      </c>
      <c r="J4008" t="inlineStr">
        <is>
          <t>AA</t>
        </is>
      </c>
      <c r="K4008" t="inlineStr">
        <is>
          <t>Answering Machine Autodial</t>
        </is>
      </c>
      <c r="L4008" t="n">
        <v>3</v>
      </c>
      <c r="M4008" t="inlineStr">
        <is>
          <t>2026-06-23 09:22:48</t>
        </is>
      </c>
      <c r="N4008" t="inlineStr">
        <is>
          <t>system</t>
        </is>
      </c>
      <c r="O4008" t="inlineStr">
        <is>
          <t>2026-06-19 07:10:32</t>
        </is>
      </c>
      <c r="P4008" t="inlineStr">
        <is>
          <t>2026-06-19 07:10:32</t>
        </is>
      </c>
      <c r="Y4008" t="inlineStr">
        <is>
          <t>27720318537</t>
        </is>
      </c>
    </row>
    <row r="4009">
      <c r="A4009" t="inlineStr">
        <is>
          <t>14945482</t>
        </is>
      </c>
      <c r="B4009" t="inlineStr">
        <is>
          <t>16c2a8c7-9472-41d9-abea-56c0af5b3a01</t>
        </is>
      </c>
      <c r="D4009" t="inlineStr">
        <is>
          <t>30001087</t>
        </is>
      </c>
      <c r="E4009" t="inlineStr">
        <is>
          <t>ussd_funeral_leads_altitude_20260619</t>
        </is>
      </c>
      <c r="J4009" t="inlineStr">
        <is>
          <t>NA</t>
        </is>
      </c>
      <c r="K4009" t="inlineStr">
        <is>
          <t>No Answer Autodial</t>
        </is>
      </c>
      <c r="L4009" t="n">
        <v>3</v>
      </c>
      <c r="M4009" t="inlineStr">
        <is>
          <t>2026-06-23 09:21:14</t>
        </is>
      </c>
      <c r="N4009" t="inlineStr">
        <is>
          <t>system</t>
        </is>
      </c>
      <c r="O4009" t="inlineStr">
        <is>
          <t>2026-06-19 07:10:32</t>
        </is>
      </c>
      <c r="P4009" t="inlineStr">
        <is>
          <t>2026-06-19 07:10:32</t>
        </is>
      </c>
      <c r="Y4009" t="inlineStr">
        <is>
          <t>27727371000</t>
        </is>
      </c>
    </row>
    <row r="4010">
      <c r="A4010" t="inlineStr">
        <is>
          <t>14945481</t>
        </is>
      </c>
      <c r="B4010" t="inlineStr">
        <is>
          <t>4ca29872-f9af-4e30-be37-b106d420af5f</t>
        </is>
      </c>
      <c r="D4010" t="inlineStr">
        <is>
          <t>30001087</t>
        </is>
      </c>
      <c r="E4010" t="inlineStr">
        <is>
          <t>ussd_funeral_leads_altitude_20260619</t>
        </is>
      </c>
      <c r="J4010" t="inlineStr">
        <is>
          <t>ADC</t>
        </is>
      </c>
      <c r="K4010" t="inlineStr">
        <is>
          <t>Auto Dial Disconnected</t>
        </is>
      </c>
      <c r="L4010" t="n">
        <v>3</v>
      </c>
      <c r="M4010" t="inlineStr">
        <is>
          <t>2026-06-23 09:21:12</t>
        </is>
      </c>
      <c r="N4010" t="inlineStr">
        <is>
          <t>system</t>
        </is>
      </c>
      <c r="O4010" t="inlineStr">
        <is>
          <t>2026-06-19 07:10:32</t>
        </is>
      </c>
      <c r="P4010" t="inlineStr">
        <is>
          <t>2026-06-19 07:10:32</t>
        </is>
      </c>
      <c r="Y4010" t="inlineStr">
        <is>
          <t>27674764374</t>
        </is>
      </c>
    </row>
    <row r="4011">
      <c r="A4011" t="inlineStr">
        <is>
          <t>14945478</t>
        </is>
      </c>
      <c r="B4011" t="inlineStr">
        <is>
          <t>9cb2f41e-bc54-4f79-a194-6dd58ea37553</t>
        </is>
      </c>
      <c r="D4011" t="inlineStr">
        <is>
          <t>30001087</t>
        </is>
      </c>
      <c r="E4011" t="inlineStr">
        <is>
          <t>ussd_funeral_leads_altitude_20260619</t>
        </is>
      </c>
      <c r="J4011" t="inlineStr">
        <is>
          <t>ADC</t>
        </is>
      </c>
      <c r="K4011" t="inlineStr">
        <is>
          <t>Auto Dial Disconnected</t>
        </is>
      </c>
      <c r="L4011" t="n">
        <v>3</v>
      </c>
      <c r="M4011" t="inlineStr">
        <is>
          <t>2026-06-23 09:21:09</t>
        </is>
      </c>
      <c r="N4011" t="inlineStr">
        <is>
          <t>system</t>
        </is>
      </c>
      <c r="O4011" t="inlineStr">
        <is>
          <t>2026-06-19 07:10:32</t>
        </is>
      </c>
      <c r="P4011" t="inlineStr">
        <is>
          <t>2026-06-19 07:10:32</t>
        </is>
      </c>
      <c r="Y4011" t="inlineStr">
        <is>
          <t>27715032019</t>
        </is>
      </c>
    </row>
    <row r="4012">
      <c r="A4012" t="inlineStr">
        <is>
          <t>14945479</t>
        </is>
      </c>
      <c r="B4012" t="inlineStr">
        <is>
          <t>a9869d0b-a6c8-40db-a9d5-420ab02392e4</t>
        </is>
      </c>
      <c r="D4012" t="inlineStr">
        <is>
          <t>30001087</t>
        </is>
      </c>
      <c r="E4012" t="inlineStr">
        <is>
          <t>ussd_funeral_leads_altitude_20260619</t>
        </is>
      </c>
      <c r="J4012" t="inlineStr">
        <is>
          <t>ADC</t>
        </is>
      </c>
      <c r="K4012" t="inlineStr">
        <is>
          <t>Auto Dial Disconnected</t>
        </is>
      </c>
      <c r="L4012" t="n">
        <v>3</v>
      </c>
      <c r="M4012" t="inlineStr">
        <is>
          <t>2026-06-23 09:21:09</t>
        </is>
      </c>
      <c r="N4012" t="inlineStr">
        <is>
          <t>system</t>
        </is>
      </c>
      <c r="O4012" t="inlineStr">
        <is>
          <t>2026-06-19 07:10:32</t>
        </is>
      </c>
      <c r="P4012" t="inlineStr">
        <is>
          <t>2026-06-19 07:10:32</t>
        </is>
      </c>
      <c r="Y4012" t="inlineStr">
        <is>
          <t>27646252135</t>
        </is>
      </c>
    </row>
    <row r="4013">
      <c r="A4013" t="inlineStr">
        <is>
          <t>14945480</t>
        </is>
      </c>
      <c r="B4013" t="inlineStr">
        <is>
          <t>b3c178c5-414a-4d1b-aecf-d998285f767a</t>
        </is>
      </c>
      <c r="D4013" t="inlineStr">
        <is>
          <t>30001087</t>
        </is>
      </c>
      <c r="E4013" t="inlineStr">
        <is>
          <t>ussd_funeral_leads_altitude_20260619</t>
        </is>
      </c>
      <c r="J4013" t="inlineStr">
        <is>
          <t>ADC</t>
        </is>
      </c>
      <c r="K4013" t="inlineStr">
        <is>
          <t>Auto Dial Disconnected</t>
        </is>
      </c>
      <c r="L4013" t="n">
        <v>3</v>
      </c>
      <c r="M4013" t="inlineStr">
        <is>
          <t>2026-06-23 09:21:09</t>
        </is>
      </c>
      <c r="N4013" t="inlineStr">
        <is>
          <t>system</t>
        </is>
      </c>
      <c r="O4013" t="inlineStr">
        <is>
          <t>2026-06-19 07:10:32</t>
        </is>
      </c>
      <c r="P4013" t="inlineStr">
        <is>
          <t>2026-06-19 07:10:32</t>
        </is>
      </c>
      <c r="Y4013" t="inlineStr">
        <is>
          <t>27712839777</t>
        </is>
      </c>
    </row>
    <row r="4014">
      <c r="A4014" t="inlineStr">
        <is>
          <t>14945473</t>
        </is>
      </c>
      <c r="B4014" t="inlineStr">
        <is>
          <t>18cf8ad8-9196-40f0-880b-29bd439427d1</t>
        </is>
      </c>
      <c r="D4014" t="inlineStr">
        <is>
          <t>30001087</t>
        </is>
      </c>
      <c r="E4014" t="inlineStr">
        <is>
          <t>ussd_funeral_leads_altitude_20260619</t>
        </is>
      </c>
      <c r="J4014" t="inlineStr">
        <is>
          <t>ADC</t>
        </is>
      </c>
      <c r="K4014" t="inlineStr">
        <is>
          <t>Auto Dial Disconnected</t>
        </is>
      </c>
      <c r="L4014" t="n">
        <v>3</v>
      </c>
      <c r="M4014" t="inlineStr">
        <is>
          <t>2026-06-23 09:21:08</t>
        </is>
      </c>
      <c r="N4014" t="inlineStr">
        <is>
          <t>system</t>
        </is>
      </c>
      <c r="O4014" t="inlineStr">
        <is>
          <t>2026-06-19 07:10:32</t>
        </is>
      </c>
      <c r="P4014" t="inlineStr">
        <is>
          <t>2026-06-19 07:10:32</t>
        </is>
      </c>
      <c r="Y4014" t="inlineStr">
        <is>
          <t>27823116487</t>
        </is>
      </c>
    </row>
    <row r="4015">
      <c r="A4015" t="inlineStr">
        <is>
          <t>14945474</t>
        </is>
      </c>
      <c r="B4015" t="inlineStr">
        <is>
          <t>e23a0f55-88d9-4ace-86c8-6a7840167aa1</t>
        </is>
      </c>
      <c r="D4015" t="inlineStr">
        <is>
          <t>30001087</t>
        </is>
      </c>
      <c r="E4015" t="inlineStr">
        <is>
          <t>ussd_funeral_leads_altitude_20260619</t>
        </is>
      </c>
      <c r="J4015" t="inlineStr">
        <is>
          <t>AA</t>
        </is>
      </c>
      <c r="K4015" t="inlineStr">
        <is>
          <t>Answering Machine Autodial</t>
        </is>
      </c>
      <c r="L4015" t="n">
        <v>3</v>
      </c>
      <c r="M4015" t="inlineStr">
        <is>
          <t>2026-06-23 09:21:08</t>
        </is>
      </c>
      <c r="N4015" t="inlineStr">
        <is>
          <t>system</t>
        </is>
      </c>
      <c r="O4015" t="inlineStr">
        <is>
          <t>2026-06-19 07:10:32</t>
        </is>
      </c>
      <c r="P4015" t="inlineStr">
        <is>
          <t>2026-06-19 07:10:32</t>
        </is>
      </c>
      <c r="Y4015" t="inlineStr">
        <is>
          <t>27793833591</t>
        </is>
      </c>
    </row>
    <row r="4016">
      <c r="A4016" t="inlineStr">
        <is>
          <t>14945476</t>
        </is>
      </c>
      <c r="B4016" t="inlineStr">
        <is>
          <t>38b5798b-b9b0-4496-bf4d-4637c7259099</t>
        </is>
      </c>
      <c r="D4016" t="inlineStr">
        <is>
          <t>30001087</t>
        </is>
      </c>
      <c r="E4016" t="inlineStr">
        <is>
          <t>ussd_funeral_leads_altitude_20260619</t>
        </is>
      </c>
      <c r="J4016" t="inlineStr">
        <is>
          <t>AA</t>
        </is>
      </c>
      <c r="K4016" t="inlineStr">
        <is>
          <t>Answering Machine Autodial</t>
        </is>
      </c>
      <c r="L4016" t="n">
        <v>3</v>
      </c>
      <c r="M4016" t="inlineStr">
        <is>
          <t>2026-06-23 09:21:08</t>
        </is>
      </c>
      <c r="N4016" t="inlineStr">
        <is>
          <t>system</t>
        </is>
      </c>
      <c r="O4016" t="inlineStr">
        <is>
          <t>2026-06-19 07:10:32</t>
        </is>
      </c>
      <c r="P4016" t="inlineStr">
        <is>
          <t>2026-06-19 07:10:32</t>
        </is>
      </c>
      <c r="Y4016" t="inlineStr">
        <is>
          <t>27794496146</t>
        </is>
      </c>
    </row>
    <row r="4017">
      <c r="A4017" t="inlineStr">
        <is>
          <t>14945471</t>
        </is>
      </c>
      <c r="B4017" t="inlineStr">
        <is>
          <t>38d2e4ef-8a09-41a0-96ce-6897d9e0db42</t>
        </is>
      </c>
      <c r="D4017" t="inlineStr">
        <is>
          <t>30001087</t>
        </is>
      </c>
      <c r="E4017" t="inlineStr">
        <is>
          <t>ussd_funeral_leads_altitude_20260619</t>
        </is>
      </c>
      <c r="J4017" t="inlineStr">
        <is>
          <t>CUA</t>
        </is>
      </c>
      <c r="K4017" t="inlineStr">
        <is>
          <t>Client Underage</t>
        </is>
      </c>
      <c r="L4017" t="n">
        <v>3</v>
      </c>
      <c r="M4017" t="inlineStr">
        <is>
          <t>2026-06-23 09:21:03</t>
        </is>
      </c>
      <c r="N4017" t="inlineStr">
        <is>
          <t>Vuyiswa Nxumalo</t>
        </is>
      </c>
      <c r="O4017" t="inlineStr">
        <is>
          <t>2026-06-19 07:10:32</t>
        </is>
      </c>
      <c r="P4017" t="inlineStr">
        <is>
          <t>2026-06-19 07:10:32</t>
        </is>
      </c>
      <c r="Y4017" t="inlineStr">
        <is>
          <t>27764624109</t>
        </is>
      </c>
    </row>
    <row r="4018">
      <c r="A4018" t="inlineStr">
        <is>
          <t>14945472</t>
        </is>
      </c>
      <c r="B4018" t="inlineStr">
        <is>
          <t>511524e8-b8ee-4400-b7ed-026525b20f7a</t>
        </is>
      </c>
      <c r="D4018" t="inlineStr">
        <is>
          <t>30001087</t>
        </is>
      </c>
      <c r="E4018" t="inlineStr">
        <is>
          <t>ussd_funeral_leads_altitude_20260619</t>
        </is>
      </c>
      <c r="J4018" t="inlineStr">
        <is>
          <t>AA</t>
        </is>
      </c>
      <c r="K4018" t="inlineStr">
        <is>
          <t>Answering Machine Autodial</t>
        </is>
      </c>
      <c r="L4018" t="n">
        <v>3</v>
      </c>
      <c r="M4018" t="inlineStr">
        <is>
          <t>2026-06-23 09:21:03</t>
        </is>
      </c>
      <c r="N4018" t="inlineStr">
        <is>
          <t>system</t>
        </is>
      </c>
      <c r="O4018" t="inlineStr">
        <is>
          <t>2026-06-19 07:10:32</t>
        </is>
      </c>
      <c r="P4018" t="inlineStr">
        <is>
          <t>2026-06-19 07:10:32</t>
        </is>
      </c>
      <c r="Y4018" t="inlineStr">
        <is>
          <t>27662379358</t>
        </is>
      </c>
    </row>
    <row r="4019">
      <c r="A4019" t="inlineStr">
        <is>
          <t>14943892</t>
        </is>
      </c>
      <c r="B4019" t="inlineStr">
        <is>
          <t>af057186-1b17-4588-a653-2f5b3cf6853d</t>
        </is>
      </c>
      <c r="D4019" t="inlineStr">
        <is>
          <t>30001087</t>
        </is>
      </c>
      <c r="E4019" t="inlineStr">
        <is>
          <t>ussd_funeral_leads_altitude_20260619</t>
        </is>
      </c>
      <c r="J4019" t="inlineStr">
        <is>
          <t>AA</t>
        </is>
      </c>
      <c r="K4019" t="inlineStr">
        <is>
          <t>Answering Machine Autodial</t>
        </is>
      </c>
      <c r="L4019" t="n">
        <v>3</v>
      </c>
      <c r="M4019" t="inlineStr">
        <is>
          <t>2026-06-23 09:21:00</t>
        </is>
      </c>
      <c r="N4019" t="inlineStr">
        <is>
          <t>system</t>
        </is>
      </c>
      <c r="O4019" t="inlineStr">
        <is>
          <t>2026-06-19 07:10:32</t>
        </is>
      </c>
      <c r="P4019" t="inlineStr">
        <is>
          <t>2026-06-19 07:10:32</t>
        </is>
      </c>
      <c r="Y4019" t="inlineStr">
        <is>
          <t>27663135932</t>
        </is>
      </c>
    </row>
    <row r="4020">
      <c r="A4020" t="inlineStr">
        <is>
          <t>14945470</t>
        </is>
      </c>
      <c r="B4020" t="inlineStr">
        <is>
          <t>d0eb0393-8b7a-4066-b254-2f29218dd70c</t>
        </is>
      </c>
      <c r="D4020" t="inlineStr">
        <is>
          <t>30001087</t>
        </is>
      </c>
      <c r="E4020" t="inlineStr">
        <is>
          <t>ussd_funeral_leads_altitude_20260619</t>
        </is>
      </c>
      <c r="J4020" t="inlineStr">
        <is>
          <t>ADC</t>
        </is>
      </c>
      <c r="K4020" t="inlineStr">
        <is>
          <t>Auto Dial Disconnected</t>
        </is>
      </c>
      <c r="L4020" t="n">
        <v>3</v>
      </c>
      <c r="M4020" t="inlineStr">
        <is>
          <t>2026-06-23 09:21:00</t>
        </is>
      </c>
      <c r="N4020" t="inlineStr">
        <is>
          <t>system</t>
        </is>
      </c>
      <c r="O4020" t="inlineStr">
        <is>
          <t>2026-06-19 07:10:32</t>
        </is>
      </c>
      <c r="P4020" t="inlineStr">
        <is>
          <t>2026-06-19 07:10:32</t>
        </is>
      </c>
      <c r="Y4020" t="inlineStr">
        <is>
          <t>27662052523</t>
        </is>
      </c>
    </row>
    <row r="4021">
      <c r="A4021" t="inlineStr">
        <is>
          <t>14945529</t>
        </is>
      </c>
      <c r="B4021" t="inlineStr">
        <is>
          <t>4c574395-c9de-4ced-be41-4d4504ddf8e0</t>
        </is>
      </c>
      <c r="D4021" t="inlineStr">
        <is>
          <t>30001087</t>
        </is>
      </c>
      <c r="E4021" t="inlineStr">
        <is>
          <t>ussd_funeral_leads_altitude_20260619</t>
        </is>
      </c>
      <c r="J4021" t="inlineStr">
        <is>
          <t>CU</t>
        </is>
      </c>
      <c r="K4021" t="inlineStr">
        <is>
          <t>Client Hung Up</t>
        </is>
      </c>
      <c r="L4021" t="n">
        <v>3</v>
      </c>
      <c r="M4021" t="inlineStr">
        <is>
          <t>2026-06-23 09:20:11</t>
        </is>
      </c>
      <c r="N4021" t="inlineStr">
        <is>
          <t>Vuyiswa Nxumalo</t>
        </is>
      </c>
      <c r="O4021" t="inlineStr">
        <is>
          <t>2026-06-19 07:10:32</t>
        </is>
      </c>
      <c r="P4021" t="inlineStr">
        <is>
          <t>2026-06-19 07:10:32</t>
        </is>
      </c>
      <c r="Y4021" t="inlineStr">
        <is>
          <t>27774943812</t>
        </is>
      </c>
    </row>
    <row r="4022">
      <c r="A4022" t="inlineStr">
        <is>
          <t>14900000</t>
        </is>
      </c>
      <c r="B4022" t="inlineStr">
        <is>
          <t>8e2461bc-2195-4426-b471-6e1435ec9ae4</t>
        </is>
      </c>
      <c r="D4022" t="inlineStr">
        <is>
          <t>30001087</t>
        </is>
      </c>
      <c r="E4022" t="inlineStr">
        <is>
          <t>ussd_funeral_leads_altitude_20260619</t>
        </is>
      </c>
      <c r="J4022" t="inlineStr">
        <is>
          <t>CU</t>
        </is>
      </c>
      <c r="K4022" t="inlineStr">
        <is>
          <t>Client Hung Up</t>
        </is>
      </c>
      <c r="L4022" t="n">
        <v>3</v>
      </c>
      <c r="M4022" t="inlineStr">
        <is>
          <t>2026-06-23 09:20:11</t>
        </is>
      </c>
      <c r="N4022" t="inlineStr">
        <is>
          <t>Goitsimang Mogwasa</t>
        </is>
      </c>
      <c r="O4022" t="inlineStr">
        <is>
          <t>2026-06-19 07:10:32</t>
        </is>
      </c>
      <c r="P4022" t="inlineStr">
        <is>
          <t>2026-06-19 07:10:32</t>
        </is>
      </c>
      <c r="Y4022" t="inlineStr">
        <is>
          <t>27662336975</t>
        </is>
      </c>
    </row>
    <row r="4023">
      <c r="A4023" t="inlineStr">
        <is>
          <t>14945528</t>
        </is>
      </c>
      <c r="B4023" t="inlineStr">
        <is>
          <t>7ebcf3c5-6dda-4723-a0dc-727b47f20fa4</t>
        </is>
      </c>
      <c r="D4023" t="inlineStr">
        <is>
          <t>30001087</t>
        </is>
      </c>
      <c r="E4023" t="inlineStr">
        <is>
          <t>ussd_funeral_leads_altitude_20260619</t>
        </is>
      </c>
      <c r="J4023" t="inlineStr">
        <is>
          <t>AA</t>
        </is>
      </c>
      <c r="K4023" t="inlineStr">
        <is>
          <t>Answering Machine Autodial</t>
        </is>
      </c>
      <c r="L4023" t="n">
        <v>3</v>
      </c>
      <c r="M4023" t="inlineStr">
        <is>
          <t>2026-06-23 09:20:05</t>
        </is>
      </c>
      <c r="N4023" t="inlineStr">
        <is>
          <t>system</t>
        </is>
      </c>
      <c r="O4023" t="inlineStr">
        <is>
          <t>2026-06-19 07:10:32</t>
        </is>
      </c>
      <c r="P4023" t="inlineStr">
        <is>
          <t>2026-06-19 07:10:32</t>
        </is>
      </c>
      <c r="Y4023" t="inlineStr">
        <is>
          <t>27769387296</t>
        </is>
      </c>
    </row>
    <row r="4024">
      <c r="A4024" t="inlineStr">
        <is>
          <t>14945526</t>
        </is>
      </c>
      <c r="B4024" t="inlineStr">
        <is>
          <t>5ac3cf12-0df8-4b8f-97b9-f1a7b550cb58</t>
        </is>
      </c>
      <c r="D4024" t="inlineStr">
        <is>
          <t>30001087</t>
        </is>
      </c>
      <c r="E4024" t="inlineStr">
        <is>
          <t>ussd_funeral_leads_altitude_20260619</t>
        </is>
      </c>
      <c r="J4024" t="inlineStr">
        <is>
          <t>AA</t>
        </is>
      </c>
      <c r="K4024" t="inlineStr">
        <is>
          <t>Answering Machine Autodial</t>
        </is>
      </c>
      <c r="L4024" t="n">
        <v>3</v>
      </c>
      <c r="M4024" t="inlineStr">
        <is>
          <t>2026-06-23 09:19:55</t>
        </is>
      </c>
      <c r="N4024" t="inlineStr">
        <is>
          <t>system</t>
        </is>
      </c>
      <c r="O4024" t="inlineStr">
        <is>
          <t>2026-06-19 07:10:32</t>
        </is>
      </c>
      <c r="P4024" t="inlineStr">
        <is>
          <t>2026-06-19 07:10:32</t>
        </is>
      </c>
      <c r="Y4024" t="inlineStr">
        <is>
          <t>27712643469</t>
        </is>
      </c>
    </row>
    <row r="4025">
      <c r="A4025" t="inlineStr">
        <is>
          <t>14945525</t>
        </is>
      </c>
      <c r="B4025" t="inlineStr">
        <is>
          <t>37953c13-112f-429d-a7b9-b7bb5c4e2a69</t>
        </is>
      </c>
      <c r="D4025" t="inlineStr">
        <is>
          <t>30001087</t>
        </is>
      </c>
      <c r="E4025" t="inlineStr">
        <is>
          <t>ussd_funeral_leads_altitude_20260619</t>
        </is>
      </c>
      <c r="J4025" t="inlineStr">
        <is>
          <t>AA</t>
        </is>
      </c>
      <c r="K4025" t="inlineStr">
        <is>
          <t>Answering Machine Autodial</t>
        </is>
      </c>
      <c r="L4025" t="n">
        <v>3</v>
      </c>
      <c r="M4025" t="inlineStr">
        <is>
          <t>2026-06-23 09:19:53</t>
        </is>
      </c>
      <c r="N4025" t="inlineStr">
        <is>
          <t>system</t>
        </is>
      </c>
      <c r="O4025" t="inlineStr">
        <is>
          <t>2026-06-19 07:10:32</t>
        </is>
      </c>
      <c r="P4025" t="inlineStr">
        <is>
          <t>2026-06-19 07:10:32</t>
        </is>
      </c>
      <c r="Y4025" t="inlineStr">
        <is>
          <t>27716653871</t>
        </is>
      </c>
    </row>
    <row r="4026">
      <c r="A4026" t="inlineStr">
        <is>
          <t>14945522</t>
        </is>
      </c>
      <c r="B4026" t="inlineStr">
        <is>
          <t>b6bcc013-823f-4e6d-babf-998a4e2869aa</t>
        </is>
      </c>
      <c r="D4026" t="inlineStr">
        <is>
          <t>30001087</t>
        </is>
      </c>
      <c r="E4026" t="inlineStr">
        <is>
          <t>ussd_funeral_leads_altitude_20260619</t>
        </is>
      </c>
      <c r="J4026" t="inlineStr">
        <is>
          <t>AA</t>
        </is>
      </c>
      <c r="K4026" t="inlineStr">
        <is>
          <t>Answering Machine Autodial</t>
        </is>
      </c>
      <c r="L4026" t="n">
        <v>3</v>
      </c>
      <c r="M4026" t="inlineStr">
        <is>
          <t>2026-06-23 09:19:45</t>
        </is>
      </c>
      <c r="N4026" t="inlineStr">
        <is>
          <t>system</t>
        </is>
      </c>
      <c r="O4026" t="inlineStr">
        <is>
          <t>2026-06-19 07:10:32</t>
        </is>
      </c>
      <c r="P4026" t="inlineStr">
        <is>
          <t>2026-06-19 07:10:32</t>
        </is>
      </c>
      <c r="Y4026" t="inlineStr">
        <is>
          <t>27721771421</t>
        </is>
      </c>
    </row>
    <row r="4027">
      <c r="A4027" t="inlineStr">
        <is>
          <t>14945520</t>
        </is>
      </c>
      <c r="B4027" t="inlineStr">
        <is>
          <t>ad0887f6-068e-4b2c-bcbb-febbfe73cb9f</t>
        </is>
      </c>
      <c r="D4027" t="inlineStr">
        <is>
          <t>30001087</t>
        </is>
      </c>
      <c r="E4027" t="inlineStr">
        <is>
          <t>ussd_funeral_leads_altitude_20260619</t>
        </is>
      </c>
      <c r="J4027" t="inlineStr">
        <is>
          <t>ADC</t>
        </is>
      </c>
      <c r="K4027" t="inlineStr">
        <is>
          <t>Auto Dial Disconnected</t>
        </is>
      </c>
      <c r="L4027" t="n">
        <v>3</v>
      </c>
      <c r="M4027" t="inlineStr">
        <is>
          <t>2026-06-23 09:19:37</t>
        </is>
      </c>
      <c r="N4027" t="inlineStr">
        <is>
          <t>system</t>
        </is>
      </c>
      <c r="O4027" t="inlineStr">
        <is>
          <t>2026-06-19 07:10:32</t>
        </is>
      </c>
      <c r="P4027" t="inlineStr">
        <is>
          <t>2026-06-19 07:10:32</t>
        </is>
      </c>
      <c r="Y4027" t="inlineStr">
        <is>
          <t>27767614306</t>
        </is>
      </c>
    </row>
    <row r="4028">
      <c r="A4028" t="inlineStr">
        <is>
          <t>14945521</t>
        </is>
      </c>
      <c r="B4028" t="inlineStr">
        <is>
          <t>2b30478b-f152-41d9-a763-38b24817c871</t>
        </is>
      </c>
      <c r="D4028" t="inlineStr">
        <is>
          <t>30001087</t>
        </is>
      </c>
      <c r="E4028" t="inlineStr">
        <is>
          <t>ussd_funeral_leads_altitude_20260619</t>
        </is>
      </c>
      <c r="J4028" t="inlineStr">
        <is>
          <t>AA</t>
        </is>
      </c>
      <c r="K4028" t="inlineStr">
        <is>
          <t>Answering Machine Autodial</t>
        </is>
      </c>
      <c r="L4028" t="n">
        <v>3</v>
      </c>
      <c r="M4028" t="inlineStr">
        <is>
          <t>2026-06-23 09:19:37</t>
        </is>
      </c>
      <c r="N4028" t="inlineStr">
        <is>
          <t>system</t>
        </is>
      </c>
      <c r="O4028" t="inlineStr">
        <is>
          <t>2026-06-19 07:10:32</t>
        </is>
      </c>
      <c r="P4028" t="inlineStr">
        <is>
          <t>2026-06-19 07:10:32</t>
        </is>
      </c>
      <c r="Y4028" t="inlineStr">
        <is>
          <t>27727897058</t>
        </is>
      </c>
    </row>
    <row r="4029">
      <c r="A4029" t="inlineStr">
        <is>
          <t>14945517</t>
        </is>
      </c>
      <c r="B4029" t="inlineStr">
        <is>
          <t>502ef79f-c076-4fe9-b34b-49238636943e</t>
        </is>
      </c>
      <c r="D4029" t="inlineStr">
        <is>
          <t>30001087</t>
        </is>
      </c>
      <c r="E4029" t="inlineStr">
        <is>
          <t>ussd_funeral_leads_altitude_20260619</t>
        </is>
      </c>
      <c r="J4029" t="inlineStr">
        <is>
          <t>AA</t>
        </is>
      </c>
      <c r="K4029" t="inlineStr">
        <is>
          <t>Answering Machine Autodial</t>
        </is>
      </c>
      <c r="L4029" t="n">
        <v>3</v>
      </c>
      <c r="M4029" t="inlineStr">
        <is>
          <t>2026-06-23 09:19:31</t>
        </is>
      </c>
      <c r="N4029" t="inlineStr">
        <is>
          <t>system</t>
        </is>
      </c>
      <c r="O4029" t="inlineStr">
        <is>
          <t>2026-06-19 07:10:32</t>
        </is>
      </c>
      <c r="P4029" t="inlineStr">
        <is>
          <t>2026-06-19 07:10:32</t>
        </is>
      </c>
      <c r="Y4029" t="inlineStr">
        <is>
          <t>27729332508</t>
        </is>
      </c>
    </row>
    <row r="4030">
      <c r="A4030" t="inlineStr">
        <is>
          <t>14945518</t>
        </is>
      </c>
      <c r="B4030" t="inlineStr">
        <is>
          <t>9f9b8c75-2c2b-49ac-afef-084ed07faab0</t>
        </is>
      </c>
      <c r="D4030" t="inlineStr">
        <is>
          <t>30001087</t>
        </is>
      </c>
      <c r="E4030" t="inlineStr">
        <is>
          <t>ussd_funeral_leads_altitude_20260619</t>
        </is>
      </c>
      <c r="J4030" t="inlineStr">
        <is>
          <t>AA</t>
        </is>
      </c>
      <c r="K4030" t="inlineStr">
        <is>
          <t>Answering Machine Autodial</t>
        </is>
      </c>
      <c r="L4030" t="n">
        <v>3</v>
      </c>
      <c r="M4030" t="inlineStr">
        <is>
          <t>2026-06-23 09:19:31</t>
        </is>
      </c>
      <c r="N4030" t="inlineStr">
        <is>
          <t>system</t>
        </is>
      </c>
      <c r="O4030" t="inlineStr">
        <is>
          <t>2026-06-19 07:10:32</t>
        </is>
      </c>
      <c r="P4030" t="inlineStr">
        <is>
          <t>2026-06-19 07:10:32</t>
        </is>
      </c>
      <c r="Y4030" t="inlineStr">
        <is>
          <t>27607327204</t>
        </is>
      </c>
    </row>
    <row r="4031">
      <c r="A4031" t="inlineStr">
        <is>
          <t>14945519</t>
        </is>
      </c>
      <c r="B4031" t="inlineStr">
        <is>
          <t>9f215338-82f5-4c19-bdfd-3a648585ba25</t>
        </is>
      </c>
      <c r="D4031" t="inlineStr">
        <is>
          <t>30001087</t>
        </is>
      </c>
      <c r="E4031" t="inlineStr">
        <is>
          <t>ussd_funeral_leads_altitude_20260619</t>
        </is>
      </c>
      <c r="J4031" t="inlineStr">
        <is>
          <t>AA</t>
        </is>
      </c>
      <c r="K4031" t="inlineStr">
        <is>
          <t>Answering Machine Autodial</t>
        </is>
      </c>
      <c r="L4031" t="n">
        <v>3</v>
      </c>
      <c r="M4031" t="inlineStr">
        <is>
          <t>2026-06-23 09:19:31</t>
        </is>
      </c>
      <c r="N4031" t="inlineStr">
        <is>
          <t>system</t>
        </is>
      </c>
      <c r="O4031" t="inlineStr">
        <is>
          <t>2026-06-19 07:10:32</t>
        </is>
      </c>
      <c r="P4031" t="inlineStr">
        <is>
          <t>2026-06-19 07:10:32</t>
        </is>
      </c>
      <c r="Y4031" t="inlineStr">
        <is>
          <t>27765332357</t>
        </is>
      </c>
    </row>
    <row r="4032">
      <c r="A4032" t="inlineStr">
        <is>
          <t>14945504</t>
        </is>
      </c>
      <c r="B4032" t="inlineStr">
        <is>
          <t>c1d6427d-d848-4747-b00f-4e8bdbc59a04</t>
        </is>
      </c>
      <c r="D4032" t="inlineStr">
        <is>
          <t>30001087</t>
        </is>
      </c>
      <c r="E4032" t="inlineStr">
        <is>
          <t>ussd_funeral_leads_altitude_20260619</t>
        </is>
      </c>
      <c r="J4032" t="inlineStr">
        <is>
          <t>AA</t>
        </is>
      </c>
      <c r="K4032" t="inlineStr">
        <is>
          <t>Answering Machine Autodial</t>
        </is>
      </c>
      <c r="L4032" t="n">
        <v>3</v>
      </c>
      <c r="M4032" t="inlineStr">
        <is>
          <t>2026-06-23 09:19:30</t>
        </is>
      </c>
      <c r="N4032" t="inlineStr">
        <is>
          <t>system</t>
        </is>
      </c>
      <c r="O4032" t="inlineStr">
        <is>
          <t>2026-06-19 07:10:32</t>
        </is>
      </c>
      <c r="P4032" t="inlineStr">
        <is>
          <t>2026-06-19 07:10:32</t>
        </is>
      </c>
      <c r="Y4032" t="inlineStr">
        <is>
          <t>27772832012</t>
        </is>
      </c>
    </row>
    <row r="4033">
      <c r="A4033" t="inlineStr">
        <is>
          <t>14945516</t>
        </is>
      </c>
      <c r="B4033" t="inlineStr">
        <is>
          <t>5a040b82-c01b-459b-a4a2-680f196fea6c</t>
        </is>
      </c>
      <c r="D4033" t="inlineStr">
        <is>
          <t>30001087</t>
        </is>
      </c>
      <c r="E4033" t="inlineStr">
        <is>
          <t>ussd_funeral_leads_altitude_20260619</t>
        </is>
      </c>
      <c r="J4033" t="inlineStr">
        <is>
          <t>ADC</t>
        </is>
      </c>
      <c r="K4033" t="inlineStr">
        <is>
          <t>Auto Dial Disconnected</t>
        </is>
      </c>
      <c r="L4033" t="n">
        <v>3</v>
      </c>
      <c r="M4033" t="inlineStr">
        <is>
          <t>2026-06-23 09:19:30</t>
        </is>
      </c>
      <c r="N4033" t="inlineStr">
        <is>
          <t>system</t>
        </is>
      </c>
      <c r="O4033" t="inlineStr">
        <is>
          <t>2026-06-19 07:10:32</t>
        </is>
      </c>
      <c r="P4033" t="inlineStr">
        <is>
          <t>2026-06-19 07:10:32</t>
        </is>
      </c>
      <c r="Y4033" t="inlineStr">
        <is>
          <t>27791413033</t>
        </is>
      </c>
    </row>
    <row r="4034">
      <c r="A4034" t="inlineStr">
        <is>
          <t>14945501</t>
        </is>
      </c>
      <c r="B4034" t="inlineStr">
        <is>
          <t>adc28d21-84b6-4db4-af64-ef85678ee586</t>
        </is>
      </c>
      <c r="D4034" t="inlineStr">
        <is>
          <t>30001087</t>
        </is>
      </c>
      <c r="E4034" t="inlineStr">
        <is>
          <t>ussd_funeral_leads_altitude_20260619</t>
        </is>
      </c>
      <c r="J4034" t="inlineStr">
        <is>
          <t>ADC</t>
        </is>
      </c>
      <c r="K4034" t="inlineStr">
        <is>
          <t>Auto Dial Disconnected</t>
        </is>
      </c>
      <c r="L4034" t="n">
        <v>3</v>
      </c>
      <c r="M4034" t="inlineStr">
        <is>
          <t>2026-06-23 09:19:24</t>
        </is>
      </c>
      <c r="N4034" t="inlineStr">
        <is>
          <t>system</t>
        </is>
      </c>
      <c r="O4034" t="inlineStr">
        <is>
          <t>2026-06-19 07:10:32</t>
        </is>
      </c>
      <c r="P4034" t="inlineStr">
        <is>
          <t>2026-06-19 07:10:32</t>
        </is>
      </c>
      <c r="Y4034" t="inlineStr">
        <is>
          <t>27767984303</t>
        </is>
      </c>
    </row>
    <row r="4035">
      <c r="A4035" t="inlineStr">
        <is>
          <t>14945502</t>
        </is>
      </c>
      <c r="B4035" t="inlineStr">
        <is>
          <t>63d2b558-1080-4db0-8037-be75837658d7</t>
        </is>
      </c>
      <c r="D4035" t="inlineStr">
        <is>
          <t>30001087</t>
        </is>
      </c>
      <c r="E4035" t="inlineStr">
        <is>
          <t>ussd_funeral_leads_altitude_20260619</t>
        </is>
      </c>
      <c r="J4035" t="inlineStr">
        <is>
          <t>AA</t>
        </is>
      </c>
      <c r="K4035" t="inlineStr">
        <is>
          <t>Answering Machine Autodial</t>
        </is>
      </c>
      <c r="L4035" t="n">
        <v>3</v>
      </c>
      <c r="M4035" t="inlineStr">
        <is>
          <t>2026-06-23 09:19:24</t>
        </is>
      </c>
      <c r="N4035" t="inlineStr">
        <is>
          <t>system</t>
        </is>
      </c>
      <c r="O4035" t="inlineStr">
        <is>
          <t>2026-06-19 07:10:32</t>
        </is>
      </c>
      <c r="P4035" t="inlineStr">
        <is>
          <t>2026-06-19 07:10:32</t>
        </is>
      </c>
      <c r="Y4035" t="inlineStr">
        <is>
          <t>27794935576</t>
        </is>
      </c>
    </row>
    <row r="4036">
      <c r="A4036" t="inlineStr">
        <is>
          <t>14945503</t>
        </is>
      </c>
      <c r="B4036" t="inlineStr">
        <is>
          <t>c7f9712e-48da-4f7b-b539-3768ef3d692f</t>
        </is>
      </c>
      <c r="D4036" t="inlineStr">
        <is>
          <t>30001087</t>
        </is>
      </c>
      <c r="E4036" t="inlineStr">
        <is>
          <t>ussd_funeral_leads_altitude_20260619</t>
        </is>
      </c>
      <c r="J4036" t="inlineStr">
        <is>
          <t>NA</t>
        </is>
      </c>
      <c r="K4036" t="inlineStr">
        <is>
          <t>No Answer Autodial</t>
        </is>
      </c>
      <c r="L4036" t="n">
        <v>3</v>
      </c>
      <c r="M4036" t="inlineStr">
        <is>
          <t>2026-06-23 09:19:24</t>
        </is>
      </c>
      <c r="N4036" t="inlineStr">
        <is>
          <t>system</t>
        </is>
      </c>
      <c r="O4036" t="inlineStr">
        <is>
          <t>2026-06-19 07:10:32</t>
        </is>
      </c>
      <c r="P4036" t="inlineStr">
        <is>
          <t>2026-06-19 07:10:32</t>
        </is>
      </c>
      <c r="Y4036" t="inlineStr">
        <is>
          <t>27825740982</t>
        </is>
      </c>
    </row>
    <row r="4037">
      <c r="A4037" t="inlineStr">
        <is>
          <t>14945498</t>
        </is>
      </c>
      <c r="B4037" t="inlineStr">
        <is>
          <t>3af4587b-fb0b-4808-9e73-bf57802aee6b</t>
        </is>
      </c>
      <c r="D4037" t="inlineStr">
        <is>
          <t>30001087</t>
        </is>
      </c>
      <c r="E4037" t="inlineStr">
        <is>
          <t>ussd_funeral_leads_altitude_20260619</t>
        </is>
      </c>
      <c r="J4037" t="inlineStr">
        <is>
          <t>NA</t>
        </is>
      </c>
      <c r="K4037" t="inlineStr">
        <is>
          <t>No Answer Autodial</t>
        </is>
      </c>
      <c r="L4037" t="n">
        <v>3</v>
      </c>
      <c r="M4037" t="inlineStr">
        <is>
          <t>2026-06-23 09:19:23</t>
        </is>
      </c>
      <c r="N4037" t="inlineStr">
        <is>
          <t>system</t>
        </is>
      </c>
      <c r="O4037" t="inlineStr">
        <is>
          <t>2026-06-19 07:10:32</t>
        </is>
      </c>
      <c r="P4037" t="inlineStr">
        <is>
          <t>2026-06-19 07:10:32</t>
        </is>
      </c>
      <c r="Y4037" t="inlineStr">
        <is>
          <t>27660840616</t>
        </is>
      </c>
    </row>
    <row r="4038">
      <c r="A4038" t="inlineStr">
        <is>
          <t>14945499</t>
        </is>
      </c>
      <c r="B4038" t="inlineStr">
        <is>
          <t>3b689222-f257-4a12-b3bc-feb13f28fbe5</t>
        </is>
      </c>
      <c r="D4038" t="inlineStr">
        <is>
          <t>30001087</t>
        </is>
      </c>
      <c r="E4038" t="inlineStr">
        <is>
          <t>ussd_funeral_leads_altitude_20260619</t>
        </is>
      </c>
      <c r="J4038" t="inlineStr">
        <is>
          <t>TDN</t>
        </is>
      </c>
      <c r="K4038" t="inlineStr">
        <is>
          <t>Temporary Disconnected Number</t>
        </is>
      </c>
      <c r="L4038" t="n">
        <v>3</v>
      </c>
      <c r="M4038" t="inlineStr">
        <is>
          <t>2026-06-23 09:19:23</t>
        </is>
      </c>
      <c r="N4038" t="inlineStr">
        <is>
          <t>system</t>
        </is>
      </c>
      <c r="O4038" t="inlineStr">
        <is>
          <t>2026-06-19 07:10:32</t>
        </is>
      </c>
      <c r="P4038" t="inlineStr">
        <is>
          <t>2026-06-19 07:10:32</t>
        </is>
      </c>
      <c r="Y4038" t="inlineStr">
        <is>
          <t>27713929690</t>
        </is>
      </c>
    </row>
    <row r="4039">
      <c r="A4039" t="inlineStr">
        <is>
          <t>14945500</t>
        </is>
      </c>
      <c r="B4039" t="inlineStr">
        <is>
          <t>2de6bdb5-7239-4c11-a221-d07cd4d62e09</t>
        </is>
      </c>
      <c r="D4039" t="inlineStr">
        <is>
          <t>30001087</t>
        </is>
      </c>
      <c r="E4039" t="inlineStr">
        <is>
          <t>ussd_funeral_leads_altitude_20260619</t>
        </is>
      </c>
      <c r="J4039" t="inlineStr">
        <is>
          <t>AA</t>
        </is>
      </c>
      <c r="K4039" t="inlineStr">
        <is>
          <t>Answering Machine Autodial</t>
        </is>
      </c>
      <c r="L4039" t="n">
        <v>3</v>
      </c>
      <c r="M4039" t="inlineStr">
        <is>
          <t>2026-06-23 09:19:23</t>
        </is>
      </c>
      <c r="N4039" t="inlineStr">
        <is>
          <t>system</t>
        </is>
      </c>
      <c r="O4039" t="inlineStr">
        <is>
          <t>2026-06-19 07:10:32</t>
        </is>
      </c>
      <c r="P4039" t="inlineStr">
        <is>
          <t>2026-06-19 07:10:32</t>
        </is>
      </c>
      <c r="Y4039" t="inlineStr">
        <is>
          <t>27799371821</t>
        </is>
      </c>
    </row>
    <row r="4040">
      <c r="A4040" t="inlineStr">
        <is>
          <t>14945497</t>
        </is>
      </c>
      <c r="B4040" t="inlineStr">
        <is>
          <t>f0759376-16d5-4c74-a294-a1554fe53d47</t>
        </is>
      </c>
      <c r="D4040" t="inlineStr">
        <is>
          <t>30001087</t>
        </is>
      </c>
      <c r="E4040" t="inlineStr">
        <is>
          <t>ussd_funeral_leads_altitude_20260619</t>
        </is>
      </c>
      <c r="J4040" t="inlineStr">
        <is>
          <t>AA</t>
        </is>
      </c>
      <c r="K4040" t="inlineStr">
        <is>
          <t>Answering Machine Autodial</t>
        </is>
      </c>
      <c r="L4040" t="n">
        <v>3</v>
      </c>
      <c r="M4040" t="inlineStr">
        <is>
          <t>2026-06-23 09:19:18</t>
        </is>
      </c>
      <c r="N4040" t="inlineStr">
        <is>
          <t>system</t>
        </is>
      </c>
      <c r="O4040" t="inlineStr">
        <is>
          <t>2026-06-19 07:10:32</t>
        </is>
      </c>
      <c r="P4040" t="inlineStr">
        <is>
          <t>2026-06-19 07:10:32</t>
        </is>
      </c>
      <c r="Y4040" t="inlineStr">
        <is>
          <t>27799092934</t>
        </is>
      </c>
    </row>
    <row r="4041">
      <c r="A4041" t="inlineStr">
        <is>
          <t>14945495</t>
        </is>
      </c>
      <c r="B4041" t="inlineStr">
        <is>
          <t>06c3ab46-372d-402c-913c-1e3f663ca597</t>
        </is>
      </c>
      <c r="D4041" t="inlineStr">
        <is>
          <t>30001087</t>
        </is>
      </c>
      <c r="E4041" t="inlineStr">
        <is>
          <t>ussd_funeral_leads_altitude_20260619</t>
        </is>
      </c>
      <c r="J4041" t="inlineStr">
        <is>
          <t>AA</t>
        </is>
      </c>
      <c r="K4041" t="inlineStr">
        <is>
          <t>Answering Machine Autodial</t>
        </is>
      </c>
      <c r="L4041" t="n">
        <v>3</v>
      </c>
      <c r="M4041" t="inlineStr">
        <is>
          <t>2026-06-23 09:19:11</t>
        </is>
      </c>
      <c r="N4041" t="inlineStr">
        <is>
          <t>system</t>
        </is>
      </c>
      <c r="O4041" t="inlineStr">
        <is>
          <t>2026-06-19 07:10:32</t>
        </is>
      </c>
      <c r="P4041" t="inlineStr">
        <is>
          <t>2026-06-19 07:10:32</t>
        </is>
      </c>
      <c r="Y4041" t="inlineStr">
        <is>
          <t>27665529223</t>
        </is>
      </c>
    </row>
    <row r="4042">
      <c r="A4042" t="inlineStr">
        <is>
          <t>14945496</t>
        </is>
      </c>
      <c r="B4042" t="inlineStr">
        <is>
          <t>55eb8242-74ff-44e4-9948-4b1454b9413f</t>
        </is>
      </c>
      <c r="D4042" t="inlineStr">
        <is>
          <t>30001087</t>
        </is>
      </c>
      <c r="E4042" t="inlineStr">
        <is>
          <t>ussd_funeral_leads_altitude_20260619</t>
        </is>
      </c>
      <c r="J4042" t="inlineStr">
        <is>
          <t>TDN</t>
        </is>
      </c>
      <c r="K4042" t="inlineStr">
        <is>
          <t>Temporary Disconnected Number</t>
        </is>
      </c>
      <c r="L4042" t="n">
        <v>3</v>
      </c>
      <c r="M4042" t="inlineStr">
        <is>
          <t>2026-06-23 09:19:11</t>
        </is>
      </c>
      <c r="N4042" t="inlineStr">
        <is>
          <t>system</t>
        </is>
      </c>
      <c r="O4042" t="inlineStr">
        <is>
          <t>2026-06-19 07:10:32</t>
        </is>
      </c>
      <c r="P4042" t="inlineStr">
        <is>
          <t>2026-06-19 07:10:32</t>
        </is>
      </c>
      <c r="Y4042" t="inlineStr">
        <is>
          <t>27662285953</t>
        </is>
      </c>
    </row>
    <row r="4043">
      <c r="A4043" t="inlineStr">
        <is>
          <t>14947489</t>
        </is>
      </c>
      <c r="B4043" t="inlineStr">
        <is>
          <t>6c9d06ae-aab0-4e35-a161-bb67f854e3e6</t>
        </is>
      </c>
      <c r="D4043" t="inlineStr">
        <is>
          <t>30001087</t>
        </is>
      </c>
      <c r="E4043" t="inlineStr">
        <is>
          <t>ussd_funeral_leads_altitude_20260619</t>
        </is>
      </c>
      <c r="J4043" t="inlineStr">
        <is>
          <t>N</t>
        </is>
      </c>
      <c r="K4043" t="inlineStr">
        <is>
          <t>No Answer</t>
        </is>
      </c>
      <c r="L4043" t="n">
        <v>6</v>
      </c>
      <c r="M4043" t="inlineStr">
        <is>
          <t>2026-06-23 09:18:49</t>
        </is>
      </c>
      <c r="N4043" t="inlineStr">
        <is>
          <t>Bongiwe Precious Cele</t>
        </is>
      </c>
      <c r="O4043" t="inlineStr">
        <is>
          <t>2026-06-19 07:10:32</t>
        </is>
      </c>
      <c r="P4043" t="inlineStr">
        <is>
          <t>2026-06-19 07:10:32</t>
        </is>
      </c>
      <c r="Y4043" t="inlineStr">
        <is>
          <t>27790824210</t>
        </is>
      </c>
    </row>
    <row r="4044">
      <c r="A4044" t="inlineStr">
        <is>
          <t>14943898</t>
        </is>
      </c>
      <c r="B4044" t="inlineStr">
        <is>
          <t>0c527a05-e827-4682-93bc-d5229c1e04b7</t>
        </is>
      </c>
      <c r="D4044" t="inlineStr">
        <is>
          <t>30001087</t>
        </is>
      </c>
      <c r="E4044" t="inlineStr">
        <is>
          <t>ussd_funeral_leads_altitude_20260619</t>
        </is>
      </c>
      <c r="J4044" t="inlineStr">
        <is>
          <t>NA</t>
        </is>
      </c>
      <c r="K4044" t="inlineStr">
        <is>
          <t>No Answer Autodial</t>
        </is>
      </c>
      <c r="L4044" t="n">
        <v>3</v>
      </c>
      <c r="M4044" t="inlineStr">
        <is>
          <t>2026-06-23 09:18:44</t>
        </is>
      </c>
      <c r="N4044" t="inlineStr">
        <is>
          <t>system</t>
        </is>
      </c>
      <c r="O4044" t="inlineStr">
        <is>
          <t>2026-06-19 07:10:32</t>
        </is>
      </c>
      <c r="P4044" t="inlineStr">
        <is>
          <t>2026-06-19 07:10:32</t>
        </is>
      </c>
      <c r="Y4044" t="inlineStr">
        <is>
          <t>27818012138</t>
        </is>
      </c>
    </row>
    <row r="4045">
      <c r="A4045" t="inlineStr">
        <is>
          <t>14945515</t>
        </is>
      </c>
      <c r="B4045" t="inlineStr">
        <is>
          <t>0c735993-5051-4b01-a907-8a71f819b729</t>
        </is>
      </c>
      <c r="D4045" t="inlineStr">
        <is>
          <t>30001087</t>
        </is>
      </c>
      <c r="E4045" t="inlineStr">
        <is>
          <t>ussd_funeral_leads_altitude_20260619</t>
        </is>
      </c>
      <c r="J4045" t="inlineStr">
        <is>
          <t>AA</t>
        </is>
      </c>
      <c r="K4045" t="inlineStr">
        <is>
          <t>Answering Machine Autodial</t>
        </is>
      </c>
      <c r="L4045" t="n">
        <v>3</v>
      </c>
      <c r="M4045" t="inlineStr">
        <is>
          <t>2026-06-23 09:18:15</t>
        </is>
      </c>
      <c r="N4045" t="inlineStr">
        <is>
          <t>system</t>
        </is>
      </c>
      <c r="O4045" t="inlineStr">
        <is>
          <t>2026-06-19 07:10:32</t>
        </is>
      </c>
      <c r="P4045" t="inlineStr">
        <is>
          <t>2026-06-19 07:10:32</t>
        </is>
      </c>
      <c r="Y4045" t="inlineStr">
        <is>
          <t>27637040965</t>
        </is>
      </c>
    </row>
    <row r="4046">
      <c r="A4046" t="inlineStr">
        <is>
          <t>14945514</t>
        </is>
      </c>
      <c r="B4046" t="inlineStr">
        <is>
          <t>09cd6da2-2aa8-43e8-b0f3-dc9bb133085a</t>
        </is>
      </c>
      <c r="D4046" t="inlineStr">
        <is>
          <t>30001087</t>
        </is>
      </c>
      <c r="E4046" t="inlineStr">
        <is>
          <t>ussd_funeral_leads_altitude_20260619</t>
        </is>
      </c>
      <c r="J4046" t="inlineStr">
        <is>
          <t>AA</t>
        </is>
      </c>
      <c r="K4046" t="inlineStr">
        <is>
          <t>Answering Machine Autodial</t>
        </is>
      </c>
      <c r="L4046" t="n">
        <v>3</v>
      </c>
      <c r="M4046" t="inlineStr">
        <is>
          <t>2026-06-23 09:18:13</t>
        </is>
      </c>
      <c r="N4046" t="inlineStr">
        <is>
          <t>system</t>
        </is>
      </c>
      <c r="O4046" t="inlineStr">
        <is>
          <t>2026-06-19 07:10:32</t>
        </is>
      </c>
      <c r="P4046" t="inlineStr">
        <is>
          <t>2026-06-19 07:10:32</t>
        </is>
      </c>
      <c r="Y4046" t="inlineStr">
        <is>
          <t>27772544649</t>
        </is>
      </c>
    </row>
    <row r="4047">
      <c r="A4047" t="inlineStr">
        <is>
          <t>14945513</t>
        </is>
      </c>
      <c r="B4047" t="inlineStr">
        <is>
          <t>6d48a040-b0f2-4c54-add6-683b030871a1</t>
        </is>
      </c>
      <c r="D4047" t="inlineStr">
        <is>
          <t>30001087</t>
        </is>
      </c>
      <c r="E4047" t="inlineStr">
        <is>
          <t>ussd_funeral_leads_altitude_20260619</t>
        </is>
      </c>
      <c r="J4047" t="inlineStr">
        <is>
          <t>AA</t>
        </is>
      </c>
      <c r="K4047" t="inlineStr">
        <is>
          <t>Answering Machine Autodial</t>
        </is>
      </c>
      <c r="L4047" t="n">
        <v>3</v>
      </c>
      <c r="M4047" t="inlineStr">
        <is>
          <t>2026-06-23 09:18:10</t>
        </is>
      </c>
      <c r="N4047" t="inlineStr">
        <is>
          <t>system</t>
        </is>
      </c>
      <c r="O4047" t="inlineStr">
        <is>
          <t>2026-06-19 07:10:32</t>
        </is>
      </c>
      <c r="P4047" t="inlineStr">
        <is>
          <t>2026-06-19 07:10:32</t>
        </is>
      </c>
      <c r="Y4047" t="inlineStr">
        <is>
          <t>27760618427</t>
        </is>
      </c>
    </row>
    <row r="4048">
      <c r="A4048" t="inlineStr">
        <is>
          <t>14945512</t>
        </is>
      </c>
      <c r="B4048" t="inlineStr">
        <is>
          <t>cfbecce9-90e7-481d-9778-ae9420db4e85</t>
        </is>
      </c>
      <c r="D4048" t="inlineStr">
        <is>
          <t>30001087</t>
        </is>
      </c>
      <c r="E4048" t="inlineStr">
        <is>
          <t>ussd_funeral_leads_altitude_20260619</t>
        </is>
      </c>
      <c r="J4048" t="inlineStr">
        <is>
          <t>DROP</t>
        </is>
      </c>
      <c r="K4048" t="inlineStr">
        <is>
          <t>Dropped</t>
        </is>
      </c>
      <c r="L4048" t="n">
        <v>3</v>
      </c>
      <c r="M4048" t="inlineStr">
        <is>
          <t>2026-06-23 09:18:05</t>
        </is>
      </c>
      <c r="N4048" t="inlineStr">
        <is>
          <t>system</t>
        </is>
      </c>
      <c r="O4048" t="inlineStr">
        <is>
          <t>2026-06-19 07:10:32</t>
        </is>
      </c>
      <c r="P4048" t="inlineStr">
        <is>
          <t>2026-06-19 07:10:32</t>
        </is>
      </c>
      <c r="Y4048" t="inlineStr">
        <is>
          <t>27763915707</t>
        </is>
      </c>
    </row>
    <row r="4049">
      <c r="A4049" t="inlineStr">
        <is>
          <t>14945506</t>
        </is>
      </c>
      <c r="B4049" t="inlineStr">
        <is>
          <t>f27f6626-79e9-4a8b-b964-9268595237fd</t>
        </is>
      </c>
      <c r="D4049" t="inlineStr">
        <is>
          <t>30001087</t>
        </is>
      </c>
      <c r="E4049" t="inlineStr">
        <is>
          <t>ussd_funeral_leads_altitude_20260619</t>
        </is>
      </c>
      <c r="J4049" t="inlineStr">
        <is>
          <t>NA</t>
        </is>
      </c>
      <c r="K4049" t="inlineStr">
        <is>
          <t>No Answer Autodial</t>
        </is>
      </c>
      <c r="L4049" t="n">
        <v>3</v>
      </c>
      <c r="M4049" t="inlineStr">
        <is>
          <t>2026-06-23 09:18:04</t>
        </is>
      </c>
      <c r="N4049" t="inlineStr">
        <is>
          <t>system</t>
        </is>
      </c>
      <c r="O4049" t="inlineStr">
        <is>
          <t>2026-06-19 07:10:32</t>
        </is>
      </c>
      <c r="P4049" t="inlineStr">
        <is>
          <t>2026-06-19 07:10:32</t>
        </is>
      </c>
      <c r="Y4049" t="inlineStr">
        <is>
          <t>27760202270</t>
        </is>
      </c>
    </row>
    <row r="4050">
      <c r="A4050" t="inlineStr">
        <is>
          <t>14945507</t>
        </is>
      </c>
      <c r="B4050" t="inlineStr">
        <is>
          <t>47bffdf1-86ec-440b-965a-89401abde5ed</t>
        </is>
      </c>
      <c r="D4050" t="inlineStr">
        <is>
          <t>30001087</t>
        </is>
      </c>
      <c r="E4050" t="inlineStr">
        <is>
          <t>ussd_funeral_leads_altitude_20260619</t>
        </is>
      </c>
      <c r="J4050" t="inlineStr">
        <is>
          <t>AA</t>
        </is>
      </c>
      <c r="K4050" t="inlineStr">
        <is>
          <t>Answering Machine Autodial</t>
        </is>
      </c>
      <c r="L4050" t="n">
        <v>3</v>
      </c>
      <c r="M4050" t="inlineStr">
        <is>
          <t>2026-06-23 09:18:04</t>
        </is>
      </c>
      <c r="N4050" t="inlineStr">
        <is>
          <t>system</t>
        </is>
      </c>
      <c r="O4050" t="inlineStr">
        <is>
          <t>2026-06-19 07:10:32</t>
        </is>
      </c>
      <c r="P4050" t="inlineStr">
        <is>
          <t>2026-06-19 07:10:32</t>
        </is>
      </c>
      <c r="Y4050" t="inlineStr">
        <is>
          <t>27726914158</t>
        </is>
      </c>
    </row>
    <row r="4051">
      <c r="A4051" t="inlineStr">
        <is>
          <t>14945509</t>
        </is>
      </c>
      <c r="B4051" t="inlineStr">
        <is>
          <t>613094c5-7db7-4abf-b494-bdf55db2024d</t>
        </is>
      </c>
      <c r="D4051" t="inlineStr">
        <is>
          <t>30001087</t>
        </is>
      </c>
      <c r="E4051" t="inlineStr">
        <is>
          <t>ussd_funeral_leads_altitude_20260619</t>
        </is>
      </c>
      <c r="J4051" t="inlineStr">
        <is>
          <t>ADC</t>
        </is>
      </c>
      <c r="K4051" t="inlineStr">
        <is>
          <t>Auto Dial Disconnected</t>
        </is>
      </c>
      <c r="L4051" t="n">
        <v>3</v>
      </c>
      <c r="M4051" t="inlineStr">
        <is>
          <t>2026-06-23 09:18:04</t>
        </is>
      </c>
      <c r="N4051" t="inlineStr">
        <is>
          <t>system</t>
        </is>
      </c>
      <c r="O4051" t="inlineStr">
        <is>
          <t>2026-06-19 07:10:32</t>
        </is>
      </c>
      <c r="P4051" t="inlineStr">
        <is>
          <t>2026-06-19 07:10:32</t>
        </is>
      </c>
      <c r="Y4051" t="inlineStr">
        <is>
          <t>27665108026</t>
        </is>
      </c>
    </row>
    <row r="4052">
      <c r="A4052" t="inlineStr">
        <is>
          <t>14945510</t>
        </is>
      </c>
      <c r="B4052" t="inlineStr">
        <is>
          <t>7820c277-2aef-493f-b8d9-85bac72260be</t>
        </is>
      </c>
      <c r="D4052" t="inlineStr">
        <is>
          <t>30001087</t>
        </is>
      </c>
      <c r="E4052" t="inlineStr">
        <is>
          <t>ussd_funeral_leads_altitude_20260619</t>
        </is>
      </c>
      <c r="J4052" t="inlineStr">
        <is>
          <t>AA</t>
        </is>
      </c>
      <c r="K4052" t="inlineStr">
        <is>
          <t>Answering Machine Autodial</t>
        </is>
      </c>
      <c r="L4052" t="n">
        <v>3</v>
      </c>
      <c r="M4052" t="inlineStr">
        <is>
          <t>2026-06-23 09:18:04</t>
        </is>
      </c>
      <c r="N4052" t="inlineStr">
        <is>
          <t>system</t>
        </is>
      </c>
      <c r="O4052" t="inlineStr">
        <is>
          <t>2026-06-19 07:10:32</t>
        </is>
      </c>
      <c r="P4052" t="inlineStr">
        <is>
          <t>2026-06-19 07:10:32</t>
        </is>
      </c>
      <c r="Y4052" t="inlineStr">
        <is>
          <t>27713547070</t>
        </is>
      </c>
    </row>
    <row r="4053">
      <c r="A4053" t="inlineStr">
        <is>
          <t>14945511</t>
        </is>
      </c>
      <c r="B4053" t="inlineStr">
        <is>
          <t>0d7084d7-1b3a-4945-b089-70daceacd4a8</t>
        </is>
      </c>
      <c r="D4053" t="inlineStr">
        <is>
          <t>30001087</t>
        </is>
      </c>
      <c r="E4053" t="inlineStr">
        <is>
          <t>ussd_funeral_leads_altitude_20260619</t>
        </is>
      </c>
      <c r="J4053" t="inlineStr">
        <is>
          <t>NA</t>
        </is>
      </c>
      <c r="K4053" t="inlineStr">
        <is>
          <t>No Answer Autodial</t>
        </is>
      </c>
      <c r="L4053" t="n">
        <v>3</v>
      </c>
      <c r="M4053" t="inlineStr">
        <is>
          <t>2026-06-23 09:18:04</t>
        </is>
      </c>
      <c r="N4053" t="inlineStr">
        <is>
          <t>system</t>
        </is>
      </c>
      <c r="O4053" t="inlineStr">
        <is>
          <t>2026-06-19 07:10:32</t>
        </is>
      </c>
      <c r="P4053" t="inlineStr">
        <is>
          <t>2026-06-19 07:10:32</t>
        </is>
      </c>
      <c r="Y4053" t="inlineStr">
        <is>
          <t>27799833169</t>
        </is>
      </c>
    </row>
    <row r="4054">
      <c r="A4054" t="inlineStr">
        <is>
          <t>14945505</t>
        </is>
      </c>
      <c r="B4054" t="inlineStr">
        <is>
          <t>fc434e0a-bfe6-4c73-bf07-ce5b8bf53309</t>
        </is>
      </c>
      <c r="D4054" t="inlineStr">
        <is>
          <t>30001087</t>
        </is>
      </c>
      <c r="E4054" t="inlineStr">
        <is>
          <t>ussd_funeral_leads_altitude_20260619</t>
        </is>
      </c>
      <c r="J4054" t="inlineStr">
        <is>
          <t>AA</t>
        </is>
      </c>
      <c r="K4054" t="inlineStr">
        <is>
          <t>Answering Machine Autodial</t>
        </is>
      </c>
      <c r="L4054" t="n">
        <v>3</v>
      </c>
      <c r="M4054" t="inlineStr">
        <is>
          <t>2026-06-23 09:17:25</t>
        </is>
      </c>
      <c r="N4054" t="inlineStr">
        <is>
          <t>system</t>
        </is>
      </c>
      <c r="O4054" t="inlineStr">
        <is>
          <t>2026-06-19 07:10:32</t>
        </is>
      </c>
      <c r="P4054" t="inlineStr">
        <is>
          <t>2026-06-19 07:10:32</t>
        </is>
      </c>
      <c r="Y4054" t="inlineStr">
        <is>
          <t>27716344454</t>
        </is>
      </c>
    </row>
    <row r="4055">
      <c r="A4055" t="inlineStr">
        <is>
          <t>14943902</t>
        </is>
      </c>
      <c r="B4055" t="inlineStr">
        <is>
          <t>d6e853aa-c434-48ca-9fc7-afcc268c25ec</t>
        </is>
      </c>
      <c r="D4055" t="inlineStr">
        <is>
          <t>30001087</t>
        </is>
      </c>
      <c r="E4055" t="inlineStr">
        <is>
          <t>ussd_funeral_leads_altitude_20260619</t>
        </is>
      </c>
      <c r="J4055" t="inlineStr">
        <is>
          <t>AA</t>
        </is>
      </c>
      <c r="K4055" t="inlineStr">
        <is>
          <t>Answering Machine Autodial</t>
        </is>
      </c>
      <c r="L4055" t="n">
        <v>3</v>
      </c>
      <c r="M4055" t="inlineStr">
        <is>
          <t>2026-06-23 09:17:24</t>
        </is>
      </c>
      <c r="N4055" t="inlineStr">
        <is>
          <t>system</t>
        </is>
      </c>
      <c r="O4055" t="inlineStr">
        <is>
          <t>2026-06-19 07:10:32</t>
        </is>
      </c>
      <c r="P4055" t="inlineStr">
        <is>
          <t>2026-06-19 07:10:32</t>
        </is>
      </c>
      <c r="Y4055" t="inlineStr">
        <is>
          <t>27791980739</t>
        </is>
      </c>
    </row>
    <row r="4056">
      <c r="A4056" t="inlineStr">
        <is>
          <t>14945572</t>
        </is>
      </c>
      <c r="B4056" t="inlineStr">
        <is>
          <t>b10d3936-d438-4725-831f-44f2b16305ba</t>
        </is>
      </c>
      <c r="D4056" t="inlineStr">
        <is>
          <t>30001087</t>
        </is>
      </c>
      <c r="E4056" t="inlineStr">
        <is>
          <t>ussd_funeral_leads_altitude_20260619</t>
        </is>
      </c>
      <c r="J4056" t="inlineStr">
        <is>
          <t>AA</t>
        </is>
      </c>
      <c r="K4056" t="inlineStr">
        <is>
          <t>Answering Machine Autodial</t>
        </is>
      </c>
      <c r="L4056" t="n">
        <v>3</v>
      </c>
      <c r="M4056" t="inlineStr">
        <is>
          <t>2026-06-23 09:16:13</t>
        </is>
      </c>
      <c r="N4056" t="inlineStr">
        <is>
          <t>system</t>
        </is>
      </c>
      <c r="O4056" t="inlineStr">
        <is>
          <t>2026-06-19 07:10:32</t>
        </is>
      </c>
      <c r="P4056" t="inlineStr">
        <is>
          <t>2026-06-19 07:10:32</t>
        </is>
      </c>
      <c r="Y4056" t="inlineStr">
        <is>
          <t>27773669279</t>
        </is>
      </c>
    </row>
    <row r="4057">
      <c r="A4057" t="inlineStr">
        <is>
          <t>14948130</t>
        </is>
      </c>
      <c r="B4057" t="inlineStr">
        <is>
          <t>e71a7e93-5862-47fd-ae27-54099b45916d</t>
        </is>
      </c>
      <c r="D4057" t="inlineStr">
        <is>
          <t>30001087</t>
        </is>
      </c>
      <c r="E4057" t="inlineStr">
        <is>
          <t>ussd_funeral_leads_altitude_20260619</t>
        </is>
      </c>
      <c r="J4057" t="inlineStr">
        <is>
          <t>AA</t>
        </is>
      </c>
      <c r="K4057" t="inlineStr">
        <is>
          <t>Answering Machine Autodial</t>
        </is>
      </c>
      <c r="L4057" t="n">
        <v>3</v>
      </c>
      <c r="M4057" t="inlineStr">
        <is>
          <t>2026-06-23 09:16:13</t>
        </is>
      </c>
      <c r="N4057" t="inlineStr">
        <is>
          <t>system</t>
        </is>
      </c>
      <c r="O4057" t="inlineStr">
        <is>
          <t>2026-06-19 07:10:32</t>
        </is>
      </c>
      <c r="P4057" t="inlineStr">
        <is>
          <t>2026-06-19 07:10:32</t>
        </is>
      </c>
      <c r="Y4057" t="inlineStr">
        <is>
          <t>27661343552</t>
        </is>
      </c>
    </row>
    <row r="4058">
      <c r="A4058" t="inlineStr">
        <is>
          <t>14948131</t>
        </is>
      </c>
      <c r="B4058" t="inlineStr">
        <is>
          <t>d910de93-920c-47ea-b58e-1edb861a2eeb</t>
        </is>
      </c>
      <c r="D4058" t="inlineStr">
        <is>
          <t>30001087</t>
        </is>
      </c>
      <c r="E4058" t="inlineStr">
        <is>
          <t>ussd_funeral_leads_altitude_20260619</t>
        </is>
      </c>
      <c r="J4058" t="inlineStr">
        <is>
          <t>NA</t>
        </is>
      </c>
      <c r="K4058" t="inlineStr">
        <is>
          <t>No Answer Autodial</t>
        </is>
      </c>
      <c r="L4058" t="n">
        <v>3</v>
      </c>
      <c r="M4058" t="inlineStr">
        <is>
          <t>2026-06-23 09:16:13</t>
        </is>
      </c>
      <c r="N4058" t="inlineStr">
        <is>
          <t>system</t>
        </is>
      </c>
      <c r="O4058" t="inlineStr">
        <is>
          <t>2026-06-19 07:10:32</t>
        </is>
      </c>
      <c r="P4058" t="inlineStr">
        <is>
          <t>2026-06-19 07:10:32</t>
        </is>
      </c>
      <c r="Y4058" t="inlineStr">
        <is>
          <t>27607530342</t>
        </is>
      </c>
    </row>
    <row r="4059">
      <c r="A4059" t="inlineStr">
        <is>
          <t>14945571</t>
        </is>
      </c>
      <c r="B4059" t="inlineStr">
        <is>
          <t>43f94088-29aa-4078-a701-8281a2661509</t>
        </is>
      </c>
      <c r="D4059" t="inlineStr">
        <is>
          <t>30001087</t>
        </is>
      </c>
      <c r="E4059" t="inlineStr">
        <is>
          <t>ussd_funeral_leads_altitude_20260619</t>
        </is>
      </c>
      <c r="J4059" t="inlineStr">
        <is>
          <t>ADC</t>
        </is>
      </c>
      <c r="K4059" t="inlineStr">
        <is>
          <t>Auto Dial Disconnected</t>
        </is>
      </c>
      <c r="L4059" t="n">
        <v>3</v>
      </c>
      <c r="M4059" t="inlineStr">
        <is>
          <t>2026-06-23 09:16:12</t>
        </is>
      </c>
      <c r="N4059" t="inlineStr">
        <is>
          <t>system</t>
        </is>
      </c>
      <c r="O4059" t="inlineStr">
        <is>
          <t>2026-06-19 07:10:32</t>
        </is>
      </c>
      <c r="P4059" t="inlineStr">
        <is>
          <t>2026-06-19 07:10:32</t>
        </is>
      </c>
      <c r="Y4059" t="inlineStr">
        <is>
          <t>27662563845</t>
        </is>
      </c>
    </row>
    <row r="4060">
      <c r="A4060" t="inlineStr">
        <is>
          <t>14945569</t>
        </is>
      </c>
      <c r="B4060" t="inlineStr">
        <is>
          <t>7b7861ba-c747-4f7d-b80c-011f0afe1d53</t>
        </is>
      </c>
      <c r="D4060" t="inlineStr">
        <is>
          <t>30001087</t>
        </is>
      </c>
      <c r="E4060" t="inlineStr">
        <is>
          <t>ussd_funeral_leads_altitude_20260619</t>
        </is>
      </c>
      <c r="J4060" t="inlineStr">
        <is>
          <t>AA</t>
        </is>
      </c>
      <c r="K4060" t="inlineStr">
        <is>
          <t>Answering Machine Autodial</t>
        </is>
      </c>
      <c r="L4060" t="n">
        <v>3</v>
      </c>
      <c r="M4060" t="inlineStr">
        <is>
          <t>2026-06-23 09:15:57</t>
        </is>
      </c>
      <c r="N4060" t="inlineStr">
        <is>
          <t>system</t>
        </is>
      </c>
      <c r="O4060" t="inlineStr">
        <is>
          <t>2026-06-19 07:10:32</t>
        </is>
      </c>
      <c r="P4060" t="inlineStr">
        <is>
          <t>2026-06-19 07:10:32</t>
        </is>
      </c>
      <c r="Y4060" t="inlineStr">
        <is>
          <t>27646088035</t>
        </is>
      </c>
    </row>
    <row r="4061">
      <c r="A4061" t="inlineStr">
        <is>
          <t>14945570</t>
        </is>
      </c>
      <c r="B4061" t="inlineStr">
        <is>
          <t>2dd8cc77-fd1b-4f37-8163-0243686dc1fb</t>
        </is>
      </c>
      <c r="D4061" t="inlineStr">
        <is>
          <t>30001087</t>
        </is>
      </c>
      <c r="E4061" t="inlineStr">
        <is>
          <t>ussd_funeral_leads_altitude_20260619</t>
        </is>
      </c>
      <c r="J4061" t="inlineStr">
        <is>
          <t>NA</t>
        </is>
      </c>
      <c r="K4061" t="inlineStr">
        <is>
          <t>No Answer Autodial</t>
        </is>
      </c>
      <c r="L4061" t="n">
        <v>3</v>
      </c>
      <c r="M4061" t="inlineStr">
        <is>
          <t>2026-06-23 09:15:57</t>
        </is>
      </c>
      <c r="N4061" t="inlineStr">
        <is>
          <t>system</t>
        </is>
      </c>
      <c r="O4061" t="inlineStr">
        <is>
          <t>2026-06-19 07:10:32</t>
        </is>
      </c>
      <c r="P4061" t="inlineStr">
        <is>
          <t>2026-06-19 07:10:32</t>
        </is>
      </c>
      <c r="Y4061" t="inlineStr">
        <is>
          <t>27796396814</t>
        </is>
      </c>
    </row>
    <row r="4062">
      <c r="A4062" t="inlineStr">
        <is>
          <t>14945567</t>
        </is>
      </c>
      <c r="B4062" t="inlineStr">
        <is>
          <t>10ad950a-c755-49a0-95eb-18bd69683b98</t>
        </is>
      </c>
      <c r="D4062" t="inlineStr">
        <is>
          <t>30001087</t>
        </is>
      </c>
      <c r="E4062" t="inlineStr">
        <is>
          <t>ussd_funeral_leads_altitude_20260619</t>
        </is>
      </c>
      <c r="J4062" t="inlineStr">
        <is>
          <t>NA</t>
        </is>
      </c>
      <c r="K4062" t="inlineStr">
        <is>
          <t>No Answer Autodial</t>
        </is>
      </c>
      <c r="L4062" t="n">
        <v>3</v>
      </c>
      <c r="M4062" t="inlineStr">
        <is>
          <t>2026-06-23 09:15:57</t>
        </is>
      </c>
      <c r="N4062" t="inlineStr">
        <is>
          <t>system</t>
        </is>
      </c>
      <c r="O4062" t="inlineStr">
        <is>
          <t>2026-06-19 07:10:32</t>
        </is>
      </c>
      <c r="P4062" t="inlineStr">
        <is>
          <t>2026-06-19 07:10:32</t>
        </is>
      </c>
      <c r="Y4062" t="inlineStr">
        <is>
          <t>27674089132</t>
        </is>
      </c>
    </row>
    <row r="4063">
      <c r="A4063" t="inlineStr">
        <is>
          <t>14900000</t>
        </is>
      </c>
      <c r="B4063" t="inlineStr">
        <is>
          <t>12e98557-1deb-4a0a-ad62-29d735cdaef8</t>
        </is>
      </c>
      <c r="D4063" t="inlineStr">
        <is>
          <t>30001087</t>
        </is>
      </c>
      <c r="E4063" t="inlineStr">
        <is>
          <t>ussd_funeral_leads_altitude_20260619</t>
        </is>
      </c>
      <c r="J4063" t="inlineStr">
        <is>
          <t>TDN</t>
        </is>
      </c>
      <c r="K4063" t="inlineStr">
        <is>
          <t>Temporary Disconnected Number</t>
        </is>
      </c>
      <c r="L4063" t="n">
        <v>3</v>
      </c>
      <c r="M4063" t="inlineStr">
        <is>
          <t>2026-06-23 09:15:57</t>
        </is>
      </c>
      <c r="N4063" t="inlineStr">
        <is>
          <t>system</t>
        </is>
      </c>
      <c r="O4063" t="inlineStr">
        <is>
          <t>2026-06-19 07:10:32</t>
        </is>
      </c>
      <c r="P4063" t="inlineStr">
        <is>
          <t>2026-06-19 07:10:32</t>
        </is>
      </c>
      <c r="Y4063" t="inlineStr">
        <is>
          <t>27609456358</t>
        </is>
      </c>
    </row>
    <row r="4064">
      <c r="A4064" t="inlineStr">
        <is>
          <t>14948132</t>
        </is>
      </c>
      <c r="B4064" t="inlineStr">
        <is>
          <t>ebed56d4-6cf8-474e-8d68-e59de4371353</t>
        </is>
      </c>
      <c r="D4064" t="inlineStr">
        <is>
          <t>30001087</t>
        </is>
      </c>
      <c r="E4064" t="inlineStr">
        <is>
          <t>ussd_funeral_leads_altitude_20260619</t>
        </is>
      </c>
      <c r="J4064" t="inlineStr">
        <is>
          <t>AA</t>
        </is>
      </c>
      <c r="K4064" t="inlineStr">
        <is>
          <t>Answering Machine Autodial</t>
        </is>
      </c>
      <c r="L4064" t="n">
        <v>3</v>
      </c>
      <c r="M4064" t="inlineStr">
        <is>
          <t>2026-06-23 09:15:57</t>
        </is>
      </c>
      <c r="N4064" t="inlineStr">
        <is>
          <t>system</t>
        </is>
      </c>
      <c r="O4064" t="inlineStr">
        <is>
          <t>2026-06-19 07:10:32</t>
        </is>
      </c>
      <c r="P4064" t="inlineStr">
        <is>
          <t>2026-06-19 07:10:32</t>
        </is>
      </c>
      <c r="Y4064" t="inlineStr">
        <is>
          <t>27608959740</t>
        </is>
      </c>
    </row>
    <row r="4065">
      <c r="A4065" t="inlineStr">
        <is>
          <t>14945565</t>
        </is>
      </c>
      <c r="B4065" t="inlineStr">
        <is>
          <t>e34db7d3-3286-40db-b725-01362df72083</t>
        </is>
      </c>
      <c r="D4065" t="inlineStr">
        <is>
          <t>30001087</t>
        </is>
      </c>
      <c r="E4065" t="inlineStr">
        <is>
          <t>ussd_funeral_leads_altitude_20260619</t>
        </is>
      </c>
      <c r="J4065" t="inlineStr">
        <is>
          <t>CU</t>
        </is>
      </c>
      <c r="K4065" t="inlineStr">
        <is>
          <t>Client Hung Up</t>
        </is>
      </c>
      <c r="L4065" t="n">
        <v>3</v>
      </c>
      <c r="M4065" t="inlineStr">
        <is>
          <t>2026-06-23 09:15:52</t>
        </is>
      </c>
      <c r="N4065" t="inlineStr">
        <is>
          <t>Goitsimang Mogwasa</t>
        </is>
      </c>
      <c r="O4065" t="inlineStr">
        <is>
          <t>2026-06-19 07:10:32</t>
        </is>
      </c>
      <c r="P4065" t="inlineStr">
        <is>
          <t>2026-06-19 07:10:32</t>
        </is>
      </c>
      <c r="Y4065" t="inlineStr">
        <is>
          <t>27768165304</t>
        </is>
      </c>
    </row>
    <row r="4066">
      <c r="A4066" t="inlineStr">
        <is>
          <t>14945566</t>
        </is>
      </c>
      <c r="B4066" t="inlineStr">
        <is>
          <t>b49550ce-63d9-4ec4-8e02-40446e2cfb44</t>
        </is>
      </c>
      <c r="D4066" t="inlineStr">
        <is>
          <t>30001087</t>
        </is>
      </c>
      <c r="E4066" t="inlineStr">
        <is>
          <t>ussd_funeral_leads_altitude_20260619</t>
        </is>
      </c>
      <c r="J4066" t="inlineStr">
        <is>
          <t>A</t>
        </is>
      </c>
      <c r="K4066" t="inlineStr">
        <is>
          <t>Answering Machine</t>
        </is>
      </c>
      <c r="L4066" t="n">
        <v>3</v>
      </c>
      <c r="M4066" t="inlineStr">
        <is>
          <t>2026-06-23 09:15:52</t>
        </is>
      </c>
      <c r="N4066" t="inlineStr">
        <is>
          <t>Dimakatso Nkomo</t>
        </is>
      </c>
      <c r="O4066" t="inlineStr">
        <is>
          <t>2026-06-19 07:10:32</t>
        </is>
      </c>
      <c r="P4066" t="inlineStr">
        <is>
          <t>2026-06-19 07:10:32</t>
        </is>
      </c>
      <c r="Y4066" t="inlineStr">
        <is>
          <t>27711656136</t>
        </is>
      </c>
    </row>
    <row r="4067">
      <c r="A4067" t="inlineStr">
        <is>
          <t>14945564</t>
        </is>
      </c>
      <c r="B4067" t="inlineStr">
        <is>
          <t>dd246ba5-3c2b-4f1e-81a1-b0908ddc1c2c</t>
        </is>
      </c>
      <c r="D4067" t="inlineStr">
        <is>
          <t>30001087</t>
        </is>
      </c>
      <c r="E4067" t="inlineStr">
        <is>
          <t>ussd_funeral_leads_altitude_20260619</t>
        </is>
      </c>
      <c r="J4067" t="inlineStr">
        <is>
          <t>AA</t>
        </is>
      </c>
      <c r="K4067" t="inlineStr">
        <is>
          <t>Answering Machine Autodial</t>
        </is>
      </c>
      <c r="L4067" t="n">
        <v>3</v>
      </c>
      <c r="M4067" t="inlineStr">
        <is>
          <t>2026-06-23 09:15:41</t>
        </is>
      </c>
      <c r="N4067" t="inlineStr">
        <is>
          <t>system</t>
        </is>
      </c>
      <c r="O4067" t="inlineStr">
        <is>
          <t>2026-06-19 07:10:32</t>
        </is>
      </c>
      <c r="P4067" t="inlineStr">
        <is>
          <t>2026-06-19 07:10:32</t>
        </is>
      </c>
      <c r="Y4067" t="inlineStr">
        <is>
          <t>27792306042</t>
        </is>
      </c>
    </row>
    <row r="4068">
      <c r="A4068" t="inlineStr">
        <is>
          <t>14945563</t>
        </is>
      </c>
      <c r="B4068" t="inlineStr">
        <is>
          <t>e7d9b780-5a47-4d10-9c3e-7dd8c3639477</t>
        </is>
      </c>
      <c r="D4068" t="inlineStr">
        <is>
          <t>30001087</t>
        </is>
      </c>
      <c r="E4068" t="inlineStr">
        <is>
          <t>ussd_funeral_leads_altitude_20260619</t>
        </is>
      </c>
      <c r="J4068" t="inlineStr">
        <is>
          <t>NA</t>
        </is>
      </c>
      <c r="K4068" t="inlineStr">
        <is>
          <t>No Answer Autodial</t>
        </is>
      </c>
      <c r="L4068" t="n">
        <v>3</v>
      </c>
      <c r="M4068" t="inlineStr">
        <is>
          <t>2026-06-23 09:15:38</t>
        </is>
      </c>
      <c r="N4068" t="inlineStr">
        <is>
          <t>system</t>
        </is>
      </c>
      <c r="O4068" t="inlineStr">
        <is>
          <t>2026-06-19 07:10:32</t>
        </is>
      </c>
      <c r="P4068" t="inlineStr">
        <is>
          <t>2026-06-19 07:10:32</t>
        </is>
      </c>
      <c r="Y4068" t="inlineStr">
        <is>
          <t>27790711571</t>
        </is>
      </c>
    </row>
    <row r="4069">
      <c r="A4069" t="inlineStr">
        <is>
          <t>14945562</t>
        </is>
      </c>
      <c r="B4069" t="inlineStr">
        <is>
          <t>baa8696d-80b1-475c-887c-e80f338e33e9</t>
        </is>
      </c>
      <c r="D4069" t="inlineStr">
        <is>
          <t>30001087</t>
        </is>
      </c>
      <c r="E4069" t="inlineStr">
        <is>
          <t>ussd_funeral_leads_altitude_20260619</t>
        </is>
      </c>
      <c r="J4069" t="inlineStr">
        <is>
          <t>AA</t>
        </is>
      </c>
      <c r="K4069" t="inlineStr">
        <is>
          <t>Answering Machine Autodial</t>
        </is>
      </c>
      <c r="L4069" t="n">
        <v>3</v>
      </c>
      <c r="M4069" t="inlineStr">
        <is>
          <t>2026-06-23 09:15:35</t>
        </is>
      </c>
      <c r="N4069" t="inlineStr">
        <is>
          <t>system</t>
        </is>
      </c>
      <c r="O4069" t="inlineStr">
        <is>
          <t>2026-06-19 07:10:32</t>
        </is>
      </c>
      <c r="P4069" t="inlineStr">
        <is>
          <t>2026-06-19 07:10:32</t>
        </is>
      </c>
      <c r="Y4069" t="inlineStr">
        <is>
          <t>27607274093</t>
        </is>
      </c>
    </row>
    <row r="4070">
      <c r="A4070" t="inlineStr">
        <is>
          <t>14945559</t>
        </is>
      </c>
      <c r="B4070" t="inlineStr">
        <is>
          <t>d63a218c-f147-42e1-b701-ecb022ebe7d4</t>
        </is>
      </c>
      <c r="D4070" t="inlineStr">
        <is>
          <t>30001087</t>
        </is>
      </c>
      <c r="E4070" t="inlineStr">
        <is>
          <t>ussd_funeral_leads_altitude_20260619</t>
        </is>
      </c>
      <c r="J4070" t="inlineStr">
        <is>
          <t>DROP</t>
        </is>
      </c>
      <c r="K4070" t="inlineStr">
        <is>
          <t>Dropped</t>
        </is>
      </c>
      <c r="L4070" t="n">
        <v>3</v>
      </c>
      <c r="M4070" t="inlineStr">
        <is>
          <t>2026-06-23 09:15:27</t>
        </is>
      </c>
      <c r="N4070" t="inlineStr">
        <is>
          <t>system</t>
        </is>
      </c>
      <c r="O4070" t="inlineStr">
        <is>
          <t>2026-06-19 07:10:32</t>
        </is>
      </c>
      <c r="P4070" t="inlineStr">
        <is>
          <t>2026-06-19 07:10:32</t>
        </is>
      </c>
      <c r="Y4070" t="inlineStr">
        <is>
          <t>27727549949</t>
        </is>
      </c>
    </row>
    <row r="4071">
      <c r="A4071" t="inlineStr">
        <is>
          <t>14945560</t>
        </is>
      </c>
      <c r="B4071" t="inlineStr">
        <is>
          <t>b2f95cda-e581-40e0-9202-4d7ed13d8428</t>
        </is>
      </c>
      <c r="D4071" t="inlineStr">
        <is>
          <t>30001087</t>
        </is>
      </c>
      <c r="E4071" t="inlineStr">
        <is>
          <t>ussd_funeral_leads_altitude_20260619</t>
        </is>
      </c>
      <c r="J4071" t="inlineStr">
        <is>
          <t>AA</t>
        </is>
      </c>
      <c r="K4071" t="inlineStr">
        <is>
          <t>Answering Machine Autodial</t>
        </is>
      </c>
      <c r="L4071" t="n">
        <v>3</v>
      </c>
      <c r="M4071" t="inlineStr">
        <is>
          <t>2026-06-23 09:15:27</t>
        </is>
      </c>
      <c r="N4071" t="inlineStr">
        <is>
          <t>system</t>
        </is>
      </c>
      <c r="O4071" t="inlineStr">
        <is>
          <t>2026-06-19 07:10:32</t>
        </is>
      </c>
      <c r="P4071" t="inlineStr">
        <is>
          <t>2026-06-19 07:10:32</t>
        </is>
      </c>
      <c r="Y4071" t="inlineStr">
        <is>
          <t>27729052720</t>
        </is>
      </c>
    </row>
    <row r="4072">
      <c r="A4072" t="inlineStr">
        <is>
          <t>14945561</t>
        </is>
      </c>
      <c r="B4072" t="inlineStr">
        <is>
          <t>8bd60aa1-2ebb-4796-b32e-ec17f4eb0c69</t>
        </is>
      </c>
      <c r="D4072" t="inlineStr">
        <is>
          <t>30001087</t>
        </is>
      </c>
      <c r="E4072" t="inlineStr">
        <is>
          <t>ussd_funeral_leads_altitude_20260619</t>
        </is>
      </c>
      <c r="J4072" t="inlineStr">
        <is>
          <t>NA</t>
        </is>
      </c>
      <c r="K4072" t="inlineStr">
        <is>
          <t>No Answer Autodial</t>
        </is>
      </c>
      <c r="L4072" t="n">
        <v>3</v>
      </c>
      <c r="M4072" t="inlineStr">
        <is>
          <t>2026-06-23 09:15:27</t>
        </is>
      </c>
      <c r="N4072" t="inlineStr">
        <is>
          <t>system</t>
        </is>
      </c>
      <c r="O4072" t="inlineStr">
        <is>
          <t>2026-06-19 07:10:32</t>
        </is>
      </c>
      <c r="P4072" t="inlineStr">
        <is>
          <t>2026-06-19 07:10:32</t>
        </is>
      </c>
      <c r="Y4072" t="inlineStr">
        <is>
          <t>27664684422</t>
        </is>
      </c>
    </row>
    <row r="4073">
      <c r="A4073" t="inlineStr">
        <is>
          <t>14945558</t>
        </is>
      </c>
      <c r="B4073" t="inlineStr">
        <is>
          <t>d5ead4bb-5919-47d3-a5bf-97af38c8c318</t>
        </is>
      </c>
      <c r="D4073" t="inlineStr">
        <is>
          <t>30001087</t>
        </is>
      </c>
      <c r="E4073" t="inlineStr">
        <is>
          <t>ussd_funeral_leads_altitude_20260619</t>
        </is>
      </c>
      <c r="J4073" t="inlineStr">
        <is>
          <t>AA</t>
        </is>
      </c>
      <c r="K4073" t="inlineStr">
        <is>
          <t>Answering Machine Autodial</t>
        </is>
      </c>
      <c r="L4073" t="n">
        <v>3</v>
      </c>
      <c r="M4073" t="inlineStr">
        <is>
          <t>2026-06-23 09:15:20</t>
        </is>
      </c>
      <c r="N4073" t="inlineStr">
        <is>
          <t>system</t>
        </is>
      </c>
      <c r="O4073" t="inlineStr">
        <is>
          <t>2026-06-19 07:10:32</t>
        </is>
      </c>
      <c r="P4073" t="inlineStr">
        <is>
          <t>2026-06-19 07:10:32</t>
        </is>
      </c>
      <c r="Y4073" t="inlineStr">
        <is>
          <t>27767265431</t>
        </is>
      </c>
    </row>
    <row r="4074">
      <c r="A4074" t="inlineStr">
        <is>
          <t>14945553</t>
        </is>
      </c>
      <c r="B4074" t="inlineStr">
        <is>
          <t>fc5a97b7-c17b-422b-9727-5ee3567c5271</t>
        </is>
      </c>
      <c r="D4074" t="inlineStr">
        <is>
          <t>30001087</t>
        </is>
      </c>
      <c r="E4074" t="inlineStr">
        <is>
          <t>ussd_funeral_leads_altitude_20260619</t>
        </is>
      </c>
      <c r="J4074" t="inlineStr">
        <is>
          <t>AA</t>
        </is>
      </c>
      <c r="K4074" t="inlineStr">
        <is>
          <t>Answering Machine Autodial</t>
        </is>
      </c>
      <c r="L4074" t="n">
        <v>3</v>
      </c>
      <c r="M4074" t="inlineStr">
        <is>
          <t>2026-06-23 09:15:18</t>
        </is>
      </c>
      <c r="N4074" t="inlineStr">
        <is>
          <t>system</t>
        </is>
      </c>
      <c r="O4074" t="inlineStr">
        <is>
          <t>2026-06-19 07:10:32</t>
        </is>
      </c>
      <c r="P4074" t="inlineStr">
        <is>
          <t>2026-06-19 07:10:32</t>
        </is>
      </c>
      <c r="Y4074" t="inlineStr">
        <is>
          <t>27767007493</t>
        </is>
      </c>
    </row>
    <row r="4075">
      <c r="A4075" t="inlineStr">
        <is>
          <t>14945554</t>
        </is>
      </c>
      <c r="B4075" t="inlineStr">
        <is>
          <t>45722443-d14c-4d2c-9907-a0d4b815866a</t>
        </is>
      </c>
      <c r="D4075" t="inlineStr">
        <is>
          <t>30001087</t>
        </is>
      </c>
      <c r="E4075" t="inlineStr">
        <is>
          <t>ussd_funeral_leads_altitude_20260619</t>
        </is>
      </c>
      <c r="J4075" t="inlineStr">
        <is>
          <t>ADC</t>
        </is>
      </c>
      <c r="K4075" t="inlineStr">
        <is>
          <t>Auto Dial Disconnected</t>
        </is>
      </c>
      <c r="L4075" t="n">
        <v>3</v>
      </c>
      <c r="M4075" t="inlineStr">
        <is>
          <t>2026-06-23 09:15:18</t>
        </is>
      </c>
      <c r="N4075" t="inlineStr">
        <is>
          <t>system</t>
        </is>
      </c>
      <c r="O4075" t="inlineStr">
        <is>
          <t>2026-06-19 07:10:32</t>
        </is>
      </c>
      <c r="P4075" t="inlineStr">
        <is>
          <t>2026-06-19 07:10:32</t>
        </is>
      </c>
      <c r="Y4075" t="inlineStr">
        <is>
          <t>27647947907</t>
        </is>
      </c>
    </row>
    <row r="4076">
      <c r="A4076" t="inlineStr">
        <is>
          <t>14945556</t>
        </is>
      </c>
      <c r="B4076" t="inlineStr">
        <is>
          <t>48618109-6b34-41f6-bce5-0a8d44ccaf56</t>
        </is>
      </c>
      <c r="D4076" t="inlineStr">
        <is>
          <t>30001087</t>
        </is>
      </c>
      <c r="E4076" t="inlineStr">
        <is>
          <t>ussd_funeral_leads_altitude_20260619</t>
        </is>
      </c>
      <c r="J4076" t="inlineStr">
        <is>
          <t>AA</t>
        </is>
      </c>
      <c r="K4076" t="inlineStr">
        <is>
          <t>Answering Machine Autodial</t>
        </is>
      </c>
      <c r="L4076" t="n">
        <v>3</v>
      </c>
      <c r="M4076" t="inlineStr">
        <is>
          <t>2026-06-23 09:15:18</t>
        </is>
      </c>
      <c r="N4076" t="inlineStr">
        <is>
          <t>system</t>
        </is>
      </c>
      <c r="O4076" t="inlineStr">
        <is>
          <t>2026-06-19 07:10:32</t>
        </is>
      </c>
      <c r="P4076" t="inlineStr">
        <is>
          <t>2026-06-19 07:10:32</t>
        </is>
      </c>
      <c r="Y4076" t="inlineStr">
        <is>
          <t>27664258764</t>
        </is>
      </c>
    </row>
    <row r="4077">
      <c r="A4077" t="inlineStr">
        <is>
          <t>14945557</t>
        </is>
      </c>
      <c r="B4077" t="inlineStr">
        <is>
          <t>2c053e3a-4fc4-4633-9dc4-dae46cdf89ac</t>
        </is>
      </c>
      <c r="D4077" t="inlineStr">
        <is>
          <t>30001087</t>
        </is>
      </c>
      <c r="E4077" t="inlineStr">
        <is>
          <t>ussd_funeral_leads_altitude_20260619</t>
        </is>
      </c>
      <c r="J4077" t="inlineStr">
        <is>
          <t>AA</t>
        </is>
      </c>
      <c r="K4077" t="inlineStr">
        <is>
          <t>Answering Machine Autodial</t>
        </is>
      </c>
      <c r="L4077" t="n">
        <v>3</v>
      </c>
      <c r="M4077" t="inlineStr">
        <is>
          <t>2026-06-23 09:15:17</t>
        </is>
      </c>
      <c r="N4077" t="inlineStr">
        <is>
          <t>system</t>
        </is>
      </c>
      <c r="O4077" t="inlineStr">
        <is>
          <t>2026-06-19 07:10:32</t>
        </is>
      </c>
      <c r="P4077" t="inlineStr">
        <is>
          <t>2026-06-19 07:10:32</t>
        </is>
      </c>
      <c r="Y4077" t="inlineStr">
        <is>
          <t>27637111004</t>
        </is>
      </c>
    </row>
    <row r="4078">
      <c r="A4078" t="inlineStr">
        <is>
          <t>14945548</t>
        </is>
      </c>
      <c r="B4078" t="inlineStr">
        <is>
          <t>9b6c62a8-3f57-4b6d-94cd-988c9473ed45</t>
        </is>
      </c>
      <c r="D4078" t="inlineStr">
        <is>
          <t>30001087</t>
        </is>
      </c>
      <c r="E4078" t="inlineStr">
        <is>
          <t>ussd_funeral_leads_altitude_20260619</t>
        </is>
      </c>
      <c r="J4078" t="inlineStr">
        <is>
          <t>ADC</t>
        </is>
      </c>
      <c r="K4078" t="inlineStr">
        <is>
          <t>Auto Dial Disconnected</t>
        </is>
      </c>
      <c r="L4078" t="n">
        <v>3</v>
      </c>
      <c r="M4078" t="inlineStr">
        <is>
          <t>2026-06-23 09:15:12</t>
        </is>
      </c>
      <c r="N4078" t="inlineStr">
        <is>
          <t>system</t>
        </is>
      </c>
      <c r="O4078" t="inlineStr">
        <is>
          <t>2026-06-19 07:10:32</t>
        </is>
      </c>
      <c r="P4078" t="inlineStr">
        <is>
          <t>2026-06-19 07:10:32</t>
        </is>
      </c>
      <c r="Y4078" t="inlineStr">
        <is>
          <t>27793704064</t>
        </is>
      </c>
    </row>
    <row r="4079">
      <c r="A4079" t="inlineStr">
        <is>
          <t>14945549</t>
        </is>
      </c>
      <c r="B4079" t="inlineStr">
        <is>
          <t>9716a0eb-046e-4740-8b06-2587939edcc9</t>
        </is>
      </c>
      <c r="D4079" t="inlineStr">
        <is>
          <t>30001087</t>
        </is>
      </c>
      <c r="E4079" t="inlineStr">
        <is>
          <t>ussd_funeral_leads_altitude_20260619</t>
        </is>
      </c>
      <c r="J4079" t="inlineStr">
        <is>
          <t>CU</t>
        </is>
      </c>
      <c r="K4079" t="inlineStr">
        <is>
          <t>Client Hung Up</t>
        </is>
      </c>
      <c r="L4079" t="n">
        <v>3</v>
      </c>
      <c r="M4079" t="inlineStr">
        <is>
          <t>2026-06-23 09:15:12</t>
        </is>
      </c>
      <c r="N4079" t="inlineStr">
        <is>
          <t>Dimakatso Nkomo</t>
        </is>
      </c>
      <c r="O4079" t="inlineStr">
        <is>
          <t>2026-06-19 07:10:32</t>
        </is>
      </c>
      <c r="P4079" t="inlineStr">
        <is>
          <t>2026-06-19 07:10:32</t>
        </is>
      </c>
      <c r="Y4079" t="inlineStr">
        <is>
          <t>27649133836</t>
        </is>
      </c>
    </row>
    <row r="4080">
      <c r="A4080" t="inlineStr">
        <is>
          <t>14945550</t>
        </is>
      </c>
      <c r="B4080" t="inlineStr">
        <is>
          <t>c52c893a-e1cf-41ca-99e0-09c1708ded1d</t>
        </is>
      </c>
      <c r="D4080" t="inlineStr">
        <is>
          <t>30001087</t>
        </is>
      </c>
      <c r="E4080" t="inlineStr">
        <is>
          <t>ussd_funeral_leads_altitude_20260619</t>
        </is>
      </c>
      <c r="J4080" t="inlineStr">
        <is>
          <t>ADC</t>
        </is>
      </c>
      <c r="K4080" t="inlineStr">
        <is>
          <t>Auto Dial Disconnected</t>
        </is>
      </c>
      <c r="L4080" t="n">
        <v>3</v>
      </c>
      <c r="M4080" t="inlineStr">
        <is>
          <t>2026-06-23 09:15:12</t>
        </is>
      </c>
      <c r="N4080" t="inlineStr">
        <is>
          <t>system</t>
        </is>
      </c>
      <c r="O4080" t="inlineStr">
        <is>
          <t>2026-06-19 07:10:32</t>
        </is>
      </c>
      <c r="P4080" t="inlineStr">
        <is>
          <t>2026-06-19 07:10:32</t>
        </is>
      </c>
      <c r="Y4080" t="inlineStr">
        <is>
          <t>27606065409</t>
        </is>
      </c>
    </row>
    <row r="4081">
      <c r="A4081" t="inlineStr">
        <is>
          <t>14945551</t>
        </is>
      </c>
      <c r="B4081" t="inlineStr">
        <is>
          <t>3ae3a970-42ca-4b8b-bf8e-160377c6316f</t>
        </is>
      </c>
      <c r="D4081" t="inlineStr">
        <is>
          <t>30001087</t>
        </is>
      </c>
      <c r="E4081" t="inlineStr">
        <is>
          <t>ussd_funeral_leads_altitude_20260619</t>
        </is>
      </c>
      <c r="J4081" t="inlineStr">
        <is>
          <t>AA</t>
        </is>
      </c>
      <c r="K4081" t="inlineStr">
        <is>
          <t>Answering Machine Autodial</t>
        </is>
      </c>
      <c r="L4081" t="n">
        <v>3</v>
      </c>
      <c r="M4081" t="inlineStr">
        <is>
          <t>2026-06-23 09:15:12</t>
        </is>
      </c>
      <c r="N4081" t="inlineStr">
        <is>
          <t>system</t>
        </is>
      </c>
      <c r="O4081" t="inlineStr">
        <is>
          <t>2026-06-19 07:10:32</t>
        </is>
      </c>
      <c r="P4081" t="inlineStr">
        <is>
          <t>2026-06-19 07:10:32</t>
        </is>
      </c>
      <c r="Y4081" t="inlineStr">
        <is>
          <t>27729717763</t>
        </is>
      </c>
    </row>
    <row r="4082">
      <c r="A4082" t="inlineStr">
        <is>
          <t>14945552</t>
        </is>
      </c>
      <c r="B4082" t="inlineStr">
        <is>
          <t>c35188ce-a889-402f-89c0-d48f40dae4c1</t>
        </is>
      </c>
      <c r="D4082" t="inlineStr">
        <is>
          <t>30001087</t>
        </is>
      </c>
      <c r="E4082" t="inlineStr">
        <is>
          <t>ussd_funeral_leads_altitude_20260619</t>
        </is>
      </c>
      <c r="J4082" t="inlineStr">
        <is>
          <t>NA</t>
        </is>
      </c>
      <c r="K4082" t="inlineStr">
        <is>
          <t>No Answer Autodial</t>
        </is>
      </c>
      <c r="L4082" t="n">
        <v>3</v>
      </c>
      <c r="M4082" t="inlineStr">
        <is>
          <t>2026-06-23 09:15:12</t>
        </is>
      </c>
      <c r="N4082" t="inlineStr">
        <is>
          <t>system</t>
        </is>
      </c>
      <c r="O4082" t="inlineStr">
        <is>
          <t>2026-06-19 07:10:32</t>
        </is>
      </c>
      <c r="P4082" t="inlineStr">
        <is>
          <t>2026-06-19 07:10:32</t>
        </is>
      </c>
      <c r="Y4082" t="inlineStr">
        <is>
          <t>27674048256</t>
        </is>
      </c>
    </row>
    <row r="4083">
      <c r="A4083" t="inlineStr">
        <is>
          <t>14945547</t>
        </is>
      </c>
      <c r="B4083" t="inlineStr">
        <is>
          <t>32073303-dd8f-47f8-910c-487da433ff1d</t>
        </is>
      </c>
      <c r="D4083" t="inlineStr">
        <is>
          <t>30001087</t>
        </is>
      </c>
      <c r="E4083" t="inlineStr">
        <is>
          <t>ussd_funeral_leads_altitude_20260619</t>
        </is>
      </c>
      <c r="J4083" t="inlineStr">
        <is>
          <t>ADC</t>
        </is>
      </c>
      <c r="K4083" t="inlineStr">
        <is>
          <t>Auto Dial Disconnected</t>
        </is>
      </c>
      <c r="L4083" t="n">
        <v>3</v>
      </c>
      <c r="M4083" t="inlineStr">
        <is>
          <t>2026-06-23 09:15:07</t>
        </is>
      </c>
      <c r="N4083" t="inlineStr">
        <is>
          <t>system</t>
        </is>
      </c>
      <c r="O4083" t="inlineStr">
        <is>
          <t>2026-06-19 07:10:32</t>
        </is>
      </c>
      <c r="P4083" t="inlineStr">
        <is>
          <t>2026-06-19 07:10:32</t>
        </is>
      </c>
      <c r="Y4083" t="inlineStr">
        <is>
          <t>27767282865</t>
        </is>
      </c>
    </row>
    <row r="4084">
      <c r="A4084" t="inlineStr">
        <is>
          <t>14945543</t>
        </is>
      </c>
      <c r="B4084" t="inlineStr">
        <is>
          <t>b92abd13-6f61-40fd-9f7d-89dd084dc313</t>
        </is>
      </c>
      <c r="D4084" t="inlineStr">
        <is>
          <t>30001087</t>
        </is>
      </c>
      <c r="E4084" t="inlineStr">
        <is>
          <t>ussd_funeral_leads_altitude_20260619</t>
        </is>
      </c>
      <c r="J4084" t="inlineStr">
        <is>
          <t>AA</t>
        </is>
      </c>
      <c r="K4084" t="inlineStr">
        <is>
          <t>Answering Machine Autodial</t>
        </is>
      </c>
      <c r="L4084" t="n">
        <v>3</v>
      </c>
      <c r="M4084" t="inlineStr">
        <is>
          <t>2026-06-23 09:15:05</t>
        </is>
      </c>
      <c r="N4084" t="inlineStr">
        <is>
          <t>system</t>
        </is>
      </c>
      <c r="O4084" t="inlineStr">
        <is>
          <t>2026-06-19 07:10:32</t>
        </is>
      </c>
      <c r="P4084" t="inlineStr">
        <is>
          <t>2026-06-19 07:10:32</t>
        </is>
      </c>
      <c r="Y4084" t="inlineStr">
        <is>
          <t>27608611138</t>
        </is>
      </c>
    </row>
    <row r="4085">
      <c r="A4085" t="inlineStr">
        <is>
          <t>14945544</t>
        </is>
      </c>
      <c r="B4085" t="inlineStr">
        <is>
          <t>57fa604c-d1fe-4e39-9c35-6deade961a6f</t>
        </is>
      </c>
      <c r="D4085" t="inlineStr">
        <is>
          <t>30001087</t>
        </is>
      </c>
      <c r="E4085" t="inlineStr">
        <is>
          <t>ussd_funeral_leads_altitude_20260619</t>
        </is>
      </c>
      <c r="J4085" t="inlineStr">
        <is>
          <t>AA</t>
        </is>
      </c>
      <c r="K4085" t="inlineStr">
        <is>
          <t>Answering Machine Autodial</t>
        </is>
      </c>
      <c r="L4085" t="n">
        <v>3</v>
      </c>
      <c r="M4085" t="inlineStr">
        <is>
          <t>2026-06-23 09:15:05</t>
        </is>
      </c>
      <c r="N4085" t="inlineStr">
        <is>
          <t>system</t>
        </is>
      </c>
      <c r="O4085" t="inlineStr">
        <is>
          <t>2026-06-19 07:10:32</t>
        </is>
      </c>
      <c r="P4085" t="inlineStr">
        <is>
          <t>2026-06-19 07:10:32</t>
        </is>
      </c>
      <c r="Y4085" t="inlineStr">
        <is>
          <t>27764879715</t>
        </is>
      </c>
    </row>
    <row r="4086">
      <c r="A4086" t="inlineStr">
        <is>
          <t>14945545</t>
        </is>
      </c>
      <c r="B4086" t="inlineStr">
        <is>
          <t>e41fdb75-1e8d-4697-ba9a-1e186e65e1fb</t>
        </is>
      </c>
      <c r="D4086" t="inlineStr">
        <is>
          <t>30001087</t>
        </is>
      </c>
      <c r="E4086" t="inlineStr">
        <is>
          <t>ussd_funeral_leads_altitude_20260619</t>
        </is>
      </c>
      <c r="J4086" t="inlineStr">
        <is>
          <t>ADC</t>
        </is>
      </c>
      <c r="K4086" t="inlineStr">
        <is>
          <t>Auto Dial Disconnected</t>
        </is>
      </c>
      <c r="L4086" t="n">
        <v>3</v>
      </c>
      <c r="M4086" t="inlineStr">
        <is>
          <t>2026-06-23 09:15:05</t>
        </is>
      </c>
      <c r="N4086" t="inlineStr">
        <is>
          <t>system</t>
        </is>
      </c>
      <c r="O4086" t="inlineStr">
        <is>
          <t>2026-06-19 07:10:32</t>
        </is>
      </c>
      <c r="P4086" t="inlineStr">
        <is>
          <t>2026-06-19 07:10:32</t>
        </is>
      </c>
      <c r="Y4086" t="inlineStr">
        <is>
          <t>27646111320</t>
        </is>
      </c>
    </row>
    <row r="4087">
      <c r="A4087" t="inlineStr">
        <is>
          <t>14945546</t>
        </is>
      </c>
      <c r="B4087" t="inlineStr">
        <is>
          <t>80608a2c-62fe-4f24-bdc4-a64f3ac03617</t>
        </is>
      </c>
      <c r="D4087" t="inlineStr">
        <is>
          <t>30001087</t>
        </is>
      </c>
      <c r="E4087" t="inlineStr">
        <is>
          <t>ussd_funeral_leads_altitude_20260619</t>
        </is>
      </c>
      <c r="J4087" t="inlineStr">
        <is>
          <t>AA</t>
        </is>
      </c>
      <c r="K4087" t="inlineStr">
        <is>
          <t>Answering Machine Autodial</t>
        </is>
      </c>
      <c r="L4087" t="n">
        <v>3</v>
      </c>
      <c r="M4087" t="inlineStr">
        <is>
          <t>2026-06-23 09:15:05</t>
        </is>
      </c>
      <c r="N4087" t="inlineStr">
        <is>
          <t>system</t>
        </is>
      </c>
      <c r="O4087" t="inlineStr">
        <is>
          <t>2026-06-19 07:10:32</t>
        </is>
      </c>
      <c r="P4087" t="inlineStr">
        <is>
          <t>2026-06-19 07:10:32</t>
        </is>
      </c>
      <c r="Y4087" t="inlineStr">
        <is>
          <t>27720880237</t>
        </is>
      </c>
    </row>
    <row r="4088">
      <c r="A4088" t="inlineStr">
        <is>
          <t>14943910</t>
        </is>
      </c>
      <c r="B4088" t="inlineStr">
        <is>
          <t>33fb62f3-9762-409d-a63a-47ed01205500</t>
        </is>
      </c>
      <c r="D4088" t="inlineStr">
        <is>
          <t>30001087</t>
        </is>
      </c>
      <c r="E4088" t="inlineStr">
        <is>
          <t>ussd_funeral_leads_altitude_20260619</t>
        </is>
      </c>
      <c r="J4088" t="inlineStr">
        <is>
          <t>AA</t>
        </is>
      </c>
      <c r="K4088" t="inlineStr">
        <is>
          <t>Answering Machine Autodial</t>
        </is>
      </c>
      <c r="L4088" t="n">
        <v>3</v>
      </c>
      <c r="M4088" t="inlineStr">
        <is>
          <t>2026-06-23 09:15:04</t>
        </is>
      </c>
      <c r="N4088" t="inlineStr">
        <is>
          <t>system</t>
        </is>
      </c>
      <c r="O4088" t="inlineStr">
        <is>
          <t>2026-06-19 07:10:32</t>
        </is>
      </c>
      <c r="P4088" t="inlineStr">
        <is>
          <t>2026-06-19 07:10:32</t>
        </is>
      </c>
      <c r="Y4088" t="inlineStr">
        <is>
          <t>27796529351</t>
        </is>
      </c>
    </row>
    <row r="4089">
      <c r="A4089" t="inlineStr">
        <is>
          <t>14945542</t>
        </is>
      </c>
      <c r="B4089" t="inlineStr">
        <is>
          <t>3a3d7e89-c5a8-44f2-8eab-87f51a457d3f</t>
        </is>
      </c>
      <c r="D4089" t="inlineStr">
        <is>
          <t>30001087</t>
        </is>
      </c>
      <c r="E4089" t="inlineStr">
        <is>
          <t>ussd_funeral_leads_altitude_20260619</t>
        </is>
      </c>
      <c r="J4089" t="inlineStr">
        <is>
          <t>AA</t>
        </is>
      </c>
      <c r="K4089" t="inlineStr">
        <is>
          <t>Answering Machine Autodial</t>
        </is>
      </c>
      <c r="L4089" t="n">
        <v>3</v>
      </c>
      <c r="M4089" t="inlineStr">
        <is>
          <t>2026-06-23 09:15:04</t>
        </is>
      </c>
      <c r="N4089" t="inlineStr">
        <is>
          <t>system</t>
        </is>
      </c>
      <c r="O4089" t="inlineStr">
        <is>
          <t>2026-06-19 07:10:32</t>
        </is>
      </c>
      <c r="P4089" t="inlineStr">
        <is>
          <t>2026-06-19 07:10:32</t>
        </is>
      </c>
      <c r="Y4089" t="inlineStr">
        <is>
          <t>27818402211</t>
        </is>
      </c>
    </row>
    <row r="4090">
      <c r="A4090" t="inlineStr">
        <is>
          <t>14948133</t>
        </is>
      </c>
      <c r="B4090" t="inlineStr">
        <is>
          <t>738b15d4-ea64-4b9b-ad10-dc087b444abd</t>
        </is>
      </c>
      <c r="D4090" t="inlineStr">
        <is>
          <t>30001087</t>
        </is>
      </c>
      <c r="E4090" t="inlineStr">
        <is>
          <t>ussd_funeral_leads_altitude_20260619</t>
        </is>
      </c>
      <c r="J4090" t="inlineStr">
        <is>
          <t>ADC</t>
        </is>
      </c>
      <c r="K4090" t="inlineStr">
        <is>
          <t>Auto Dial Disconnected</t>
        </is>
      </c>
      <c r="L4090" t="n">
        <v>3</v>
      </c>
      <c r="M4090" t="inlineStr">
        <is>
          <t>2026-06-23 09:14:12</t>
        </is>
      </c>
      <c r="N4090" t="inlineStr">
        <is>
          <t>system</t>
        </is>
      </c>
      <c r="O4090" t="inlineStr">
        <is>
          <t>2026-06-19 07:10:32</t>
        </is>
      </c>
      <c r="P4090" t="inlineStr">
        <is>
          <t>2026-06-19 07:10:32</t>
        </is>
      </c>
      <c r="Y4090" t="inlineStr">
        <is>
          <t>27768090171</t>
        </is>
      </c>
    </row>
    <row r="4091">
      <c r="A4091" t="inlineStr">
        <is>
          <t>14945616</t>
        </is>
      </c>
      <c r="B4091" t="inlineStr">
        <is>
          <t>70accec2-4146-41c2-aaee-447f804ed584</t>
        </is>
      </c>
      <c r="D4091" t="inlineStr">
        <is>
          <t>30001087</t>
        </is>
      </c>
      <c r="E4091" t="inlineStr">
        <is>
          <t>ussd_funeral_leads_altitude_20260619</t>
        </is>
      </c>
      <c r="J4091" t="inlineStr">
        <is>
          <t>NA</t>
        </is>
      </c>
      <c r="K4091" t="inlineStr">
        <is>
          <t>No Answer Autodial</t>
        </is>
      </c>
      <c r="L4091" t="n">
        <v>3</v>
      </c>
      <c r="M4091" t="inlineStr">
        <is>
          <t>2026-06-23 09:14:11</t>
        </is>
      </c>
      <c r="N4091" t="inlineStr">
        <is>
          <t>system</t>
        </is>
      </c>
      <c r="O4091" t="inlineStr">
        <is>
          <t>2026-06-19 07:10:32</t>
        </is>
      </c>
      <c r="P4091" t="inlineStr">
        <is>
          <t>2026-06-19 07:10:32</t>
        </is>
      </c>
      <c r="Y4091" t="inlineStr">
        <is>
          <t>27649206866</t>
        </is>
      </c>
    </row>
    <row r="4092">
      <c r="A4092" t="inlineStr">
        <is>
          <t>14945615</t>
        </is>
      </c>
      <c r="B4092" t="inlineStr">
        <is>
          <t>f5eeff86-bfa9-4543-8084-05b48c8f1c39</t>
        </is>
      </c>
      <c r="D4092" t="inlineStr">
        <is>
          <t>30001087</t>
        </is>
      </c>
      <c r="E4092" t="inlineStr">
        <is>
          <t>ussd_funeral_leads_altitude_20260619</t>
        </is>
      </c>
      <c r="J4092" t="inlineStr">
        <is>
          <t>ADC</t>
        </is>
      </c>
      <c r="K4092" t="inlineStr">
        <is>
          <t>Auto Dial Disconnected</t>
        </is>
      </c>
      <c r="L4092" t="n">
        <v>3</v>
      </c>
      <c r="M4092" t="inlineStr">
        <is>
          <t>2026-06-23 09:14:06</t>
        </is>
      </c>
      <c r="N4092" t="inlineStr">
        <is>
          <t>system</t>
        </is>
      </c>
      <c r="O4092" t="inlineStr">
        <is>
          <t>2026-06-19 07:10:32</t>
        </is>
      </c>
      <c r="P4092" t="inlineStr">
        <is>
          <t>2026-06-19 07:10:32</t>
        </is>
      </c>
      <c r="Y4092" t="inlineStr">
        <is>
          <t>27774748654</t>
        </is>
      </c>
    </row>
    <row r="4093">
      <c r="A4093" t="inlineStr">
        <is>
          <t>14948134</t>
        </is>
      </c>
      <c r="B4093" t="inlineStr">
        <is>
          <t>31c756c9-3aed-44aa-86e2-aad530420e11</t>
        </is>
      </c>
      <c r="D4093" t="inlineStr">
        <is>
          <t>30001087</t>
        </is>
      </c>
      <c r="E4093" t="inlineStr">
        <is>
          <t>ussd_funeral_leads_altitude_20260619</t>
        </is>
      </c>
      <c r="J4093" t="inlineStr">
        <is>
          <t>AA</t>
        </is>
      </c>
      <c r="K4093" t="inlineStr">
        <is>
          <t>Answering Machine Autodial</t>
        </is>
      </c>
      <c r="L4093" t="n">
        <v>3</v>
      </c>
      <c r="M4093" t="inlineStr">
        <is>
          <t>2026-06-23 09:14:00</t>
        </is>
      </c>
      <c r="N4093" t="inlineStr">
        <is>
          <t>system</t>
        </is>
      </c>
      <c r="O4093" t="inlineStr">
        <is>
          <t>2026-06-19 07:10:32</t>
        </is>
      </c>
      <c r="P4093" t="inlineStr">
        <is>
          <t>2026-06-19 07:10:32</t>
        </is>
      </c>
      <c r="Y4093" t="inlineStr">
        <is>
          <t>27714380227</t>
        </is>
      </c>
    </row>
    <row r="4094">
      <c r="A4094" t="inlineStr">
        <is>
          <t>14945612</t>
        </is>
      </c>
      <c r="B4094" t="inlineStr">
        <is>
          <t>a0f5a477-a9c4-4552-baae-e2ed7509af91</t>
        </is>
      </c>
      <c r="D4094" t="inlineStr">
        <is>
          <t>30001087</t>
        </is>
      </c>
      <c r="E4094" t="inlineStr">
        <is>
          <t>ussd_funeral_leads_altitude_20260619</t>
        </is>
      </c>
      <c r="J4094" t="inlineStr">
        <is>
          <t>AA</t>
        </is>
      </c>
      <c r="K4094" t="inlineStr">
        <is>
          <t>Answering Machine Autodial</t>
        </is>
      </c>
      <c r="L4094" t="n">
        <v>3</v>
      </c>
      <c r="M4094" t="inlineStr">
        <is>
          <t>2026-06-23 09:13:54</t>
        </is>
      </c>
      <c r="N4094" t="inlineStr">
        <is>
          <t>system</t>
        </is>
      </c>
      <c r="O4094" t="inlineStr">
        <is>
          <t>2026-06-19 07:10:32</t>
        </is>
      </c>
      <c r="P4094" t="inlineStr">
        <is>
          <t>2026-06-19 07:10:32</t>
        </is>
      </c>
      <c r="Y4094" t="inlineStr">
        <is>
          <t>27647380060</t>
        </is>
      </c>
    </row>
    <row r="4095">
      <c r="A4095" t="inlineStr">
        <is>
          <t>14945611</t>
        </is>
      </c>
      <c r="B4095" t="inlineStr">
        <is>
          <t>b8e8d0a6-b430-4d0f-adb6-4e4bafa8b022</t>
        </is>
      </c>
      <c r="D4095" t="inlineStr">
        <is>
          <t>30001087</t>
        </is>
      </c>
      <c r="E4095" t="inlineStr">
        <is>
          <t>ussd_funeral_leads_altitude_20260619</t>
        </is>
      </c>
      <c r="J4095" t="inlineStr">
        <is>
          <t>ADC</t>
        </is>
      </c>
      <c r="K4095" t="inlineStr">
        <is>
          <t>Auto Dial Disconnected</t>
        </is>
      </c>
      <c r="L4095" t="n">
        <v>3</v>
      </c>
      <c r="M4095" t="inlineStr">
        <is>
          <t>2026-06-23 09:13:53</t>
        </is>
      </c>
      <c r="N4095" t="inlineStr">
        <is>
          <t>system</t>
        </is>
      </c>
      <c r="O4095" t="inlineStr">
        <is>
          <t>2026-06-19 07:10:32</t>
        </is>
      </c>
      <c r="P4095" t="inlineStr">
        <is>
          <t>2026-06-19 07:10:32</t>
        </is>
      </c>
      <c r="Y4095" t="inlineStr">
        <is>
          <t>27636970610</t>
        </is>
      </c>
    </row>
    <row r="4096">
      <c r="A4096" t="inlineStr">
        <is>
          <t>14948135</t>
        </is>
      </c>
      <c r="B4096" t="inlineStr">
        <is>
          <t>ab0a7289-bd70-4d65-8281-a8d391d5af8f</t>
        </is>
      </c>
      <c r="D4096" t="inlineStr">
        <is>
          <t>30001087</t>
        </is>
      </c>
      <c r="E4096" t="inlineStr">
        <is>
          <t>ussd_funeral_leads_altitude_20260619</t>
        </is>
      </c>
      <c r="J4096" t="inlineStr">
        <is>
          <t>NA</t>
        </is>
      </c>
      <c r="K4096" t="inlineStr">
        <is>
          <t>No Answer Autodial</t>
        </is>
      </c>
      <c r="L4096" t="n">
        <v>3</v>
      </c>
      <c r="M4096" t="inlineStr">
        <is>
          <t>2026-06-23 09:13:53</t>
        </is>
      </c>
      <c r="N4096" t="inlineStr">
        <is>
          <t>system</t>
        </is>
      </c>
      <c r="O4096" t="inlineStr">
        <is>
          <t>2026-06-19 07:10:32</t>
        </is>
      </c>
      <c r="P4096" t="inlineStr">
        <is>
          <t>2026-06-19 07:10:32</t>
        </is>
      </c>
      <c r="Y4096" t="inlineStr">
        <is>
          <t>27711908384</t>
        </is>
      </c>
    </row>
    <row r="4097">
      <c r="A4097" t="inlineStr">
        <is>
          <t>14948136</t>
        </is>
      </c>
      <c r="B4097" t="inlineStr">
        <is>
          <t>e05ede68-a3fb-4bd9-bda6-049bd7e1ea50</t>
        </is>
      </c>
      <c r="D4097" t="inlineStr">
        <is>
          <t>30001087</t>
        </is>
      </c>
      <c r="E4097" t="inlineStr">
        <is>
          <t>ussd_funeral_leads_altitude_20260619</t>
        </is>
      </c>
      <c r="J4097" t="inlineStr">
        <is>
          <t>ADC</t>
        </is>
      </c>
      <c r="K4097" t="inlineStr">
        <is>
          <t>Auto Dial Disconnected</t>
        </is>
      </c>
      <c r="L4097" t="n">
        <v>3</v>
      </c>
      <c r="M4097" t="inlineStr">
        <is>
          <t>2026-06-23 09:13:50</t>
        </is>
      </c>
      <c r="N4097" t="inlineStr">
        <is>
          <t>system</t>
        </is>
      </c>
      <c r="O4097" t="inlineStr">
        <is>
          <t>2026-06-19 07:10:32</t>
        </is>
      </c>
      <c r="P4097" t="inlineStr">
        <is>
          <t>2026-06-19 07:10:32</t>
        </is>
      </c>
      <c r="Y4097" t="inlineStr">
        <is>
          <t>27798875825</t>
        </is>
      </c>
    </row>
    <row r="4098">
      <c r="A4098" t="inlineStr">
        <is>
          <t>14945610</t>
        </is>
      </c>
      <c r="B4098" t="inlineStr">
        <is>
          <t>bad11856-0427-479d-9f5c-3d7b4df95452</t>
        </is>
      </c>
      <c r="D4098" t="inlineStr">
        <is>
          <t>30001087</t>
        </is>
      </c>
      <c r="E4098" t="inlineStr">
        <is>
          <t>ussd_funeral_leads_altitude_20260619</t>
        </is>
      </c>
      <c r="J4098" t="inlineStr">
        <is>
          <t>AE</t>
        </is>
      </c>
      <c r="K4098" t="inlineStr">
        <is>
          <t>Auto Engaged</t>
        </is>
      </c>
      <c r="L4098" t="n">
        <v>3</v>
      </c>
      <c r="M4098" t="inlineStr">
        <is>
          <t>2026-06-23 09:13:47</t>
        </is>
      </c>
      <c r="N4098" t="inlineStr">
        <is>
          <t>system</t>
        </is>
      </c>
      <c r="O4098" t="inlineStr">
        <is>
          <t>2026-06-19 07:10:32</t>
        </is>
      </c>
      <c r="P4098" t="inlineStr">
        <is>
          <t>2026-06-19 07:10:32</t>
        </is>
      </c>
      <c r="Y4098" t="inlineStr">
        <is>
          <t>27609965160</t>
        </is>
      </c>
    </row>
    <row r="4099">
      <c r="A4099" t="inlineStr">
        <is>
          <t>14948137</t>
        </is>
      </c>
      <c r="B4099" t="inlineStr">
        <is>
          <t>cb50f8c2-a4a8-4f1a-8204-970f80dbc5fe</t>
        </is>
      </c>
      <c r="D4099" t="inlineStr">
        <is>
          <t>30001087</t>
        </is>
      </c>
      <c r="E4099" t="inlineStr">
        <is>
          <t>ussd_funeral_leads_altitude_20260619</t>
        </is>
      </c>
      <c r="J4099" t="inlineStr">
        <is>
          <t>AA</t>
        </is>
      </c>
      <c r="K4099" t="inlineStr">
        <is>
          <t>Answering Machine Autodial</t>
        </is>
      </c>
      <c r="L4099" t="n">
        <v>3</v>
      </c>
      <c r="M4099" t="inlineStr">
        <is>
          <t>2026-06-23 09:13:47</t>
        </is>
      </c>
      <c r="N4099" t="inlineStr">
        <is>
          <t>system</t>
        </is>
      </c>
      <c r="O4099" t="inlineStr">
        <is>
          <t>2026-06-19 07:10:32</t>
        </is>
      </c>
      <c r="P4099" t="inlineStr">
        <is>
          <t>2026-06-19 07:10:32</t>
        </is>
      </c>
      <c r="Y4099" t="inlineStr">
        <is>
          <t>27729561139</t>
        </is>
      </c>
    </row>
    <row r="4100">
      <c r="A4100" t="inlineStr">
        <is>
          <t>14945609</t>
        </is>
      </c>
      <c r="B4100" t="inlineStr">
        <is>
          <t>d5bde264-4465-4fa7-a924-1f3dd722774e</t>
        </is>
      </c>
      <c r="D4100" t="inlineStr">
        <is>
          <t>30001087</t>
        </is>
      </c>
      <c r="E4100" t="inlineStr">
        <is>
          <t>ussd_funeral_leads_altitude_20260619</t>
        </is>
      </c>
      <c r="J4100" t="inlineStr">
        <is>
          <t>ADC</t>
        </is>
      </c>
      <c r="K4100" t="inlineStr">
        <is>
          <t>Auto Dial Disconnected</t>
        </is>
      </c>
      <c r="L4100" t="n">
        <v>3</v>
      </c>
      <c r="M4100" t="inlineStr">
        <is>
          <t>2026-06-23 09:13:46</t>
        </is>
      </c>
      <c r="N4100" t="inlineStr">
        <is>
          <t>system</t>
        </is>
      </c>
      <c r="O4100" t="inlineStr">
        <is>
          <t>2026-06-19 07:10:32</t>
        </is>
      </c>
      <c r="P4100" t="inlineStr">
        <is>
          <t>2026-06-19 07:10:32</t>
        </is>
      </c>
      <c r="Y4100" t="inlineStr">
        <is>
          <t>27792172838</t>
        </is>
      </c>
    </row>
    <row r="4101">
      <c r="A4101" t="inlineStr">
        <is>
          <t>14945608</t>
        </is>
      </c>
      <c r="B4101" t="inlineStr">
        <is>
          <t>f4293d42-56e8-4507-80d0-eb35aa6dc2d7</t>
        </is>
      </c>
      <c r="D4101" t="inlineStr">
        <is>
          <t>30001087</t>
        </is>
      </c>
      <c r="E4101" t="inlineStr">
        <is>
          <t>ussd_funeral_leads_altitude_20260619</t>
        </is>
      </c>
      <c r="J4101" t="inlineStr">
        <is>
          <t>AA</t>
        </is>
      </c>
      <c r="K4101" t="inlineStr">
        <is>
          <t>Answering Machine Autodial</t>
        </is>
      </c>
      <c r="L4101" t="n">
        <v>3</v>
      </c>
      <c r="M4101" t="inlineStr">
        <is>
          <t>2026-06-23 09:13:37</t>
        </is>
      </c>
      <c r="N4101" t="inlineStr">
        <is>
          <t>system</t>
        </is>
      </c>
      <c r="O4101" t="inlineStr">
        <is>
          <t>2026-06-19 07:10:32</t>
        </is>
      </c>
      <c r="P4101" t="inlineStr">
        <is>
          <t>2026-06-19 07:10:32</t>
        </is>
      </c>
      <c r="Y4101" t="inlineStr">
        <is>
          <t>27762476350</t>
        </is>
      </c>
    </row>
    <row r="4102">
      <c r="A4102" t="inlineStr">
        <is>
          <t>14947723</t>
        </is>
      </c>
      <c r="B4102" t="inlineStr">
        <is>
          <t>44af1399-fd70-4435-8d97-df23be24ec08</t>
        </is>
      </c>
      <c r="D4102" t="inlineStr">
        <is>
          <t>30001087</t>
        </is>
      </c>
      <c r="E4102" t="inlineStr">
        <is>
          <t>ussd_funeral_leads_altitude_20260619</t>
        </is>
      </c>
      <c r="J4102" t="inlineStr">
        <is>
          <t>AA</t>
        </is>
      </c>
      <c r="K4102" t="inlineStr">
        <is>
          <t>Answering Machine Autodial</t>
        </is>
      </c>
      <c r="L4102" t="n">
        <v>3</v>
      </c>
      <c r="M4102" t="inlineStr">
        <is>
          <t>2026-06-23 09:13:37</t>
        </is>
      </c>
      <c r="N4102" t="inlineStr">
        <is>
          <t>system</t>
        </is>
      </c>
      <c r="O4102" t="inlineStr">
        <is>
          <t>2026-06-19 07:10:32</t>
        </is>
      </c>
      <c r="P4102" t="inlineStr">
        <is>
          <t>2026-06-19 07:10:32</t>
        </is>
      </c>
      <c r="Y4102" t="inlineStr">
        <is>
          <t>27660415696</t>
        </is>
      </c>
    </row>
    <row r="4103">
      <c r="A4103" t="inlineStr">
        <is>
          <t>14948138</t>
        </is>
      </c>
      <c r="B4103" t="inlineStr">
        <is>
          <t>78f430fb-a6da-4e90-b05a-fd8c9b70c748</t>
        </is>
      </c>
      <c r="D4103" t="inlineStr">
        <is>
          <t>30001087</t>
        </is>
      </c>
      <c r="E4103" t="inlineStr">
        <is>
          <t>ussd_funeral_leads_altitude_20260619</t>
        </is>
      </c>
      <c r="J4103" t="inlineStr">
        <is>
          <t>NA</t>
        </is>
      </c>
      <c r="K4103" t="inlineStr">
        <is>
          <t>No Answer Autodial</t>
        </is>
      </c>
      <c r="L4103" t="n">
        <v>3</v>
      </c>
      <c r="M4103" t="inlineStr">
        <is>
          <t>2026-06-23 09:13:37</t>
        </is>
      </c>
      <c r="N4103" t="inlineStr">
        <is>
          <t>system</t>
        </is>
      </c>
      <c r="O4103" t="inlineStr">
        <is>
          <t>2026-06-19 07:10:32</t>
        </is>
      </c>
      <c r="P4103" t="inlineStr">
        <is>
          <t>2026-06-19 07:10:32</t>
        </is>
      </c>
      <c r="Y4103" t="inlineStr">
        <is>
          <t>27826746240</t>
        </is>
      </c>
    </row>
    <row r="4104">
      <c r="A4104" t="inlineStr">
        <is>
          <t>14945607</t>
        </is>
      </c>
      <c r="B4104" t="inlineStr">
        <is>
          <t>cd0a65b8-9bf8-40de-a52d-2f394bd11241</t>
        </is>
      </c>
      <c r="D4104" t="inlineStr">
        <is>
          <t>30001087</t>
        </is>
      </c>
      <c r="E4104" t="inlineStr">
        <is>
          <t>ussd_funeral_leads_altitude_20260619</t>
        </is>
      </c>
      <c r="J4104" t="inlineStr">
        <is>
          <t>AA</t>
        </is>
      </c>
      <c r="K4104" t="inlineStr">
        <is>
          <t>Answering Machine Autodial</t>
        </is>
      </c>
      <c r="L4104" t="n">
        <v>3</v>
      </c>
      <c r="M4104" t="inlineStr">
        <is>
          <t>2026-06-23 09:13:34</t>
        </is>
      </c>
      <c r="N4104" t="inlineStr">
        <is>
          <t>system</t>
        </is>
      </c>
      <c r="O4104" t="inlineStr">
        <is>
          <t>2026-06-19 07:10:32</t>
        </is>
      </c>
      <c r="P4104" t="inlineStr">
        <is>
          <t>2026-06-19 07:10:32</t>
        </is>
      </c>
      <c r="Y4104" t="inlineStr">
        <is>
          <t>27714528214</t>
        </is>
      </c>
    </row>
    <row r="4105">
      <c r="A4105" t="inlineStr">
        <is>
          <t>14945606</t>
        </is>
      </c>
      <c r="B4105" t="inlineStr">
        <is>
          <t>8769b89a-5463-46fc-aafe-d0be7bf9f166</t>
        </is>
      </c>
      <c r="D4105" t="inlineStr">
        <is>
          <t>30001087</t>
        </is>
      </c>
      <c r="E4105" t="inlineStr">
        <is>
          <t>ussd_funeral_leads_altitude_20260619</t>
        </is>
      </c>
      <c r="J4105" t="inlineStr">
        <is>
          <t>AA</t>
        </is>
      </c>
      <c r="K4105" t="inlineStr">
        <is>
          <t>Answering Machine Autodial</t>
        </is>
      </c>
      <c r="L4105" t="n">
        <v>3</v>
      </c>
      <c r="M4105" t="inlineStr">
        <is>
          <t>2026-06-23 09:13:29</t>
        </is>
      </c>
      <c r="N4105" t="inlineStr">
        <is>
          <t>system</t>
        </is>
      </c>
      <c r="O4105" t="inlineStr">
        <is>
          <t>2026-06-19 07:10:32</t>
        </is>
      </c>
      <c r="P4105" t="inlineStr">
        <is>
          <t>2026-06-19 07:10:32</t>
        </is>
      </c>
      <c r="Y4105" t="inlineStr">
        <is>
          <t>27721150374</t>
        </is>
      </c>
    </row>
    <row r="4106">
      <c r="A4106" t="inlineStr">
        <is>
          <t>14945605</t>
        </is>
      </c>
      <c r="B4106" t="inlineStr">
        <is>
          <t>12a718f0-ed46-4b4e-85ea-58aab0d6e7e8</t>
        </is>
      </c>
      <c r="D4106" t="inlineStr">
        <is>
          <t>30001087</t>
        </is>
      </c>
      <c r="E4106" t="inlineStr">
        <is>
          <t>ussd_funeral_leads_altitude_20260619</t>
        </is>
      </c>
      <c r="J4106" t="inlineStr">
        <is>
          <t>AA</t>
        </is>
      </c>
      <c r="K4106" t="inlineStr">
        <is>
          <t>Answering Machine Autodial</t>
        </is>
      </c>
      <c r="L4106" t="n">
        <v>3</v>
      </c>
      <c r="M4106" t="inlineStr">
        <is>
          <t>2026-06-23 09:13:21</t>
        </is>
      </c>
      <c r="N4106" t="inlineStr">
        <is>
          <t>system</t>
        </is>
      </c>
      <c r="O4106" t="inlineStr">
        <is>
          <t>2026-06-19 07:10:32</t>
        </is>
      </c>
      <c r="P4106" t="inlineStr">
        <is>
          <t>2026-06-19 07:10:32</t>
        </is>
      </c>
      <c r="Y4106" t="inlineStr">
        <is>
          <t>27795613829</t>
        </is>
      </c>
    </row>
    <row r="4107">
      <c r="A4107" t="inlineStr">
        <is>
          <t>14945604</t>
        </is>
      </c>
      <c r="B4107" t="inlineStr">
        <is>
          <t>18f88cf7-2f12-4946-8621-460a06eeda0b</t>
        </is>
      </c>
      <c r="D4107" t="inlineStr">
        <is>
          <t>30001087</t>
        </is>
      </c>
      <c r="E4107" t="inlineStr">
        <is>
          <t>ussd_funeral_leads_altitude_20260619</t>
        </is>
      </c>
      <c r="J4107" t="inlineStr">
        <is>
          <t>AA</t>
        </is>
      </c>
      <c r="K4107" t="inlineStr">
        <is>
          <t>Answering Machine Autodial</t>
        </is>
      </c>
      <c r="L4107" t="n">
        <v>3</v>
      </c>
      <c r="M4107" t="inlineStr">
        <is>
          <t>2026-06-23 09:13:18</t>
        </is>
      </c>
      <c r="N4107" t="inlineStr">
        <is>
          <t>system</t>
        </is>
      </c>
      <c r="O4107" t="inlineStr">
        <is>
          <t>2026-06-19 07:10:32</t>
        </is>
      </c>
      <c r="P4107" t="inlineStr">
        <is>
          <t>2026-06-19 07:10:32</t>
        </is>
      </c>
      <c r="Y4107" t="inlineStr">
        <is>
          <t>27636243003</t>
        </is>
      </c>
    </row>
    <row r="4108">
      <c r="A4108" t="inlineStr">
        <is>
          <t>14945602</t>
        </is>
      </c>
      <c r="B4108" t="inlineStr">
        <is>
          <t>9b67d856-7b41-447d-b4ff-d4783df0a648</t>
        </is>
      </c>
      <c r="D4108" t="inlineStr">
        <is>
          <t>30001087</t>
        </is>
      </c>
      <c r="E4108" t="inlineStr">
        <is>
          <t>ussd_funeral_leads_altitude_20260619</t>
        </is>
      </c>
      <c r="J4108" t="inlineStr">
        <is>
          <t>AA</t>
        </is>
      </c>
      <c r="K4108" t="inlineStr">
        <is>
          <t>Answering Machine Autodial</t>
        </is>
      </c>
      <c r="L4108" t="n">
        <v>3</v>
      </c>
      <c r="M4108" t="inlineStr">
        <is>
          <t>2026-06-23 09:13:16</t>
        </is>
      </c>
      <c r="N4108" t="inlineStr">
        <is>
          <t>system</t>
        </is>
      </c>
      <c r="O4108" t="inlineStr">
        <is>
          <t>2026-06-19 07:10:32</t>
        </is>
      </c>
      <c r="P4108" t="inlineStr">
        <is>
          <t>2026-06-19 07:10:32</t>
        </is>
      </c>
      <c r="Y4108" t="inlineStr">
        <is>
          <t>27768686648</t>
        </is>
      </c>
    </row>
    <row r="4109">
      <c r="A4109" t="inlineStr">
        <is>
          <t>14945603</t>
        </is>
      </c>
      <c r="B4109" t="inlineStr">
        <is>
          <t>25f9a5d2-96b7-4849-bd8d-aa2a49d5e8e3</t>
        </is>
      </c>
      <c r="D4109" t="inlineStr">
        <is>
          <t>30001087</t>
        </is>
      </c>
      <c r="E4109" t="inlineStr">
        <is>
          <t>ussd_funeral_leads_altitude_20260619</t>
        </is>
      </c>
      <c r="J4109" t="inlineStr">
        <is>
          <t>AA</t>
        </is>
      </c>
      <c r="K4109" t="inlineStr">
        <is>
          <t>Answering Machine Autodial</t>
        </is>
      </c>
      <c r="L4109" t="n">
        <v>3</v>
      </c>
      <c r="M4109" t="inlineStr">
        <is>
          <t>2026-06-23 09:13:16</t>
        </is>
      </c>
      <c r="N4109" t="inlineStr">
        <is>
          <t>system</t>
        </is>
      </c>
      <c r="O4109" t="inlineStr">
        <is>
          <t>2026-06-19 07:10:32</t>
        </is>
      </c>
      <c r="P4109" t="inlineStr">
        <is>
          <t>2026-06-19 07:10:32</t>
        </is>
      </c>
      <c r="Y4109" t="inlineStr">
        <is>
          <t>27823723840</t>
        </is>
      </c>
    </row>
    <row r="4110">
      <c r="A4110" t="inlineStr">
        <is>
          <t>14945600</t>
        </is>
      </c>
      <c r="B4110" t="inlineStr">
        <is>
          <t>6376fe35-09cd-4689-8b59-c0d2bd15bce3</t>
        </is>
      </c>
      <c r="D4110" t="inlineStr">
        <is>
          <t>30001087</t>
        </is>
      </c>
      <c r="E4110" t="inlineStr">
        <is>
          <t>ussd_funeral_leads_altitude_20260619</t>
        </is>
      </c>
      <c r="J4110" t="inlineStr">
        <is>
          <t>ADC</t>
        </is>
      </c>
      <c r="K4110" t="inlineStr">
        <is>
          <t>Auto Dial Disconnected</t>
        </is>
      </c>
      <c r="L4110" t="n">
        <v>3</v>
      </c>
      <c r="M4110" t="inlineStr">
        <is>
          <t>2026-06-23 09:13:12</t>
        </is>
      </c>
      <c r="N4110" t="inlineStr">
        <is>
          <t>system</t>
        </is>
      </c>
      <c r="O4110" t="inlineStr">
        <is>
          <t>2026-06-19 07:10:32</t>
        </is>
      </c>
      <c r="P4110" t="inlineStr">
        <is>
          <t>2026-06-19 07:10:32</t>
        </is>
      </c>
      <c r="Y4110" t="inlineStr">
        <is>
          <t>27793139369</t>
        </is>
      </c>
    </row>
    <row r="4111">
      <c r="A4111" t="inlineStr">
        <is>
          <t>14945599</t>
        </is>
      </c>
      <c r="B4111" t="inlineStr">
        <is>
          <t>60ef3d37-ae74-44c1-873b-6d298d59ed9e</t>
        </is>
      </c>
      <c r="D4111" t="inlineStr">
        <is>
          <t>30001087</t>
        </is>
      </c>
      <c r="E4111" t="inlineStr">
        <is>
          <t>ussd_funeral_leads_altitude_20260619</t>
        </is>
      </c>
      <c r="J4111" t="inlineStr">
        <is>
          <t>ADC</t>
        </is>
      </c>
      <c r="K4111" t="inlineStr">
        <is>
          <t>Auto Dial Disconnected</t>
        </is>
      </c>
      <c r="L4111" t="n">
        <v>3</v>
      </c>
      <c r="M4111" t="inlineStr">
        <is>
          <t>2026-06-23 09:13:10</t>
        </is>
      </c>
      <c r="N4111" t="inlineStr">
        <is>
          <t>system</t>
        </is>
      </c>
      <c r="O4111" t="inlineStr">
        <is>
          <t>2026-06-19 07:10:32</t>
        </is>
      </c>
      <c r="P4111" t="inlineStr">
        <is>
          <t>2026-06-19 07:10:32</t>
        </is>
      </c>
      <c r="Y4111" t="inlineStr">
        <is>
          <t>27827913759</t>
        </is>
      </c>
    </row>
    <row r="4112">
      <c r="A4112" t="inlineStr">
        <is>
          <t>14945585</t>
        </is>
      </c>
      <c r="B4112" t="inlineStr">
        <is>
          <t>233c5601-6faa-46c8-a8db-16959aebf76c</t>
        </is>
      </c>
      <c r="D4112" t="inlineStr">
        <is>
          <t>30001087</t>
        </is>
      </c>
      <c r="E4112" t="inlineStr">
        <is>
          <t>ussd_funeral_leads_altitude_20260619</t>
        </is>
      </c>
      <c r="J4112" t="inlineStr">
        <is>
          <t>ADC</t>
        </is>
      </c>
      <c r="K4112" t="inlineStr">
        <is>
          <t>Auto Dial Disconnected</t>
        </is>
      </c>
      <c r="L4112" t="n">
        <v>3</v>
      </c>
      <c r="M4112" t="inlineStr">
        <is>
          <t>2026-06-23 09:13:09</t>
        </is>
      </c>
      <c r="N4112" t="inlineStr">
        <is>
          <t>system</t>
        </is>
      </c>
      <c r="O4112" t="inlineStr">
        <is>
          <t>2026-06-19 07:10:32</t>
        </is>
      </c>
      <c r="P4112" t="inlineStr">
        <is>
          <t>2026-06-19 07:10:32</t>
        </is>
      </c>
      <c r="Y4112" t="inlineStr">
        <is>
          <t>27769213098</t>
        </is>
      </c>
    </row>
    <row r="4113">
      <c r="A4113" t="inlineStr">
        <is>
          <t>14945586</t>
        </is>
      </c>
      <c r="B4113" t="inlineStr">
        <is>
          <t>c02e0310-6370-4a2a-8925-7a0dfaca1596</t>
        </is>
      </c>
      <c r="D4113" t="inlineStr">
        <is>
          <t>30001087</t>
        </is>
      </c>
      <c r="E4113" t="inlineStr">
        <is>
          <t>ussd_funeral_leads_altitude_20260619</t>
        </is>
      </c>
      <c r="J4113" t="inlineStr">
        <is>
          <t>ADC</t>
        </is>
      </c>
      <c r="K4113" t="inlineStr">
        <is>
          <t>Auto Dial Disconnected</t>
        </is>
      </c>
      <c r="L4113" t="n">
        <v>3</v>
      </c>
      <c r="M4113" t="inlineStr">
        <is>
          <t>2026-06-23 09:13:09</t>
        </is>
      </c>
      <c r="N4113" t="inlineStr">
        <is>
          <t>system</t>
        </is>
      </c>
      <c r="O4113" t="inlineStr">
        <is>
          <t>2026-06-19 07:10:32</t>
        </is>
      </c>
      <c r="P4113" t="inlineStr">
        <is>
          <t>2026-06-19 07:10:32</t>
        </is>
      </c>
      <c r="Y4113" t="inlineStr">
        <is>
          <t>27762732035</t>
        </is>
      </c>
    </row>
    <row r="4114">
      <c r="A4114" t="inlineStr">
        <is>
          <t>14945597</t>
        </is>
      </c>
      <c r="B4114" t="inlineStr">
        <is>
          <t>457a04a4-71c8-4697-bc2e-67d74fcd691b</t>
        </is>
      </c>
      <c r="D4114" t="inlineStr">
        <is>
          <t>30001087</t>
        </is>
      </c>
      <c r="E4114" t="inlineStr">
        <is>
          <t>ussd_funeral_leads_altitude_20260619</t>
        </is>
      </c>
      <c r="J4114" t="inlineStr">
        <is>
          <t>NA</t>
        </is>
      </c>
      <c r="K4114" t="inlineStr">
        <is>
          <t>No Answer Autodial</t>
        </is>
      </c>
      <c r="L4114" t="n">
        <v>3</v>
      </c>
      <c r="M4114" t="inlineStr">
        <is>
          <t>2026-06-23 09:13:09</t>
        </is>
      </c>
      <c r="N4114" t="inlineStr">
        <is>
          <t>system</t>
        </is>
      </c>
      <c r="O4114" t="inlineStr">
        <is>
          <t>2026-06-19 07:10:32</t>
        </is>
      </c>
      <c r="P4114" t="inlineStr">
        <is>
          <t>2026-06-19 07:10:32</t>
        </is>
      </c>
      <c r="Y4114" t="inlineStr">
        <is>
          <t>27827350040</t>
        </is>
      </c>
    </row>
    <row r="4115">
      <c r="A4115" t="inlineStr">
        <is>
          <t>14945598</t>
        </is>
      </c>
      <c r="B4115" t="inlineStr">
        <is>
          <t>927e88c3-f02a-4b35-89bf-dccff824ef06</t>
        </is>
      </c>
      <c r="D4115" t="inlineStr">
        <is>
          <t>30001087</t>
        </is>
      </c>
      <c r="E4115" t="inlineStr">
        <is>
          <t>ussd_funeral_leads_altitude_20260619</t>
        </is>
      </c>
      <c r="J4115" t="inlineStr">
        <is>
          <t>AA</t>
        </is>
      </c>
      <c r="K4115" t="inlineStr">
        <is>
          <t>Answering Machine Autodial</t>
        </is>
      </c>
      <c r="L4115" t="n">
        <v>3</v>
      </c>
      <c r="M4115" t="inlineStr">
        <is>
          <t>2026-06-23 09:13:09</t>
        </is>
      </c>
      <c r="N4115" t="inlineStr">
        <is>
          <t>system</t>
        </is>
      </c>
      <c r="O4115" t="inlineStr">
        <is>
          <t>2026-06-19 07:10:32</t>
        </is>
      </c>
      <c r="P4115" t="inlineStr">
        <is>
          <t>2026-06-19 07:10:32</t>
        </is>
      </c>
      <c r="Y4115" t="inlineStr">
        <is>
          <t>27661438856</t>
        </is>
      </c>
    </row>
    <row r="4116">
      <c r="A4116" t="inlineStr">
        <is>
          <t>14945582</t>
        </is>
      </c>
      <c r="B4116" t="inlineStr">
        <is>
          <t>db3e312f-9de0-4ba2-8073-9b57b4db74ca</t>
        </is>
      </c>
      <c r="D4116" t="inlineStr">
        <is>
          <t>30001087</t>
        </is>
      </c>
      <c r="E4116" t="inlineStr">
        <is>
          <t>ussd_funeral_leads_altitude_20260619</t>
        </is>
      </c>
      <c r="J4116" t="inlineStr">
        <is>
          <t>AA</t>
        </is>
      </c>
      <c r="K4116" t="inlineStr">
        <is>
          <t>Answering Machine Autodial</t>
        </is>
      </c>
      <c r="L4116" t="n">
        <v>3</v>
      </c>
      <c r="M4116" t="inlineStr">
        <is>
          <t>2026-06-23 09:13:04</t>
        </is>
      </c>
      <c r="N4116" t="inlineStr">
        <is>
          <t>system</t>
        </is>
      </c>
      <c r="O4116" t="inlineStr">
        <is>
          <t>2026-06-19 07:10:32</t>
        </is>
      </c>
      <c r="P4116" t="inlineStr">
        <is>
          <t>2026-06-19 07:10:32</t>
        </is>
      </c>
      <c r="Y4116" t="inlineStr">
        <is>
          <t>27822510178</t>
        </is>
      </c>
    </row>
    <row r="4117">
      <c r="A4117" t="inlineStr">
        <is>
          <t>14945583</t>
        </is>
      </c>
      <c r="B4117" t="inlineStr">
        <is>
          <t>ceaa89e3-218a-401c-bc2a-7fa6029ac471</t>
        </is>
      </c>
      <c r="D4117" t="inlineStr">
        <is>
          <t>30001087</t>
        </is>
      </c>
      <c r="E4117" t="inlineStr">
        <is>
          <t>ussd_funeral_leads_altitude_20260619</t>
        </is>
      </c>
      <c r="J4117" t="inlineStr">
        <is>
          <t>NA</t>
        </is>
      </c>
      <c r="K4117" t="inlineStr">
        <is>
          <t>No Answer Autodial</t>
        </is>
      </c>
      <c r="L4117" t="n">
        <v>3</v>
      </c>
      <c r="M4117" t="inlineStr">
        <is>
          <t>2026-06-23 09:13:04</t>
        </is>
      </c>
      <c r="N4117" t="inlineStr">
        <is>
          <t>system</t>
        </is>
      </c>
      <c r="O4117" t="inlineStr">
        <is>
          <t>2026-06-19 07:10:32</t>
        </is>
      </c>
      <c r="P4117" t="inlineStr">
        <is>
          <t>2026-06-19 07:10:32</t>
        </is>
      </c>
      <c r="Y4117" t="inlineStr">
        <is>
          <t>27767687557</t>
        </is>
      </c>
    </row>
    <row r="4118">
      <c r="A4118" t="inlineStr">
        <is>
          <t>14945577</t>
        </is>
      </c>
      <c r="B4118" t="inlineStr">
        <is>
          <t>e0d0fc06-a749-46a7-8e22-39da509ab7d1</t>
        </is>
      </c>
      <c r="D4118" t="inlineStr">
        <is>
          <t>30001087</t>
        </is>
      </c>
      <c r="E4118" t="inlineStr">
        <is>
          <t>ussd_funeral_leads_altitude_20260619</t>
        </is>
      </c>
      <c r="J4118" t="inlineStr">
        <is>
          <t>AA</t>
        </is>
      </c>
      <c r="K4118" t="inlineStr">
        <is>
          <t>Answering Machine Autodial</t>
        </is>
      </c>
      <c r="L4118" t="n">
        <v>3</v>
      </c>
      <c r="M4118" t="inlineStr">
        <is>
          <t>2026-06-23 09:13:03</t>
        </is>
      </c>
      <c r="N4118" t="inlineStr">
        <is>
          <t>system</t>
        </is>
      </c>
      <c r="O4118" t="inlineStr">
        <is>
          <t>2026-06-19 07:10:32</t>
        </is>
      </c>
      <c r="P4118" t="inlineStr">
        <is>
          <t>2026-06-19 07:10:32</t>
        </is>
      </c>
      <c r="Y4118" t="inlineStr">
        <is>
          <t>27823309704</t>
        </is>
      </c>
    </row>
    <row r="4119">
      <c r="A4119" t="inlineStr">
        <is>
          <t>14945578</t>
        </is>
      </c>
      <c r="B4119" t="inlineStr">
        <is>
          <t>7891b4b7-abd2-415f-92e5-0fb1d2cd5a15</t>
        </is>
      </c>
      <c r="D4119" t="inlineStr">
        <is>
          <t>30001087</t>
        </is>
      </c>
      <c r="E4119" t="inlineStr">
        <is>
          <t>ussd_funeral_leads_altitude_20260619</t>
        </is>
      </c>
      <c r="J4119" t="inlineStr">
        <is>
          <t>AA</t>
        </is>
      </c>
      <c r="K4119" t="inlineStr">
        <is>
          <t>Answering Machine Autodial</t>
        </is>
      </c>
      <c r="L4119" t="n">
        <v>3</v>
      </c>
      <c r="M4119" t="inlineStr">
        <is>
          <t>2026-06-23 09:13:03</t>
        </is>
      </c>
      <c r="N4119" t="inlineStr">
        <is>
          <t>system</t>
        </is>
      </c>
      <c r="O4119" t="inlineStr">
        <is>
          <t>2026-06-19 07:10:32</t>
        </is>
      </c>
      <c r="P4119" t="inlineStr">
        <is>
          <t>2026-06-19 07:10:32</t>
        </is>
      </c>
      <c r="Y4119" t="inlineStr">
        <is>
          <t>27609130795</t>
        </is>
      </c>
    </row>
    <row r="4120">
      <c r="A4120" t="inlineStr">
        <is>
          <t>14945579</t>
        </is>
      </c>
      <c r="B4120" t="inlineStr">
        <is>
          <t>7d37c5e8-e1d9-4698-ace1-9ff5fe5d7275</t>
        </is>
      </c>
      <c r="D4120" t="inlineStr">
        <is>
          <t>30001087</t>
        </is>
      </c>
      <c r="E4120" t="inlineStr">
        <is>
          <t>ussd_funeral_leads_altitude_20260619</t>
        </is>
      </c>
      <c r="J4120" t="inlineStr">
        <is>
          <t>NA</t>
        </is>
      </c>
      <c r="K4120" t="inlineStr">
        <is>
          <t>No Answer Autodial</t>
        </is>
      </c>
      <c r="L4120" t="n">
        <v>3</v>
      </c>
      <c r="M4120" t="inlineStr">
        <is>
          <t>2026-06-23 09:13:03</t>
        </is>
      </c>
      <c r="N4120" t="inlineStr">
        <is>
          <t>system</t>
        </is>
      </c>
      <c r="O4120" t="inlineStr">
        <is>
          <t>2026-06-19 07:10:32</t>
        </is>
      </c>
      <c r="P4120" t="inlineStr">
        <is>
          <t>2026-06-19 07:10:32</t>
        </is>
      </c>
      <c r="Y4120" t="inlineStr">
        <is>
          <t>27722097158</t>
        </is>
      </c>
    </row>
    <row r="4121">
      <c r="A4121" t="inlineStr">
        <is>
          <t>14945580</t>
        </is>
      </c>
      <c r="B4121" t="inlineStr">
        <is>
          <t>898ef3bf-950f-48e0-b145-daa905589a89</t>
        </is>
      </c>
      <c r="D4121" t="inlineStr">
        <is>
          <t>30001087</t>
        </is>
      </c>
      <c r="E4121" t="inlineStr">
        <is>
          <t>ussd_funeral_leads_altitude_20260619</t>
        </is>
      </c>
      <c r="J4121" t="inlineStr">
        <is>
          <t>AA</t>
        </is>
      </c>
      <c r="K4121" t="inlineStr">
        <is>
          <t>Answering Machine Autodial</t>
        </is>
      </c>
      <c r="L4121" t="n">
        <v>3</v>
      </c>
      <c r="M4121" t="inlineStr">
        <is>
          <t>2026-06-23 09:13:03</t>
        </is>
      </c>
      <c r="N4121" t="inlineStr">
        <is>
          <t>system</t>
        </is>
      </c>
      <c r="O4121" t="inlineStr">
        <is>
          <t>2026-06-19 07:10:32</t>
        </is>
      </c>
      <c r="P4121" t="inlineStr">
        <is>
          <t>2026-06-19 07:10:32</t>
        </is>
      </c>
      <c r="Y4121" t="inlineStr">
        <is>
          <t>27790400511</t>
        </is>
      </c>
    </row>
    <row r="4122">
      <c r="A4122" t="inlineStr">
        <is>
          <t>14945581</t>
        </is>
      </c>
      <c r="B4122" t="inlineStr">
        <is>
          <t>23322506-3f75-4fc3-8cf4-e1747ed62ffa</t>
        </is>
      </c>
      <c r="D4122" t="inlineStr">
        <is>
          <t>30001087</t>
        </is>
      </c>
      <c r="E4122" t="inlineStr">
        <is>
          <t>ussd_funeral_leads_altitude_20260619</t>
        </is>
      </c>
      <c r="J4122" t="inlineStr">
        <is>
          <t>AA</t>
        </is>
      </c>
      <c r="K4122" t="inlineStr">
        <is>
          <t>Answering Machine Autodial</t>
        </is>
      </c>
      <c r="L4122" t="n">
        <v>3</v>
      </c>
      <c r="M4122" t="inlineStr">
        <is>
          <t>2026-06-23 09:13:03</t>
        </is>
      </c>
      <c r="N4122" t="inlineStr">
        <is>
          <t>system</t>
        </is>
      </c>
      <c r="O4122" t="inlineStr">
        <is>
          <t>2026-06-19 07:10:32</t>
        </is>
      </c>
      <c r="P4122" t="inlineStr">
        <is>
          <t>2026-06-19 07:10:32</t>
        </is>
      </c>
      <c r="Y4122" t="inlineStr">
        <is>
          <t>27794442524</t>
        </is>
      </c>
    </row>
    <row r="4123">
      <c r="A4123" t="inlineStr">
        <is>
          <t>14943918</t>
        </is>
      </c>
      <c r="B4123" t="inlineStr">
        <is>
          <t>99a3e979-d62f-43f8-9ba9-f25cde844698</t>
        </is>
      </c>
      <c r="D4123" t="inlineStr">
        <is>
          <t>30001087</t>
        </is>
      </c>
      <c r="E4123" t="inlineStr">
        <is>
          <t>ussd_funeral_leads_altitude_20260619</t>
        </is>
      </c>
      <c r="J4123" t="inlineStr">
        <is>
          <t>AA</t>
        </is>
      </c>
      <c r="K4123" t="inlineStr">
        <is>
          <t>Answering Machine Autodial</t>
        </is>
      </c>
      <c r="L4123" t="n">
        <v>3</v>
      </c>
      <c r="M4123" t="inlineStr">
        <is>
          <t>2026-06-23 09:13:02</t>
        </is>
      </c>
      <c r="N4123" t="inlineStr">
        <is>
          <t>system</t>
        </is>
      </c>
      <c r="O4123" t="inlineStr">
        <is>
          <t>2026-06-19 07:10:32</t>
        </is>
      </c>
      <c r="P4123" t="inlineStr">
        <is>
          <t>2026-06-19 07:10:32</t>
        </is>
      </c>
      <c r="Y4123" t="inlineStr">
        <is>
          <t>27675708828</t>
        </is>
      </c>
    </row>
    <row r="4124">
      <c r="A4124" t="inlineStr">
        <is>
          <t>14944465</t>
        </is>
      </c>
      <c r="B4124" t="inlineStr">
        <is>
          <t>4c4bc3ae-66ae-4974-8085-3ec05eea0f9a</t>
        </is>
      </c>
      <c r="D4124" t="inlineStr">
        <is>
          <t>30001087</t>
        </is>
      </c>
      <c r="E4124" t="inlineStr">
        <is>
          <t>ussd_funeral_leads_altitude_20260619</t>
        </is>
      </c>
      <c r="J4124" t="inlineStr">
        <is>
          <t>N</t>
        </is>
      </c>
      <c r="K4124" t="inlineStr">
        <is>
          <t>No Answer</t>
        </is>
      </c>
      <c r="L4124" t="n">
        <v>3</v>
      </c>
      <c r="M4124" t="inlineStr">
        <is>
          <t>2026-06-23 09:12:17</t>
        </is>
      </c>
      <c r="N4124" t="inlineStr">
        <is>
          <t>Vuyiswa Nxumalo</t>
        </is>
      </c>
      <c r="O4124" t="inlineStr">
        <is>
          <t>2026-06-19 07:10:32</t>
        </is>
      </c>
      <c r="P4124" t="inlineStr">
        <is>
          <t>2026-06-19 07:10:32</t>
        </is>
      </c>
      <c r="Y4124" t="inlineStr">
        <is>
          <t>27662679658</t>
        </is>
      </c>
    </row>
    <row r="4125">
      <c r="A4125" t="inlineStr">
        <is>
          <t>14945596</t>
        </is>
      </c>
      <c r="B4125" t="inlineStr">
        <is>
          <t>7cae528b-1df8-4898-b45f-618379c9f122</t>
        </is>
      </c>
      <c r="D4125" t="inlineStr">
        <is>
          <t>30001087</t>
        </is>
      </c>
      <c r="E4125" t="inlineStr">
        <is>
          <t>ussd_funeral_leads_altitude_20260619</t>
        </is>
      </c>
      <c r="J4125" t="inlineStr">
        <is>
          <t>NA</t>
        </is>
      </c>
      <c r="K4125" t="inlineStr">
        <is>
          <t>No Answer Autodial</t>
        </is>
      </c>
      <c r="L4125" t="n">
        <v>3</v>
      </c>
      <c r="M4125" t="inlineStr">
        <is>
          <t>2026-06-23 09:12:10</t>
        </is>
      </c>
      <c r="N4125" t="inlineStr">
        <is>
          <t>system</t>
        </is>
      </c>
      <c r="O4125" t="inlineStr">
        <is>
          <t>2026-06-19 07:10:32</t>
        </is>
      </c>
      <c r="P4125" t="inlineStr">
        <is>
          <t>2026-06-19 07:10:32</t>
        </is>
      </c>
      <c r="Y4125" t="inlineStr">
        <is>
          <t>27661209523</t>
        </is>
      </c>
    </row>
    <row r="4126">
      <c r="A4126" t="inlineStr">
        <is>
          <t>14945592</t>
        </is>
      </c>
      <c r="B4126" t="inlineStr">
        <is>
          <t>b1f10627-1f63-49d9-bfc0-e236322d53d1</t>
        </is>
      </c>
      <c r="D4126" t="inlineStr">
        <is>
          <t>30001087</t>
        </is>
      </c>
      <c r="E4126" t="inlineStr">
        <is>
          <t>ussd_funeral_leads_altitude_20260619</t>
        </is>
      </c>
      <c r="J4126" t="inlineStr">
        <is>
          <t>AA</t>
        </is>
      </c>
      <c r="K4126" t="inlineStr">
        <is>
          <t>Answering Machine Autodial</t>
        </is>
      </c>
      <c r="L4126" t="n">
        <v>3</v>
      </c>
      <c r="M4126" t="inlineStr">
        <is>
          <t>2026-06-23 09:12:09</t>
        </is>
      </c>
      <c r="N4126" t="inlineStr">
        <is>
          <t>system</t>
        </is>
      </c>
      <c r="O4126" t="inlineStr">
        <is>
          <t>2026-06-19 07:10:32</t>
        </is>
      </c>
      <c r="P4126" t="inlineStr">
        <is>
          <t>2026-06-19 07:10:32</t>
        </is>
      </c>
      <c r="Y4126" t="inlineStr">
        <is>
          <t>27726727783</t>
        </is>
      </c>
    </row>
    <row r="4127">
      <c r="A4127" t="inlineStr">
        <is>
          <t>14945593</t>
        </is>
      </c>
      <c r="B4127" t="inlineStr">
        <is>
          <t>d5a8cf3f-6661-409a-8785-6194f6b6969d</t>
        </is>
      </c>
      <c r="D4127" t="inlineStr">
        <is>
          <t>30001087</t>
        </is>
      </c>
      <c r="E4127" t="inlineStr">
        <is>
          <t>ussd_funeral_leads_altitude_20260619</t>
        </is>
      </c>
      <c r="J4127" t="inlineStr">
        <is>
          <t>AA</t>
        </is>
      </c>
      <c r="K4127" t="inlineStr">
        <is>
          <t>Answering Machine Autodial</t>
        </is>
      </c>
      <c r="L4127" t="n">
        <v>3</v>
      </c>
      <c r="M4127" t="inlineStr">
        <is>
          <t>2026-06-23 09:12:09</t>
        </is>
      </c>
      <c r="N4127" t="inlineStr">
        <is>
          <t>system</t>
        </is>
      </c>
      <c r="O4127" t="inlineStr">
        <is>
          <t>2026-06-19 07:10:32</t>
        </is>
      </c>
      <c r="P4127" t="inlineStr">
        <is>
          <t>2026-06-19 07:10:32</t>
        </is>
      </c>
      <c r="Y4127" t="inlineStr">
        <is>
          <t>27648092444</t>
        </is>
      </c>
    </row>
    <row r="4128">
      <c r="A4128" t="inlineStr">
        <is>
          <t>14900000</t>
        </is>
      </c>
      <c r="B4128" t="inlineStr">
        <is>
          <t>7e587545-ef20-4532-85a7-a0fb53fce30e</t>
        </is>
      </c>
      <c r="D4128" t="inlineStr">
        <is>
          <t>30001087</t>
        </is>
      </c>
      <c r="E4128" t="inlineStr">
        <is>
          <t>ussd_funeral_leads_altitude_20260619</t>
        </is>
      </c>
      <c r="J4128" t="inlineStr">
        <is>
          <t>NA</t>
        </is>
      </c>
      <c r="K4128" t="inlineStr">
        <is>
          <t>No Answer Autodial</t>
        </is>
      </c>
      <c r="L4128" t="n">
        <v>3</v>
      </c>
      <c r="M4128" t="inlineStr">
        <is>
          <t>2026-06-23 09:12:09</t>
        </is>
      </c>
      <c r="N4128" t="inlineStr">
        <is>
          <t>system</t>
        </is>
      </c>
      <c r="O4128" t="inlineStr">
        <is>
          <t>2026-06-19 07:10:32</t>
        </is>
      </c>
      <c r="P4128" t="inlineStr">
        <is>
          <t>2026-06-19 07:10:32</t>
        </is>
      </c>
      <c r="Y4128" t="inlineStr">
        <is>
          <t>27766595290</t>
        </is>
      </c>
    </row>
    <row r="4129">
      <c r="A4129" t="inlineStr">
        <is>
          <t>14945595</t>
        </is>
      </c>
      <c r="B4129" t="inlineStr">
        <is>
          <t>cee9dd53-a7a8-45cc-bf88-3824932f1541</t>
        </is>
      </c>
      <c r="D4129" t="inlineStr">
        <is>
          <t>30001087</t>
        </is>
      </c>
      <c r="E4129" t="inlineStr">
        <is>
          <t>ussd_funeral_leads_altitude_20260619</t>
        </is>
      </c>
      <c r="J4129" t="inlineStr">
        <is>
          <t>TDN</t>
        </is>
      </c>
      <c r="K4129" t="inlineStr">
        <is>
          <t>Temporary Disconnected Number</t>
        </is>
      </c>
      <c r="L4129" t="n">
        <v>3</v>
      </c>
      <c r="M4129" t="inlineStr">
        <is>
          <t>2026-06-23 09:12:09</t>
        </is>
      </c>
      <c r="N4129" t="inlineStr">
        <is>
          <t>system</t>
        </is>
      </c>
      <c r="O4129" t="inlineStr">
        <is>
          <t>2026-06-19 07:10:32</t>
        </is>
      </c>
      <c r="P4129" t="inlineStr">
        <is>
          <t>2026-06-19 07:10:32</t>
        </is>
      </c>
      <c r="Y4129" t="inlineStr">
        <is>
          <t>27794470796</t>
        </is>
      </c>
    </row>
    <row r="4130">
      <c r="A4130" t="inlineStr">
        <is>
          <t>14945591</t>
        </is>
      </c>
      <c r="B4130" t="inlineStr">
        <is>
          <t>cfb6f8d5-5618-494f-a3c9-2c3acd23947e</t>
        </is>
      </c>
      <c r="D4130" t="inlineStr">
        <is>
          <t>30001087</t>
        </is>
      </c>
      <c r="E4130" t="inlineStr">
        <is>
          <t>ussd_funeral_leads_altitude_20260619</t>
        </is>
      </c>
      <c r="J4130" t="inlineStr">
        <is>
          <t>DROP</t>
        </is>
      </c>
      <c r="K4130" t="inlineStr">
        <is>
          <t>Dropped</t>
        </is>
      </c>
      <c r="L4130" t="n">
        <v>3</v>
      </c>
      <c r="M4130" t="inlineStr">
        <is>
          <t>2026-06-23 09:12:05</t>
        </is>
      </c>
      <c r="N4130" t="inlineStr">
        <is>
          <t>system</t>
        </is>
      </c>
      <c r="O4130" t="inlineStr">
        <is>
          <t>2026-06-19 07:10:32</t>
        </is>
      </c>
      <c r="P4130" t="inlineStr">
        <is>
          <t>2026-06-19 07:10:32</t>
        </is>
      </c>
      <c r="Y4130" t="inlineStr">
        <is>
          <t>27726537444</t>
        </is>
      </c>
    </row>
    <row r="4131">
      <c r="A4131" t="inlineStr">
        <is>
          <t>14945590</t>
        </is>
      </c>
      <c r="B4131" t="inlineStr">
        <is>
          <t>ebe97e9d-2faf-4a84-95b7-495e7bc73a79</t>
        </is>
      </c>
      <c r="D4131" t="inlineStr">
        <is>
          <t>30001087</t>
        </is>
      </c>
      <c r="E4131" t="inlineStr">
        <is>
          <t>ussd_funeral_leads_altitude_20260619</t>
        </is>
      </c>
      <c r="J4131" t="inlineStr">
        <is>
          <t>ADC</t>
        </is>
      </c>
      <c r="K4131" t="inlineStr">
        <is>
          <t>Auto Dial Disconnected</t>
        </is>
      </c>
      <c r="L4131" t="n">
        <v>3</v>
      </c>
      <c r="M4131" t="inlineStr">
        <is>
          <t>2026-06-23 09:11:54</t>
        </is>
      </c>
      <c r="N4131" t="inlineStr">
        <is>
          <t>system</t>
        </is>
      </c>
      <c r="O4131" t="inlineStr">
        <is>
          <t>2026-06-19 07:10:32</t>
        </is>
      </c>
      <c r="P4131" t="inlineStr">
        <is>
          <t>2026-06-19 07:10:32</t>
        </is>
      </c>
      <c r="Y4131" t="inlineStr">
        <is>
          <t>27767002499</t>
        </is>
      </c>
    </row>
    <row r="4132">
      <c r="A4132" t="inlineStr">
        <is>
          <t>14945589</t>
        </is>
      </c>
      <c r="B4132" t="inlineStr">
        <is>
          <t>6bab22da-fd9a-48a8-96ad-67ae83290858</t>
        </is>
      </c>
      <c r="D4132" t="inlineStr">
        <is>
          <t>30001087</t>
        </is>
      </c>
      <c r="E4132" t="inlineStr">
        <is>
          <t>ussd_funeral_leads_altitude_20260619</t>
        </is>
      </c>
      <c r="J4132" t="inlineStr">
        <is>
          <t>AA</t>
        </is>
      </c>
      <c r="K4132" t="inlineStr">
        <is>
          <t>Answering Machine Autodial</t>
        </is>
      </c>
      <c r="L4132" t="n">
        <v>3</v>
      </c>
      <c r="M4132" t="inlineStr">
        <is>
          <t>2026-06-23 09:11:48</t>
        </is>
      </c>
      <c r="N4132" t="inlineStr">
        <is>
          <t>system</t>
        </is>
      </c>
      <c r="O4132" t="inlineStr">
        <is>
          <t>2026-06-19 07:10:32</t>
        </is>
      </c>
      <c r="P4132" t="inlineStr">
        <is>
          <t>2026-06-19 07:10:32</t>
        </is>
      </c>
      <c r="Y4132" t="inlineStr">
        <is>
          <t>27675832395</t>
        </is>
      </c>
    </row>
    <row r="4133">
      <c r="A4133" t="inlineStr">
        <is>
          <t>14945587</t>
        </is>
      </c>
      <c r="B4133" t="inlineStr">
        <is>
          <t>b7131201-0479-4b81-9f8c-54e262a9af33</t>
        </is>
      </c>
      <c r="D4133" t="inlineStr">
        <is>
          <t>30001087</t>
        </is>
      </c>
      <c r="E4133" t="inlineStr">
        <is>
          <t>ussd_funeral_leads_altitude_20260619</t>
        </is>
      </c>
      <c r="J4133" t="inlineStr">
        <is>
          <t>AA</t>
        </is>
      </c>
      <c r="K4133" t="inlineStr">
        <is>
          <t>Answering Machine Autodial</t>
        </is>
      </c>
      <c r="L4133" t="n">
        <v>3</v>
      </c>
      <c r="M4133" t="inlineStr">
        <is>
          <t>2026-06-23 09:11:47</t>
        </is>
      </c>
      <c r="N4133" t="inlineStr">
        <is>
          <t>system</t>
        </is>
      </c>
      <c r="O4133" t="inlineStr">
        <is>
          <t>2026-06-19 07:10:32</t>
        </is>
      </c>
      <c r="P4133" t="inlineStr">
        <is>
          <t>2026-06-19 07:10:32</t>
        </is>
      </c>
      <c r="Y4133" t="inlineStr">
        <is>
          <t>27608249248</t>
        </is>
      </c>
    </row>
    <row r="4134">
      <c r="A4134" t="inlineStr">
        <is>
          <t>14943916</t>
        </is>
      </c>
      <c r="B4134" t="inlineStr">
        <is>
          <t>34702ef2-21ac-4f7d-a240-b52177978d0a</t>
        </is>
      </c>
      <c r="D4134" t="inlineStr">
        <is>
          <t>30001087</t>
        </is>
      </c>
      <c r="E4134" t="inlineStr">
        <is>
          <t>ussd_funeral_leads_altitude_20260619</t>
        </is>
      </c>
      <c r="J4134" t="inlineStr">
        <is>
          <t>AA</t>
        </is>
      </c>
      <c r="K4134" t="inlineStr">
        <is>
          <t>Answering Machine Autodial</t>
        </is>
      </c>
      <c r="L4134" t="n">
        <v>3</v>
      </c>
      <c r="M4134" t="inlineStr">
        <is>
          <t>2026-06-23 09:11:42</t>
        </is>
      </c>
      <c r="N4134" t="inlineStr">
        <is>
          <t>system</t>
        </is>
      </c>
      <c r="O4134" t="inlineStr">
        <is>
          <t>2026-06-19 07:10:32</t>
        </is>
      </c>
      <c r="P4134" t="inlineStr">
        <is>
          <t>2026-06-19 07:10:32</t>
        </is>
      </c>
      <c r="Y4134" t="inlineStr">
        <is>
          <t>27765645419</t>
        </is>
      </c>
    </row>
    <row r="4135">
      <c r="A4135" t="inlineStr">
        <is>
          <t>14944690</t>
        </is>
      </c>
      <c r="B4135" t="inlineStr">
        <is>
          <t>d97c3ab2-c1b1-44c1-8ca5-db38d83f2964</t>
        </is>
      </c>
      <c r="D4135" t="inlineStr">
        <is>
          <t>30001087</t>
        </is>
      </c>
      <c r="E4135" t="inlineStr">
        <is>
          <t>ussd_funeral_leads_altitude_20260619</t>
        </is>
      </c>
      <c r="H4135" t="inlineStr">
        <is>
          <t>27664411153</t>
        </is>
      </c>
      <c r="J4135" t="inlineStr">
        <is>
          <t>CUA</t>
        </is>
      </c>
      <c r="K4135" t="inlineStr">
        <is>
          <t>Client Underage</t>
        </is>
      </c>
      <c r="L4135" t="n">
        <v>3</v>
      </c>
      <c r="M4135" t="inlineStr">
        <is>
          <t>2026-06-23 09:09:28</t>
        </is>
      </c>
      <c r="N4135" t="inlineStr">
        <is>
          <t>Virginia Letsatsi</t>
        </is>
      </c>
      <c r="O4135" t="inlineStr">
        <is>
          <t>2026-06-19 07:10:32</t>
        </is>
      </c>
      <c r="P4135" t="inlineStr">
        <is>
          <t>2026-06-19 07:10:32</t>
        </is>
      </c>
      <c r="Y4135" t="inlineStr">
        <is>
          <t>27664411153</t>
        </is>
      </c>
    </row>
    <row r="4136">
      <c r="A4136" t="inlineStr">
        <is>
          <t>14943674</t>
        </is>
      </c>
      <c r="B4136" t="inlineStr">
        <is>
          <t>6a2b2308-b08b-4a3d-86a7-6ad8944d5867</t>
        </is>
      </c>
      <c r="D4136" t="inlineStr">
        <is>
          <t>30001087</t>
        </is>
      </c>
      <c r="E4136" t="inlineStr">
        <is>
          <t>ussd_funeral_leads_altitude_20260619</t>
        </is>
      </c>
      <c r="H4136" t="inlineStr">
        <is>
          <t>27768834695</t>
        </is>
      </c>
      <c r="J4136" t="inlineStr">
        <is>
          <t>CU</t>
        </is>
      </c>
      <c r="K4136" t="inlineStr">
        <is>
          <t>Client Hung Up</t>
        </is>
      </c>
      <c r="L4136" t="n">
        <v>2</v>
      </c>
      <c r="M4136" t="inlineStr">
        <is>
          <t>2026-06-23 09:02:23</t>
        </is>
      </c>
      <c r="N4136" t="inlineStr">
        <is>
          <t>Dimakatso Nkomo</t>
        </is>
      </c>
      <c r="O4136" t="inlineStr">
        <is>
          <t>2026-06-19 07:10:32</t>
        </is>
      </c>
      <c r="P4136" t="inlineStr">
        <is>
          <t>2026-06-19 07:10:32</t>
        </is>
      </c>
      <c r="Y4136" t="inlineStr">
        <is>
          <t>27768834695</t>
        </is>
      </c>
    </row>
    <row r="4137">
      <c r="A4137" t="inlineStr">
        <is>
          <t>14947361</t>
        </is>
      </c>
      <c r="B4137" t="inlineStr">
        <is>
          <t>b718e914-e5a6-41d9-a1ba-941548130e24</t>
        </is>
      </c>
      <c r="D4137" t="inlineStr">
        <is>
          <t>30001087</t>
        </is>
      </c>
      <c r="E4137" t="inlineStr">
        <is>
          <t>ussd_funeral_leads_altitude_20260619</t>
        </is>
      </c>
      <c r="J4137" t="inlineStr">
        <is>
          <t>AA</t>
        </is>
      </c>
      <c r="K4137" t="inlineStr">
        <is>
          <t>Answering Machine Autodial</t>
        </is>
      </c>
      <c r="L4137" t="n">
        <v>2</v>
      </c>
      <c r="M4137" t="inlineStr">
        <is>
          <t>2026-06-23 08:58:58</t>
        </is>
      </c>
      <c r="N4137" t="inlineStr">
        <is>
          <t>system</t>
        </is>
      </c>
      <c r="O4137" t="inlineStr">
        <is>
          <t>2026-06-19 07:10:32</t>
        </is>
      </c>
      <c r="P4137" t="inlineStr">
        <is>
          <t>2026-06-19 07:10:32</t>
        </is>
      </c>
      <c r="Y4137" t="inlineStr">
        <is>
          <t>27826212906</t>
        </is>
      </c>
    </row>
    <row r="4138">
      <c r="A4138" t="inlineStr">
        <is>
          <t>14947362</t>
        </is>
      </c>
      <c r="B4138" t="inlineStr">
        <is>
          <t>8a33a79a-6209-4f13-ad82-4fc91575e0ff</t>
        </is>
      </c>
      <c r="D4138" t="inlineStr">
        <is>
          <t>30001087</t>
        </is>
      </c>
      <c r="E4138" t="inlineStr">
        <is>
          <t>ussd_funeral_leads_altitude_20260619</t>
        </is>
      </c>
      <c r="J4138" t="inlineStr">
        <is>
          <t>TDN</t>
        </is>
      </c>
      <c r="K4138" t="inlineStr">
        <is>
          <t>Temporary Disconnected Number</t>
        </is>
      </c>
      <c r="L4138" t="n">
        <v>2</v>
      </c>
      <c r="M4138" t="inlineStr">
        <is>
          <t>2026-06-23 08:58:58</t>
        </is>
      </c>
      <c r="N4138" t="inlineStr">
        <is>
          <t>system</t>
        </is>
      </c>
      <c r="O4138" t="inlineStr">
        <is>
          <t>2026-06-19 07:10:32</t>
        </is>
      </c>
      <c r="P4138" t="inlineStr">
        <is>
          <t>2026-06-19 07:10:32</t>
        </is>
      </c>
      <c r="Y4138" t="inlineStr">
        <is>
          <t>27649667829</t>
        </is>
      </c>
    </row>
    <row r="4139">
      <c r="A4139" t="inlineStr">
        <is>
          <t>14942929</t>
        </is>
      </c>
      <c r="B4139" t="inlineStr">
        <is>
          <t>5a296d62-887f-45e7-8bee-10e5697308ad</t>
        </is>
      </c>
      <c r="D4139" t="inlineStr">
        <is>
          <t>30001087</t>
        </is>
      </c>
      <c r="E4139" t="inlineStr">
        <is>
          <t>ussd_funeral_leads_altitude_20260619</t>
        </is>
      </c>
      <c r="J4139" t="inlineStr">
        <is>
          <t>ADC</t>
        </is>
      </c>
      <c r="K4139" t="inlineStr">
        <is>
          <t>Auto Dial Disconnected</t>
        </is>
      </c>
      <c r="L4139" t="n">
        <v>2</v>
      </c>
      <c r="M4139" t="inlineStr">
        <is>
          <t>2026-06-23 08:58:52</t>
        </is>
      </c>
      <c r="N4139" t="inlineStr">
        <is>
          <t>system</t>
        </is>
      </c>
      <c r="O4139" t="inlineStr">
        <is>
          <t>2026-06-19 07:10:32</t>
        </is>
      </c>
      <c r="P4139" t="inlineStr">
        <is>
          <t>2026-06-19 07:10:32</t>
        </is>
      </c>
      <c r="Y4139" t="inlineStr">
        <is>
          <t>27727915887</t>
        </is>
      </c>
    </row>
    <row r="4140">
      <c r="A4140" t="inlineStr">
        <is>
          <t>14942930</t>
        </is>
      </c>
      <c r="B4140" t="inlineStr">
        <is>
          <t>7121c673-3618-4b4c-8761-ee933dc17b31</t>
        </is>
      </c>
      <c r="D4140" t="inlineStr">
        <is>
          <t>30001087</t>
        </is>
      </c>
      <c r="E4140" t="inlineStr">
        <is>
          <t>ussd_funeral_leads_altitude_20260619</t>
        </is>
      </c>
      <c r="J4140" t="inlineStr">
        <is>
          <t>AA</t>
        </is>
      </c>
      <c r="K4140" t="inlineStr">
        <is>
          <t>Answering Machine Autodial</t>
        </is>
      </c>
      <c r="L4140" t="n">
        <v>2</v>
      </c>
      <c r="M4140" t="inlineStr">
        <is>
          <t>2026-06-23 08:58:52</t>
        </is>
      </c>
      <c r="N4140" t="inlineStr">
        <is>
          <t>system</t>
        </is>
      </c>
      <c r="O4140" t="inlineStr">
        <is>
          <t>2026-06-19 07:10:32</t>
        </is>
      </c>
      <c r="P4140" t="inlineStr">
        <is>
          <t>2026-06-19 07:10:32</t>
        </is>
      </c>
      <c r="Y4140" t="inlineStr">
        <is>
          <t>27714539352</t>
        </is>
      </c>
    </row>
    <row r="4141">
      <c r="A4141" t="inlineStr">
        <is>
          <t>14942931</t>
        </is>
      </c>
      <c r="B4141" t="inlineStr">
        <is>
          <t>eb3cf886-503d-42ea-9101-179f1b7056d1</t>
        </is>
      </c>
      <c r="D4141" t="inlineStr">
        <is>
          <t>30001087</t>
        </is>
      </c>
      <c r="E4141" t="inlineStr">
        <is>
          <t>ussd_funeral_leads_altitude_20260619</t>
        </is>
      </c>
      <c r="J4141" t="inlineStr">
        <is>
          <t>AA</t>
        </is>
      </c>
      <c r="K4141" t="inlineStr">
        <is>
          <t>Answering Machine Autodial</t>
        </is>
      </c>
      <c r="L4141" t="n">
        <v>2</v>
      </c>
      <c r="M4141" t="inlineStr">
        <is>
          <t>2026-06-23 08:58:52</t>
        </is>
      </c>
      <c r="N4141" t="inlineStr">
        <is>
          <t>system</t>
        </is>
      </c>
      <c r="O4141" t="inlineStr">
        <is>
          <t>2026-06-19 07:10:32</t>
        </is>
      </c>
      <c r="P4141" t="inlineStr">
        <is>
          <t>2026-06-19 07:10:32</t>
        </is>
      </c>
      <c r="Y4141" t="inlineStr">
        <is>
          <t>27608874776</t>
        </is>
      </c>
    </row>
    <row r="4142">
      <c r="A4142" t="inlineStr">
        <is>
          <t>14942932</t>
        </is>
      </c>
      <c r="B4142" t="inlineStr">
        <is>
          <t>2289d07d-99c2-4e23-a0be-e8d038f28daa</t>
        </is>
      </c>
      <c r="D4142" t="inlineStr">
        <is>
          <t>30001087</t>
        </is>
      </c>
      <c r="E4142" t="inlineStr">
        <is>
          <t>ussd_funeral_leads_altitude_20260619</t>
        </is>
      </c>
      <c r="J4142" t="inlineStr">
        <is>
          <t>NA</t>
        </is>
      </c>
      <c r="K4142" t="inlineStr">
        <is>
          <t>No Answer Autodial</t>
        </is>
      </c>
      <c r="L4142" t="n">
        <v>2</v>
      </c>
      <c r="M4142" t="inlineStr">
        <is>
          <t>2026-06-23 08:58:52</t>
        </is>
      </c>
      <c r="N4142" t="inlineStr">
        <is>
          <t>system</t>
        </is>
      </c>
      <c r="O4142" t="inlineStr">
        <is>
          <t>2026-06-19 07:10:32</t>
        </is>
      </c>
      <c r="P4142" t="inlineStr">
        <is>
          <t>2026-06-19 07:10:32</t>
        </is>
      </c>
      <c r="Y4142" t="inlineStr">
        <is>
          <t>27818727371</t>
        </is>
      </c>
    </row>
    <row r="4143">
      <c r="A4143" t="inlineStr">
        <is>
          <t>14942935</t>
        </is>
      </c>
      <c r="B4143" t="inlineStr">
        <is>
          <t>7f610ec0-8df7-44e8-a810-b238cd9d1c7d</t>
        </is>
      </c>
      <c r="D4143" t="inlineStr">
        <is>
          <t>30001087</t>
        </is>
      </c>
      <c r="E4143" t="inlineStr">
        <is>
          <t>ussd_funeral_leads_altitude_20260619</t>
        </is>
      </c>
      <c r="J4143" t="inlineStr">
        <is>
          <t>ADC</t>
        </is>
      </c>
      <c r="K4143" t="inlineStr">
        <is>
          <t>Auto Dial Disconnected</t>
        </is>
      </c>
      <c r="L4143" t="n">
        <v>2</v>
      </c>
      <c r="M4143" t="inlineStr">
        <is>
          <t>2026-06-23 08:58:52</t>
        </is>
      </c>
      <c r="N4143" t="inlineStr">
        <is>
          <t>system</t>
        </is>
      </c>
      <c r="O4143" t="inlineStr">
        <is>
          <t>2026-06-19 07:10:32</t>
        </is>
      </c>
      <c r="P4143" t="inlineStr">
        <is>
          <t>2026-06-19 07:10:32</t>
        </is>
      </c>
      <c r="Y4143" t="inlineStr">
        <is>
          <t>27662503767</t>
        </is>
      </c>
    </row>
    <row r="4144">
      <c r="A4144" t="inlineStr">
        <is>
          <t>14942808</t>
        </is>
      </c>
      <c r="B4144" t="inlineStr">
        <is>
          <t>0786d076-a186-4e36-83b6-273f03ebe3e6</t>
        </is>
      </c>
      <c r="D4144" t="inlineStr">
        <is>
          <t>30001087</t>
        </is>
      </c>
      <c r="E4144" t="inlineStr">
        <is>
          <t>ussd_funeral_leads_altitude_20260619</t>
        </is>
      </c>
      <c r="J4144" t="inlineStr">
        <is>
          <t>AA</t>
        </is>
      </c>
      <c r="K4144" t="inlineStr">
        <is>
          <t>Answering Machine Autodial</t>
        </is>
      </c>
      <c r="L4144" t="n">
        <v>2</v>
      </c>
      <c r="M4144" t="inlineStr">
        <is>
          <t>2026-06-23 08:58:47</t>
        </is>
      </c>
      <c r="N4144" t="inlineStr">
        <is>
          <t>system</t>
        </is>
      </c>
      <c r="O4144" t="inlineStr">
        <is>
          <t>2026-06-19 07:10:32</t>
        </is>
      </c>
      <c r="P4144" t="inlineStr">
        <is>
          <t>2026-06-19 07:10:32</t>
        </is>
      </c>
      <c r="Y4144" t="inlineStr">
        <is>
          <t>27712827806</t>
        </is>
      </c>
    </row>
    <row r="4145">
      <c r="A4145" t="inlineStr">
        <is>
          <t>14900000</t>
        </is>
      </c>
      <c r="B4145" t="inlineStr">
        <is>
          <t>8e349f37-0f24-424b-82a3-e74ea5ee3d46</t>
        </is>
      </c>
      <c r="D4145" t="inlineStr">
        <is>
          <t>30001087</t>
        </is>
      </c>
      <c r="E4145" t="inlineStr">
        <is>
          <t>ussd_funeral_leads_altitude_20260619</t>
        </is>
      </c>
      <c r="J4145" t="inlineStr">
        <is>
          <t>A</t>
        </is>
      </c>
      <c r="K4145" t="inlineStr">
        <is>
          <t>Answering Machine</t>
        </is>
      </c>
      <c r="L4145" t="n">
        <v>2</v>
      </c>
      <c r="M4145" t="inlineStr">
        <is>
          <t>2026-06-23 08:58:46</t>
        </is>
      </c>
      <c r="N4145" t="inlineStr">
        <is>
          <t>Lebohang Mabotja</t>
        </is>
      </c>
      <c r="O4145" t="inlineStr">
        <is>
          <t>2026-06-19 07:10:32</t>
        </is>
      </c>
      <c r="P4145" t="inlineStr">
        <is>
          <t>2026-06-19 07:10:32</t>
        </is>
      </c>
      <c r="Y4145" t="inlineStr">
        <is>
          <t>27769915831</t>
        </is>
      </c>
    </row>
    <row r="4146">
      <c r="A4146" t="inlineStr">
        <is>
          <t>14947794</t>
        </is>
      </c>
      <c r="B4146" t="inlineStr">
        <is>
          <t>2eb6d1b5-f5b7-49a3-8fa6-0f3a39355b4e</t>
        </is>
      </c>
      <c r="D4146" t="inlineStr">
        <is>
          <t>30001087</t>
        </is>
      </c>
      <c r="E4146" t="inlineStr">
        <is>
          <t>ussd_funeral_leads_altitude_20260619</t>
        </is>
      </c>
      <c r="J4146" t="inlineStr">
        <is>
          <t>NA</t>
        </is>
      </c>
      <c r="K4146" t="inlineStr">
        <is>
          <t>No Answer Autodial</t>
        </is>
      </c>
      <c r="L4146" t="n">
        <v>2</v>
      </c>
      <c r="M4146" t="inlineStr">
        <is>
          <t>2026-06-23 08:58:42</t>
        </is>
      </c>
      <c r="N4146" t="inlineStr">
        <is>
          <t>system</t>
        </is>
      </c>
      <c r="O4146" t="inlineStr">
        <is>
          <t>2026-06-19 07:10:32</t>
        </is>
      </c>
      <c r="P4146" t="inlineStr">
        <is>
          <t>2026-06-19 07:10:32</t>
        </is>
      </c>
      <c r="Y4146" t="inlineStr">
        <is>
          <t>27797876904</t>
        </is>
      </c>
    </row>
    <row r="4147">
      <c r="A4147" t="inlineStr">
        <is>
          <t>14947795</t>
        </is>
      </c>
      <c r="B4147" t="inlineStr">
        <is>
          <t>790aa4fb-c938-4477-8a21-a43a8599ac81</t>
        </is>
      </c>
      <c r="D4147" t="inlineStr">
        <is>
          <t>30001087</t>
        </is>
      </c>
      <c r="E4147" t="inlineStr">
        <is>
          <t>ussd_funeral_leads_altitude_20260619</t>
        </is>
      </c>
      <c r="J4147" t="inlineStr">
        <is>
          <t>NA</t>
        </is>
      </c>
      <c r="K4147" t="inlineStr">
        <is>
          <t>No Answer Autodial</t>
        </is>
      </c>
      <c r="L4147" t="n">
        <v>2</v>
      </c>
      <c r="M4147" t="inlineStr">
        <is>
          <t>2026-06-23 08:58:41</t>
        </is>
      </c>
      <c r="N4147" t="inlineStr">
        <is>
          <t>system</t>
        </is>
      </c>
      <c r="O4147" t="inlineStr">
        <is>
          <t>2026-06-19 07:10:32</t>
        </is>
      </c>
      <c r="P4147" t="inlineStr">
        <is>
          <t>2026-06-19 07:10:32</t>
        </is>
      </c>
      <c r="Y4147" t="inlineStr">
        <is>
          <t>27818175914</t>
        </is>
      </c>
    </row>
    <row r="4148">
      <c r="A4148" t="inlineStr">
        <is>
          <t>14947364</t>
        </is>
      </c>
      <c r="B4148" t="inlineStr">
        <is>
          <t>ef75cd7b-de85-482f-bdd8-18197a10056b</t>
        </is>
      </c>
      <c r="D4148" t="inlineStr">
        <is>
          <t>30001087</t>
        </is>
      </c>
      <c r="E4148" t="inlineStr">
        <is>
          <t>ussd_funeral_leads_altitude_20260619</t>
        </is>
      </c>
      <c r="J4148" t="inlineStr">
        <is>
          <t>TDN</t>
        </is>
      </c>
      <c r="K4148" t="inlineStr">
        <is>
          <t>Temporary Disconnected Number</t>
        </is>
      </c>
      <c r="L4148" t="n">
        <v>2</v>
      </c>
      <c r="M4148" t="inlineStr">
        <is>
          <t>2026-06-23 08:58:27</t>
        </is>
      </c>
      <c r="N4148" t="inlineStr">
        <is>
          <t>system</t>
        </is>
      </c>
      <c r="O4148" t="inlineStr">
        <is>
          <t>2026-06-19 07:10:32</t>
        </is>
      </c>
      <c r="P4148" t="inlineStr">
        <is>
          <t>2026-06-19 07:10:32</t>
        </is>
      </c>
      <c r="Y4148" t="inlineStr">
        <is>
          <t>27712113533</t>
        </is>
      </c>
    </row>
    <row r="4149">
      <c r="A4149" t="inlineStr">
        <is>
          <t>14942725</t>
        </is>
      </c>
      <c r="B4149" t="inlineStr">
        <is>
          <t>018174e8-2442-48a7-92da-49854cbd943d</t>
        </is>
      </c>
      <c r="D4149" t="inlineStr">
        <is>
          <t>30001087</t>
        </is>
      </c>
      <c r="E4149" t="inlineStr">
        <is>
          <t>ussd_funeral_leads_altitude_20260619</t>
        </is>
      </c>
      <c r="J4149" t="inlineStr">
        <is>
          <t>AA</t>
        </is>
      </c>
      <c r="K4149" t="inlineStr">
        <is>
          <t>Answering Machine Autodial</t>
        </is>
      </c>
      <c r="L4149" t="n">
        <v>2</v>
      </c>
      <c r="M4149" t="inlineStr">
        <is>
          <t>2026-06-23 08:58:05</t>
        </is>
      </c>
      <c r="N4149" t="inlineStr">
        <is>
          <t>system</t>
        </is>
      </c>
      <c r="O4149" t="inlineStr">
        <is>
          <t>2026-06-19 07:10:32</t>
        </is>
      </c>
      <c r="P4149" t="inlineStr">
        <is>
          <t>2026-06-19 07:10:32</t>
        </is>
      </c>
      <c r="Y4149" t="inlineStr">
        <is>
          <t>27820804420</t>
        </is>
      </c>
    </row>
    <row r="4150">
      <c r="A4150" t="inlineStr">
        <is>
          <t>14947793</t>
        </is>
      </c>
      <c r="B4150" t="inlineStr">
        <is>
          <t>3fbf79ad-1e0d-4ac4-a9bb-97a5038ae522</t>
        </is>
      </c>
      <c r="D4150" t="inlineStr">
        <is>
          <t>30001087</t>
        </is>
      </c>
      <c r="E4150" t="inlineStr">
        <is>
          <t>ussd_funeral_leads_altitude_20260619</t>
        </is>
      </c>
      <c r="J4150" t="inlineStr">
        <is>
          <t>NA</t>
        </is>
      </c>
      <c r="K4150" t="inlineStr">
        <is>
          <t>No Answer Autodial</t>
        </is>
      </c>
      <c r="L4150" t="n">
        <v>2</v>
      </c>
      <c r="M4150" t="inlineStr">
        <is>
          <t>2026-06-23 08:58:00</t>
        </is>
      </c>
      <c r="N4150" t="inlineStr">
        <is>
          <t>system</t>
        </is>
      </c>
      <c r="O4150" t="inlineStr">
        <is>
          <t>2026-06-19 07:10:32</t>
        </is>
      </c>
      <c r="P4150" t="inlineStr">
        <is>
          <t>2026-06-19 07:10:32</t>
        </is>
      </c>
      <c r="Y4150" t="inlineStr">
        <is>
          <t>27649781221</t>
        </is>
      </c>
    </row>
    <row r="4151">
      <c r="A4151" t="inlineStr">
        <is>
          <t>14947792</t>
        </is>
      </c>
      <c r="B4151" t="inlineStr">
        <is>
          <t>afa8a6cd-caa2-439a-925d-f9c90fca68a8</t>
        </is>
      </c>
      <c r="D4151" t="inlineStr">
        <is>
          <t>30001087</t>
        </is>
      </c>
      <c r="E4151" t="inlineStr">
        <is>
          <t>ussd_funeral_leads_altitude_20260619</t>
        </is>
      </c>
      <c r="J4151" t="inlineStr">
        <is>
          <t>AA</t>
        </is>
      </c>
      <c r="K4151" t="inlineStr">
        <is>
          <t>Answering Machine Autodial</t>
        </is>
      </c>
      <c r="L4151" t="n">
        <v>2</v>
      </c>
      <c r="M4151" t="inlineStr">
        <is>
          <t>2026-06-23 08:57:59</t>
        </is>
      </c>
      <c r="N4151" t="inlineStr">
        <is>
          <t>system</t>
        </is>
      </c>
      <c r="O4151" t="inlineStr">
        <is>
          <t>2026-06-19 07:10:32</t>
        </is>
      </c>
      <c r="P4151" t="inlineStr">
        <is>
          <t>2026-06-19 07:10:32</t>
        </is>
      </c>
      <c r="Y4151" t="inlineStr">
        <is>
          <t>27607391355</t>
        </is>
      </c>
    </row>
    <row r="4152">
      <c r="A4152" t="inlineStr">
        <is>
          <t>14942621</t>
        </is>
      </c>
      <c r="B4152" t="inlineStr">
        <is>
          <t>ee11a885-a418-43af-a955-5aa94f63f784</t>
        </is>
      </c>
      <c r="D4152" t="inlineStr">
        <is>
          <t>30001087</t>
        </is>
      </c>
      <c r="E4152" t="inlineStr">
        <is>
          <t>ussd_funeral_leads_altitude_20260619</t>
        </is>
      </c>
      <c r="J4152" t="inlineStr">
        <is>
          <t>ADC</t>
        </is>
      </c>
      <c r="K4152" t="inlineStr">
        <is>
          <t>Auto Dial Disconnected</t>
        </is>
      </c>
      <c r="L4152" t="n">
        <v>2</v>
      </c>
      <c r="M4152" t="inlineStr">
        <is>
          <t>2026-06-23 08:57:58</t>
        </is>
      </c>
      <c r="N4152" t="inlineStr">
        <is>
          <t>system</t>
        </is>
      </c>
      <c r="O4152" t="inlineStr">
        <is>
          <t>2026-06-19 07:10:32</t>
        </is>
      </c>
      <c r="P4152" t="inlineStr">
        <is>
          <t>2026-06-19 07:10:32</t>
        </is>
      </c>
      <c r="Y4152" t="inlineStr">
        <is>
          <t>27608980062</t>
        </is>
      </c>
    </row>
    <row r="4153">
      <c r="A4153" t="inlineStr">
        <is>
          <t>14942622</t>
        </is>
      </c>
      <c r="B4153" t="inlineStr">
        <is>
          <t>7c525273-63d1-4173-9b54-420d0fb779ea</t>
        </is>
      </c>
      <c r="D4153" t="inlineStr">
        <is>
          <t>30001087</t>
        </is>
      </c>
      <c r="E4153" t="inlineStr">
        <is>
          <t>ussd_funeral_leads_altitude_20260619</t>
        </is>
      </c>
      <c r="J4153" t="inlineStr">
        <is>
          <t>AA</t>
        </is>
      </c>
      <c r="K4153" t="inlineStr">
        <is>
          <t>Answering Machine Autodial</t>
        </is>
      </c>
      <c r="L4153" t="n">
        <v>2</v>
      </c>
      <c r="M4153" t="inlineStr">
        <is>
          <t>2026-06-23 08:57:58</t>
        </is>
      </c>
      <c r="N4153" t="inlineStr">
        <is>
          <t>system</t>
        </is>
      </c>
      <c r="O4153" t="inlineStr">
        <is>
          <t>2026-06-19 07:10:32</t>
        </is>
      </c>
      <c r="P4153" t="inlineStr">
        <is>
          <t>2026-06-19 07:10:32</t>
        </is>
      </c>
      <c r="Y4153" t="inlineStr">
        <is>
          <t>27764424734</t>
        </is>
      </c>
    </row>
    <row r="4154">
      <c r="A4154" t="inlineStr">
        <is>
          <t>14942623</t>
        </is>
      </c>
      <c r="B4154" t="inlineStr">
        <is>
          <t>7523357f-beaf-4e21-b1fd-55581fb8bd2b</t>
        </is>
      </c>
      <c r="D4154" t="inlineStr">
        <is>
          <t>30001087</t>
        </is>
      </c>
      <c r="E4154" t="inlineStr">
        <is>
          <t>ussd_funeral_leads_altitude_20260619</t>
        </is>
      </c>
      <c r="J4154" t="inlineStr">
        <is>
          <t>TDN</t>
        </is>
      </c>
      <c r="K4154" t="inlineStr">
        <is>
          <t>Temporary Disconnected Number</t>
        </is>
      </c>
      <c r="L4154" t="n">
        <v>2</v>
      </c>
      <c r="M4154" t="inlineStr">
        <is>
          <t>2026-06-23 08:57:53</t>
        </is>
      </c>
      <c r="N4154" t="inlineStr">
        <is>
          <t>system</t>
        </is>
      </c>
      <c r="O4154" t="inlineStr">
        <is>
          <t>2026-06-19 07:10:32</t>
        </is>
      </c>
      <c r="P4154" t="inlineStr">
        <is>
          <t>2026-06-19 07:10:32</t>
        </is>
      </c>
      <c r="Y4154" t="inlineStr">
        <is>
          <t>27769982793</t>
        </is>
      </c>
    </row>
    <row r="4155">
      <c r="A4155" t="inlineStr">
        <is>
          <t>14942624</t>
        </is>
      </c>
      <c r="B4155" t="inlineStr">
        <is>
          <t>ac4a4c78-be6d-4e7e-9c7b-18b5c6cff054</t>
        </is>
      </c>
      <c r="D4155" t="inlineStr">
        <is>
          <t>30001087</t>
        </is>
      </c>
      <c r="E4155" t="inlineStr">
        <is>
          <t>ussd_funeral_leads_altitude_20260619</t>
        </is>
      </c>
      <c r="J4155" t="inlineStr">
        <is>
          <t>AA</t>
        </is>
      </c>
      <c r="K4155" t="inlineStr">
        <is>
          <t>Answering Machine Autodial</t>
        </is>
      </c>
      <c r="L4155" t="n">
        <v>2</v>
      </c>
      <c r="M4155" t="inlineStr">
        <is>
          <t>2026-06-23 08:57:53</t>
        </is>
      </c>
      <c r="N4155" t="inlineStr">
        <is>
          <t>system</t>
        </is>
      </c>
      <c r="O4155" t="inlineStr">
        <is>
          <t>2026-06-19 07:10:32</t>
        </is>
      </c>
      <c r="P4155" t="inlineStr">
        <is>
          <t>2026-06-19 07:10:32</t>
        </is>
      </c>
      <c r="Y4155" t="inlineStr">
        <is>
          <t>27648678806</t>
        </is>
      </c>
    </row>
    <row r="4156">
      <c r="A4156" t="inlineStr">
        <is>
          <t>14942625</t>
        </is>
      </c>
      <c r="B4156" t="inlineStr">
        <is>
          <t>707305f7-2f03-4241-9941-92e30757e0b5</t>
        </is>
      </c>
      <c r="D4156" t="inlineStr">
        <is>
          <t>30001087</t>
        </is>
      </c>
      <c r="E4156" t="inlineStr">
        <is>
          <t>ussd_funeral_leads_altitude_20260619</t>
        </is>
      </c>
      <c r="J4156" t="inlineStr">
        <is>
          <t>ADC</t>
        </is>
      </c>
      <c r="K4156" t="inlineStr">
        <is>
          <t>Auto Dial Disconnected</t>
        </is>
      </c>
      <c r="L4156" t="n">
        <v>2</v>
      </c>
      <c r="M4156" t="inlineStr">
        <is>
          <t>2026-06-23 08:57:53</t>
        </is>
      </c>
      <c r="N4156" t="inlineStr">
        <is>
          <t>system</t>
        </is>
      </c>
      <c r="O4156" t="inlineStr">
        <is>
          <t>2026-06-19 07:10:32</t>
        </is>
      </c>
      <c r="P4156" t="inlineStr">
        <is>
          <t>2026-06-19 07:10:32</t>
        </is>
      </c>
      <c r="Y4156" t="inlineStr">
        <is>
          <t>27661140558</t>
        </is>
      </c>
    </row>
    <row r="4157">
      <c r="A4157" t="inlineStr">
        <is>
          <t>14942626</t>
        </is>
      </c>
      <c r="B4157" t="inlineStr">
        <is>
          <t>c75cd0b9-6964-403b-99e7-a8acabd6af62</t>
        </is>
      </c>
      <c r="D4157" t="inlineStr">
        <is>
          <t>30001087</t>
        </is>
      </c>
      <c r="E4157" t="inlineStr">
        <is>
          <t>ussd_funeral_leads_altitude_20260619</t>
        </is>
      </c>
      <c r="J4157" t="inlineStr">
        <is>
          <t>AA</t>
        </is>
      </c>
      <c r="K4157" t="inlineStr">
        <is>
          <t>Answering Machine Autodial</t>
        </is>
      </c>
      <c r="L4157" t="n">
        <v>2</v>
      </c>
      <c r="M4157" t="inlineStr">
        <is>
          <t>2026-06-23 08:57:53</t>
        </is>
      </c>
      <c r="N4157" t="inlineStr">
        <is>
          <t>system</t>
        </is>
      </c>
      <c r="O4157" t="inlineStr">
        <is>
          <t>2026-06-19 07:10:32</t>
        </is>
      </c>
      <c r="P4157" t="inlineStr">
        <is>
          <t>2026-06-19 07:10:32</t>
        </is>
      </c>
      <c r="Y4157" t="inlineStr">
        <is>
          <t>27729216729</t>
        </is>
      </c>
    </row>
    <row r="4158">
      <c r="A4158" t="inlineStr">
        <is>
          <t>14942627</t>
        </is>
      </c>
      <c r="B4158" t="inlineStr">
        <is>
          <t>fec28dc3-de4c-42be-8fd6-e5efb7e16b6e</t>
        </is>
      </c>
      <c r="D4158" t="inlineStr">
        <is>
          <t>30001087</t>
        </is>
      </c>
      <c r="E4158" t="inlineStr">
        <is>
          <t>ussd_funeral_leads_altitude_20260619</t>
        </is>
      </c>
      <c r="J4158" t="inlineStr">
        <is>
          <t>CU</t>
        </is>
      </c>
      <c r="K4158" t="inlineStr">
        <is>
          <t>Client Hung Up</t>
        </is>
      </c>
      <c r="L4158" t="n">
        <v>2</v>
      </c>
      <c r="M4158" t="inlineStr">
        <is>
          <t>2026-06-23 08:57:53</t>
        </is>
      </c>
      <c r="N4158" t="inlineStr">
        <is>
          <t>Goitsimang Mogwasa</t>
        </is>
      </c>
      <c r="O4158" t="inlineStr">
        <is>
          <t>2026-06-19 07:10:32</t>
        </is>
      </c>
      <c r="P4158" t="inlineStr">
        <is>
          <t>2026-06-19 07:10:32</t>
        </is>
      </c>
      <c r="Y4158" t="inlineStr">
        <is>
          <t>27765087252</t>
        </is>
      </c>
    </row>
    <row r="4159">
      <c r="A4159" t="inlineStr">
        <is>
          <t>14942629</t>
        </is>
      </c>
      <c r="B4159" t="inlineStr">
        <is>
          <t>82799d03-f699-42b3-b9d6-e85713ec24c7</t>
        </is>
      </c>
      <c r="D4159" t="inlineStr">
        <is>
          <t>30001087</t>
        </is>
      </c>
      <c r="E4159" t="inlineStr">
        <is>
          <t>ussd_funeral_leads_altitude_20260619</t>
        </is>
      </c>
      <c r="J4159" t="inlineStr">
        <is>
          <t>ADC</t>
        </is>
      </c>
      <c r="K4159" t="inlineStr">
        <is>
          <t>Auto Dial Disconnected</t>
        </is>
      </c>
      <c r="L4159" t="n">
        <v>2</v>
      </c>
      <c r="M4159" t="inlineStr">
        <is>
          <t>2026-06-23 08:57:52</t>
        </is>
      </c>
      <c r="N4159" t="inlineStr">
        <is>
          <t>system</t>
        </is>
      </c>
      <c r="O4159" t="inlineStr">
        <is>
          <t>2026-06-19 07:10:32</t>
        </is>
      </c>
      <c r="P4159" t="inlineStr">
        <is>
          <t>2026-06-19 07:10:32</t>
        </is>
      </c>
      <c r="Y4159" t="inlineStr">
        <is>
          <t>27723226977</t>
        </is>
      </c>
    </row>
    <row r="4160">
      <c r="A4160" t="inlineStr">
        <is>
          <t>14942630</t>
        </is>
      </c>
      <c r="B4160" t="inlineStr">
        <is>
          <t>4bc9dac1-1c5b-4076-a5d4-4199ecb79a94</t>
        </is>
      </c>
      <c r="D4160" t="inlineStr">
        <is>
          <t>30001087</t>
        </is>
      </c>
      <c r="E4160" t="inlineStr">
        <is>
          <t>ussd_funeral_leads_altitude_20260619</t>
        </is>
      </c>
      <c r="J4160" t="inlineStr">
        <is>
          <t>AF</t>
        </is>
      </c>
      <c r="K4160" t="inlineStr">
        <is>
          <t>Cannot Afford</t>
        </is>
      </c>
      <c r="L4160" t="n">
        <v>2</v>
      </c>
      <c r="M4160" t="inlineStr">
        <is>
          <t>2026-06-23 08:57:34</t>
        </is>
      </c>
      <c r="N4160" t="inlineStr">
        <is>
          <t>Dimakatso Nkomo</t>
        </is>
      </c>
      <c r="O4160" t="inlineStr">
        <is>
          <t>2026-06-19 07:10:32</t>
        </is>
      </c>
      <c r="P4160" t="inlineStr">
        <is>
          <t>2026-06-19 07:10:32</t>
        </is>
      </c>
      <c r="Y4160" t="inlineStr">
        <is>
          <t>27768440751</t>
        </is>
      </c>
    </row>
    <row r="4161">
      <c r="A4161" t="inlineStr">
        <is>
          <t>14942632</t>
        </is>
      </c>
      <c r="B4161" t="inlineStr">
        <is>
          <t>f7b0d785-8f7e-4b18-9c4a-153da9b101c6</t>
        </is>
      </c>
      <c r="D4161" t="inlineStr">
        <is>
          <t>30001087</t>
        </is>
      </c>
      <c r="E4161" t="inlineStr">
        <is>
          <t>ussd_funeral_leads_altitude_20260619</t>
        </is>
      </c>
      <c r="J4161" t="inlineStr">
        <is>
          <t>NA</t>
        </is>
      </c>
      <c r="K4161" t="inlineStr">
        <is>
          <t>No Answer Autodial</t>
        </is>
      </c>
      <c r="L4161" t="n">
        <v>2</v>
      </c>
      <c r="M4161" t="inlineStr">
        <is>
          <t>2026-06-23 08:57:30</t>
        </is>
      </c>
      <c r="N4161" t="inlineStr">
        <is>
          <t>system</t>
        </is>
      </c>
      <c r="O4161" t="inlineStr">
        <is>
          <t>2026-06-19 07:10:32</t>
        </is>
      </c>
      <c r="P4161" t="inlineStr">
        <is>
          <t>2026-06-19 07:10:32</t>
        </is>
      </c>
      <c r="Y4161" t="inlineStr">
        <is>
          <t>27768195504</t>
        </is>
      </c>
    </row>
    <row r="4162">
      <c r="A4162" t="inlineStr">
        <is>
          <t>14942631</t>
        </is>
      </c>
      <c r="B4162" t="inlineStr">
        <is>
          <t>7c56a61a-f36e-4672-bc4e-babb6f8d94af</t>
        </is>
      </c>
      <c r="D4162" t="inlineStr">
        <is>
          <t>30001087</t>
        </is>
      </c>
      <c r="E4162" t="inlineStr">
        <is>
          <t>ussd_funeral_leads_altitude_20260619</t>
        </is>
      </c>
      <c r="J4162" t="inlineStr">
        <is>
          <t>DROP</t>
        </is>
      </c>
      <c r="K4162" t="inlineStr">
        <is>
          <t>Dropped</t>
        </is>
      </c>
      <c r="L4162" t="n">
        <v>2</v>
      </c>
      <c r="M4162" t="inlineStr">
        <is>
          <t>2026-06-23 08:57:29</t>
        </is>
      </c>
      <c r="N4162" t="inlineStr">
        <is>
          <t>system</t>
        </is>
      </c>
      <c r="O4162" t="inlineStr">
        <is>
          <t>2026-06-19 07:10:32</t>
        </is>
      </c>
      <c r="P4162" t="inlineStr">
        <is>
          <t>2026-06-19 07:10:32</t>
        </is>
      </c>
      <c r="Y4162" t="inlineStr">
        <is>
          <t>27768425721</t>
        </is>
      </c>
    </row>
    <row r="4163">
      <c r="A4163" t="inlineStr">
        <is>
          <t>14947662</t>
        </is>
      </c>
      <c r="B4163" t="inlineStr">
        <is>
          <t>688c5f00-1b8b-464b-a617-c5397fb71ea9</t>
        </is>
      </c>
      <c r="D4163" t="inlineStr">
        <is>
          <t>30001087</t>
        </is>
      </c>
      <c r="E4163" t="inlineStr">
        <is>
          <t>ussd_funeral_leads_altitude_20260619</t>
        </is>
      </c>
      <c r="J4163" t="inlineStr">
        <is>
          <t>NA</t>
        </is>
      </c>
      <c r="K4163" t="inlineStr">
        <is>
          <t>No Answer Autodial</t>
        </is>
      </c>
      <c r="L4163" t="n">
        <v>2</v>
      </c>
      <c r="M4163" t="inlineStr">
        <is>
          <t>2026-06-23 08:57:18</t>
        </is>
      </c>
      <c r="N4163" t="inlineStr">
        <is>
          <t>system</t>
        </is>
      </c>
      <c r="O4163" t="inlineStr">
        <is>
          <t>2026-06-19 07:10:32</t>
        </is>
      </c>
      <c r="P4163" t="inlineStr">
        <is>
          <t>2026-06-19 07:10:32</t>
        </is>
      </c>
      <c r="Y4163" t="inlineStr">
        <is>
          <t>27712280725</t>
        </is>
      </c>
    </row>
    <row r="4164">
      <c r="A4164" t="inlineStr">
        <is>
          <t>14947697</t>
        </is>
      </c>
      <c r="B4164" t="inlineStr">
        <is>
          <t>dbb5f01e-c08c-4b3e-993d-07cea545628c</t>
        </is>
      </c>
      <c r="D4164" t="inlineStr">
        <is>
          <t>30001087</t>
        </is>
      </c>
      <c r="E4164" t="inlineStr">
        <is>
          <t>ussd_funeral_leads_altitude_20260619</t>
        </is>
      </c>
      <c r="J4164" t="inlineStr">
        <is>
          <t>AA</t>
        </is>
      </c>
      <c r="K4164" t="inlineStr">
        <is>
          <t>Answering Machine Autodial</t>
        </is>
      </c>
      <c r="L4164" t="n">
        <v>2</v>
      </c>
      <c r="M4164" t="inlineStr">
        <is>
          <t>2026-06-23 08:57:18</t>
        </is>
      </c>
      <c r="N4164" t="inlineStr">
        <is>
          <t>system</t>
        </is>
      </c>
      <c r="O4164" t="inlineStr">
        <is>
          <t>2026-06-19 07:10:32</t>
        </is>
      </c>
      <c r="P4164" t="inlineStr">
        <is>
          <t>2026-06-19 07:10:32</t>
        </is>
      </c>
      <c r="Y4164" t="inlineStr">
        <is>
          <t>27799481305</t>
        </is>
      </c>
    </row>
    <row r="4165">
      <c r="A4165" t="inlineStr">
        <is>
          <t>14942628</t>
        </is>
      </c>
      <c r="B4165" t="inlineStr">
        <is>
          <t>feef83df-32e6-47c4-9541-a995280b7494</t>
        </is>
      </c>
      <c r="D4165" t="inlineStr">
        <is>
          <t>30001087</t>
        </is>
      </c>
      <c r="E4165" t="inlineStr">
        <is>
          <t>ussd_funeral_leads_altitude_20260619</t>
        </is>
      </c>
      <c r="J4165" t="inlineStr">
        <is>
          <t>CU</t>
        </is>
      </c>
      <c r="K4165" t="inlineStr">
        <is>
          <t>Client Hung Up</t>
        </is>
      </c>
      <c r="L4165" t="n">
        <v>2</v>
      </c>
      <c r="M4165" t="inlineStr">
        <is>
          <t>2026-06-23 08:57:17</t>
        </is>
      </c>
      <c r="N4165" t="inlineStr">
        <is>
          <t>Vuyiswa Nxumalo</t>
        </is>
      </c>
      <c r="O4165" t="inlineStr">
        <is>
          <t>2026-06-19 07:10:32</t>
        </is>
      </c>
      <c r="P4165" t="inlineStr">
        <is>
          <t>2026-06-19 07:10:32</t>
        </is>
      </c>
      <c r="Y4165" t="inlineStr">
        <is>
          <t>27792303265</t>
        </is>
      </c>
    </row>
    <row r="4166">
      <c r="A4166" t="inlineStr">
        <is>
          <t>14947326</t>
        </is>
      </c>
      <c r="B4166" t="inlineStr">
        <is>
          <t>e84abe98-2905-406a-abfb-45637a923d0e</t>
        </is>
      </c>
      <c r="D4166" t="inlineStr">
        <is>
          <t>30001087</t>
        </is>
      </c>
      <c r="E4166" t="inlineStr">
        <is>
          <t>ussd_funeral_leads_altitude_20260619</t>
        </is>
      </c>
      <c r="J4166" t="inlineStr">
        <is>
          <t>NA</t>
        </is>
      </c>
      <c r="K4166" t="inlineStr">
        <is>
          <t>No Answer Autodial</t>
        </is>
      </c>
      <c r="L4166" t="n">
        <v>2</v>
      </c>
      <c r="M4166" t="inlineStr">
        <is>
          <t>2026-06-23 08:57:14</t>
        </is>
      </c>
      <c r="N4166" t="inlineStr">
        <is>
          <t>system</t>
        </is>
      </c>
      <c r="O4166" t="inlineStr">
        <is>
          <t>2026-06-19 07:10:32</t>
        </is>
      </c>
      <c r="P4166" t="inlineStr">
        <is>
          <t>2026-06-19 07:10:32</t>
        </is>
      </c>
      <c r="Y4166" t="inlineStr">
        <is>
          <t>27823905324</t>
        </is>
      </c>
    </row>
    <row r="4167">
      <c r="A4167" t="inlineStr">
        <is>
          <t>14947320</t>
        </is>
      </c>
      <c r="B4167" t="inlineStr">
        <is>
          <t>62a4946d-7cac-4801-af1e-b11927a10016</t>
        </is>
      </c>
      <c r="D4167" t="inlineStr">
        <is>
          <t>30001087</t>
        </is>
      </c>
      <c r="E4167" t="inlineStr">
        <is>
          <t>ussd_funeral_leads_altitude_20260619</t>
        </is>
      </c>
      <c r="J4167" t="inlineStr">
        <is>
          <t>TDN</t>
        </is>
      </c>
      <c r="K4167" t="inlineStr">
        <is>
          <t>Temporary Disconnected Number</t>
        </is>
      </c>
      <c r="L4167" t="n">
        <v>2</v>
      </c>
      <c r="M4167" t="inlineStr">
        <is>
          <t>2026-06-23 08:57:12</t>
        </is>
      </c>
      <c r="N4167" t="inlineStr">
        <is>
          <t>system</t>
        </is>
      </c>
      <c r="O4167" t="inlineStr">
        <is>
          <t>2026-06-19 07:10:32</t>
        </is>
      </c>
      <c r="P4167" t="inlineStr">
        <is>
          <t>2026-06-19 07:10:32</t>
        </is>
      </c>
      <c r="Y4167" t="inlineStr">
        <is>
          <t>27763511564</t>
        </is>
      </c>
    </row>
    <row r="4168">
      <c r="A4168" t="inlineStr">
        <is>
          <t>14947318</t>
        </is>
      </c>
      <c r="B4168" t="inlineStr">
        <is>
          <t>05380a79-f135-418f-853f-3f7668ee574a</t>
        </is>
      </c>
      <c r="D4168" t="inlineStr">
        <is>
          <t>30001087</t>
        </is>
      </c>
      <c r="E4168" t="inlineStr">
        <is>
          <t>ussd_funeral_leads_altitude_20260619</t>
        </is>
      </c>
      <c r="J4168" t="inlineStr">
        <is>
          <t>AA</t>
        </is>
      </c>
      <c r="K4168" t="inlineStr">
        <is>
          <t>Answering Machine Autodial</t>
        </is>
      </c>
      <c r="L4168" t="n">
        <v>2</v>
      </c>
      <c r="M4168" t="inlineStr">
        <is>
          <t>2026-06-23 08:56:41</t>
        </is>
      </c>
      <c r="N4168" t="inlineStr">
        <is>
          <t>system</t>
        </is>
      </c>
      <c r="O4168" t="inlineStr">
        <is>
          <t>2026-06-19 07:10:32</t>
        </is>
      </c>
      <c r="P4168" t="inlineStr">
        <is>
          <t>2026-06-19 07:10:32</t>
        </is>
      </c>
      <c r="Y4168" t="inlineStr">
        <is>
          <t>27716444363</t>
        </is>
      </c>
    </row>
    <row r="4169">
      <c r="A4169" t="inlineStr">
        <is>
          <t>14947301</t>
        </is>
      </c>
      <c r="B4169" t="inlineStr">
        <is>
          <t>1454504e-5fdc-4176-a65c-3075038c9c67</t>
        </is>
      </c>
      <c r="D4169" t="inlineStr">
        <is>
          <t>30001087</t>
        </is>
      </c>
      <c r="E4169" t="inlineStr">
        <is>
          <t>ussd_funeral_leads_altitude_20260619</t>
        </is>
      </c>
      <c r="J4169" t="inlineStr">
        <is>
          <t>A</t>
        </is>
      </c>
      <c r="K4169" t="inlineStr">
        <is>
          <t>Answering Machine</t>
        </is>
      </c>
      <c r="L4169" t="n">
        <v>2</v>
      </c>
      <c r="M4169" t="inlineStr">
        <is>
          <t>2026-06-23 08:56:40</t>
        </is>
      </c>
      <c r="N4169" t="inlineStr">
        <is>
          <t>Lebohang Mabotja</t>
        </is>
      </c>
      <c r="O4169" t="inlineStr">
        <is>
          <t>2026-06-19 07:10:32</t>
        </is>
      </c>
      <c r="P4169" t="inlineStr">
        <is>
          <t>2026-06-19 07:10:32</t>
        </is>
      </c>
      <c r="Y4169" t="inlineStr">
        <is>
          <t>27818907234</t>
        </is>
      </c>
    </row>
    <row r="4170">
      <c r="A4170" t="inlineStr">
        <is>
          <t>14946660</t>
        </is>
      </c>
      <c r="B4170" t="inlineStr">
        <is>
          <t>460826f5-7c11-43d4-a499-a1666ad74fa9</t>
        </is>
      </c>
      <c r="D4170" t="inlineStr">
        <is>
          <t>30001087</t>
        </is>
      </c>
      <c r="E4170" t="inlineStr">
        <is>
          <t>ussd_funeral_leads_altitude_20260619</t>
        </is>
      </c>
      <c r="J4170" t="inlineStr">
        <is>
          <t>CU</t>
        </is>
      </c>
      <c r="K4170" t="inlineStr">
        <is>
          <t>Client Hung Up</t>
        </is>
      </c>
      <c r="L4170" t="n">
        <v>3</v>
      </c>
      <c r="M4170" t="inlineStr">
        <is>
          <t>2026-06-23 08:55:23</t>
        </is>
      </c>
      <c r="N4170" t="inlineStr">
        <is>
          <t>Bongiwe Precious Cele</t>
        </is>
      </c>
      <c r="O4170" t="inlineStr">
        <is>
          <t>2026-06-19 07:10:32</t>
        </is>
      </c>
      <c r="P4170" t="inlineStr">
        <is>
          <t>2026-06-19 07:10:32</t>
        </is>
      </c>
      <c r="Y4170" t="inlineStr">
        <is>
          <t>27825965665</t>
        </is>
      </c>
    </row>
    <row r="4171">
      <c r="A4171" t="inlineStr">
        <is>
          <t>14900000</t>
        </is>
      </c>
      <c r="B4171" t="inlineStr">
        <is>
          <t>e886f7be-04ec-4d7c-b00c-f40d72860e3c</t>
        </is>
      </c>
      <c r="D4171" t="inlineStr">
        <is>
          <t>30001087</t>
        </is>
      </c>
      <c r="E4171" t="inlineStr">
        <is>
          <t>ussd_funeral_leads_altitude_20260619</t>
        </is>
      </c>
      <c r="J4171" t="inlineStr">
        <is>
          <t>AA</t>
        </is>
      </c>
      <c r="K4171" t="inlineStr">
        <is>
          <t>Answering Machine Autodial</t>
        </is>
      </c>
      <c r="L4171" t="n">
        <v>2</v>
      </c>
      <c r="M4171" t="inlineStr">
        <is>
          <t>2026-06-23 08:55:04</t>
        </is>
      </c>
      <c r="N4171" t="inlineStr">
        <is>
          <t>system</t>
        </is>
      </c>
      <c r="O4171" t="inlineStr">
        <is>
          <t>2026-06-19 07:10:32</t>
        </is>
      </c>
      <c r="P4171" t="inlineStr">
        <is>
          <t>2026-06-19 07:10:32</t>
        </is>
      </c>
      <c r="Y4171" t="inlineStr">
        <is>
          <t>27648029231</t>
        </is>
      </c>
    </row>
    <row r="4172">
      <c r="A4172" t="inlineStr">
        <is>
          <t>14942936</t>
        </is>
      </c>
      <c r="B4172" t="inlineStr">
        <is>
          <t>b9e874b9-35b9-4aca-9f30-51fd4f289ef9</t>
        </is>
      </c>
      <c r="D4172" t="inlineStr">
        <is>
          <t>30001087</t>
        </is>
      </c>
      <c r="E4172" t="inlineStr">
        <is>
          <t>ussd_funeral_leads_altitude_20260619</t>
        </is>
      </c>
      <c r="J4172" t="inlineStr">
        <is>
          <t>AA</t>
        </is>
      </c>
      <c r="K4172" t="inlineStr">
        <is>
          <t>Answering Machine Autodial</t>
        </is>
      </c>
      <c r="L4172" t="n">
        <v>2</v>
      </c>
      <c r="M4172" t="inlineStr">
        <is>
          <t>2026-06-23 08:54:40</t>
        </is>
      </c>
      <c r="N4172" t="inlineStr">
        <is>
          <t>system</t>
        </is>
      </c>
      <c r="O4172" t="inlineStr">
        <is>
          <t>2026-06-19 07:10:32</t>
        </is>
      </c>
      <c r="P4172" t="inlineStr">
        <is>
          <t>2026-06-19 07:10:32</t>
        </is>
      </c>
      <c r="Y4172" t="inlineStr">
        <is>
          <t>27796940413</t>
        </is>
      </c>
    </row>
    <row r="4173">
      <c r="A4173" t="inlineStr">
        <is>
          <t>14942937</t>
        </is>
      </c>
      <c r="B4173" t="inlineStr">
        <is>
          <t>0a25f143-31aa-411c-b871-00e9e99875b9</t>
        </is>
      </c>
      <c r="D4173" t="inlineStr">
        <is>
          <t>30001087</t>
        </is>
      </c>
      <c r="E4173" t="inlineStr">
        <is>
          <t>ussd_funeral_leads_altitude_20260619</t>
        </is>
      </c>
      <c r="J4173" t="inlineStr">
        <is>
          <t>AA</t>
        </is>
      </c>
      <c r="K4173" t="inlineStr">
        <is>
          <t>Answering Machine Autodial</t>
        </is>
      </c>
      <c r="L4173" t="n">
        <v>2</v>
      </c>
      <c r="M4173" t="inlineStr">
        <is>
          <t>2026-06-23 08:54:40</t>
        </is>
      </c>
      <c r="N4173" t="inlineStr">
        <is>
          <t>system</t>
        </is>
      </c>
      <c r="O4173" t="inlineStr">
        <is>
          <t>2026-06-19 07:10:32</t>
        </is>
      </c>
      <c r="P4173" t="inlineStr">
        <is>
          <t>2026-06-19 07:10:32</t>
        </is>
      </c>
      <c r="Y4173" t="inlineStr">
        <is>
          <t>27768322224</t>
        </is>
      </c>
    </row>
    <row r="4174">
      <c r="A4174" t="inlineStr">
        <is>
          <t>14942933</t>
        </is>
      </c>
      <c r="B4174" t="inlineStr">
        <is>
          <t>84893d5a-2243-4494-89c7-b320749afa38</t>
        </is>
      </c>
      <c r="D4174" t="inlineStr">
        <is>
          <t>30001087</t>
        </is>
      </c>
      <c r="E4174" t="inlineStr">
        <is>
          <t>ussd_funeral_leads_altitude_20260619</t>
        </is>
      </c>
      <c r="J4174" t="inlineStr">
        <is>
          <t>NI</t>
        </is>
      </c>
      <c r="K4174" t="inlineStr">
        <is>
          <t>Not Interested</t>
        </is>
      </c>
      <c r="L4174" t="n">
        <v>2</v>
      </c>
      <c r="M4174" t="inlineStr">
        <is>
          <t>2026-06-23 08:53:16</t>
        </is>
      </c>
      <c r="N4174" t="inlineStr">
        <is>
          <t>Lebohang Mabotja</t>
        </is>
      </c>
      <c r="O4174" t="inlineStr">
        <is>
          <t>2026-06-19 07:10:32</t>
        </is>
      </c>
      <c r="P4174" t="inlineStr">
        <is>
          <t>2026-06-19 07:10:32</t>
        </is>
      </c>
      <c r="Y4174" t="inlineStr">
        <is>
          <t>27793229850</t>
        </is>
      </c>
    </row>
    <row r="4175">
      <c r="A4175" t="inlineStr">
        <is>
          <t>14946358</t>
        </is>
      </c>
      <c r="B4175" t="inlineStr">
        <is>
          <t>70c540b1-b61d-4fc4-a9f1-ef601d373f79</t>
        </is>
      </c>
      <c r="D4175" t="inlineStr">
        <is>
          <t>30001087</t>
        </is>
      </c>
      <c r="E4175" t="inlineStr">
        <is>
          <t>ussd_funeral_leads_altitude_20260619</t>
        </is>
      </c>
      <c r="J4175" t="inlineStr">
        <is>
          <t>AF</t>
        </is>
      </c>
      <c r="K4175" t="inlineStr">
        <is>
          <t>Cannot Afford</t>
        </is>
      </c>
      <c r="L4175" t="n">
        <v>2</v>
      </c>
      <c r="M4175" t="inlineStr">
        <is>
          <t>2026-06-23 08:51:48</t>
        </is>
      </c>
      <c r="N4175" t="inlineStr">
        <is>
          <t>Vuyiswa Nxumalo</t>
        </is>
      </c>
      <c r="O4175" t="inlineStr">
        <is>
          <t>2026-06-19 07:10:32</t>
        </is>
      </c>
      <c r="P4175" t="inlineStr">
        <is>
          <t>2026-06-19 07:10:32</t>
        </is>
      </c>
      <c r="Y4175" t="inlineStr">
        <is>
          <t>27606860421</t>
        </is>
      </c>
    </row>
    <row r="4176">
      <c r="A4176" t="inlineStr">
        <is>
          <t>14946565</t>
        </is>
      </c>
      <c r="B4176" t="inlineStr">
        <is>
          <t>c5d76ceb-a9d7-49c2-af82-f0ef00938a7a</t>
        </is>
      </c>
      <c r="D4176" t="inlineStr">
        <is>
          <t>30001087</t>
        </is>
      </c>
      <c r="E4176" t="inlineStr">
        <is>
          <t>ussd_funeral_leads_altitude_20260619</t>
        </is>
      </c>
      <c r="J4176" t="inlineStr">
        <is>
          <t>AC</t>
        </is>
      </c>
      <c r="K4176" t="inlineStr">
        <is>
          <t>Already Contacted</t>
        </is>
      </c>
      <c r="L4176" t="n">
        <v>2</v>
      </c>
      <c r="M4176" t="inlineStr">
        <is>
          <t>2026-06-23 08:51:41</t>
        </is>
      </c>
      <c r="N4176" t="inlineStr">
        <is>
          <t>Lebohang Mabotja</t>
        </is>
      </c>
      <c r="O4176" t="inlineStr">
        <is>
          <t>2026-06-19 07:10:32</t>
        </is>
      </c>
      <c r="P4176" t="inlineStr">
        <is>
          <t>2026-06-19 07:10:32</t>
        </is>
      </c>
      <c r="Y4176" t="inlineStr">
        <is>
          <t>27767945218</t>
        </is>
      </c>
    </row>
    <row r="4177">
      <c r="A4177" t="inlineStr">
        <is>
          <t>14946567</t>
        </is>
      </c>
      <c r="B4177" t="inlineStr">
        <is>
          <t>6b21c80c-3b09-4b26-b7a7-160179d55211</t>
        </is>
      </c>
      <c r="D4177" t="inlineStr">
        <is>
          <t>30001087</t>
        </is>
      </c>
      <c r="E4177" t="inlineStr">
        <is>
          <t>ussd_funeral_leads_altitude_20260619</t>
        </is>
      </c>
      <c r="J4177" t="inlineStr">
        <is>
          <t>CBACK</t>
        </is>
      </c>
      <c r="K4177" t="inlineStr">
        <is>
          <t>Callback</t>
        </is>
      </c>
      <c r="L4177" t="n">
        <v>2</v>
      </c>
      <c r="M4177" t="inlineStr">
        <is>
          <t>2026-06-23 08:51:37</t>
        </is>
      </c>
      <c r="N4177" t="inlineStr">
        <is>
          <t>Gontse Monageng</t>
        </is>
      </c>
      <c r="O4177" t="inlineStr">
        <is>
          <t>2026-06-19 07:10:32</t>
        </is>
      </c>
      <c r="P4177" t="inlineStr">
        <is>
          <t>2026-06-19 07:10:32</t>
        </is>
      </c>
      <c r="Y4177" t="inlineStr">
        <is>
          <t>27648912947</t>
        </is>
      </c>
    </row>
    <row r="4178">
      <c r="A4178" t="inlineStr">
        <is>
          <t>14947462</t>
        </is>
      </c>
      <c r="B4178" t="inlineStr">
        <is>
          <t>e2e12642-1a8b-41ce-9981-21bbeab83f42</t>
        </is>
      </c>
      <c r="D4178" t="inlineStr">
        <is>
          <t>30001087</t>
        </is>
      </c>
      <c r="E4178" t="inlineStr">
        <is>
          <t>ussd_funeral_leads_altitude_20260619</t>
        </is>
      </c>
      <c r="J4178" t="inlineStr">
        <is>
          <t>AA</t>
        </is>
      </c>
      <c r="K4178" t="inlineStr">
        <is>
          <t>Answering Machine Autodial</t>
        </is>
      </c>
      <c r="L4178" t="n">
        <v>2</v>
      </c>
      <c r="M4178" t="inlineStr">
        <is>
          <t>2026-06-23 08:51:34</t>
        </is>
      </c>
      <c r="N4178" t="inlineStr">
        <is>
          <t>system</t>
        </is>
      </c>
      <c r="O4178" t="inlineStr">
        <is>
          <t>2026-06-19 07:10:32</t>
        </is>
      </c>
      <c r="P4178" t="inlineStr">
        <is>
          <t>2026-06-19 07:10:32</t>
        </is>
      </c>
      <c r="Y4178" t="inlineStr">
        <is>
          <t>27665415900</t>
        </is>
      </c>
    </row>
    <row r="4179">
      <c r="A4179" t="inlineStr">
        <is>
          <t>14947465</t>
        </is>
      </c>
      <c r="B4179" t="inlineStr">
        <is>
          <t>9212a22d-827e-44c7-ba8e-ca66baf19012</t>
        </is>
      </c>
      <c r="D4179" t="inlineStr">
        <is>
          <t>30001087</t>
        </is>
      </c>
      <c r="E4179" t="inlineStr">
        <is>
          <t>ussd_funeral_leads_altitude_20260619</t>
        </is>
      </c>
      <c r="J4179" t="inlineStr">
        <is>
          <t>ADC</t>
        </is>
      </c>
      <c r="K4179" t="inlineStr">
        <is>
          <t>Auto Dial Disconnected</t>
        </is>
      </c>
      <c r="L4179" t="n">
        <v>2</v>
      </c>
      <c r="M4179" t="inlineStr">
        <is>
          <t>2026-06-23 08:51:24</t>
        </is>
      </c>
      <c r="N4179" t="inlineStr">
        <is>
          <t>system</t>
        </is>
      </c>
      <c r="O4179" t="inlineStr">
        <is>
          <t>2026-06-19 07:10:32</t>
        </is>
      </c>
      <c r="P4179" t="inlineStr">
        <is>
          <t>2026-06-19 07:10:32</t>
        </is>
      </c>
      <c r="Y4179" t="inlineStr">
        <is>
          <t>27827488176</t>
        </is>
      </c>
    </row>
    <row r="4180">
      <c r="A4180" t="inlineStr">
        <is>
          <t>14947468</t>
        </is>
      </c>
      <c r="B4180" t="inlineStr">
        <is>
          <t>f8ca8b91-b367-4dae-b0e2-2080dc456c3f</t>
        </is>
      </c>
      <c r="D4180" t="inlineStr">
        <is>
          <t>30001087</t>
        </is>
      </c>
      <c r="E4180" t="inlineStr">
        <is>
          <t>ussd_funeral_leads_altitude_20260619</t>
        </is>
      </c>
      <c r="J4180" t="inlineStr">
        <is>
          <t>AA</t>
        </is>
      </c>
      <c r="K4180" t="inlineStr">
        <is>
          <t>Answering Machine Autodial</t>
        </is>
      </c>
      <c r="L4180" t="n">
        <v>2</v>
      </c>
      <c r="M4180" t="inlineStr">
        <is>
          <t>2026-06-23 08:51:23</t>
        </is>
      </c>
      <c r="N4180" t="inlineStr">
        <is>
          <t>system</t>
        </is>
      </c>
      <c r="O4180" t="inlineStr">
        <is>
          <t>2026-06-19 07:10:32</t>
        </is>
      </c>
      <c r="P4180" t="inlineStr">
        <is>
          <t>2026-06-19 07:10:32</t>
        </is>
      </c>
      <c r="Y4180" t="inlineStr">
        <is>
          <t>27714741215</t>
        </is>
      </c>
    </row>
    <row r="4181">
      <c r="A4181" t="inlineStr">
        <is>
          <t>14947469</t>
        </is>
      </c>
      <c r="B4181" t="inlineStr">
        <is>
          <t>9ef36e5e-1f13-479e-b6bb-80d191277e87</t>
        </is>
      </c>
      <c r="D4181" t="inlineStr">
        <is>
          <t>30001087</t>
        </is>
      </c>
      <c r="E4181" t="inlineStr">
        <is>
          <t>ussd_funeral_leads_altitude_20260619</t>
        </is>
      </c>
      <c r="J4181" t="inlineStr">
        <is>
          <t>ADC</t>
        </is>
      </c>
      <c r="K4181" t="inlineStr">
        <is>
          <t>Auto Dial Disconnected</t>
        </is>
      </c>
      <c r="L4181" t="n">
        <v>2</v>
      </c>
      <c r="M4181" t="inlineStr">
        <is>
          <t>2026-06-23 08:51:23</t>
        </is>
      </c>
      <c r="N4181" t="inlineStr">
        <is>
          <t>system</t>
        </is>
      </c>
      <c r="O4181" t="inlineStr">
        <is>
          <t>2026-06-19 07:10:32</t>
        </is>
      </c>
      <c r="P4181" t="inlineStr">
        <is>
          <t>2026-06-19 07:10:32</t>
        </is>
      </c>
      <c r="Y4181" t="inlineStr">
        <is>
          <t>27716056865</t>
        </is>
      </c>
    </row>
    <row r="4182">
      <c r="A4182" t="inlineStr">
        <is>
          <t>14947470</t>
        </is>
      </c>
      <c r="B4182" t="inlineStr">
        <is>
          <t>843d32e8-b76b-4fd3-ad21-d34ee27fbb0e</t>
        </is>
      </c>
      <c r="D4182" t="inlineStr">
        <is>
          <t>30001087</t>
        </is>
      </c>
      <c r="E4182" t="inlineStr">
        <is>
          <t>ussd_funeral_leads_altitude_20260619</t>
        </is>
      </c>
      <c r="J4182" t="inlineStr">
        <is>
          <t>AA</t>
        </is>
      </c>
      <c r="K4182" t="inlineStr">
        <is>
          <t>Answering Machine Autodial</t>
        </is>
      </c>
      <c r="L4182" t="n">
        <v>2</v>
      </c>
      <c r="M4182" t="inlineStr">
        <is>
          <t>2026-06-23 08:51:18</t>
        </is>
      </c>
      <c r="N4182" t="inlineStr">
        <is>
          <t>system</t>
        </is>
      </c>
      <c r="O4182" t="inlineStr">
        <is>
          <t>2026-06-19 07:10:32</t>
        </is>
      </c>
      <c r="P4182" t="inlineStr">
        <is>
          <t>2026-06-19 07:10:32</t>
        </is>
      </c>
      <c r="Y4182" t="inlineStr">
        <is>
          <t>27674617720</t>
        </is>
      </c>
    </row>
    <row r="4183">
      <c r="A4183" t="inlineStr">
        <is>
          <t>14947474</t>
        </is>
      </c>
      <c r="B4183" t="inlineStr">
        <is>
          <t>29d86dad-0607-45c2-827b-167aa62882a8</t>
        </is>
      </c>
      <c r="D4183" t="inlineStr">
        <is>
          <t>30001087</t>
        </is>
      </c>
      <c r="E4183" t="inlineStr">
        <is>
          <t>ussd_funeral_leads_altitude_20260619</t>
        </is>
      </c>
      <c r="J4183" t="inlineStr">
        <is>
          <t>A</t>
        </is>
      </c>
      <c r="K4183" t="inlineStr">
        <is>
          <t>Answering Machine</t>
        </is>
      </c>
      <c r="L4183" t="n">
        <v>2</v>
      </c>
      <c r="M4183" t="inlineStr">
        <is>
          <t>2026-06-23 08:51:18</t>
        </is>
      </c>
      <c r="N4183" t="inlineStr">
        <is>
          <t>Lebohang Mabotja</t>
        </is>
      </c>
      <c r="O4183" t="inlineStr">
        <is>
          <t>2026-06-19 07:10:32</t>
        </is>
      </c>
      <c r="P4183" t="inlineStr">
        <is>
          <t>2026-06-19 07:10:32</t>
        </is>
      </c>
      <c r="Y4183" t="inlineStr">
        <is>
          <t>27724069153</t>
        </is>
      </c>
    </row>
    <row r="4184">
      <c r="A4184" t="inlineStr">
        <is>
          <t>14947507</t>
        </is>
      </c>
      <c r="B4184" t="inlineStr">
        <is>
          <t>ac99c16e-6d0b-46da-925e-35051afb2d5f</t>
        </is>
      </c>
      <c r="D4184" t="inlineStr">
        <is>
          <t>30001087</t>
        </is>
      </c>
      <c r="E4184" t="inlineStr">
        <is>
          <t>ussd_funeral_leads_altitude_20260619</t>
        </is>
      </c>
      <c r="J4184" t="inlineStr">
        <is>
          <t>TDN</t>
        </is>
      </c>
      <c r="K4184" t="inlineStr">
        <is>
          <t>Temporary Disconnected Number</t>
        </is>
      </c>
      <c r="L4184" t="n">
        <v>2</v>
      </c>
      <c r="M4184" t="inlineStr">
        <is>
          <t>2026-06-23 08:51:18</t>
        </is>
      </c>
      <c r="N4184" t="inlineStr">
        <is>
          <t>system</t>
        </is>
      </c>
      <c r="O4184" t="inlineStr">
        <is>
          <t>2026-06-19 07:10:32</t>
        </is>
      </c>
      <c r="P4184" t="inlineStr">
        <is>
          <t>2026-06-19 07:10:32</t>
        </is>
      </c>
      <c r="Y4184" t="inlineStr">
        <is>
          <t>27665280298</t>
        </is>
      </c>
    </row>
    <row r="4185">
      <c r="A4185" t="inlineStr">
        <is>
          <t>14947565</t>
        </is>
      </c>
      <c r="B4185" t="inlineStr">
        <is>
          <t>c42b9864-8455-4ed9-aac4-a69aa6a25822</t>
        </is>
      </c>
      <c r="D4185" t="inlineStr">
        <is>
          <t>30001087</t>
        </is>
      </c>
      <c r="E4185" t="inlineStr">
        <is>
          <t>ussd_funeral_leads_altitude_20260619</t>
        </is>
      </c>
      <c r="J4185" t="inlineStr">
        <is>
          <t>AA</t>
        </is>
      </c>
      <c r="K4185" t="inlineStr">
        <is>
          <t>Answering Machine Autodial</t>
        </is>
      </c>
      <c r="L4185" t="n">
        <v>2</v>
      </c>
      <c r="M4185" t="inlineStr">
        <is>
          <t>2026-06-23 08:51:17</t>
        </is>
      </c>
      <c r="N4185" t="inlineStr">
        <is>
          <t>system</t>
        </is>
      </c>
      <c r="O4185" t="inlineStr">
        <is>
          <t>2026-06-19 07:10:32</t>
        </is>
      </c>
      <c r="P4185" t="inlineStr">
        <is>
          <t>2026-06-19 07:10:32</t>
        </is>
      </c>
      <c r="Y4185" t="inlineStr">
        <is>
          <t>27799920711</t>
        </is>
      </c>
    </row>
    <row r="4186">
      <c r="A4186" t="inlineStr">
        <is>
          <t>14947567</t>
        </is>
      </c>
      <c r="B4186" t="inlineStr">
        <is>
          <t>5fcbc61a-c203-4304-b504-73cddc4c04a8</t>
        </is>
      </c>
      <c r="D4186" t="inlineStr">
        <is>
          <t>30001087</t>
        </is>
      </c>
      <c r="E4186" t="inlineStr">
        <is>
          <t>ussd_funeral_leads_altitude_20260619</t>
        </is>
      </c>
      <c r="J4186" t="inlineStr">
        <is>
          <t>AA</t>
        </is>
      </c>
      <c r="K4186" t="inlineStr">
        <is>
          <t>Answering Machine Autodial</t>
        </is>
      </c>
      <c r="L4186" t="n">
        <v>2</v>
      </c>
      <c r="M4186" t="inlineStr">
        <is>
          <t>2026-06-23 08:51:17</t>
        </is>
      </c>
      <c r="N4186" t="inlineStr">
        <is>
          <t>system</t>
        </is>
      </c>
      <c r="O4186" t="inlineStr">
        <is>
          <t>2026-06-19 07:10:32</t>
        </is>
      </c>
      <c r="P4186" t="inlineStr">
        <is>
          <t>2026-06-19 07:10:32</t>
        </is>
      </c>
      <c r="Y4186" t="inlineStr">
        <is>
          <t>27822680678</t>
        </is>
      </c>
    </row>
    <row r="4187">
      <c r="A4187" t="inlineStr">
        <is>
          <t>14947568</t>
        </is>
      </c>
      <c r="B4187" t="inlineStr">
        <is>
          <t>47bc7af3-5dcf-46b6-9937-f8b966d519fc</t>
        </is>
      </c>
      <c r="D4187" t="inlineStr">
        <is>
          <t>30001087</t>
        </is>
      </c>
      <c r="E4187" t="inlineStr">
        <is>
          <t>ussd_funeral_leads_altitude_20260619</t>
        </is>
      </c>
      <c r="J4187" t="inlineStr">
        <is>
          <t>AE</t>
        </is>
      </c>
      <c r="K4187" t="inlineStr">
        <is>
          <t>Auto Engaged</t>
        </is>
      </c>
      <c r="L4187" t="n">
        <v>2</v>
      </c>
      <c r="M4187" t="inlineStr">
        <is>
          <t>2026-06-23 08:51:17</t>
        </is>
      </c>
      <c r="N4187" t="inlineStr">
        <is>
          <t>system</t>
        </is>
      </c>
      <c r="O4187" t="inlineStr">
        <is>
          <t>2026-06-19 07:10:32</t>
        </is>
      </c>
      <c r="P4187" t="inlineStr">
        <is>
          <t>2026-06-19 07:10:32</t>
        </is>
      </c>
      <c r="Y4187" t="inlineStr">
        <is>
          <t>27826318324</t>
        </is>
      </c>
    </row>
    <row r="4188">
      <c r="A4188" t="inlineStr">
        <is>
          <t>14947569</t>
        </is>
      </c>
      <c r="B4188" t="inlineStr">
        <is>
          <t>6f163337-8866-48a1-b43a-840885e9092d</t>
        </is>
      </c>
      <c r="D4188" t="inlineStr">
        <is>
          <t>30001087</t>
        </is>
      </c>
      <c r="E4188" t="inlineStr">
        <is>
          <t>ussd_funeral_leads_altitude_20260619</t>
        </is>
      </c>
      <c r="J4188" t="inlineStr">
        <is>
          <t>NA</t>
        </is>
      </c>
      <c r="K4188" t="inlineStr">
        <is>
          <t>No Answer Autodial</t>
        </is>
      </c>
      <c r="L4188" t="n">
        <v>2</v>
      </c>
      <c r="M4188" t="inlineStr">
        <is>
          <t>2026-06-23 08:51:15</t>
        </is>
      </c>
      <c r="N4188" t="inlineStr">
        <is>
          <t>system</t>
        </is>
      </c>
      <c r="O4188" t="inlineStr">
        <is>
          <t>2026-06-19 07:10:32</t>
        </is>
      </c>
      <c r="P4188" t="inlineStr">
        <is>
          <t>2026-06-19 07:10:32</t>
        </is>
      </c>
      <c r="Y4188" t="inlineStr">
        <is>
          <t>27792719193</t>
        </is>
      </c>
    </row>
    <row r="4189">
      <c r="A4189" t="inlineStr">
        <is>
          <t>14947646</t>
        </is>
      </c>
      <c r="B4189" t="inlineStr">
        <is>
          <t>c4c828d0-8ad4-468f-8143-f6881ae4c626</t>
        </is>
      </c>
      <c r="D4189" t="inlineStr">
        <is>
          <t>30001087</t>
        </is>
      </c>
      <c r="E4189" t="inlineStr">
        <is>
          <t>ussd_funeral_leads_altitude_20260619</t>
        </is>
      </c>
      <c r="J4189" t="inlineStr">
        <is>
          <t>AA</t>
        </is>
      </c>
      <c r="K4189" t="inlineStr">
        <is>
          <t>Answering Machine Autodial</t>
        </is>
      </c>
      <c r="L4189" t="n">
        <v>2</v>
      </c>
      <c r="M4189" t="inlineStr">
        <is>
          <t>2026-06-23 08:51:13</t>
        </is>
      </c>
      <c r="N4189" t="inlineStr">
        <is>
          <t>system</t>
        </is>
      </c>
      <c r="O4189" t="inlineStr">
        <is>
          <t>2026-06-19 07:10:32</t>
        </is>
      </c>
      <c r="P4189" t="inlineStr">
        <is>
          <t>2026-06-19 07:10:32</t>
        </is>
      </c>
      <c r="Y4189" t="inlineStr">
        <is>
          <t>27725242681</t>
        </is>
      </c>
    </row>
    <row r="4190">
      <c r="A4190" t="inlineStr">
        <is>
          <t>14947647</t>
        </is>
      </c>
      <c r="B4190" t="inlineStr">
        <is>
          <t>ddf2b9c1-0496-4b94-abf7-57f6cad95245</t>
        </is>
      </c>
      <c r="D4190" t="inlineStr">
        <is>
          <t>30001087</t>
        </is>
      </c>
      <c r="E4190" t="inlineStr">
        <is>
          <t>ussd_funeral_leads_altitude_20260619</t>
        </is>
      </c>
      <c r="J4190" t="inlineStr">
        <is>
          <t>ADC</t>
        </is>
      </c>
      <c r="K4190" t="inlineStr">
        <is>
          <t>Auto Dial Disconnected</t>
        </is>
      </c>
      <c r="L4190" t="n">
        <v>2</v>
      </c>
      <c r="M4190" t="inlineStr">
        <is>
          <t>2026-06-23 08:51:13</t>
        </is>
      </c>
      <c r="N4190" t="inlineStr">
        <is>
          <t>system</t>
        </is>
      </c>
      <c r="O4190" t="inlineStr">
        <is>
          <t>2026-06-19 07:10:32</t>
        </is>
      </c>
      <c r="P4190" t="inlineStr">
        <is>
          <t>2026-06-19 07:10:32</t>
        </is>
      </c>
      <c r="Y4190" t="inlineStr">
        <is>
          <t>27791030079</t>
        </is>
      </c>
    </row>
    <row r="4191">
      <c r="A4191" t="inlineStr">
        <is>
          <t>14947649</t>
        </is>
      </c>
      <c r="B4191" t="inlineStr">
        <is>
          <t>b98fcd48-0db1-4bd0-9893-a7a4d9f78c6f</t>
        </is>
      </c>
      <c r="D4191" t="inlineStr">
        <is>
          <t>30001087</t>
        </is>
      </c>
      <c r="E4191" t="inlineStr">
        <is>
          <t>ussd_funeral_leads_altitude_20260619</t>
        </is>
      </c>
      <c r="J4191" t="inlineStr">
        <is>
          <t>ADC</t>
        </is>
      </c>
      <c r="K4191" t="inlineStr">
        <is>
          <t>Auto Dial Disconnected</t>
        </is>
      </c>
      <c r="L4191" t="n">
        <v>2</v>
      </c>
      <c r="M4191" t="inlineStr">
        <is>
          <t>2026-06-23 08:51:12</t>
        </is>
      </c>
      <c r="N4191" t="inlineStr">
        <is>
          <t>system</t>
        </is>
      </c>
      <c r="O4191" t="inlineStr">
        <is>
          <t>2026-06-19 07:10:32</t>
        </is>
      </c>
      <c r="P4191" t="inlineStr">
        <is>
          <t>2026-06-19 07:10:32</t>
        </is>
      </c>
      <c r="Y4191" t="inlineStr">
        <is>
          <t>27660404641</t>
        </is>
      </c>
    </row>
    <row r="4192">
      <c r="A4192" t="inlineStr">
        <is>
          <t>14947708</t>
        </is>
      </c>
      <c r="B4192" t="inlineStr">
        <is>
          <t>ef1a0b2e-3dcb-438e-b223-981abdb8f4a3</t>
        </is>
      </c>
      <c r="D4192" t="inlineStr">
        <is>
          <t>30001087</t>
        </is>
      </c>
      <c r="E4192" t="inlineStr">
        <is>
          <t>ussd_funeral_leads_altitude_20260619</t>
        </is>
      </c>
      <c r="J4192" t="inlineStr">
        <is>
          <t>AA</t>
        </is>
      </c>
      <c r="K4192" t="inlineStr">
        <is>
          <t>Answering Machine Autodial</t>
        </is>
      </c>
      <c r="L4192" t="n">
        <v>2</v>
      </c>
      <c r="M4192" t="inlineStr">
        <is>
          <t>2026-06-23 08:51:07</t>
        </is>
      </c>
      <c r="N4192" t="inlineStr">
        <is>
          <t>system</t>
        </is>
      </c>
      <c r="O4192" t="inlineStr">
        <is>
          <t>2026-06-19 07:10:32</t>
        </is>
      </c>
      <c r="P4192" t="inlineStr">
        <is>
          <t>2026-06-19 07:10:32</t>
        </is>
      </c>
      <c r="Y4192" t="inlineStr">
        <is>
          <t>27827202545</t>
        </is>
      </c>
    </row>
    <row r="4193">
      <c r="A4193" t="inlineStr">
        <is>
          <t>14947650</t>
        </is>
      </c>
      <c r="B4193" t="inlineStr">
        <is>
          <t>84f5393e-2f4d-45a8-9813-532e9e4155f3</t>
        </is>
      </c>
      <c r="D4193" t="inlineStr">
        <is>
          <t>30001087</t>
        </is>
      </c>
      <c r="E4193" t="inlineStr">
        <is>
          <t>ussd_funeral_leads_altitude_20260619</t>
        </is>
      </c>
      <c r="J4193" t="inlineStr">
        <is>
          <t>AA</t>
        </is>
      </c>
      <c r="K4193" t="inlineStr">
        <is>
          <t>Answering Machine Autodial</t>
        </is>
      </c>
      <c r="L4193" t="n">
        <v>2</v>
      </c>
      <c r="M4193" t="inlineStr">
        <is>
          <t>2026-06-23 08:51:07</t>
        </is>
      </c>
      <c r="N4193" t="inlineStr">
        <is>
          <t>system</t>
        </is>
      </c>
      <c r="O4193" t="inlineStr">
        <is>
          <t>2026-06-19 07:10:32</t>
        </is>
      </c>
      <c r="P4193" t="inlineStr">
        <is>
          <t>2026-06-19 07:10:32</t>
        </is>
      </c>
      <c r="Y4193" t="inlineStr">
        <is>
          <t>27716551090</t>
        </is>
      </c>
    </row>
    <row r="4194">
      <c r="A4194" t="inlineStr">
        <is>
          <t>14947658</t>
        </is>
      </c>
      <c r="B4194" t="inlineStr">
        <is>
          <t>da794948-ce85-4d2d-95c5-75d197fc74b2</t>
        </is>
      </c>
      <c r="D4194" t="inlineStr">
        <is>
          <t>30001087</t>
        </is>
      </c>
      <c r="E4194" t="inlineStr">
        <is>
          <t>ussd_funeral_leads_altitude_20260619</t>
        </is>
      </c>
      <c r="J4194" t="inlineStr">
        <is>
          <t>AA</t>
        </is>
      </c>
      <c r="K4194" t="inlineStr">
        <is>
          <t>Answering Machine Autodial</t>
        </is>
      </c>
      <c r="L4194" t="n">
        <v>2</v>
      </c>
      <c r="M4194" t="inlineStr">
        <is>
          <t>2026-06-23 08:51:07</t>
        </is>
      </c>
      <c r="N4194" t="inlineStr">
        <is>
          <t>system</t>
        </is>
      </c>
      <c r="O4194" t="inlineStr">
        <is>
          <t>2026-06-19 07:10:32</t>
        </is>
      </c>
      <c r="P4194" t="inlineStr">
        <is>
          <t>2026-06-19 07:10:32</t>
        </is>
      </c>
      <c r="Y4194" t="inlineStr">
        <is>
          <t>27764712787</t>
        </is>
      </c>
    </row>
    <row r="4195">
      <c r="A4195" t="inlineStr">
        <is>
          <t>14947659</t>
        </is>
      </c>
      <c r="B4195" t="inlineStr">
        <is>
          <t>10773e01-e501-4d23-8c2a-a10a61c5ed33</t>
        </is>
      </c>
      <c r="D4195" t="inlineStr">
        <is>
          <t>30001087</t>
        </is>
      </c>
      <c r="E4195" t="inlineStr">
        <is>
          <t>ussd_funeral_leads_altitude_20260619</t>
        </is>
      </c>
      <c r="J4195" t="inlineStr">
        <is>
          <t>AA</t>
        </is>
      </c>
      <c r="K4195" t="inlineStr">
        <is>
          <t>Answering Machine Autodial</t>
        </is>
      </c>
      <c r="L4195" t="n">
        <v>2</v>
      </c>
      <c r="M4195" t="inlineStr">
        <is>
          <t>2026-06-23 08:51:06</t>
        </is>
      </c>
      <c r="N4195" t="inlineStr">
        <is>
          <t>system</t>
        </is>
      </c>
      <c r="O4195" t="inlineStr">
        <is>
          <t>2026-06-19 07:10:32</t>
        </is>
      </c>
      <c r="P4195" t="inlineStr">
        <is>
          <t>2026-06-19 07:10:32</t>
        </is>
      </c>
      <c r="Y4195" t="inlineStr">
        <is>
          <t>27663969296</t>
        </is>
      </c>
    </row>
    <row r="4196">
      <c r="A4196" t="inlineStr">
        <is>
          <t>14947660</t>
        </is>
      </c>
      <c r="B4196" t="inlineStr">
        <is>
          <t>5bac00fb-8a61-4b98-a2e8-5aa5a933d56c</t>
        </is>
      </c>
      <c r="D4196" t="inlineStr">
        <is>
          <t>30001087</t>
        </is>
      </c>
      <c r="E4196" t="inlineStr">
        <is>
          <t>ussd_funeral_leads_altitude_20260619</t>
        </is>
      </c>
      <c r="J4196" t="inlineStr">
        <is>
          <t>ADC</t>
        </is>
      </c>
      <c r="K4196" t="inlineStr">
        <is>
          <t>Auto Dial Disconnected</t>
        </is>
      </c>
      <c r="L4196" t="n">
        <v>2</v>
      </c>
      <c r="M4196" t="inlineStr">
        <is>
          <t>2026-06-23 08:51:06</t>
        </is>
      </c>
      <c r="N4196" t="inlineStr">
        <is>
          <t>system</t>
        </is>
      </c>
      <c r="O4196" t="inlineStr">
        <is>
          <t>2026-06-19 07:10:32</t>
        </is>
      </c>
      <c r="P4196" t="inlineStr">
        <is>
          <t>2026-06-19 07:10:32</t>
        </is>
      </c>
      <c r="Y4196" t="inlineStr">
        <is>
          <t>27774613950</t>
        </is>
      </c>
    </row>
    <row r="4197">
      <c r="A4197" t="inlineStr">
        <is>
          <t>14947661</t>
        </is>
      </c>
      <c r="B4197" t="inlineStr">
        <is>
          <t>c6283828-6f76-4119-be64-40a47b459ae9</t>
        </is>
      </c>
      <c r="D4197" t="inlineStr">
        <is>
          <t>30001087</t>
        </is>
      </c>
      <c r="E4197" t="inlineStr">
        <is>
          <t>ussd_funeral_leads_altitude_20260619</t>
        </is>
      </c>
      <c r="J4197" t="inlineStr">
        <is>
          <t>AA</t>
        </is>
      </c>
      <c r="K4197" t="inlineStr">
        <is>
          <t>Answering Machine Autodial</t>
        </is>
      </c>
      <c r="L4197" t="n">
        <v>2</v>
      </c>
      <c r="M4197" t="inlineStr">
        <is>
          <t>2026-06-23 08:51:06</t>
        </is>
      </c>
      <c r="N4197" t="inlineStr">
        <is>
          <t>system</t>
        </is>
      </c>
      <c r="O4197" t="inlineStr">
        <is>
          <t>2026-06-19 07:10:32</t>
        </is>
      </c>
      <c r="P4197" t="inlineStr">
        <is>
          <t>2026-06-19 07:10:32</t>
        </is>
      </c>
      <c r="Y4197" t="inlineStr">
        <is>
          <t>27606968499</t>
        </is>
      </c>
    </row>
    <row r="4198">
      <c r="A4198" t="inlineStr">
        <is>
          <t>14947916</t>
        </is>
      </c>
      <c r="B4198" t="inlineStr">
        <is>
          <t>174925da-1c22-4614-bbaf-51602a6d4f5b</t>
        </is>
      </c>
      <c r="D4198" t="inlineStr">
        <is>
          <t>30001087</t>
        </is>
      </c>
      <c r="E4198" t="inlineStr">
        <is>
          <t>ussd_funeral_leads_altitude_20260619</t>
        </is>
      </c>
      <c r="H4198" t="inlineStr">
        <is>
          <t>27728182604</t>
        </is>
      </c>
      <c r="J4198" t="inlineStr">
        <is>
          <t>DC</t>
        </is>
      </c>
      <c r="K4198" t="inlineStr">
        <is>
          <t>Disconnected</t>
        </is>
      </c>
      <c r="L4198" t="n">
        <v>4</v>
      </c>
      <c r="M4198" t="inlineStr">
        <is>
          <t>2026-06-23 08:50:18</t>
        </is>
      </c>
      <c r="N4198" t="inlineStr">
        <is>
          <t>Dimakatso Nkomo</t>
        </is>
      </c>
      <c r="O4198" t="inlineStr">
        <is>
          <t>2026-06-19 07:10:32</t>
        </is>
      </c>
      <c r="P4198" t="inlineStr">
        <is>
          <t>2026-06-19 07:10:32</t>
        </is>
      </c>
      <c r="Y4198" t="inlineStr">
        <is>
          <t>27728182604</t>
        </is>
      </c>
    </row>
    <row r="4199">
      <c r="A4199" t="inlineStr">
        <is>
          <t>14947635</t>
        </is>
      </c>
      <c r="B4199" t="inlineStr">
        <is>
          <t>bb199122-5289-4344-b5db-18b2c2b70587</t>
        </is>
      </c>
      <c r="D4199" t="inlineStr">
        <is>
          <t>30001087</t>
        </is>
      </c>
      <c r="E4199" t="inlineStr">
        <is>
          <t>ussd_funeral_leads_altitude_20260619</t>
        </is>
      </c>
      <c r="J4199" t="inlineStr">
        <is>
          <t>ADC</t>
        </is>
      </c>
      <c r="K4199" t="inlineStr">
        <is>
          <t>Auto Dial Disconnected</t>
        </is>
      </c>
      <c r="L4199" t="n">
        <v>2</v>
      </c>
      <c r="M4199" t="inlineStr">
        <is>
          <t>2026-06-23 08:50:12</t>
        </is>
      </c>
      <c r="N4199" t="inlineStr">
        <is>
          <t>system</t>
        </is>
      </c>
      <c r="O4199" t="inlineStr">
        <is>
          <t>2026-06-19 07:10:32</t>
        </is>
      </c>
      <c r="P4199" t="inlineStr">
        <is>
          <t>2026-06-19 07:10:32</t>
        </is>
      </c>
      <c r="Y4199" t="inlineStr">
        <is>
          <t>27607280197</t>
        </is>
      </c>
    </row>
    <row r="4200">
      <c r="A4200" t="inlineStr">
        <is>
          <t>14947636</t>
        </is>
      </c>
      <c r="B4200" t="inlineStr">
        <is>
          <t>453dfdda-7678-4c0f-b8e0-3bebef606120</t>
        </is>
      </c>
      <c r="D4200" t="inlineStr">
        <is>
          <t>30001087</t>
        </is>
      </c>
      <c r="E4200" t="inlineStr">
        <is>
          <t>ussd_funeral_leads_altitude_20260619</t>
        </is>
      </c>
      <c r="J4200" t="inlineStr">
        <is>
          <t>AA</t>
        </is>
      </c>
      <c r="K4200" t="inlineStr">
        <is>
          <t>Answering Machine Autodial</t>
        </is>
      </c>
      <c r="L4200" t="n">
        <v>2</v>
      </c>
      <c r="M4200" t="inlineStr">
        <is>
          <t>2026-06-23 08:50:12</t>
        </is>
      </c>
      <c r="N4200" t="inlineStr">
        <is>
          <t>system</t>
        </is>
      </c>
      <c r="O4200" t="inlineStr">
        <is>
          <t>2026-06-19 07:10:32</t>
        </is>
      </c>
      <c r="P4200" t="inlineStr">
        <is>
          <t>2026-06-19 07:10:32</t>
        </is>
      </c>
      <c r="Y4200" t="inlineStr">
        <is>
          <t>27637448845</t>
        </is>
      </c>
    </row>
    <row r="4201">
      <c r="A4201" t="inlineStr">
        <is>
          <t>14947638</t>
        </is>
      </c>
      <c r="B4201" t="inlineStr">
        <is>
          <t>33afd3cb-f227-407d-913e-33bd4bd4cae3</t>
        </is>
      </c>
      <c r="D4201" t="inlineStr">
        <is>
          <t>30001087</t>
        </is>
      </c>
      <c r="E4201" t="inlineStr">
        <is>
          <t>ussd_funeral_leads_altitude_20260619</t>
        </is>
      </c>
      <c r="J4201" t="inlineStr">
        <is>
          <t>ADC</t>
        </is>
      </c>
      <c r="K4201" t="inlineStr">
        <is>
          <t>Auto Dial Disconnected</t>
        </is>
      </c>
      <c r="L4201" t="n">
        <v>2</v>
      </c>
      <c r="M4201" t="inlineStr">
        <is>
          <t>2026-06-23 08:50:12</t>
        </is>
      </c>
      <c r="N4201" t="inlineStr">
        <is>
          <t>system</t>
        </is>
      </c>
      <c r="O4201" t="inlineStr">
        <is>
          <t>2026-06-19 07:10:32</t>
        </is>
      </c>
      <c r="P4201" t="inlineStr">
        <is>
          <t>2026-06-19 07:10:32</t>
        </is>
      </c>
      <c r="Y4201" t="inlineStr">
        <is>
          <t>27727774971</t>
        </is>
      </c>
    </row>
    <row r="4202">
      <c r="A4202" t="inlineStr">
        <is>
          <t>14947639</t>
        </is>
      </c>
      <c r="B4202" t="inlineStr">
        <is>
          <t>d506fae2-328e-4733-bc61-00eed1933012</t>
        </is>
      </c>
      <c r="D4202" t="inlineStr">
        <is>
          <t>30001087</t>
        </is>
      </c>
      <c r="E4202" t="inlineStr">
        <is>
          <t>ussd_funeral_leads_altitude_20260619</t>
        </is>
      </c>
      <c r="J4202" t="inlineStr">
        <is>
          <t>AA</t>
        </is>
      </c>
      <c r="K4202" t="inlineStr">
        <is>
          <t>Answering Machine Autodial</t>
        </is>
      </c>
      <c r="L4202" t="n">
        <v>2</v>
      </c>
      <c r="M4202" t="inlineStr">
        <is>
          <t>2026-06-23 08:50:07</t>
        </is>
      </c>
      <c r="N4202" t="inlineStr">
        <is>
          <t>system</t>
        </is>
      </c>
      <c r="O4202" t="inlineStr">
        <is>
          <t>2026-06-19 07:10:32</t>
        </is>
      </c>
      <c r="P4202" t="inlineStr">
        <is>
          <t>2026-06-19 07:10:32</t>
        </is>
      </c>
      <c r="Y4202" t="inlineStr">
        <is>
          <t>27720353828</t>
        </is>
      </c>
    </row>
    <row r="4203">
      <c r="A4203" t="inlineStr">
        <is>
          <t>14947643</t>
        </is>
      </c>
      <c r="B4203" t="inlineStr">
        <is>
          <t>9eea7cdb-166e-4ff4-ae2e-55530e90876e</t>
        </is>
      </c>
      <c r="D4203" t="inlineStr">
        <is>
          <t>30001087</t>
        </is>
      </c>
      <c r="E4203" t="inlineStr">
        <is>
          <t>ussd_funeral_leads_altitude_20260619</t>
        </is>
      </c>
      <c r="J4203" t="inlineStr">
        <is>
          <t>AA</t>
        </is>
      </c>
      <c r="K4203" t="inlineStr">
        <is>
          <t>Answering Machine Autodial</t>
        </is>
      </c>
      <c r="L4203" t="n">
        <v>2</v>
      </c>
      <c r="M4203" t="inlineStr">
        <is>
          <t>2026-06-23 08:50:07</t>
        </is>
      </c>
      <c r="N4203" t="inlineStr">
        <is>
          <t>system</t>
        </is>
      </c>
      <c r="O4203" t="inlineStr">
        <is>
          <t>2026-06-19 07:10:32</t>
        </is>
      </c>
      <c r="P4203" t="inlineStr">
        <is>
          <t>2026-06-19 07:10:32</t>
        </is>
      </c>
      <c r="Y4203" t="inlineStr">
        <is>
          <t>27726483097</t>
        </is>
      </c>
    </row>
    <row r="4204">
      <c r="A4204" t="inlineStr">
        <is>
          <t>14942809</t>
        </is>
      </c>
      <c r="B4204" t="inlineStr">
        <is>
          <t>e9c2a2c2-12b1-4229-ad84-b069ee6c2a97</t>
        </is>
      </c>
      <c r="D4204" t="inlineStr">
        <is>
          <t>30001087</t>
        </is>
      </c>
      <c r="E4204" t="inlineStr">
        <is>
          <t>ussd_funeral_leads_altitude_20260619</t>
        </is>
      </c>
      <c r="J4204" t="inlineStr">
        <is>
          <t>AA</t>
        </is>
      </c>
      <c r="K4204" t="inlineStr">
        <is>
          <t>Answering Machine Autodial</t>
        </is>
      </c>
      <c r="L4204" t="n">
        <v>2</v>
      </c>
      <c r="M4204" t="inlineStr">
        <is>
          <t>2026-06-23 08:50:06</t>
        </is>
      </c>
      <c r="N4204" t="inlineStr">
        <is>
          <t>system</t>
        </is>
      </c>
      <c r="O4204" t="inlineStr">
        <is>
          <t>2026-06-19 07:10:32</t>
        </is>
      </c>
      <c r="P4204" t="inlineStr">
        <is>
          <t>2026-06-19 07:10:32</t>
        </is>
      </c>
      <c r="Y4204" t="inlineStr">
        <is>
          <t>27774929866</t>
        </is>
      </c>
    </row>
    <row r="4205">
      <c r="A4205" t="inlineStr">
        <is>
          <t>14947642</t>
        </is>
      </c>
      <c r="B4205" t="inlineStr">
        <is>
          <t>f6dc637c-2f95-4627-b35e-cd0cf6aa6cb6</t>
        </is>
      </c>
      <c r="D4205" t="inlineStr">
        <is>
          <t>30001087</t>
        </is>
      </c>
      <c r="E4205" t="inlineStr">
        <is>
          <t>ussd_funeral_leads_altitude_20260619</t>
        </is>
      </c>
      <c r="J4205" t="inlineStr">
        <is>
          <t>AA</t>
        </is>
      </c>
      <c r="K4205" t="inlineStr">
        <is>
          <t>Answering Machine Autodial</t>
        </is>
      </c>
      <c r="L4205" t="n">
        <v>2</v>
      </c>
      <c r="M4205" t="inlineStr">
        <is>
          <t>2026-06-23 08:50:06</t>
        </is>
      </c>
      <c r="N4205" t="inlineStr">
        <is>
          <t>system</t>
        </is>
      </c>
      <c r="O4205" t="inlineStr">
        <is>
          <t>2026-06-19 07:10:32</t>
        </is>
      </c>
      <c r="P4205" t="inlineStr">
        <is>
          <t>2026-06-19 07:10:32</t>
        </is>
      </c>
      <c r="Y4205" t="inlineStr">
        <is>
          <t>27818679100</t>
        </is>
      </c>
    </row>
    <row r="4206">
      <c r="A4206" t="inlineStr">
        <is>
          <t>14947645</t>
        </is>
      </c>
      <c r="B4206" t="inlineStr">
        <is>
          <t>cc836443-874c-452a-9b20-7d1c2232b6a6</t>
        </is>
      </c>
      <c r="D4206" t="inlineStr">
        <is>
          <t>30001087</t>
        </is>
      </c>
      <c r="E4206" t="inlineStr">
        <is>
          <t>ussd_funeral_leads_altitude_20260619</t>
        </is>
      </c>
      <c r="J4206" t="inlineStr">
        <is>
          <t>AA</t>
        </is>
      </c>
      <c r="K4206" t="inlineStr">
        <is>
          <t>Answering Machine Autodial</t>
        </is>
      </c>
      <c r="L4206" t="n">
        <v>2</v>
      </c>
      <c r="M4206" t="inlineStr">
        <is>
          <t>2026-06-23 08:50:06</t>
        </is>
      </c>
      <c r="N4206" t="inlineStr">
        <is>
          <t>system</t>
        </is>
      </c>
      <c r="O4206" t="inlineStr">
        <is>
          <t>2026-06-19 07:10:32</t>
        </is>
      </c>
      <c r="P4206" t="inlineStr">
        <is>
          <t>2026-06-19 07:10:32</t>
        </is>
      </c>
      <c r="Y4206" t="inlineStr">
        <is>
          <t>27712638100</t>
        </is>
      </c>
    </row>
    <row r="4207">
      <c r="A4207" t="inlineStr">
        <is>
          <t>14943495</t>
        </is>
      </c>
      <c r="B4207" t="inlineStr">
        <is>
          <t>b4624808-d408-49d5-9a50-6693e716deec</t>
        </is>
      </c>
      <c r="D4207" t="inlineStr">
        <is>
          <t>30001087</t>
        </is>
      </c>
      <c r="E4207" t="inlineStr">
        <is>
          <t>ussd_funeral_leads_altitude_20260619</t>
        </is>
      </c>
      <c r="H4207" t="inlineStr">
        <is>
          <t>27790565326</t>
        </is>
      </c>
      <c r="J4207" t="inlineStr">
        <is>
          <t>CBACK</t>
        </is>
      </c>
      <c r="K4207" t="inlineStr">
        <is>
          <t>Callback</t>
        </is>
      </c>
      <c r="L4207" t="n">
        <v>4</v>
      </c>
      <c r="M4207" t="inlineStr">
        <is>
          <t>2026-06-23 08:48:26</t>
        </is>
      </c>
      <c r="N4207" t="inlineStr">
        <is>
          <t>Gontse Monageng</t>
        </is>
      </c>
      <c r="O4207" t="inlineStr">
        <is>
          <t>2026-06-19 07:10:32</t>
        </is>
      </c>
      <c r="P4207" t="inlineStr">
        <is>
          <t>2026-06-19 07:10:32</t>
        </is>
      </c>
      <c r="Y4207" t="inlineStr">
        <is>
          <t>27790565326</t>
        </is>
      </c>
    </row>
    <row r="4208">
      <c r="A4208" t="inlineStr">
        <is>
          <t>14947509</t>
        </is>
      </c>
      <c r="B4208" t="inlineStr">
        <is>
          <t>9d6a9bfd-4c08-44b2-bf62-fcd005d226e9</t>
        </is>
      </c>
      <c r="D4208" t="inlineStr">
        <is>
          <t>30001087</t>
        </is>
      </c>
      <c r="E4208" t="inlineStr">
        <is>
          <t>ussd_funeral_leads_altitude_20260619</t>
        </is>
      </c>
      <c r="J4208" t="inlineStr">
        <is>
          <t>AA</t>
        </is>
      </c>
      <c r="K4208" t="inlineStr">
        <is>
          <t>Answering Machine Autodial</t>
        </is>
      </c>
      <c r="L4208" t="n">
        <v>2</v>
      </c>
      <c r="M4208" t="inlineStr">
        <is>
          <t>2026-06-23 08:47:50</t>
        </is>
      </c>
      <c r="N4208" t="inlineStr">
        <is>
          <t>system</t>
        </is>
      </c>
      <c r="O4208" t="inlineStr">
        <is>
          <t>2026-06-19 07:10:32</t>
        </is>
      </c>
      <c r="P4208" t="inlineStr">
        <is>
          <t>2026-06-19 07:10:32</t>
        </is>
      </c>
      <c r="Y4208" t="inlineStr">
        <is>
          <t>27760722573</t>
        </is>
      </c>
    </row>
    <row r="4209">
      <c r="A4209" t="inlineStr">
        <is>
          <t>14946643</t>
        </is>
      </c>
      <c r="B4209" t="inlineStr">
        <is>
          <t>87129f12-ab3d-42c8-9990-17413f09d23e</t>
        </is>
      </c>
      <c r="D4209" t="inlineStr">
        <is>
          <t>30001087</t>
        </is>
      </c>
      <c r="E4209" t="inlineStr">
        <is>
          <t>ussd_funeral_leads_altitude_20260619</t>
        </is>
      </c>
      <c r="J4209" t="inlineStr">
        <is>
          <t>CBACK</t>
        </is>
      </c>
      <c r="K4209" t="inlineStr">
        <is>
          <t>Callback</t>
        </is>
      </c>
      <c r="L4209" t="n">
        <v>2</v>
      </c>
      <c r="M4209" t="inlineStr">
        <is>
          <t>2026-06-23 08:47:12</t>
        </is>
      </c>
      <c r="N4209" t="inlineStr">
        <is>
          <t>Vuyiswa Nxumalo</t>
        </is>
      </c>
      <c r="O4209" t="inlineStr">
        <is>
          <t>2026-06-19 07:10:32</t>
        </is>
      </c>
      <c r="P4209" t="inlineStr">
        <is>
          <t>2026-06-19 07:10:32</t>
        </is>
      </c>
      <c r="Y4209" t="inlineStr">
        <is>
          <t>27796824064</t>
        </is>
      </c>
    </row>
    <row r="4210">
      <c r="A4210" t="inlineStr">
        <is>
          <t>14942938</t>
        </is>
      </c>
      <c r="B4210" t="inlineStr">
        <is>
          <t>b9e194fa-502d-4e17-95c4-1ba9572b56f1</t>
        </is>
      </c>
      <c r="D4210" t="inlineStr">
        <is>
          <t>30001087</t>
        </is>
      </c>
      <c r="E4210" t="inlineStr">
        <is>
          <t>ussd_funeral_leads_altitude_20260619</t>
        </is>
      </c>
      <c r="J4210" t="inlineStr">
        <is>
          <t>AA</t>
        </is>
      </c>
      <c r="K4210" t="inlineStr">
        <is>
          <t>Answering Machine Autodial</t>
        </is>
      </c>
      <c r="L4210" t="n">
        <v>2</v>
      </c>
      <c r="M4210" t="inlineStr">
        <is>
          <t>2026-06-23 08:46:17</t>
        </is>
      </c>
      <c r="N4210" t="inlineStr">
        <is>
          <t>system</t>
        </is>
      </c>
      <c r="O4210" t="inlineStr">
        <is>
          <t>2026-06-19 07:10:32</t>
        </is>
      </c>
      <c r="P4210" t="inlineStr">
        <is>
          <t>2026-06-19 07:10:32</t>
        </is>
      </c>
      <c r="Y4210" t="inlineStr">
        <is>
          <t>27799093446</t>
        </is>
      </c>
    </row>
    <row r="4211">
      <c r="A4211" t="inlineStr">
        <is>
          <t>14942939</t>
        </is>
      </c>
      <c r="B4211" t="inlineStr">
        <is>
          <t>9455bbd5-b033-413c-9e72-129b661f8cc2</t>
        </is>
      </c>
      <c r="D4211" t="inlineStr">
        <is>
          <t>30001087</t>
        </is>
      </c>
      <c r="E4211" t="inlineStr">
        <is>
          <t>ussd_funeral_leads_altitude_20260619</t>
        </is>
      </c>
      <c r="J4211" t="inlineStr">
        <is>
          <t>AA</t>
        </is>
      </c>
      <c r="K4211" t="inlineStr">
        <is>
          <t>Answering Machine Autodial</t>
        </is>
      </c>
      <c r="L4211" t="n">
        <v>2</v>
      </c>
      <c r="M4211" t="inlineStr">
        <is>
          <t>2026-06-23 08:46:16</t>
        </is>
      </c>
      <c r="N4211" t="inlineStr">
        <is>
          <t>system</t>
        </is>
      </c>
      <c r="O4211" t="inlineStr">
        <is>
          <t>2026-06-19 07:10:32</t>
        </is>
      </c>
      <c r="P4211" t="inlineStr">
        <is>
          <t>2026-06-19 07:10:32</t>
        </is>
      </c>
      <c r="Y4211" t="inlineStr">
        <is>
          <t>27649888605</t>
        </is>
      </c>
    </row>
    <row r="4212">
      <c r="A4212" t="inlineStr">
        <is>
          <t>14943038</t>
        </is>
      </c>
      <c r="B4212" t="inlineStr">
        <is>
          <t>f914e105-1e4f-4651-aeef-00558962a694</t>
        </is>
      </c>
      <c r="D4212" t="inlineStr">
        <is>
          <t>30001087</t>
        </is>
      </c>
      <c r="E4212" t="inlineStr">
        <is>
          <t>ussd_funeral_leads_altitude_20260619</t>
        </is>
      </c>
      <c r="J4212" t="inlineStr">
        <is>
          <t>AA</t>
        </is>
      </c>
      <c r="K4212" t="inlineStr">
        <is>
          <t>Answering Machine Autodial</t>
        </is>
      </c>
      <c r="L4212" t="n">
        <v>2</v>
      </c>
      <c r="M4212" t="inlineStr">
        <is>
          <t>2026-06-23 08:46:16</t>
        </is>
      </c>
      <c r="N4212" t="inlineStr">
        <is>
          <t>system</t>
        </is>
      </c>
      <c r="O4212" t="inlineStr">
        <is>
          <t>2026-06-19 07:10:32</t>
        </is>
      </c>
      <c r="P4212" t="inlineStr">
        <is>
          <t>2026-06-19 07:10:32</t>
        </is>
      </c>
      <c r="Y4212" t="inlineStr">
        <is>
          <t>27768688393</t>
        </is>
      </c>
    </row>
    <row r="4213">
      <c r="A4213" t="inlineStr">
        <is>
          <t>14943192</t>
        </is>
      </c>
      <c r="B4213" t="inlineStr">
        <is>
          <t>4cf156d8-cb62-40c4-bbc6-af812f30c76d</t>
        </is>
      </c>
      <c r="D4213" t="inlineStr">
        <is>
          <t>30001087</t>
        </is>
      </c>
      <c r="E4213" t="inlineStr">
        <is>
          <t>ussd_funeral_leads_altitude_20260619</t>
        </is>
      </c>
      <c r="J4213" t="inlineStr">
        <is>
          <t>U</t>
        </is>
      </c>
      <c r="K4213" t="inlineStr">
        <is>
          <t>Unemployed</t>
        </is>
      </c>
      <c r="L4213" t="n">
        <v>2</v>
      </c>
      <c r="M4213" t="inlineStr">
        <is>
          <t>2026-06-23 08:46:01</t>
        </is>
      </c>
      <c r="N4213" t="inlineStr">
        <is>
          <t>Dimakatso Nkomo</t>
        </is>
      </c>
      <c r="O4213" t="inlineStr">
        <is>
          <t>2026-06-19 07:10:32</t>
        </is>
      </c>
      <c r="P4213" t="inlineStr">
        <is>
          <t>2026-06-19 07:10:32</t>
        </is>
      </c>
      <c r="Y4213" t="inlineStr">
        <is>
          <t>27761497267</t>
        </is>
      </c>
    </row>
    <row r="4214">
      <c r="A4214" t="inlineStr">
        <is>
          <t>14900000</t>
        </is>
      </c>
      <c r="B4214" t="inlineStr">
        <is>
          <t>8e346fdb-d7fe-4f73-b774-3424a2d3e946</t>
        </is>
      </c>
      <c r="D4214" t="inlineStr">
        <is>
          <t>30001087</t>
        </is>
      </c>
      <c r="E4214" t="inlineStr">
        <is>
          <t>ussd_funeral_leads_altitude_20260619</t>
        </is>
      </c>
      <c r="J4214" t="inlineStr">
        <is>
          <t>AA</t>
        </is>
      </c>
      <c r="K4214" t="inlineStr">
        <is>
          <t>Answering Machine Autodial</t>
        </is>
      </c>
      <c r="L4214" t="n">
        <v>2</v>
      </c>
      <c r="M4214" t="inlineStr">
        <is>
          <t>2026-06-23 08:45:53</t>
        </is>
      </c>
      <c r="N4214" t="inlineStr">
        <is>
          <t>system</t>
        </is>
      </c>
      <c r="O4214" t="inlineStr">
        <is>
          <t>2026-06-19 07:10:32</t>
        </is>
      </c>
      <c r="P4214" t="inlineStr">
        <is>
          <t>2026-06-19 07:10:32</t>
        </is>
      </c>
      <c r="Y4214" t="inlineStr">
        <is>
          <t>27827164524</t>
        </is>
      </c>
    </row>
    <row r="4215">
      <c r="A4215" t="inlineStr">
        <is>
          <t>14943601</t>
        </is>
      </c>
      <c r="B4215" t="inlineStr">
        <is>
          <t>7828f796-1719-465f-823b-2711454fd7fa</t>
        </is>
      </c>
      <c r="D4215" t="inlineStr">
        <is>
          <t>30001087</t>
        </is>
      </c>
      <c r="E4215" t="inlineStr">
        <is>
          <t>ussd_funeral_leads_altitude_20260619</t>
        </is>
      </c>
      <c r="J4215" t="inlineStr">
        <is>
          <t>AA</t>
        </is>
      </c>
      <c r="K4215" t="inlineStr">
        <is>
          <t>Answering Machine Autodial</t>
        </is>
      </c>
      <c r="L4215" t="n">
        <v>2</v>
      </c>
      <c r="M4215" t="inlineStr">
        <is>
          <t>2026-06-23 08:45:53</t>
        </is>
      </c>
      <c r="N4215" t="inlineStr">
        <is>
          <t>system</t>
        </is>
      </c>
      <c r="O4215" t="inlineStr">
        <is>
          <t>2026-06-19 07:10:32</t>
        </is>
      </c>
      <c r="P4215" t="inlineStr">
        <is>
          <t>2026-06-19 07:10:32</t>
        </is>
      </c>
      <c r="Y4215" t="inlineStr">
        <is>
          <t>27714808382</t>
        </is>
      </c>
    </row>
    <row r="4216">
      <c r="A4216" t="inlineStr">
        <is>
          <t>14943797</t>
        </is>
      </c>
      <c r="B4216" t="inlineStr">
        <is>
          <t>4fb9bbd0-e9ea-4123-a678-5733e596cb63</t>
        </is>
      </c>
      <c r="D4216" t="inlineStr">
        <is>
          <t>30001087</t>
        </is>
      </c>
      <c r="E4216" t="inlineStr">
        <is>
          <t>ussd_funeral_leads_altitude_20260619</t>
        </is>
      </c>
      <c r="J4216" t="inlineStr">
        <is>
          <t>CU</t>
        </is>
      </c>
      <c r="K4216" t="inlineStr">
        <is>
          <t>Client Hung Up</t>
        </is>
      </c>
      <c r="L4216" t="n">
        <v>2</v>
      </c>
      <c r="M4216" t="inlineStr">
        <is>
          <t>2026-06-23 08:45:52</t>
        </is>
      </c>
      <c r="N4216" t="inlineStr">
        <is>
          <t>Gontse Monageng</t>
        </is>
      </c>
      <c r="O4216" t="inlineStr">
        <is>
          <t>2026-06-19 07:10:32</t>
        </is>
      </c>
      <c r="P4216" t="inlineStr">
        <is>
          <t>2026-06-19 07:10:32</t>
        </is>
      </c>
      <c r="Y4216" t="inlineStr">
        <is>
          <t>27818978790</t>
        </is>
      </c>
    </row>
    <row r="4217">
      <c r="A4217" t="inlineStr">
        <is>
          <t>14943798</t>
        </is>
      </c>
      <c r="B4217" t="inlineStr">
        <is>
          <t>2fbfa48d-3acc-4ca7-9f19-0b39de4b4394</t>
        </is>
      </c>
      <c r="D4217" t="inlineStr">
        <is>
          <t>30001087</t>
        </is>
      </c>
      <c r="E4217" t="inlineStr">
        <is>
          <t>ussd_funeral_leads_altitude_20260619</t>
        </is>
      </c>
      <c r="J4217" t="inlineStr">
        <is>
          <t>AA</t>
        </is>
      </c>
      <c r="K4217" t="inlineStr">
        <is>
          <t>Answering Machine Autodial</t>
        </is>
      </c>
      <c r="L4217" t="n">
        <v>2</v>
      </c>
      <c r="M4217" t="inlineStr">
        <is>
          <t>2026-06-23 08:45:52</t>
        </is>
      </c>
      <c r="N4217" t="inlineStr">
        <is>
          <t>system</t>
        </is>
      </c>
      <c r="O4217" t="inlineStr">
        <is>
          <t>2026-06-19 07:10:32</t>
        </is>
      </c>
      <c r="P4217" t="inlineStr">
        <is>
          <t>2026-06-19 07:10:32</t>
        </is>
      </c>
      <c r="Y4217" t="inlineStr">
        <is>
          <t>27799233573</t>
        </is>
      </c>
    </row>
    <row r="4218">
      <c r="A4218" t="inlineStr">
        <is>
          <t>14900000</t>
        </is>
      </c>
      <c r="B4218" t="inlineStr">
        <is>
          <t>48e1232a-7c39-454d-8375-8c832bcd40d8</t>
        </is>
      </c>
      <c r="D4218" t="inlineStr">
        <is>
          <t>30001087</t>
        </is>
      </c>
      <c r="E4218" t="inlineStr">
        <is>
          <t>ussd_funeral_leads_altitude_20260619</t>
        </is>
      </c>
      <c r="J4218" t="inlineStr">
        <is>
          <t>ADC</t>
        </is>
      </c>
      <c r="K4218" t="inlineStr">
        <is>
          <t>Auto Dial Disconnected</t>
        </is>
      </c>
      <c r="L4218" t="n">
        <v>2</v>
      </c>
      <c r="M4218" t="inlineStr">
        <is>
          <t>2026-06-23 08:44:57</t>
        </is>
      </c>
      <c r="N4218" t="inlineStr">
        <is>
          <t>system</t>
        </is>
      </c>
      <c r="O4218" t="inlineStr">
        <is>
          <t>2026-06-19 07:10:32</t>
        </is>
      </c>
      <c r="P4218" t="inlineStr">
        <is>
          <t>2026-06-19 07:10:32</t>
        </is>
      </c>
      <c r="Y4218" t="inlineStr">
        <is>
          <t>27674245031</t>
        </is>
      </c>
    </row>
    <row r="4219">
      <c r="A4219" t="inlineStr">
        <is>
          <t>14942593</t>
        </is>
      </c>
      <c r="B4219" t="inlineStr">
        <is>
          <t>4201d72f-cde1-4809-a544-c86f631f5e70</t>
        </is>
      </c>
      <c r="D4219" t="inlineStr">
        <is>
          <t>30001087</t>
        </is>
      </c>
      <c r="E4219" t="inlineStr">
        <is>
          <t>ussd_funeral_leads_altitude_20260619</t>
        </is>
      </c>
      <c r="J4219" t="inlineStr">
        <is>
          <t>CBACK</t>
        </is>
      </c>
      <c r="K4219" t="inlineStr">
        <is>
          <t>Callback</t>
        </is>
      </c>
      <c r="L4219" t="n">
        <v>4</v>
      </c>
      <c r="M4219" t="inlineStr">
        <is>
          <t>2026-06-23 08:44:54</t>
        </is>
      </c>
      <c r="N4219" t="inlineStr">
        <is>
          <t>Gontse Monageng</t>
        </is>
      </c>
      <c r="O4219" t="inlineStr">
        <is>
          <t>2026-06-19 07:10:32</t>
        </is>
      </c>
      <c r="P4219" t="inlineStr">
        <is>
          <t>2026-06-19 07:10:32</t>
        </is>
      </c>
      <c r="Y4219" t="inlineStr">
        <is>
          <t>27713323524</t>
        </is>
      </c>
    </row>
    <row r="4220">
      <c r="A4220" t="inlineStr">
        <is>
          <t>14947545</t>
        </is>
      </c>
      <c r="B4220" t="inlineStr">
        <is>
          <t>4a22d28d-7617-478c-82c6-2c4cb38143c1</t>
        </is>
      </c>
      <c r="D4220" t="inlineStr">
        <is>
          <t>30001087</t>
        </is>
      </c>
      <c r="E4220" t="inlineStr">
        <is>
          <t>ussd_funeral_leads_altitude_20260619</t>
        </is>
      </c>
      <c r="J4220" t="inlineStr">
        <is>
          <t>N</t>
        </is>
      </c>
      <c r="K4220" t="inlineStr">
        <is>
          <t>No Answer</t>
        </is>
      </c>
      <c r="L4220" t="n">
        <v>3</v>
      </c>
      <c r="M4220" t="inlineStr">
        <is>
          <t>2026-06-23 08:43:27</t>
        </is>
      </c>
      <c r="N4220" t="inlineStr">
        <is>
          <t>Lebohang Mabotja</t>
        </is>
      </c>
      <c r="O4220" t="inlineStr">
        <is>
          <t>2026-06-19 07:10:32</t>
        </is>
      </c>
      <c r="P4220" t="inlineStr">
        <is>
          <t>2026-06-19 07:10:32</t>
        </is>
      </c>
      <c r="Y4220" t="inlineStr">
        <is>
          <t>27665427672</t>
        </is>
      </c>
    </row>
    <row r="4221">
      <c r="A4221" t="inlineStr">
        <is>
          <t>14943557</t>
        </is>
      </c>
      <c r="B4221" t="inlineStr">
        <is>
          <t>078b16b0-a70e-4d53-ab35-d1ac440ccb71</t>
        </is>
      </c>
      <c r="D4221" t="inlineStr">
        <is>
          <t>30001087</t>
        </is>
      </c>
      <c r="E4221" t="inlineStr">
        <is>
          <t>ussd_funeral_leads_altitude_20260619</t>
        </is>
      </c>
      <c r="J4221" t="inlineStr">
        <is>
          <t>AA</t>
        </is>
      </c>
      <c r="K4221" t="inlineStr">
        <is>
          <t>Answering Machine Autodial</t>
        </is>
      </c>
      <c r="L4221" t="n">
        <v>2</v>
      </c>
      <c r="M4221" t="inlineStr">
        <is>
          <t>2026-06-23 08:43:12</t>
        </is>
      </c>
      <c r="N4221" t="inlineStr">
        <is>
          <t>system</t>
        </is>
      </c>
      <c r="O4221" t="inlineStr">
        <is>
          <t>2026-06-19 07:10:32</t>
        </is>
      </c>
      <c r="P4221" t="inlineStr">
        <is>
          <t>2026-06-19 07:10:32</t>
        </is>
      </c>
      <c r="Y4221" t="inlineStr">
        <is>
          <t>27637358236</t>
        </is>
      </c>
    </row>
    <row r="4222">
      <c r="A4222" t="inlineStr">
        <is>
          <t>14943558</t>
        </is>
      </c>
      <c r="B4222" t="inlineStr">
        <is>
          <t>4e2b7319-44d3-46b9-8b33-9c8649a4f15c</t>
        </is>
      </c>
      <c r="D4222" t="inlineStr">
        <is>
          <t>30001087</t>
        </is>
      </c>
      <c r="E4222" t="inlineStr">
        <is>
          <t>ussd_funeral_leads_altitude_20260619</t>
        </is>
      </c>
      <c r="J4222" t="inlineStr">
        <is>
          <t>AA</t>
        </is>
      </c>
      <c r="K4222" t="inlineStr">
        <is>
          <t>Answering Machine Autodial</t>
        </is>
      </c>
      <c r="L4222" t="n">
        <v>2</v>
      </c>
      <c r="M4222" t="inlineStr">
        <is>
          <t>2026-06-23 08:43:07</t>
        </is>
      </c>
      <c r="N4222" t="inlineStr">
        <is>
          <t>system</t>
        </is>
      </c>
      <c r="O4222" t="inlineStr">
        <is>
          <t>2026-06-19 07:10:32</t>
        </is>
      </c>
      <c r="P4222" t="inlineStr">
        <is>
          <t>2026-06-19 07:10:32</t>
        </is>
      </c>
      <c r="Y4222" t="inlineStr">
        <is>
          <t>27792919417</t>
        </is>
      </c>
    </row>
    <row r="4223">
      <c r="A4223" t="inlineStr">
        <is>
          <t>14943560</t>
        </is>
      </c>
      <c r="B4223" t="inlineStr">
        <is>
          <t>71231f13-c2c2-4b20-9779-3faeb127e313</t>
        </is>
      </c>
      <c r="D4223" t="inlineStr">
        <is>
          <t>30001087</t>
        </is>
      </c>
      <c r="E4223" t="inlineStr">
        <is>
          <t>ussd_funeral_leads_altitude_20260619</t>
        </is>
      </c>
      <c r="J4223" t="inlineStr">
        <is>
          <t>CU</t>
        </is>
      </c>
      <c r="K4223" t="inlineStr">
        <is>
          <t>Client Hung Up</t>
        </is>
      </c>
      <c r="L4223" t="n">
        <v>2</v>
      </c>
      <c r="M4223" t="inlineStr">
        <is>
          <t>2026-06-23 08:43:06</t>
        </is>
      </c>
      <c r="N4223" t="inlineStr">
        <is>
          <t>Goitsimang Mogwasa</t>
        </is>
      </c>
      <c r="O4223" t="inlineStr">
        <is>
          <t>2026-06-19 07:10:32</t>
        </is>
      </c>
      <c r="P4223" t="inlineStr">
        <is>
          <t>2026-06-19 07:10:32</t>
        </is>
      </c>
      <c r="Y4223" t="inlineStr">
        <is>
          <t>27825814315</t>
        </is>
      </c>
    </row>
    <row r="4224">
      <c r="A4224" t="inlineStr">
        <is>
          <t>14943562</t>
        </is>
      </c>
      <c r="B4224" t="inlineStr">
        <is>
          <t>2244ef6e-b542-481a-8fd6-e3b63fde88c1</t>
        </is>
      </c>
      <c r="D4224" t="inlineStr">
        <is>
          <t>30001087</t>
        </is>
      </c>
      <c r="E4224" t="inlineStr">
        <is>
          <t>ussd_funeral_leads_altitude_20260619</t>
        </is>
      </c>
      <c r="J4224" t="inlineStr">
        <is>
          <t>AA</t>
        </is>
      </c>
      <c r="K4224" t="inlineStr">
        <is>
          <t>Answering Machine Autodial</t>
        </is>
      </c>
      <c r="L4224" t="n">
        <v>2</v>
      </c>
      <c r="M4224" t="inlineStr">
        <is>
          <t>2026-06-23 08:43:05</t>
        </is>
      </c>
      <c r="N4224" t="inlineStr">
        <is>
          <t>system</t>
        </is>
      </c>
      <c r="O4224" t="inlineStr">
        <is>
          <t>2026-06-19 07:10:32</t>
        </is>
      </c>
      <c r="P4224" t="inlineStr">
        <is>
          <t>2026-06-19 07:10:32</t>
        </is>
      </c>
      <c r="Y4224" t="inlineStr">
        <is>
          <t>27720819806</t>
        </is>
      </c>
    </row>
    <row r="4225">
      <c r="A4225" t="inlineStr">
        <is>
          <t>14943595</t>
        </is>
      </c>
      <c r="B4225" t="inlineStr">
        <is>
          <t>318f3b48-562f-4234-8411-10970cadb723</t>
        </is>
      </c>
      <c r="D4225" t="inlineStr">
        <is>
          <t>30001087</t>
        </is>
      </c>
      <c r="E4225" t="inlineStr">
        <is>
          <t>ussd_funeral_leads_altitude_20260619</t>
        </is>
      </c>
      <c r="J4225" t="inlineStr">
        <is>
          <t>AA</t>
        </is>
      </c>
      <c r="K4225" t="inlineStr">
        <is>
          <t>Answering Machine Autodial</t>
        </is>
      </c>
      <c r="L4225" t="n">
        <v>2</v>
      </c>
      <c r="M4225" t="inlineStr">
        <is>
          <t>2026-06-23 08:43:00</t>
        </is>
      </c>
      <c r="N4225" t="inlineStr">
        <is>
          <t>system</t>
        </is>
      </c>
      <c r="O4225" t="inlineStr">
        <is>
          <t>2026-06-19 07:10:32</t>
        </is>
      </c>
      <c r="P4225" t="inlineStr">
        <is>
          <t>2026-06-19 07:10:32</t>
        </is>
      </c>
      <c r="Y4225" t="inlineStr">
        <is>
          <t>27716065420</t>
        </is>
      </c>
    </row>
    <row r="4226">
      <c r="A4226" t="inlineStr">
        <is>
          <t>14943599</t>
        </is>
      </c>
      <c r="B4226" t="inlineStr">
        <is>
          <t>0de8735f-c337-44ba-b822-ad10d519e7f3</t>
        </is>
      </c>
      <c r="D4226" t="inlineStr">
        <is>
          <t>30001087</t>
        </is>
      </c>
      <c r="E4226" t="inlineStr">
        <is>
          <t>ussd_funeral_leads_altitude_20260619</t>
        </is>
      </c>
      <c r="J4226" t="inlineStr">
        <is>
          <t>AA</t>
        </is>
      </c>
      <c r="K4226" t="inlineStr">
        <is>
          <t>Answering Machine Autodial</t>
        </is>
      </c>
      <c r="L4226" t="n">
        <v>2</v>
      </c>
      <c r="M4226" t="inlineStr">
        <is>
          <t>2026-06-23 08:42:59</t>
        </is>
      </c>
      <c r="N4226" t="inlineStr">
        <is>
          <t>system</t>
        </is>
      </c>
      <c r="O4226" t="inlineStr">
        <is>
          <t>2026-06-19 07:10:32</t>
        </is>
      </c>
      <c r="P4226" t="inlineStr">
        <is>
          <t>2026-06-19 07:10:32</t>
        </is>
      </c>
      <c r="Y4226" t="inlineStr">
        <is>
          <t>27764834048</t>
        </is>
      </c>
    </row>
    <row r="4227">
      <c r="A4227" t="inlineStr">
        <is>
          <t>14943647</t>
        </is>
      </c>
      <c r="B4227" t="inlineStr">
        <is>
          <t>d22a2ce5-b030-484e-bcb4-545d955291da</t>
        </is>
      </c>
      <c r="D4227" t="inlineStr">
        <is>
          <t>30001087</t>
        </is>
      </c>
      <c r="E4227" t="inlineStr">
        <is>
          <t>ussd_funeral_leads_altitude_20260619</t>
        </is>
      </c>
      <c r="J4227" t="inlineStr">
        <is>
          <t>AA</t>
        </is>
      </c>
      <c r="K4227" t="inlineStr">
        <is>
          <t>Answering Machine Autodial</t>
        </is>
      </c>
      <c r="L4227" t="n">
        <v>2</v>
      </c>
      <c r="M4227" t="inlineStr">
        <is>
          <t>2026-06-23 08:42:32</t>
        </is>
      </c>
      <c r="N4227" t="inlineStr">
        <is>
          <t>system</t>
        </is>
      </c>
      <c r="O4227" t="inlineStr">
        <is>
          <t>2026-06-19 07:10:32</t>
        </is>
      </c>
      <c r="P4227" t="inlineStr">
        <is>
          <t>2026-06-19 07:10:32</t>
        </is>
      </c>
      <c r="Y4227" t="inlineStr">
        <is>
          <t>27647488411</t>
        </is>
      </c>
    </row>
    <row r="4228">
      <c r="A4228" t="inlineStr">
        <is>
          <t>14900000</t>
        </is>
      </c>
      <c r="B4228" t="inlineStr">
        <is>
          <t>e0568655-0291-41f3-a44a-56f127e9ad1e</t>
        </is>
      </c>
      <c r="D4228" t="inlineStr">
        <is>
          <t>30001087</t>
        </is>
      </c>
      <c r="E4228" t="inlineStr">
        <is>
          <t>ussd_funeral_leads_altitude_20260619</t>
        </is>
      </c>
      <c r="J4228" t="inlineStr">
        <is>
          <t>AA</t>
        </is>
      </c>
      <c r="K4228" t="inlineStr">
        <is>
          <t>Answering Machine Autodial</t>
        </is>
      </c>
      <c r="L4228" t="n">
        <v>2</v>
      </c>
      <c r="M4228" t="inlineStr">
        <is>
          <t>2026-06-23 08:42:32</t>
        </is>
      </c>
      <c r="N4228" t="inlineStr">
        <is>
          <t>system</t>
        </is>
      </c>
      <c r="O4228" t="inlineStr">
        <is>
          <t>2026-06-19 07:10:32</t>
        </is>
      </c>
      <c r="P4228" t="inlineStr">
        <is>
          <t>2026-06-19 07:10:32</t>
        </is>
      </c>
      <c r="Y4228" t="inlineStr">
        <is>
          <t>27662568001</t>
        </is>
      </c>
    </row>
    <row r="4229">
      <c r="A4229" t="inlineStr">
        <is>
          <t>14943046</t>
        </is>
      </c>
      <c r="B4229" t="inlineStr">
        <is>
          <t>5f4002a7-9b87-49f9-83ed-1d34c6f21908</t>
        </is>
      </c>
      <c r="D4229" t="inlineStr">
        <is>
          <t>30001087</t>
        </is>
      </c>
      <c r="E4229" t="inlineStr">
        <is>
          <t>ussd_funeral_leads_altitude_20260619</t>
        </is>
      </c>
      <c r="J4229" t="inlineStr">
        <is>
          <t>ECMCF</t>
        </is>
      </c>
      <c r="K4229" t="inlineStr">
        <is>
          <t>Existing Client</t>
        </is>
      </c>
      <c r="L4229" t="n">
        <v>2</v>
      </c>
      <c r="M4229" t="inlineStr">
        <is>
          <t>2026-06-23 08:41:24</t>
        </is>
      </c>
      <c r="N4229" t="inlineStr">
        <is>
          <t>Dimakatso Nkomo</t>
        </is>
      </c>
      <c r="O4229" t="inlineStr">
        <is>
          <t>2026-06-19 07:10:32</t>
        </is>
      </c>
      <c r="P4229" t="inlineStr">
        <is>
          <t>2026-06-19 07:10:32</t>
        </is>
      </c>
      <c r="Y4229" t="inlineStr">
        <is>
          <t>27791134400</t>
        </is>
      </c>
    </row>
    <row r="4230">
      <c r="A4230" t="inlineStr">
        <is>
          <t>14942940</t>
        </is>
      </c>
      <c r="B4230" t="inlineStr">
        <is>
          <t>89dbc769-6ae6-4858-b050-565f31e71b6e</t>
        </is>
      </c>
      <c r="D4230" t="inlineStr">
        <is>
          <t>30001087</t>
        </is>
      </c>
      <c r="E4230" t="inlineStr">
        <is>
          <t>ussd_funeral_leads_altitude_20260619</t>
        </is>
      </c>
      <c r="J4230" t="inlineStr">
        <is>
          <t>CU</t>
        </is>
      </c>
      <c r="K4230" t="inlineStr">
        <is>
          <t>Client Hung Up</t>
        </is>
      </c>
      <c r="L4230" t="n">
        <v>2</v>
      </c>
      <c r="M4230" t="inlineStr">
        <is>
          <t>2026-06-23 08:40:39</t>
        </is>
      </c>
      <c r="N4230" t="inlineStr">
        <is>
          <t>Goitsimang Mogwasa</t>
        </is>
      </c>
      <c r="O4230" t="inlineStr">
        <is>
          <t>2026-06-19 07:10:32</t>
        </is>
      </c>
      <c r="P4230" t="inlineStr">
        <is>
          <t>2026-06-19 07:10:32</t>
        </is>
      </c>
      <c r="Y4230" t="inlineStr">
        <is>
          <t>27647996595</t>
        </is>
      </c>
    </row>
    <row r="4231">
      <c r="A4231" t="inlineStr">
        <is>
          <t>14942941</t>
        </is>
      </c>
      <c r="B4231" t="inlineStr">
        <is>
          <t>bfba3c1c-83d1-4e37-839f-20c48a01d13e</t>
        </is>
      </c>
      <c r="D4231" t="inlineStr">
        <is>
          <t>30001087</t>
        </is>
      </c>
      <c r="E4231" t="inlineStr">
        <is>
          <t>ussd_funeral_leads_altitude_20260619</t>
        </is>
      </c>
      <c r="J4231" t="inlineStr">
        <is>
          <t>AA</t>
        </is>
      </c>
      <c r="K4231" t="inlineStr">
        <is>
          <t>Answering Machine Autodial</t>
        </is>
      </c>
      <c r="L4231" t="n">
        <v>2</v>
      </c>
      <c r="M4231" t="inlineStr">
        <is>
          <t>2026-06-23 08:40:39</t>
        </is>
      </c>
      <c r="N4231" t="inlineStr">
        <is>
          <t>system</t>
        </is>
      </c>
      <c r="O4231" t="inlineStr">
        <is>
          <t>2026-06-19 07:10:32</t>
        </is>
      </c>
      <c r="P4231" t="inlineStr">
        <is>
          <t>2026-06-19 07:10:32</t>
        </is>
      </c>
      <c r="Y4231" t="inlineStr">
        <is>
          <t>27606307097</t>
        </is>
      </c>
    </row>
    <row r="4232">
      <c r="A4232" t="inlineStr">
        <is>
          <t>14942942</t>
        </is>
      </c>
      <c r="B4232" t="inlineStr">
        <is>
          <t>368238cd-414e-47e2-9d30-99c597c367dd</t>
        </is>
      </c>
      <c r="D4232" t="inlineStr">
        <is>
          <t>30001087</t>
        </is>
      </c>
      <c r="E4232" t="inlineStr">
        <is>
          <t>ussd_funeral_leads_altitude_20260619</t>
        </is>
      </c>
      <c r="J4232" t="inlineStr">
        <is>
          <t>AA</t>
        </is>
      </c>
      <c r="K4232" t="inlineStr">
        <is>
          <t>Answering Machine Autodial</t>
        </is>
      </c>
      <c r="L4232" t="n">
        <v>2</v>
      </c>
      <c r="M4232" t="inlineStr">
        <is>
          <t>2026-06-23 08:40:39</t>
        </is>
      </c>
      <c r="N4232" t="inlineStr">
        <is>
          <t>system</t>
        </is>
      </c>
      <c r="O4232" t="inlineStr">
        <is>
          <t>2026-06-19 07:10:32</t>
        </is>
      </c>
      <c r="P4232" t="inlineStr">
        <is>
          <t>2026-06-19 07:10:32</t>
        </is>
      </c>
      <c r="Y4232" t="inlineStr">
        <is>
          <t>27793984352</t>
        </is>
      </c>
    </row>
    <row r="4233">
      <c r="A4233" t="inlineStr">
        <is>
          <t>14942943</t>
        </is>
      </c>
      <c r="B4233" t="inlineStr">
        <is>
          <t>286088b8-c843-47ba-954b-2d37b0fe5d7a</t>
        </is>
      </c>
      <c r="D4233" t="inlineStr">
        <is>
          <t>30001087</t>
        </is>
      </c>
      <c r="E4233" t="inlineStr">
        <is>
          <t>ussd_funeral_leads_altitude_20260619</t>
        </is>
      </c>
      <c r="J4233" t="inlineStr">
        <is>
          <t>AA</t>
        </is>
      </c>
      <c r="K4233" t="inlineStr">
        <is>
          <t>Answering Machine Autodial</t>
        </is>
      </c>
      <c r="L4233" t="n">
        <v>2</v>
      </c>
      <c r="M4233" t="inlineStr">
        <is>
          <t>2026-06-23 08:40:39</t>
        </is>
      </c>
      <c r="N4233" t="inlineStr">
        <is>
          <t>system</t>
        </is>
      </c>
      <c r="O4233" t="inlineStr">
        <is>
          <t>2026-06-19 07:10:32</t>
        </is>
      </c>
      <c r="P4233" t="inlineStr">
        <is>
          <t>2026-06-19 07:10:32</t>
        </is>
      </c>
      <c r="Y4233" t="inlineStr">
        <is>
          <t>27646904796</t>
        </is>
      </c>
    </row>
    <row r="4234">
      <c r="A4234" t="inlineStr">
        <is>
          <t>14943799</t>
        </is>
      </c>
      <c r="B4234" t="inlineStr">
        <is>
          <t>c6ed4989-c049-4629-9e6a-bb04ec433d79</t>
        </is>
      </c>
      <c r="D4234" t="inlineStr">
        <is>
          <t>30001087</t>
        </is>
      </c>
      <c r="E4234" t="inlineStr">
        <is>
          <t>ussd_funeral_leads_altitude_20260619</t>
        </is>
      </c>
      <c r="J4234" t="inlineStr">
        <is>
          <t>ADC</t>
        </is>
      </c>
      <c r="K4234" t="inlineStr">
        <is>
          <t>Auto Dial Disconnected</t>
        </is>
      </c>
      <c r="L4234" t="n">
        <v>2</v>
      </c>
      <c r="M4234" t="inlineStr">
        <is>
          <t>2026-06-23 08:39:13</t>
        </is>
      </c>
      <c r="N4234" t="inlineStr">
        <is>
          <t>system</t>
        </is>
      </c>
      <c r="O4234" t="inlineStr">
        <is>
          <t>2026-06-19 07:10:32</t>
        </is>
      </c>
      <c r="P4234" t="inlineStr">
        <is>
          <t>2026-06-19 07:10:32</t>
        </is>
      </c>
      <c r="Y4234" t="inlineStr">
        <is>
          <t>27796955307</t>
        </is>
      </c>
    </row>
    <row r="4235">
      <c r="A4235" t="inlineStr">
        <is>
          <t>14943803</t>
        </is>
      </c>
      <c r="B4235" t="inlineStr">
        <is>
          <t>3a3826f2-69ef-4baf-80d7-499f132bf394</t>
        </is>
      </c>
      <c r="D4235" t="inlineStr">
        <is>
          <t>30001087</t>
        </is>
      </c>
      <c r="E4235" t="inlineStr">
        <is>
          <t>ussd_funeral_leads_altitude_20260619</t>
        </is>
      </c>
      <c r="J4235" t="inlineStr">
        <is>
          <t>AA</t>
        </is>
      </c>
      <c r="K4235" t="inlineStr">
        <is>
          <t>Answering Machine Autodial</t>
        </is>
      </c>
      <c r="L4235" t="n">
        <v>2</v>
      </c>
      <c r="M4235" t="inlineStr">
        <is>
          <t>2026-06-23 08:39:02</t>
        </is>
      </c>
      <c r="N4235" t="inlineStr">
        <is>
          <t>system</t>
        </is>
      </c>
      <c r="O4235" t="inlineStr">
        <is>
          <t>2026-06-19 07:10:32</t>
        </is>
      </c>
      <c r="P4235" t="inlineStr">
        <is>
          <t>2026-06-19 07:10:32</t>
        </is>
      </c>
      <c r="Y4235" t="inlineStr">
        <is>
          <t>27792301712</t>
        </is>
      </c>
    </row>
    <row r="4236">
      <c r="A4236" t="inlineStr">
        <is>
          <t>14943801</t>
        </is>
      </c>
      <c r="B4236" t="inlineStr">
        <is>
          <t>06b97a69-553b-4866-af14-08403bf72367</t>
        </is>
      </c>
      <c r="D4236" t="inlineStr">
        <is>
          <t>30001087</t>
        </is>
      </c>
      <c r="E4236" t="inlineStr">
        <is>
          <t>ussd_funeral_leads_altitude_20260619</t>
        </is>
      </c>
      <c r="J4236" t="inlineStr">
        <is>
          <t>AA</t>
        </is>
      </c>
      <c r="K4236" t="inlineStr">
        <is>
          <t>Answering Machine Autodial</t>
        </is>
      </c>
      <c r="L4236" t="n">
        <v>2</v>
      </c>
      <c r="M4236" t="inlineStr">
        <is>
          <t>2026-06-23 08:39:02</t>
        </is>
      </c>
      <c r="N4236" t="inlineStr">
        <is>
          <t>system</t>
        </is>
      </c>
      <c r="O4236" t="inlineStr">
        <is>
          <t>2026-06-19 07:10:32</t>
        </is>
      </c>
      <c r="P4236" t="inlineStr">
        <is>
          <t>2026-06-19 07:10:32</t>
        </is>
      </c>
      <c r="Y4236" t="inlineStr">
        <is>
          <t>27792353004</t>
        </is>
      </c>
    </row>
    <row r="4237">
      <c r="A4237" t="inlineStr">
        <is>
          <t>14943805</t>
        </is>
      </c>
      <c r="B4237" t="inlineStr">
        <is>
          <t>1940edc8-b5d7-42fa-9fd9-200906c2a46d</t>
        </is>
      </c>
      <c r="D4237" t="inlineStr">
        <is>
          <t>30001087</t>
        </is>
      </c>
      <c r="E4237" t="inlineStr">
        <is>
          <t>ussd_funeral_leads_altitude_20260619</t>
        </is>
      </c>
      <c r="J4237" t="inlineStr">
        <is>
          <t>ADC</t>
        </is>
      </c>
      <c r="K4237" t="inlineStr">
        <is>
          <t>Auto Dial Disconnected</t>
        </is>
      </c>
      <c r="L4237" t="n">
        <v>2</v>
      </c>
      <c r="M4237" t="inlineStr">
        <is>
          <t>2026-06-23 08:39:01</t>
        </is>
      </c>
      <c r="N4237" t="inlineStr">
        <is>
          <t>system</t>
        </is>
      </c>
      <c r="O4237" t="inlineStr">
        <is>
          <t>2026-06-19 07:10:32</t>
        </is>
      </c>
      <c r="P4237" t="inlineStr">
        <is>
          <t>2026-06-19 07:10:32</t>
        </is>
      </c>
      <c r="Y4237" t="inlineStr">
        <is>
          <t>27714717400</t>
        </is>
      </c>
    </row>
    <row r="4238">
      <c r="A4238" t="inlineStr">
        <is>
          <t>14943984</t>
        </is>
      </c>
      <c r="B4238" t="inlineStr">
        <is>
          <t>73d92d2c-24a2-4df0-b712-85ac2407b9b0</t>
        </is>
      </c>
      <c r="D4238" t="inlineStr">
        <is>
          <t>30001087</t>
        </is>
      </c>
      <c r="E4238" t="inlineStr">
        <is>
          <t>ussd_funeral_leads_altitude_20260619</t>
        </is>
      </c>
      <c r="J4238" t="inlineStr">
        <is>
          <t>ADC</t>
        </is>
      </c>
      <c r="K4238" t="inlineStr">
        <is>
          <t>Auto Dial Disconnected</t>
        </is>
      </c>
      <c r="L4238" t="n">
        <v>2</v>
      </c>
      <c r="M4238" t="inlineStr">
        <is>
          <t>2026-06-23 08:39:01</t>
        </is>
      </c>
      <c r="N4238" t="inlineStr">
        <is>
          <t>system</t>
        </is>
      </c>
      <c r="O4238" t="inlineStr">
        <is>
          <t>2026-06-19 07:10:32</t>
        </is>
      </c>
      <c r="P4238" t="inlineStr">
        <is>
          <t>2026-06-19 07:10:32</t>
        </is>
      </c>
      <c r="Y4238" t="inlineStr">
        <is>
          <t>27791425018</t>
        </is>
      </c>
    </row>
    <row r="4239">
      <c r="A4239" t="inlineStr">
        <is>
          <t>14943985</t>
        </is>
      </c>
      <c r="B4239" t="inlineStr">
        <is>
          <t>a107f3e7-d2c3-4aab-889a-fe37f6e6c852</t>
        </is>
      </c>
      <c r="D4239" t="inlineStr">
        <is>
          <t>30001087</t>
        </is>
      </c>
      <c r="E4239" t="inlineStr">
        <is>
          <t>ussd_funeral_leads_altitude_20260619</t>
        </is>
      </c>
      <c r="J4239" t="inlineStr">
        <is>
          <t>ADC</t>
        </is>
      </c>
      <c r="K4239" t="inlineStr">
        <is>
          <t>Auto Dial Disconnected</t>
        </is>
      </c>
      <c r="L4239" t="n">
        <v>2</v>
      </c>
      <c r="M4239" t="inlineStr">
        <is>
          <t>2026-06-23 08:39:01</t>
        </is>
      </c>
      <c r="N4239" t="inlineStr">
        <is>
          <t>system</t>
        </is>
      </c>
      <c r="O4239" t="inlineStr">
        <is>
          <t>2026-06-19 07:10:32</t>
        </is>
      </c>
      <c r="P4239" t="inlineStr">
        <is>
          <t>2026-06-19 07:10:32</t>
        </is>
      </c>
      <c r="Y4239" t="inlineStr">
        <is>
          <t>27765915109</t>
        </is>
      </c>
    </row>
    <row r="4240">
      <c r="A4240" t="inlineStr">
        <is>
          <t>14943986</t>
        </is>
      </c>
      <c r="B4240" t="inlineStr">
        <is>
          <t>f7fd8a48-333e-4c38-978d-2c1df10952f3</t>
        </is>
      </c>
      <c r="D4240" t="inlineStr">
        <is>
          <t>30001087</t>
        </is>
      </c>
      <c r="E4240" t="inlineStr">
        <is>
          <t>ussd_funeral_leads_altitude_20260619</t>
        </is>
      </c>
      <c r="J4240" t="inlineStr">
        <is>
          <t>TDN</t>
        </is>
      </c>
      <c r="K4240" t="inlineStr">
        <is>
          <t>Temporary Disconnected Number</t>
        </is>
      </c>
      <c r="L4240" t="n">
        <v>2</v>
      </c>
      <c r="M4240" t="inlineStr">
        <is>
          <t>2026-06-23 08:39:01</t>
        </is>
      </c>
      <c r="N4240" t="inlineStr">
        <is>
          <t>system</t>
        </is>
      </c>
      <c r="O4240" t="inlineStr">
        <is>
          <t>2026-06-19 07:10:32</t>
        </is>
      </c>
      <c r="P4240" t="inlineStr">
        <is>
          <t>2026-06-19 07:10:32</t>
        </is>
      </c>
      <c r="Y4240" t="inlineStr">
        <is>
          <t>27608421431</t>
        </is>
      </c>
    </row>
    <row r="4241">
      <c r="A4241" t="inlineStr">
        <is>
          <t>14943987</t>
        </is>
      </c>
      <c r="B4241" t="inlineStr">
        <is>
          <t>791a1859-2a2f-4ea7-83a6-9e879b125132</t>
        </is>
      </c>
      <c r="D4241" t="inlineStr">
        <is>
          <t>30001087</t>
        </is>
      </c>
      <c r="E4241" t="inlineStr">
        <is>
          <t>ussd_funeral_leads_altitude_20260619</t>
        </is>
      </c>
      <c r="J4241" t="inlineStr">
        <is>
          <t>ADC</t>
        </is>
      </c>
      <c r="K4241" t="inlineStr">
        <is>
          <t>Auto Dial Disconnected</t>
        </is>
      </c>
      <c r="L4241" t="n">
        <v>2</v>
      </c>
      <c r="M4241" t="inlineStr">
        <is>
          <t>2026-06-23 08:39:01</t>
        </is>
      </c>
      <c r="N4241" t="inlineStr">
        <is>
          <t>system</t>
        </is>
      </c>
      <c r="O4241" t="inlineStr">
        <is>
          <t>2026-06-19 07:10:32</t>
        </is>
      </c>
      <c r="P4241" t="inlineStr">
        <is>
          <t>2026-06-19 07:10:32</t>
        </is>
      </c>
      <c r="Y4241" t="inlineStr">
        <is>
          <t>27724759933</t>
        </is>
      </c>
    </row>
    <row r="4242">
      <c r="A4242" t="inlineStr">
        <is>
          <t>14947265</t>
        </is>
      </c>
      <c r="B4242" t="inlineStr">
        <is>
          <t>bf7807dd-a70a-429a-99fb-9002b0353c92</t>
        </is>
      </c>
      <c r="D4242" t="inlineStr">
        <is>
          <t>30001087</t>
        </is>
      </c>
      <c r="E4242" t="inlineStr">
        <is>
          <t>ussd_funeral_leads_altitude_20260619</t>
        </is>
      </c>
      <c r="J4242" t="inlineStr">
        <is>
          <t>GTTB</t>
        </is>
      </c>
      <c r="K4242" t="inlineStr">
        <is>
          <t>Go To The Branch</t>
        </is>
      </c>
      <c r="L4242" t="n">
        <v>3</v>
      </c>
      <c r="M4242" t="inlineStr">
        <is>
          <t>2026-06-23 08:39:01</t>
        </is>
      </c>
      <c r="N4242" t="inlineStr">
        <is>
          <t>Dimakatso Nkomo</t>
        </is>
      </c>
      <c r="O4242" t="inlineStr">
        <is>
          <t>2026-06-19 07:10:32</t>
        </is>
      </c>
      <c r="P4242" t="inlineStr">
        <is>
          <t>2026-06-19 07:10:32</t>
        </is>
      </c>
      <c r="Y4242" t="inlineStr">
        <is>
          <t>27763845410</t>
        </is>
      </c>
    </row>
    <row r="4243">
      <c r="A4243" t="inlineStr">
        <is>
          <t>14943989</t>
        </is>
      </c>
      <c r="B4243" t="inlineStr">
        <is>
          <t>770ea5bc-3f5b-410a-84cb-18fcfccba47d</t>
        </is>
      </c>
      <c r="D4243" t="inlineStr">
        <is>
          <t>30001087</t>
        </is>
      </c>
      <c r="E4243" t="inlineStr">
        <is>
          <t>ussd_funeral_leads_altitude_20260619</t>
        </is>
      </c>
      <c r="J4243" t="inlineStr">
        <is>
          <t>NA</t>
        </is>
      </c>
      <c r="K4243" t="inlineStr">
        <is>
          <t>No Answer Autodial</t>
        </is>
      </c>
      <c r="L4243" t="n">
        <v>2</v>
      </c>
      <c r="M4243" t="inlineStr">
        <is>
          <t>2026-06-23 08:39:00</t>
        </is>
      </c>
      <c r="N4243" t="inlineStr">
        <is>
          <t>system</t>
        </is>
      </c>
      <c r="O4243" t="inlineStr">
        <is>
          <t>2026-06-19 07:10:32</t>
        </is>
      </c>
      <c r="P4243" t="inlineStr">
        <is>
          <t>2026-06-19 07:10:32</t>
        </is>
      </c>
      <c r="Y4243" t="inlineStr">
        <is>
          <t>27766008172</t>
        </is>
      </c>
    </row>
    <row r="4244">
      <c r="A4244" t="inlineStr">
        <is>
          <t>14944054</t>
        </is>
      </c>
      <c r="B4244" t="inlineStr">
        <is>
          <t>d3bfa64c-0eb5-4878-b800-1d48a2dbec5b</t>
        </is>
      </c>
      <c r="D4244" t="inlineStr">
        <is>
          <t>30001087</t>
        </is>
      </c>
      <c r="E4244" t="inlineStr">
        <is>
          <t>ussd_funeral_leads_altitude_20260619</t>
        </is>
      </c>
      <c r="J4244" t="inlineStr">
        <is>
          <t>TDN</t>
        </is>
      </c>
      <c r="K4244" t="inlineStr">
        <is>
          <t>Temporary Disconnected Number</t>
        </is>
      </c>
      <c r="L4244" t="n">
        <v>2</v>
      </c>
      <c r="M4244" t="inlineStr">
        <is>
          <t>2026-06-23 08:38:35</t>
        </is>
      </c>
      <c r="N4244" t="inlineStr">
        <is>
          <t>system</t>
        </is>
      </c>
      <c r="O4244" t="inlineStr">
        <is>
          <t>2026-06-19 07:10:32</t>
        </is>
      </c>
      <c r="P4244" t="inlineStr">
        <is>
          <t>2026-06-19 07:10:32</t>
        </is>
      </c>
      <c r="Y4244" t="inlineStr">
        <is>
          <t>27794353578</t>
        </is>
      </c>
    </row>
    <row r="4245">
      <c r="A4245" t="inlineStr">
        <is>
          <t>14944056</t>
        </is>
      </c>
      <c r="B4245" t="inlineStr">
        <is>
          <t>f295b370-319b-4bb2-9d1c-285cbe354dce</t>
        </is>
      </c>
      <c r="D4245" t="inlineStr">
        <is>
          <t>30001087</t>
        </is>
      </c>
      <c r="E4245" t="inlineStr">
        <is>
          <t>ussd_funeral_leads_altitude_20260619</t>
        </is>
      </c>
      <c r="J4245" t="inlineStr">
        <is>
          <t>AA</t>
        </is>
      </c>
      <c r="K4245" t="inlineStr">
        <is>
          <t>Answering Machine Autodial</t>
        </is>
      </c>
      <c r="L4245" t="n">
        <v>2</v>
      </c>
      <c r="M4245" t="inlineStr">
        <is>
          <t>2026-06-23 08:38:06</t>
        </is>
      </c>
      <c r="N4245" t="inlineStr">
        <is>
          <t>system</t>
        </is>
      </c>
      <c r="O4245" t="inlineStr">
        <is>
          <t>2026-06-19 07:10:32</t>
        </is>
      </c>
      <c r="P4245" t="inlineStr">
        <is>
          <t>2026-06-19 07:10:32</t>
        </is>
      </c>
      <c r="Y4245" t="inlineStr">
        <is>
          <t>27665477914</t>
        </is>
      </c>
    </row>
    <row r="4246">
      <c r="A4246" t="inlineStr">
        <is>
          <t>14944057</t>
        </is>
      </c>
      <c r="B4246" t="inlineStr">
        <is>
          <t>e8b02a4e-4451-4d89-9bea-28592dcda6df</t>
        </is>
      </c>
      <c r="D4246" t="inlineStr">
        <is>
          <t>30001087</t>
        </is>
      </c>
      <c r="E4246" t="inlineStr">
        <is>
          <t>ussd_funeral_leads_altitude_20260619</t>
        </is>
      </c>
      <c r="J4246" t="inlineStr">
        <is>
          <t>AA</t>
        </is>
      </c>
      <c r="K4246" t="inlineStr">
        <is>
          <t>Answering Machine Autodial</t>
        </is>
      </c>
      <c r="L4246" t="n">
        <v>2</v>
      </c>
      <c r="M4246" t="inlineStr">
        <is>
          <t>2026-06-23 08:38:06</t>
        </is>
      </c>
      <c r="N4246" t="inlineStr">
        <is>
          <t>system</t>
        </is>
      </c>
      <c r="O4246" t="inlineStr">
        <is>
          <t>2026-06-19 07:10:32</t>
        </is>
      </c>
      <c r="P4246" t="inlineStr">
        <is>
          <t>2026-06-19 07:10:32</t>
        </is>
      </c>
      <c r="Y4246" t="inlineStr">
        <is>
          <t>27824313223</t>
        </is>
      </c>
    </row>
    <row r="4247">
      <c r="A4247" t="inlineStr">
        <is>
          <t>14944059</t>
        </is>
      </c>
      <c r="B4247" t="inlineStr">
        <is>
          <t>5f5b6c25-ea7e-4b3d-904f-a589be81eece</t>
        </is>
      </c>
      <c r="D4247" t="inlineStr">
        <is>
          <t>30001087</t>
        </is>
      </c>
      <c r="E4247" t="inlineStr">
        <is>
          <t>ussd_funeral_leads_altitude_20260619</t>
        </is>
      </c>
      <c r="J4247" t="inlineStr">
        <is>
          <t>NI</t>
        </is>
      </c>
      <c r="K4247" t="inlineStr">
        <is>
          <t>Not Interested</t>
        </is>
      </c>
      <c r="L4247" t="n">
        <v>2</v>
      </c>
      <c r="M4247" t="inlineStr">
        <is>
          <t>2026-06-23 08:37:51</t>
        </is>
      </c>
      <c r="N4247" t="inlineStr">
        <is>
          <t>Goitsimang Mogwasa</t>
        </is>
      </c>
      <c r="O4247" t="inlineStr">
        <is>
          <t>2026-06-19 07:10:32</t>
        </is>
      </c>
      <c r="P4247" t="inlineStr">
        <is>
          <t>2026-06-19 07:10:32</t>
        </is>
      </c>
      <c r="Y4247" t="inlineStr">
        <is>
          <t>27774524056</t>
        </is>
      </c>
    </row>
    <row r="4248">
      <c r="A4248" t="inlineStr">
        <is>
          <t>14943598</t>
        </is>
      </c>
      <c r="B4248" t="inlineStr">
        <is>
          <t>f53e47ad-9f07-4a7c-b6cf-4ca802201f06</t>
        </is>
      </c>
      <c r="D4248" t="inlineStr">
        <is>
          <t>30001087</t>
        </is>
      </c>
      <c r="E4248" t="inlineStr">
        <is>
          <t>ussd_funeral_leads_altitude_20260619</t>
        </is>
      </c>
      <c r="J4248" t="inlineStr">
        <is>
          <t>AA</t>
        </is>
      </c>
      <c r="K4248" t="inlineStr">
        <is>
          <t>Answering Machine Autodial</t>
        </is>
      </c>
      <c r="L4248" t="n">
        <v>2</v>
      </c>
      <c r="M4248" t="inlineStr">
        <is>
          <t>2026-06-23 08:37:40</t>
        </is>
      </c>
      <c r="N4248" t="inlineStr">
        <is>
          <t>system</t>
        </is>
      </c>
      <c r="O4248" t="inlineStr">
        <is>
          <t>2026-06-19 07:10:32</t>
        </is>
      </c>
      <c r="P4248" t="inlineStr">
        <is>
          <t>2026-06-19 07:10:32</t>
        </is>
      </c>
      <c r="Y4248" t="inlineStr">
        <is>
          <t>27796432673</t>
        </is>
      </c>
    </row>
    <row r="4249">
      <c r="A4249" t="inlineStr">
        <is>
          <t>14900000</t>
        </is>
      </c>
      <c r="B4249" t="inlineStr">
        <is>
          <t>73e8646b-a581-41a5-905c-6fd2f60913f9</t>
        </is>
      </c>
      <c r="D4249" t="inlineStr">
        <is>
          <t>30001087</t>
        </is>
      </c>
      <c r="E4249" t="inlineStr">
        <is>
          <t>ussd_funeral_leads_altitude_20260619</t>
        </is>
      </c>
      <c r="J4249" t="inlineStr">
        <is>
          <t>AA</t>
        </is>
      </c>
      <c r="K4249" t="inlineStr">
        <is>
          <t>Answering Machine Autodial</t>
        </is>
      </c>
      <c r="L4249" t="n">
        <v>2</v>
      </c>
      <c r="M4249" t="inlineStr">
        <is>
          <t>2026-06-23 08:36:26</t>
        </is>
      </c>
      <c r="N4249" t="inlineStr">
        <is>
          <t>system</t>
        </is>
      </c>
      <c r="O4249" t="inlineStr">
        <is>
          <t>2026-06-19 07:10:32</t>
        </is>
      </c>
      <c r="P4249" t="inlineStr">
        <is>
          <t>2026-06-19 07:10:32</t>
        </is>
      </c>
      <c r="Y4249" t="inlineStr">
        <is>
          <t>27722154031</t>
        </is>
      </c>
    </row>
    <row r="4250">
      <c r="A4250" t="inlineStr">
        <is>
          <t>14947202</t>
        </is>
      </c>
      <c r="B4250" t="inlineStr">
        <is>
          <t>1ef37549-902a-4b73-8d90-a15df5889d89</t>
        </is>
      </c>
      <c r="D4250" t="inlineStr">
        <is>
          <t>30001087</t>
        </is>
      </c>
      <c r="E4250" t="inlineStr">
        <is>
          <t>ussd_funeral_leads_altitude_20260619</t>
        </is>
      </c>
      <c r="J4250" t="inlineStr">
        <is>
          <t>GTTB</t>
        </is>
      </c>
      <c r="K4250" t="inlineStr">
        <is>
          <t>Go To The Branch</t>
        </is>
      </c>
      <c r="L4250" t="n">
        <v>2</v>
      </c>
      <c r="M4250" t="inlineStr">
        <is>
          <t>2026-06-23 08:36:06</t>
        </is>
      </c>
      <c r="N4250" t="inlineStr">
        <is>
          <t>Lebohang Mabotja</t>
        </is>
      </c>
      <c r="O4250" t="inlineStr">
        <is>
          <t>2026-06-19 07:10:32</t>
        </is>
      </c>
      <c r="P4250" t="inlineStr">
        <is>
          <t>2026-06-19 07:10:32</t>
        </is>
      </c>
      <c r="Y4250" t="inlineStr">
        <is>
          <t>27769408481</t>
        </is>
      </c>
    </row>
    <row r="4251">
      <c r="A4251" t="inlineStr">
        <is>
          <t>14947706</t>
        </is>
      </c>
      <c r="B4251" t="inlineStr">
        <is>
          <t>f65bac23-ccb3-4827-bee0-179b08de1163</t>
        </is>
      </c>
      <c r="D4251" t="inlineStr">
        <is>
          <t>30001087</t>
        </is>
      </c>
      <c r="E4251" t="inlineStr">
        <is>
          <t>ussd_funeral_leads_altitude_20260619</t>
        </is>
      </c>
      <c r="J4251" t="inlineStr">
        <is>
          <t>AA</t>
        </is>
      </c>
      <c r="K4251" t="inlineStr">
        <is>
          <t>Answering Machine Autodial</t>
        </is>
      </c>
      <c r="L4251" t="n">
        <v>2</v>
      </c>
      <c r="M4251" t="inlineStr">
        <is>
          <t>2026-06-23 08:36:06</t>
        </is>
      </c>
      <c r="N4251" t="inlineStr">
        <is>
          <t>system</t>
        </is>
      </c>
      <c r="O4251" t="inlineStr">
        <is>
          <t>2026-06-19 07:10:32</t>
        </is>
      </c>
      <c r="P4251" t="inlineStr">
        <is>
          <t>2026-06-19 07:10:32</t>
        </is>
      </c>
      <c r="Y4251" t="inlineStr">
        <is>
          <t>27607317894</t>
        </is>
      </c>
    </row>
    <row r="4252">
      <c r="A4252" t="inlineStr">
        <is>
          <t>14943556</t>
        </is>
      </c>
      <c r="B4252" t="inlineStr">
        <is>
          <t>dad96b09-dcd0-4af5-9409-9b6a8aa4882d</t>
        </is>
      </c>
      <c r="D4252" t="inlineStr">
        <is>
          <t>30001087</t>
        </is>
      </c>
      <c r="E4252" t="inlineStr">
        <is>
          <t>ussd_funeral_leads_altitude_20260619</t>
        </is>
      </c>
      <c r="J4252" t="inlineStr">
        <is>
          <t>AA</t>
        </is>
      </c>
      <c r="K4252" t="inlineStr">
        <is>
          <t>Answering Machine Autodial</t>
        </is>
      </c>
      <c r="L4252" t="n">
        <v>2</v>
      </c>
      <c r="M4252" t="inlineStr">
        <is>
          <t>2026-06-23 08:34:39</t>
        </is>
      </c>
      <c r="N4252" t="inlineStr">
        <is>
          <t>system</t>
        </is>
      </c>
      <c r="O4252" t="inlineStr">
        <is>
          <t>2026-06-19 07:10:32</t>
        </is>
      </c>
      <c r="P4252" t="inlineStr">
        <is>
          <t>2026-06-19 07:10:32</t>
        </is>
      </c>
      <c r="Y4252" t="inlineStr">
        <is>
          <t>27608687037</t>
        </is>
      </c>
    </row>
    <row r="4253">
      <c r="A4253" t="inlineStr">
        <is>
          <t>14946922</t>
        </is>
      </c>
      <c r="B4253" t="inlineStr">
        <is>
          <t>ac901937-7b01-4719-b3f9-2039641ad7a5</t>
        </is>
      </c>
      <c r="D4253" t="inlineStr">
        <is>
          <t>30001087</t>
        </is>
      </c>
      <c r="E4253" t="inlineStr">
        <is>
          <t>ussd_funeral_leads_altitude_20260619</t>
        </is>
      </c>
      <c r="J4253" t="inlineStr">
        <is>
          <t>LANG</t>
        </is>
      </c>
      <c r="K4253" t="inlineStr">
        <is>
          <t>Language Barrier</t>
        </is>
      </c>
      <c r="L4253" t="n">
        <v>2</v>
      </c>
      <c r="M4253" t="inlineStr">
        <is>
          <t>2026-06-23 08:34:38</t>
        </is>
      </c>
      <c r="N4253" t="inlineStr">
        <is>
          <t>Lebohang Mabotja</t>
        </is>
      </c>
      <c r="O4253" t="inlineStr">
        <is>
          <t>2026-06-19 07:10:32</t>
        </is>
      </c>
      <c r="P4253" t="inlineStr">
        <is>
          <t>2026-06-19 07:10:32</t>
        </is>
      </c>
      <c r="Y4253" t="inlineStr">
        <is>
          <t>27825148472</t>
        </is>
      </c>
    </row>
    <row r="4254">
      <c r="A4254" t="inlineStr">
        <is>
          <t>14946930</t>
        </is>
      </c>
      <c r="B4254" t="inlineStr">
        <is>
          <t>c5978911-fda6-43b4-a42a-b24615ac51fb</t>
        </is>
      </c>
      <c r="D4254" t="inlineStr">
        <is>
          <t>30001087</t>
        </is>
      </c>
      <c r="E4254" t="inlineStr">
        <is>
          <t>ussd_funeral_leads_altitude_20260619</t>
        </is>
      </c>
      <c r="J4254" t="inlineStr">
        <is>
          <t>DNQS</t>
        </is>
      </c>
      <c r="K4254" t="inlineStr">
        <is>
          <t>Does Not Qualify</t>
        </is>
      </c>
      <c r="L4254" t="n">
        <v>2</v>
      </c>
      <c r="M4254" t="inlineStr">
        <is>
          <t>2026-06-23 08:34:34</t>
        </is>
      </c>
      <c r="N4254" t="inlineStr">
        <is>
          <t>Goitsimang Mogwasa</t>
        </is>
      </c>
      <c r="O4254" t="inlineStr">
        <is>
          <t>2026-06-19 07:10:32</t>
        </is>
      </c>
      <c r="P4254" t="inlineStr">
        <is>
          <t>2026-06-19 07:10:32</t>
        </is>
      </c>
      <c r="Y4254" t="inlineStr">
        <is>
          <t>27721648364</t>
        </is>
      </c>
    </row>
    <row r="4255">
      <c r="A4255" t="inlineStr">
        <is>
          <t>14946586</t>
        </is>
      </c>
      <c r="B4255" t="inlineStr">
        <is>
          <t>27730b1b-defd-43a6-bd7e-cf88ada446e3</t>
        </is>
      </c>
      <c r="D4255" t="inlineStr">
        <is>
          <t>30001087</t>
        </is>
      </c>
      <c r="E4255" t="inlineStr">
        <is>
          <t>ussd_funeral_leads_altitude_20260619</t>
        </is>
      </c>
      <c r="J4255" t="inlineStr">
        <is>
          <t>AF</t>
        </is>
      </c>
      <c r="K4255" t="inlineStr">
        <is>
          <t>Cannot Afford</t>
        </is>
      </c>
      <c r="L4255" t="n">
        <v>2</v>
      </c>
      <c r="M4255" t="inlineStr">
        <is>
          <t>2026-06-23 08:32:55</t>
        </is>
      </c>
      <c r="N4255" t="inlineStr">
        <is>
          <t>Goitsimang Mogwasa</t>
        </is>
      </c>
      <c r="O4255" t="inlineStr">
        <is>
          <t>2026-06-19 07:10:32</t>
        </is>
      </c>
      <c r="P4255" t="inlineStr">
        <is>
          <t>2026-06-19 07:10:32</t>
        </is>
      </c>
      <c r="Y4255" t="inlineStr">
        <is>
          <t>27798368187</t>
        </is>
      </c>
    </row>
    <row r="4256">
      <c r="A4256" t="inlineStr">
        <is>
          <t>14947466</t>
        </is>
      </c>
      <c r="B4256" t="inlineStr">
        <is>
          <t>6d38f03b-883e-44d4-beed-946e5f0a3f8c</t>
        </is>
      </c>
      <c r="D4256" t="inlineStr">
        <is>
          <t>30001087</t>
        </is>
      </c>
      <c r="E4256" t="inlineStr">
        <is>
          <t>ussd_funeral_leads_altitude_20260619</t>
        </is>
      </c>
      <c r="J4256" t="inlineStr">
        <is>
          <t>ADC</t>
        </is>
      </c>
      <c r="K4256" t="inlineStr">
        <is>
          <t>Auto Dial Disconnected</t>
        </is>
      </c>
      <c r="L4256" t="n">
        <v>2</v>
      </c>
      <c r="M4256" t="inlineStr">
        <is>
          <t>2026-06-23 08:32:49</t>
        </is>
      </c>
      <c r="N4256" t="inlineStr">
        <is>
          <t>system</t>
        </is>
      </c>
      <c r="O4256" t="inlineStr">
        <is>
          <t>2026-06-19 07:10:32</t>
        </is>
      </c>
      <c r="P4256" t="inlineStr">
        <is>
          <t>2026-06-19 07:10:32</t>
        </is>
      </c>
      <c r="Y4256" t="inlineStr">
        <is>
          <t>27674644620</t>
        </is>
      </c>
    </row>
    <row r="4257">
      <c r="A4257" t="inlineStr">
        <is>
          <t>14947467</t>
        </is>
      </c>
      <c r="B4257" t="inlineStr">
        <is>
          <t>3b38778f-457b-4935-a625-2b6b7035fec0</t>
        </is>
      </c>
      <c r="D4257" t="inlineStr">
        <is>
          <t>30001087</t>
        </is>
      </c>
      <c r="E4257" t="inlineStr">
        <is>
          <t>ussd_funeral_leads_altitude_20260619</t>
        </is>
      </c>
      <c r="J4257" t="inlineStr">
        <is>
          <t>CU</t>
        </is>
      </c>
      <c r="K4257" t="inlineStr">
        <is>
          <t>Client Hung Up</t>
        </is>
      </c>
      <c r="L4257" t="n">
        <v>2</v>
      </c>
      <c r="M4257" t="inlineStr">
        <is>
          <t>2026-06-23 08:32:49</t>
        </is>
      </c>
      <c r="N4257" t="inlineStr">
        <is>
          <t>Virginia Letsatsi</t>
        </is>
      </c>
      <c r="O4257" t="inlineStr">
        <is>
          <t>2026-06-19 07:10:32</t>
        </is>
      </c>
      <c r="P4257" t="inlineStr">
        <is>
          <t>2026-06-19 07:10:32</t>
        </is>
      </c>
      <c r="Y4257" t="inlineStr">
        <is>
          <t>27790975522</t>
        </is>
      </c>
    </row>
    <row r="4258">
      <c r="A4258" t="inlineStr">
        <is>
          <t>14946604</t>
        </is>
      </c>
      <c r="B4258" t="inlineStr">
        <is>
          <t>f90178ed-e372-4790-ba5e-b1ecff4a5659</t>
        </is>
      </c>
      <c r="D4258" t="inlineStr">
        <is>
          <t>30001087</t>
        </is>
      </c>
      <c r="E4258" t="inlineStr">
        <is>
          <t>ussd_funeral_leads_altitude_20260619</t>
        </is>
      </c>
      <c r="J4258" t="inlineStr">
        <is>
          <t>A</t>
        </is>
      </c>
      <c r="K4258" t="inlineStr">
        <is>
          <t>Answering Machine</t>
        </is>
      </c>
      <c r="L4258" t="n">
        <v>2</v>
      </c>
      <c r="M4258" t="inlineStr">
        <is>
          <t>2026-06-23 08:32:31</t>
        </is>
      </c>
      <c r="N4258" t="inlineStr">
        <is>
          <t>Virginia Letsatsi</t>
        </is>
      </c>
      <c r="O4258" t="inlineStr">
        <is>
          <t>2026-06-19 07:10:32</t>
        </is>
      </c>
      <c r="P4258" t="inlineStr">
        <is>
          <t>2026-06-19 07:10:32</t>
        </is>
      </c>
      <c r="Y4258" t="inlineStr">
        <is>
          <t>27636457977</t>
        </is>
      </c>
    </row>
    <row r="4259">
      <c r="A4259" t="inlineStr">
        <is>
          <t>14944055</t>
        </is>
      </c>
      <c r="B4259" t="inlineStr">
        <is>
          <t>b7c65a3e-ecfe-47d5-a750-d5aff946477b</t>
        </is>
      </c>
      <c r="D4259" t="inlineStr">
        <is>
          <t>30001087</t>
        </is>
      </c>
      <c r="E4259" t="inlineStr">
        <is>
          <t>ussd_funeral_leads_altitude_20260619</t>
        </is>
      </c>
      <c r="J4259" t="inlineStr">
        <is>
          <t>AA</t>
        </is>
      </c>
      <c r="K4259" t="inlineStr">
        <is>
          <t>Answering Machine Autodial</t>
        </is>
      </c>
      <c r="L4259" t="n">
        <v>2</v>
      </c>
      <c r="M4259" t="inlineStr">
        <is>
          <t>2026-06-23 08:31:23</t>
        </is>
      </c>
      <c r="N4259" t="inlineStr">
        <is>
          <t>system</t>
        </is>
      </c>
      <c r="O4259" t="inlineStr">
        <is>
          <t>2026-06-19 07:10:32</t>
        </is>
      </c>
      <c r="P4259" t="inlineStr">
        <is>
          <t>2026-06-19 07:10:32</t>
        </is>
      </c>
      <c r="Y4259" t="inlineStr">
        <is>
          <t>27825957772</t>
        </is>
      </c>
    </row>
    <row r="4260">
      <c r="A4260" t="inlineStr">
        <is>
          <t>14944052</t>
        </is>
      </c>
      <c r="B4260" t="inlineStr">
        <is>
          <t>62bf6297-4769-43c7-9688-26f44181f028</t>
        </is>
      </c>
      <c r="D4260" t="inlineStr">
        <is>
          <t>30001087</t>
        </is>
      </c>
      <c r="E4260" t="inlineStr">
        <is>
          <t>ussd_funeral_leads_altitude_20260619</t>
        </is>
      </c>
      <c r="H4260" t="inlineStr">
        <is>
          <t>27662713831</t>
        </is>
      </c>
      <c r="J4260" t="inlineStr">
        <is>
          <t>NI</t>
        </is>
      </c>
      <c r="K4260" t="inlineStr">
        <is>
          <t>Not Interested</t>
        </is>
      </c>
      <c r="L4260" t="n">
        <v>2</v>
      </c>
      <c r="M4260" t="inlineStr">
        <is>
          <t>2026-06-23 08:31:16</t>
        </is>
      </c>
      <c r="N4260" t="inlineStr">
        <is>
          <t>Goitsimang Mogwasa</t>
        </is>
      </c>
      <c r="O4260" t="inlineStr">
        <is>
          <t>2026-06-19 07:10:32</t>
        </is>
      </c>
      <c r="P4260" t="inlineStr">
        <is>
          <t>2026-06-19 07:10:32</t>
        </is>
      </c>
      <c r="Y4260" t="inlineStr">
        <is>
          <t>27662713831</t>
        </is>
      </c>
    </row>
    <row r="4261">
      <c r="A4261" t="inlineStr">
        <is>
          <t>14946430</t>
        </is>
      </c>
      <c r="B4261" t="inlineStr">
        <is>
          <t>7821dfc2-707e-4b91-8744-517b8835f730</t>
        </is>
      </c>
      <c r="D4261" t="inlineStr">
        <is>
          <t>30001087</t>
        </is>
      </c>
      <c r="E4261" t="inlineStr">
        <is>
          <t>ussd_funeral_leads_altitude_20260619</t>
        </is>
      </c>
      <c r="J4261" t="inlineStr">
        <is>
          <t>NI</t>
        </is>
      </c>
      <c r="K4261" t="inlineStr">
        <is>
          <t>Not Interested</t>
        </is>
      </c>
      <c r="L4261" t="n">
        <v>2</v>
      </c>
      <c r="M4261" t="inlineStr">
        <is>
          <t>2026-06-23 08:29:45</t>
        </is>
      </c>
      <c r="N4261" t="inlineStr">
        <is>
          <t>Lebohang Mabotja</t>
        </is>
      </c>
      <c r="O4261" t="inlineStr">
        <is>
          <t>2026-06-19 07:10:32</t>
        </is>
      </c>
      <c r="P4261" t="inlineStr">
        <is>
          <t>2026-06-19 07:10:32</t>
        </is>
      </c>
      <c r="Y4261" t="inlineStr">
        <is>
          <t>27822245192</t>
        </is>
      </c>
    </row>
    <row r="4262">
      <c r="A4262" t="inlineStr">
        <is>
          <t>14947226</t>
        </is>
      </c>
      <c r="B4262" t="inlineStr">
        <is>
          <t>0e88f58b-e8b7-418b-8eab-2eb731d02dcd</t>
        </is>
      </c>
      <c r="D4262" t="inlineStr">
        <is>
          <t>30001087</t>
        </is>
      </c>
      <c r="E4262" t="inlineStr">
        <is>
          <t>ussd_funeral_leads_altitude_20260619</t>
        </is>
      </c>
      <c r="J4262" t="inlineStr">
        <is>
          <t>AF</t>
        </is>
      </c>
      <c r="K4262" t="inlineStr">
        <is>
          <t>Cannot Afford</t>
        </is>
      </c>
      <c r="L4262" t="n">
        <v>2</v>
      </c>
      <c r="M4262" t="inlineStr">
        <is>
          <t>2026-06-23 08:29:13</t>
        </is>
      </c>
      <c r="N4262" t="inlineStr">
        <is>
          <t>Virginia Letsatsi</t>
        </is>
      </c>
      <c r="O4262" t="inlineStr">
        <is>
          <t>2026-06-19 07:10:32</t>
        </is>
      </c>
      <c r="P4262" t="inlineStr">
        <is>
          <t>2026-06-19 07:10:32</t>
        </is>
      </c>
      <c r="Y4262" t="inlineStr">
        <is>
          <t>27724501509</t>
        </is>
      </c>
    </row>
    <row r="4263">
      <c r="A4263" t="inlineStr">
        <is>
          <t>14946434</t>
        </is>
      </c>
      <c r="B4263" t="inlineStr">
        <is>
          <t>862657cc-2155-4998-8f90-87362818df1e</t>
        </is>
      </c>
      <c r="D4263" t="inlineStr">
        <is>
          <t>30001087</t>
        </is>
      </c>
      <c r="E4263" t="inlineStr">
        <is>
          <t>ussd_funeral_leads_altitude_20260619</t>
        </is>
      </c>
      <c r="J4263" t="inlineStr">
        <is>
          <t>A</t>
        </is>
      </c>
      <c r="K4263" t="inlineStr">
        <is>
          <t>Answering Machine</t>
        </is>
      </c>
      <c r="L4263" t="n">
        <v>2</v>
      </c>
      <c r="M4263" t="inlineStr">
        <is>
          <t>2026-06-23 08:29:09</t>
        </is>
      </c>
      <c r="N4263" t="inlineStr">
        <is>
          <t>Lebohang Mabotja</t>
        </is>
      </c>
      <c r="O4263" t="inlineStr">
        <is>
          <t>2026-06-19 07:10:32</t>
        </is>
      </c>
      <c r="P4263" t="inlineStr">
        <is>
          <t>2026-06-19 07:10:32</t>
        </is>
      </c>
      <c r="Y4263" t="inlineStr">
        <is>
          <t>27646135714</t>
        </is>
      </c>
    </row>
    <row r="4264">
      <c r="A4264" t="inlineStr">
        <is>
          <t>14946524</t>
        </is>
      </c>
      <c r="B4264" t="inlineStr">
        <is>
          <t>1de3511a-974a-4633-b3e2-e2c7474e1378</t>
        </is>
      </c>
      <c r="D4264" t="inlineStr">
        <is>
          <t>30001087</t>
        </is>
      </c>
      <c r="E4264" t="inlineStr">
        <is>
          <t>ussd_funeral_leads_altitude_20260619</t>
        </is>
      </c>
      <c r="J4264" t="inlineStr">
        <is>
          <t>A</t>
        </is>
      </c>
      <c r="K4264" t="inlineStr">
        <is>
          <t>Answering Machine</t>
        </is>
      </c>
      <c r="L4264" t="n">
        <v>3</v>
      </c>
      <c r="M4264" t="inlineStr">
        <is>
          <t>2026-06-23 08:28:22</t>
        </is>
      </c>
      <c r="N4264" t="inlineStr">
        <is>
          <t>Virginia Letsatsi</t>
        </is>
      </c>
      <c r="O4264" t="inlineStr">
        <is>
          <t>2026-06-19 07:10:32</t>
        </is>
      </c>
      <c r="P4264" t="inlineStr">
        <is>
          <t>2026-06-19 07:10:32</t>
        </is>
      </c>
      <c r="Y4264" t="inlineStr">
        <is>
          <t>27715133247</t>
        </is>
      </c>
    </row>
    <row r="4265">
      <c r="A4265" t="inlineStr">
        <is>
          <t>14943922</t>
        </is>
      </c>
      <c r="B4265" t="inlineStr">
        <is>
          <t>f347b88c-fc5d-40d0-aa95-8028cb326d1a</t>
        </is>
      </c>
      <c r="D4265" t="inlineStr">
        <is>
          <t>30001087</t>
        </is>
      </c>
      <c r="E4265" t="inlineStr">
        <is>
          <t>ussd_funeral_leads_altitude_20260619</t>
        </is>
      </c>
      <c r="J4265" t="inlineStr">
        <is>
          <t>AA</t>
        </is>
      </c>
      <c r="K4265" t="inlineStr">
        <is>
          <t>Answering Machine Autodial</t>
        </is>
      </c>
      <c r="L4265" t="n">
        <v>2</v>
      </c>
      <c r="M4265" t="inlineStr">
        <is>
          <t>2026-06-23 08:28:14</t>
        </is>
      </c>
      <c r="N4265" t="inlineStr">
        <is>
          <t>system</t>
        </is>
      </c>
      <c r="O4265" t="inlineStr">
        <is>
          <t>2026-06-19 07:10:32</t>
        </is>
      </c>
      <c r="P4265" t="inlineStr">
        <is>
          <t>2026-06-19 07:10:32</t>
        </is>
      </c>
      <c r="Y4265" t="inlineStr">
        <is>
          <t>27794926914</t>
        </is>
      </c>
    </row>
    <row r="4266">
      <c r="A4266" t="inlineStr">
        <is>
          <t>14943024</t>
        </is>
      </c>
      <c r="B4266" t="inlineStr">
        <is>
          <t>00c9cceb-cc91-4b52-b649-408c90ec21be</t>
        </is>
      </c>
      <c r="D4266" t="inlineStr">
        <is>
          <t>30001087</t>
        </is>
      </c>
      <c r="E4266" t="inlineStr">
        <is>
          <t>ussd_funeral_leads_altitude_20260619</t>
        </is>
      </c>
      <c r="J4266" t="inlineStr">
        <is>
          <t>NA</t>
        </is>
      </c>
      <c r="K4266" t="inlineStr">
        <is>
          <t>No Answer Autodial</t>
        </is>
      </c>
      <c r="L4266" t="n">
        <v>2</v>
      </c>
      <c r="M4266" t="inlineStr">
        <is>
          <t>2026-06-23 08:28:13</t>
        </is>
      </c>
      <c r="N4266" t="inlineStr">
        <is>
          <t>system</t>
        </is>
      </c>
      <c r="O4266" t="inlineStr">
        <is>
          <t>2026-06-19 07:10:32</t>
        </is>
      </c>
      <c r="P4266" t="inlineStr">
        <is>
          <t>2026-06-19 07:10:32</t>
        </is>
      </c>
      <c r="Y4266" t="inlineStr">
        <is>
          <t>27724694350</t>
        </is>
      </c>
    </row>
    <row r="4267">
      <c r="A4267" t="inlineStr">
        <is>
          <t>14946501</t>
        </is>
      </c>
      <c r="B4267" t="inlineStr">
        <is>
          <t>3777ba28-13ae-4ac5-9505-102c79ff607d</t>
        </is>
      </c>
      <c r="D4267" t="inlineStr">
        <is>
          <t>30001087</t>
        </is>
      </c>
      <c r="E4267" t="inlineStr">
        <is>
          <t>ussd_funeral_leads_altitude_20260619</t>
        </is>
      </c>
      <c r="J4267" t="inlineStr">
        <is>
          <t>A</t>
        </is>
      </c>
      <c r="K4267" t="inlineStr">
        <is>
          <t>Answering Machine</t>
        </is>
      </c>
      <c r="L4267" t="n">
        <v>2</v>
      </c>
      <c r="M4267" t="inlineStr">
        <is>
          <t>2026-06-23 08:28:12</t>
        </is>
      </c>
      <c r="N4267" t="inlineStr">
        <is>
          <t>Vuyiswa Nxumalo</t>
        </is>
      </c>
      <c r="O4267" t="inlineStr">
        <is>
          <t>2026-06-19 07:10:32</t>
        </is>
      </c>
      <c r="P4267" t="inlineStr">
        <is>
          <t>2026-06-19 07:10:32</t>
        </is>
      </c>
      <c r="Y4267" t="inlineStr">
        <is>
          <t>27827925428</t>
        </is>
      </c>
    </row>
    <row r="4268">
      <c r="A4268" t="inlineStr">
        <is>
          <t>14946509</t>
        </is>
      </c>
      <c r="B4268" t="inlineStr">
        <is>
          <t>c56c146b-8b17-449c-861b-7b8c3ecff6b4</t>
        </is>
      </c>
      <c r="D4268" t="inlineStr">
        <is>
          <t>30001087</t>
        </is>
      </c>
      <c r="E4268" t="inlineStr">
        <is>
          <t>ussd_funeral_leads_altitude_20260619</t>
        </is>
      </c>
      <c r="J4268" t="inlineStr">
        <is>
          <t>NI</t>
        </is>
      </c>
      <c r="K4268" t="inlineStr">
        <is>
          <t>Not Interested</t>
        </is>
      </c>
      <c r="L4268" t="n">
        <v>2</v>
      </c>
      <c r="M4268" t="inlineStr">
        <is>
          <t>2026-06-23 08:28:04</t>
        </is>
      </c>
      <c r="N4268" t="inlineStr">
        <is>
          <t>Vuyiswa Nxumalo</t>
        </is>
      </c>
      <c r="O4268" t="inlineStr">
        <is>
          <t>2026-06-19 07:10:32</t>
        </is>
      </c>
      <c r="P4268" t="inlineStr">
        <is>
          <t>2026-06-19 07:10:32</t>
        </is>
      </c>
      <c r="Y4268" t="inlineStr">
        <is>
          <t>27673574181</t>
        </is>
      </c>
    </row>
    <row r="4269">
      <c r="A4269" t="inlineStr">
        <is>
          <t>14943005</t>
        </is>
      </c>
      <c r="B4269" t="inlineStr">
        <is>
          <t>7d844fb2-3c7c-4a8c-b00c-52aac6847626</t>
        </is>
      </c>
      <c r="D4269" t="inlineStr">
        <is>
          <t>30001087</t>
        </is>
      </c>
      <c r="E4269" t="inlineStr">
        <is>
          <t>ussd_funeral_leads_altitude_20260619</t>
        </is>
      </c>
      <c r="J4269" t="inlineStr">
        <is>
          <t>ADC</t>
        </is>
      </c>
      <c r="K4269" t="inlineStr">
        <is>
          <t>Auto Dial Disconnected</t>
        </is>
      </c>
      <c r="L4269" t="n">
        <v>2</v>
      </c>
      <c r="M4269" t="inlineStr">
        <is>
          <t>2026-06-23 08:27:57</t>
        </is>
      </c>
      <c r="N4269" t="inlineStr">
        <is>
          <t>system</t>
        </is>
      </c>
      <c r="O4269" t="inlineStr">
        <is>
          <t>2026-06-19 07:10:32</t>
        </is>
      </c>
      <c r="P4269" t="inlineStr">
        <is>
          <t>2026-06-19 07:10:32</t>
        </is>
      </c>
      <c r="Y4269" t="inlineStr">
        <is>
          <t>27712364676</t>
        </is>
      </c>
    </row>
    <row r="4270">
      <c r="A4270" t="inlineStr">
        <is>
          <t>14943002</t>
        </is>
      </c>
      <c r="B4270" t="inlineStr">
        <is>
          <t>45b4c266-db07-417a-99cb-ef550b0a9e4b</t>
        </is>
      </c>
      <c r="D4270" t="inlineStr">
        <is>
          <t>30001087</t>
        </is>
      </c>
      <c r="E4270" t="inlineStr">
        <is>
          <t>ussd_funeral_leads_altitude_20260619</t>
        </is>
      </c>
      <c r="J4270" t="inlineStr">
        <is>
          <t>AA</t>
        </is>
      </c>
      <c r="K4270" t="inlineStr">
        <is>
          <t>Answering Machine Autodial</t>
        </is>
      </c>
      <c r="L4270" t="n">
        <v>2</v>
      </c>
      <c r="M4270" t="inlineStr">
        <is>
          <t>2026-06-23 08:27:52</t>
        </is>
      </c>
      <c r="N4270" t="inlineStr">
        <is>
          <t>system</t>
        </is>
      </c>
      <c r="O4270" t="inlineStr">
        <is>
          <t>2026-06-19 07:10:32</t>
        </is>
      </c>
      <c r="P4270" t="inlineStr">
        <is>
          <t>2026-06-19 07:10:32</t>
        </is>
      </c>
      <c r="Y4270" t="inlineStr">
        <is>
          <t>27795768576</t>
        </is>
      </c>
    </row>
    <row r="4271">
      <c r="A4271" t="inlineStr">
        <is>
          <t>14943003</t>
        </is>
      </c>
      <c r="B4271" t="inlineStr">
        <is>
          <t>c3c6a8bf-6948-43d5-9b1e-59937afa15dd</t>
        </is>
      </c>
      <c r="D4271" t="inlineStr">
        <is>
          <t>30001087</t>
        </is>
      </c>
      <c r="E4271" t="inlineStr">
        <is>
          <t>ussd_funeral_leads_altitude_20260619</t>
        </is>
      </c>
      <c r="J4271" t="inlineStr">
        <is>
          <t>AE</t>
        </is>
      </c>
      <c r="K4271" t="inlineStr">
        <is>
          <t>Auto Engaged</t>
        </is>
      </c>
      <c r="L4271" t="n">
        <v>2</v>
      </c>
      <c r="M4271" t="inlineStr">
        <is>
          <t>2026-06-23 08:27:52</t>
        </is>
      </c>
      <c r="N4271" t="inlineStr">
        <is>
          <t>system</t>
        </is>
      </c>
      <c r="O4271" t="inlineStr">
        <is>
          <t>2026-06-19 07:10:32</t>
        </is>
      </c>
      <c r="P4271" t="inlineStr">
        <is>
          <t>2026-06-19 07:10:32</t>
        </is>
      </c>
      <c r="Y4271" t="inlineStr">
        <is>
          <t>27829214500</t>
        </is>
      </c>
    </row>
    <row r="4272">
      <c r="A4272" t="inlineStr">
        <is>
          <t>14943001</t>
        </is>
      </c>
      <c r="B4272" t="inlineStr">
        <is>
          <t>a6c4a2fe-80dd-4b46-b4ec-12a5601cdc27</t>
        </is>
      </c>
      <c r="D4272" t="inlineStr">
        <is>
          <t>30001087</t>
        </is>
      </c>
      <c r="E4272" t="inlineStr">
        <is>
          <t>ussd_funeral_leads_altitude_20260619</t>
        </is>
      </c>
      <c r="J4272" t="inlineStr">
        <is>
          <t>AA</t>
        </is>
      </c>
      <c r="K4272" t="inlineStr">
        <is>
          <t>Answering Machine Autodial</t>
        </is>
      </c>
      <c r="L4272" t="n">
        <v>2</v>
      </c>
      <c r="M4272" t="inlineStr">
        <is>
          <t>2026-06-23 08:27:46</t>
        </is>
      </c>
      <c r="N4272" t="inlineStr">
        <is>
          <t>system</t>
        </is>
      </c>
      <c r="O4272" t="inlineStr">
        <is>
          <t>2026-06-19 07:10:32</t>
        </is>
      </c>
      <c r="P4272" t="inlineStr">
        <is>
          <t>2026-06-19 07:10:32</t>
        </is>
      </c>
      <c r="Y4272" t="inlineStr">
        <is>
          <t>27606886970</t>
        </is>
      </c>
    </row>
    <row r="4273">
      <c r="A4273" t="inlineStr">
        <is>
          <t>14943019</t>
        </is>
      </c>
      <c r="B4273" t="inlineStr">
        <is>
          <t>f32904ca-d13b-4e78-9bd7-04e0625cd68d</t>
        </is>
      </c>
      <c r="D4273" t="inlineStr">
        <is>
          <t>30001087</t>
        </is>
      </c>
      <c r="E4273" t="inlineStr">
        <is>
          <t>ussd_funeral_leads_altitude_20260619</t>
        </is>
      </c>
      <c r="J4273" t="inlineStr">
        <is>
          <t>U</t>
        </is>
      </c>
      <c r="K4273" t="inlineStr">
        <is>
          <t>Unemployed</t>
        </is>
      </c>
      <c r="L4273" t="n">
        <v>2</v>
      </c>
      <c r="M4273" t="inlineStr">
        <is>
          <t>2026-06-23 08:26:08</t>
        </is>
      </c>
      <c r="N4273" t="inlineStr">
        <is>
          <t>Dimakatso Nkomo</t>
        </is>
      </c>
      <c r="O4273" t="inlineStr">
        <is>
          <t>2026-06-19 07:10:32</t>
        </is>
      </c>
      <c r="P4273" t="inlineStr">
        <is>
          <t>2026-06-19 07:10:32</t>
        </is>
      </c>
      <c r="Y4273" t="inlineStr">
        <is>
          <t>27823343018</t>
        </is>
      </c>
    </row>
    <row r="4274">
      <c r="A4274" t="inlineStr">
        <is>
          <t>14942773</t>
        </is>
      </c>
      <c r="B4274" t="inlineStr">
        <is>
          <t>3ca2e5fe-6d3d-4f95-b78f-4f85b935f1bf</t>
        </is>
      </c>
      <c r="D4274" t="inlineStr">
        <is>
          <t>30001087</t>
        </is>
      </c>
      <c r="E4274" t="inlineStr">
        <is>
          <t>ussd_funeral_leads_altitude_20260619</t>
        </is>
      </c>
      <c r="J4274" t="inlineStr">
        <is>
          <t>AF</t>
        </is>
      </c>
      <c r="K4274" t="inlineStr">
        <is>
          <t>Cannot Afford</t>
        </is>
      </c>
      <c r="L4274" t="n">
        <v>3</v>
      </c>
      <c r="M4274" t="inlineStr">
        <is>
          <t>2026-06-23 08:25:48</t>
        </is>
      </c>
      <c r="N4274" t="inlineStr">
        <is>
          <t>Bongiwe Precious Cele</t>
        </is>
      </c>
      <c r="O4274" t="inlineStr">
        <is>
          <t>2026-06-19 07:10:32</t>
        </is>
      </c>
      <c r="P4274" t="inlineStr">
        <is>
          <t>2026-06-19 07:10:32</t>
        </is>
      </c>
      <c r="Y4274" t="inlineStr">
        <is>
          <t>27761152827</t>
        </is>
      </c>
    </row>
    <row r="4275">
      <c r="A4275" t="inlineStr">
        <is>
          <t>14947365</t>
        </is>
      </c>
      <c r="B4275" t="inlineStr">
        <is>
          <t>b4ffd91c-15bd-46fd-8c1d-9a383d8227fb</t>
        </is>
      </c>
      <c r="D4275" t="inlineStr">
        <is>
          <t>30001087</t>
        </is>
      </c>
      <c r="E4275" t="inlineStr">
        <is>
          <t>ussd_funeral_leads_altitude_20260619</t>
        </is>
      </c>
      <c r="J4275" t="inlineStr">
        <is>
          <t>ADC</t>
        </is>
      </c>
      <c r="K4275" t="inlineStr">
        <is>
          <t>Auto Dial Disconnected</t>
        </is>
      </c>
      <c r="L4275" t="n">
        <v>2</v>
      </c>
      <c r="M4275" t="inlineStr">
        <is>
          <t>2026-06-23 08:25:10</t>
        </is>
      </c>
      <c r="N4275" t="inlineStr">
        <is>
          <t>system</t>
        </is>
      </c>
      <c r="O4275" t="inlineStr">
        <is>
          <t>2026-06-19 07:10:32</t>
        </is>
      </c>
      <c r="P4275" t="inlineStr">
        <is>
          <t>2026-06-19 07:10:32</t>
        </is>
      </c>
      <c r="Y4275" t="inlineStr">
        <is>
          <t>27828331394</t>
        </is>
      </c>
    </row>
    <row r="4276">
      <c r="A4276" t="inlineStr">
        <is>
          <t>14947368</t>
        </is>
      </c>
      <c r="B4276" t="inlineStr">
        <is>
          <t>7de28e3a-39a0-4151-8540-adb9589c872e</t>
        </is>
      </c>
      <c r="D4276" t="inlineStr">
        <is>
          <t>30001087</t>
        </is>
      </c>
      <c r="E4276" t="inlineStr">
        <is>
          <t>ussd_funeral_leads_altitude_20260619</t>
        </is>
      </c>
      <c r="H4276" t="inlineStr">
        <is>
          <t>27796821413</t>
        </is>
      </c>
      <c r="J4276" t="inlineStr">
        <is>
          <t>CU</t>
        </is>
      </c>
      <c r="K4276" t="inlineStr">
        <is>
          <t>Client Hung Up</t>
        </is>
      </c>
      <c r="L4276" t="n">
        <v>2</v>
      </c>
      <c r="M4276" t="inlineStr">
        <is>
          <t>2026-06-23 08:24:52</t>
        </is>
      </c>
      <c r="N4276" t="inlineStr">
        <is>
          <t>Bongiwe Precious Cele</t>
        </is>
      </c>
      <c r="O4276" t="inlineStr">
        <is>
          <t>2026-06-19 07:10:32</t>
        </is>
      </c>
      <c r="P4276" t="inlineStr">
        <is>
          <t>2026-06-19 07:10:32</t>
        </is>
      </c>
      <c r="Y4276" t="inlineStr">
        <is>
          <t>27796821413</t>
        </is>
      </c>
    </row>
    <row r="4277">
      <c r="A4277" t="inlineStr">
        <is>
          <t>14947369</t>
        </is>
      </c>
      <c r="B4277" t="inlineStr">
        <is>
          <t>24f8b838-b436-4f30-8a5c-72bf05d34291</t>
        </is>
      </c>
      <c r="D4277" t="inlineStr">
        <is>
          <t>30001087</t>
        </is>
      </c>
      <c r="E4277" t="inlineStr">
        <is>
          <t>ussd_funeral_leads_altitude_20260619</t>
        </is>
      </c>
      <c r="J4277" t="inlineStr">
        <is>
          <t>AA</t>
        </is>
      </c>
      <c r="K4277" t="inlineStr">
        <is>
          <t>Answering Machine Autodial</t>
        </is>
      </c>
      <c r="L4277" t="n">
        <v>2</v>
      </c>
      <c r="M4277" t="inlineStr">
        <is>
          <t>2026-06-23 08:24:47</t>
        </is>
      </c>
      <c r="N4277" t="inlineStr">
        <is>
          <t>system</t>
        </is>
      </c>
      <c r="O4277" t="inlineStr">
        <is>
          <t>2026-06-19 07:10:32</t>
        </is>
      </c>
      <c r="P4277" t="inlineStr">
        <is>
          <t>2026-06-19 07:10:32</t>
        </is>
      </c>
      <c r="Y4277" t="inlineStr">
        <is>
          <t>27791101251</t>
        </is>
      </c>
    </row>
    <row r="4278">
      <c r="A4278" t="inlineStr">
        <is>
          <t>14947370</t>
        </is>
      </c>
      <c r="B4278" t="inlineStr">
        <is>
          <t>92ded1e7-6669-477d-99a3-eebec61f1fbb</t>
        </is>
      </c>
      <c r="D4278" t="inlineStr">
        <is>
          <t>30001087</t>
        </is>
      </c>
      <c r="E4278" t="inlineStr">
        <is>
          <t>ussd_funeral_leads_altitude_20260619</t>
        </is>
      </c>
      <c r="J4278" t="inlineStr">
        <is>
          <t>NA</t>
        </is>
      </c>
      <c r="K4278" t="inlineStr">
        <is>
          <t>No Answer Autodial</t>
        </is>
      </c>
      <c r="L4278" t="n">
        <v>2</v>
      </c>
      <c r="M4278" t="inlineStr">
        <is>
          <t>2026-06-23 08:24:47</t>
        </is>
      </c>
      <c r="N4278" t="inlineStr">
        <is>
          <t>system</t>
        </is>
      </c>
      <c r="O4278" t="inlineStr">
        <is>
          <t>2026-06-19 07:10:32</t>
        </is>
      </c>
      <c r="P4278" t="inlineStr">
        <is>
          <t>2026-06-19 07:10:32</t>
        </is>
      </c>
      <c r="Y4278" t="inlineStr">
        <is>
          <t>27637393533</t>
        </is>
      </c>
    </row>
    <row r="4279">
      <c r="A4279" t="inlineStr">
        <is>
          <t>14900000</t>
        </is>
      </c>
      <c r="B4279" t="inlineStr">
        <is>
          <t>e425261f-941b-4b96-b80c-24a8d92e7a7a</t>
        </is>
      </c>
      <c r="D4279" t="inlineStr">
        <is>
          <t>30001087</t>
        </is>
      </c>
      <c r="E4279" t="inlineStr">
        <is>
          <t>ussd_funeral_leads_altitude_20260619</t>
        </is>
      </c>
      <c r="J4279" t="inlineStr">
        <is>
          <t>AA</t>
        </is>
      </c>
      <c r="K4279" t="inlineStr">
        <is>
          <t>Answering Machine Autodial</t>
        </is>
      </c>
      <c r="L4279" t="n">
        <v>2</v>
      </c>
      <c r="M4279" t="inlineStr">
        <is>
          <t>2026-06-23 08:24:35</t>
        </is>
      </c>
      <c r="N4279" t="inlineStr">
        <is>
          <t>system</t>
        </is>
      </c>
      <c r="O4279" t="inlineStr">
        <is>
          <t>2026-06-19 07:10:32</t>
        </is>
      </c>
      <c r="P4279" t="inlineStr">
        <is>
          <t>2026-06-19 07:10:32</t>
        </is>
      </c>
      <c r="Y4279" t="inlineStr">
        <is>
          <t>27648342403</t>
        </is>
      </c>
    </row>
    <row r="4280">
      <c r="A4280" t="inlineStr">
        <is>
          <t>14947376</t>
        </is>
      </c>
      <c r="B4280" t="inlineStr">
        <is>
          <t>e4c9ab0f-e787-4746-b318-16642de2630c</t>
        </is>
      </c>
      <c r="D4280" t="inlineStr">
        <is>
          <t>30001087</t>
        </is>
      </c>
      <c r="E4280" t="inlineStr">
        <is>
          <t>ussd_funeral_leads_altitude_20260619</t>
        </is>
      </c>
      <c r="J4280" t="inlineStr">
        <is>
          <t>AA</t>
        </is>
      </c>
      <c r="K4280" t="inlineStr">
        <is>
          <t>Answering Machine Autodial</t>
        </is>
      </c>
      <c r="L4280" t="n">
        <v>2</v>
      </c>
      <c r="M4280" t="inlineStr">
        <is>
          <t>2026-06-23 08:24:28</t>
        </is>
      </c>
      <c r="N4280" t="inlineStr">
        <is>
          <t>system</t>
        </is>
      </c>
      <c r="O4280" t="inlineStr">
        <is>
          <t>2026-06-19 07:10:32</t>
        </is>
      </c>
      <c r="P4280" t="inlineStr">
        <is>
          <t>2026-06-19 07:10:32</t>
        </is>
      </c>
      <c r="Y4280" t="inlineStr">
        <is>
          <t>27724312703</t>
        </is>
      </c>
    </row>
    <row r="4281">
      <c r="A4281" t="inlineStr">
        <is>
          <t>14943653</t>
        </is>
      </c>
      <c r="B4281" t="inlineStr">
        <is>
          <t>fc3f3a23-a34c-462c-9dfb-e6c4efc50036</t>
        </is>
      </c>
      <c r="D4281" t="inlineStr">
        <is>
          <t>30001087</t>
        </is>
      </c>
      <c r="E4281" t="inlineStr">
        <is>
          <t>ussd_funeral_leads_altitude_20260619</t>
        </is>
      </c>
      <c r="J4281" t="inlineStr">
        <is>
          <t>AA</t>
        </is>
      </c>
      <c r="K4281" t="inlineStr">
        <is>
          <t>Answering Machine Autodial</t>
        </is>
      </c>
      <c r="L4281" t="n">
        <v>2</v>
      </c>
      <c r="M4281" t="inlineStr">
        <is>
          <t>2026-06-23 08:23:52</t>
        </is>
      </c>
      <c r="N4281" t="inlineStr">
        <is>
          <t>system</t>
        </is>
      </c>
      <c r="O4281" t="inlineStr">
        <is>
          <t>2026-06-19 07:10:32</t>
        </is>
      </c>
      <c r="P4281" t="inlineStr">
        <is>
          <t>2026-06-19 07:10:32</t>
        </is>
      </c>
      <c r="Y4281" t="inlineStr">
        <is>
          <t>27722463811</t>
        </is>
      </c>
    </row>
    <row r="4282">
      <c r="A4282" t="inlineStr">
        <is>
          <t>14947570</t>
        </is>
      </c>
      <c r="B4282" t="inlineStr">
        <is>
          <t>658e73c5-b508-4532-9104-ef67e02e1e47</t>
        </is>
      </c>
      <c r="D4282" t="inlineStr">
        <is>
          <t>30001087</t>
        </is>
      </c>
      <c r="E4282" t="inlineStr">
        <is>
          <t>ussd_funeral_leads_altitude_20260619</t>
        </is>
      </c>
      <c r="J4282" t="inlineStr">
        <is>
          <t>CUA</t>
        </is>
      </c>
      <c r="K4282" t="inlineStr">
        <is>
          <t>Client Underage</t>
        </is>
      </c>
      <c r="L4282" t="n">
        <v>2</v>
      </c>
      <c r="M4282" t="inlineStr">
        <is>
          <t>2026-06-23 08:23:52</t>
        </is>
      </c>
      <c r="N4282" t="inlineStr">
        <is>
          <t>Dimakatso Nkomo</t>
        </is>
      </c>
      <c r="O4282" t="inlineStr">
        <is>
          <t>2026-06-19 07:10:32</t>
        </is>
      </c>
      <c r="P4282" t="inlineStr">
        <is>
          <t>2026-06-19 07:10:32</t>
        </is>
      </c>
      <c r="Y4282" t="inlineStr">
        <is>
          <t>27793235110</t>
        </is>
      </c>
    </row>
    <row r="4283">
      <c r="A4283" t="inlineStr">
        <is>
          <t>14943641</t>
        </is>
      </c>
      <c r="B4283" t="inlineStr">
        <is>
          <t>6d9e3b86-e86a-4e9d-9b1e-1998c006e517</t>
        </is>
      </c>
      <c r="D4283" t="inlineStr">
        <is>
          <t>30001087</t>
        </is>
      </c>
      <c r="E4283" t="inlineStr">
        <is>
          <t>ussd_funeral_leads_altitude_20260619</t>
        </is>
      </c>
      <c r="J4283" t="inlineStr">
        <is>
          <t>NA</t>
        </is>
      </c>
      <c r="K4283" t="inlineStr">
        <is>
          <t>No Answer Autodial</t>
        </is>
      </c>
      <c r="L4283" t="n">
        <v>2</v>
      </c>
      <c r="M4283" t="inlineStr">
        <is>
          <t>2026-06-23 08:23:07</t>
        </is>
      </c>
      <c r="N4283" t="inlineStr">
        <is>
          <t>system</t>
        </is>
      </c>
      <c r="O4283" t="inlineStr">
        <is>
          <t>2026-06-19 07:10:32</t>
        </is>
      </c>
      <c r="P4283" t="inlineStr">
        <is>
          <t>2026-06-19 07:10:32</t>
        </is>
      </c>
      <c r="Y4283" t="inlineStr">
        <is>
          <t>27725066068</t>
        </is>
      </c>
    </row>
    <row r="4284">
      <c r="A4284" t="inlineStr">
        <is>
          <t>14943639</t>
        </is>
      </c>
      <c r="B4284" t="inlineStr">
        <is>
          <t>90b3dd1e-945b-4aaa-b9b8-da667f40e27f</t>
        </is>
      </c>
      <c r="D4284" t="inlineStr">
        <is>
          <t>30001087</t>
        </is>
      </c>
      <c r="E4284" t="inlineStr">
        <is>
          <t>ussd_funeral_leads_altitude_20260619</t>
        </is>
      </c>
      <c r="J4284" t="inlineStr">
        <is>
          <t>ADC</t>
        </is>
      </c>
      <c r="K4284" t="inlineStr">
        <is>
          <t>Auto Dial Disconnected</t>
        </is>
      </c>
      <c r="L4284" t="n">
        <v>2</v>
      </c>
      <c r="M4284" t="inlineStr">
        <is>
          <t>2026-06-23 08:23:05</t>
        </is>
      </c>
      <c r="N4284" t="inlineStr">
        <is>
          <t>system</t>
        </is>
      </c>
      <c r="O4284" t="inlineStr">
        <is>
          <t>2026-06-19 07:10:32</t>
        </is>
      </c>
      <c r="P4284" t="inlineStr">
        <is>
          <t>2026-06-19 07:10:32</t>
        </is>
      </c>
      <c r="Y4284" t="inlineStr">
        <is>
          <t>27767837801</t>
        </is>
      </c>
    </row>
    <row r="4285">
      <c r="A4285" t="inlineStr">
        <is>
          <t>14943638</t>
        </is>
      </c>
      <c r="B4285" t="inlineStr">
        <is>
          <t>9f75fdfe-8441-4978-bb29-6f11e12d1d6d</t>
        </is>
      </c>
      <c r="D4285" t="inlineStr">
        <is>
          <t>30001087</t>
        </is>
      </c>
      <c r="E4285" t="inlineStr">
        <is>
          <t>ussd_funeral_leads_altitude_20260619</t>
        </is>
      </c>
      <c r="J4285" t="inlineStr">
        <is>
          <t>TDN</t>
        </is>
      </c>
      <c r="K4285" t="inlineStr">
        <is>
          <t>Temporary Disconnected Number</t>
        </is>
      </c>
      <c r="L4285" t="n">
        <v>2</v>
      </c>
      <c r="M4285" t="inlineStr">
        <is>
          <t>2026-06-23 08:23:01</t>
        </is>
      </c>
      <c r="N4285" t="inlineStr">
        <is>
          <t>system</t>
        </is>
      </c>
      <c r="O4285" t="inlineStr">
        <is>
          <t>2026-06-19 07:10:32</t>
        </is>
      </c>
      <c r="P4285" t="inlineStr">
        <is>
          <t>2026-06-19 07:10:32</t>
        </is>
      </c>
      <c r="Y4285" t="inlineStr">
        <is>
          <t>27796734787</t>
        </is>
      </c>
    </row>
    <row r="4286">
      <c r="A4286" t="inlineStr">
        <is>
          <t>14943637</t>
        </is>
      </c>
      <c r="B4286" t="inlineStr">
        <is>
          <t>b816da4a-8bc1-4723-aef9-0b366de16575</t>
        </is>
      </c>
      <c r="D4286" t="inlineStr">
        <is>
          <t>30001087</t>
        </is>
      </c>
      <c r="E4286" t="inlineStr">
        <is>
          <t>ussd_funeral_leads_altitude_20260619</t>
        </is>
      </c>
      <c r="J4286" t="inlineStr">
        <is>
          <t>AE</t>
        </is>
      </c>
      <c r="K4286" t="inlineStr">
        <is>
          <t>Auto Engaged</t>
        </is>
      </c>
      <c r="L4286" t="n">
        <v>2</v>
      </c>
      <c r="M4286" t="inlineStr">
        <is>
          <t>2026-06-23 08:23:00</t>
        </is>
      </c>
      <c r="N4286" t="inlineStr">
        <is>
          <t>system</t>
        </is>
      </c>
      <c r="O4286" t="inlineStr">
        <is>
          <t>2026-06-19 07:10:32</t>
        </is>
      </c>
      <c r="P4286" t="inlineStr">
        <is>
          <t>2026-06-19 07:10:32</t>
        </is>
      </c>
      <c r="Y4286" t="inlineStr">
        <is>
          <t>27769440687</t>
        </is>
      </c>
    </row>
    <row r="4287">
      <c r="A4287" t="inlineStr">
        <is>
          <t>14943636</t>
        </is>
      </c>
      <c r="B4287" t="inlineStr">
        <is>
          <t>f07ce949-c002-468e-8697-c9554ca07b49</t>
        </is>
      </c>
      <c r="D4287" t="inlineStr">
        <is>
          <t>30001087</t>
        </is>
      </c>
      <c r="E4287" t="inlineStr">
        <is>
          <t>ussd_funeral_leads_altitude_20260619</t>
        </is>
      </c>
      <c r="J4287" t="inlineStr">
        <is>
          <t>ADC</t>
        </is>
      </c>
      <c r="K4287" t="inlineStr">
        <is>
          <t>Auto Dial Disconnected</t>
        </is>
      </c>
      <c r="L4287" t="n">
        <v>2</v>
      </c>
      <c r="M4287" t="inlineStr">
        <is>
          <t>2026-06-23 08:22:53</t>
        </is>
      </c>
      <c r="N4287" t="inlineStr">
        <is>
          <t>system</t>
        </is>
      </c>
      <c r="O4287" t="inlineStr">
        <is>
          <t>2026-06-19 07:10:32</t>
        </is>
      </c>
      <c r="P4287" t="inlineStr">
        <is>
          <t>2026-06-19 07:10:32</t>
        </is>
      </c>
      <c r="Y4287" t="inlineStr">
        <is>
          <t>27797342074</t>
        </is>
      </c>
    </row>
    <row r="4288">
      <c r="A4288" t="inlineStr">
        <is>
          <t>14947663</t>
        </is>
      </c>
      <c r="B4288" t="inlineStr">
        <is>
          <t>432e24f5-5884-4813-989f-eb3a436d508f</t>
        </is>
      </c>
      <c r="D4288" t="inlineStr">
        <is>
          <t>30001087</t>
        </is>
      </c>
      <c r="E4288" t="inlineStr">
        <is>
          <t>ussd_funeral_leads_altitude_20260619</t>
        </is>
      </c>
      <c r="J4288" t="inlineStr">
        <is>
          <t>ADC</t>
        </is>
      </c>
      <c r="K4288" t="inlineStr">
        <is>
          <t>Auto Dial Disconnected</t>
        </is>
      </c>
      <c r="L4288" t="n">
        <v>2</v>
      </c>
      <c r="M4288" t="inlineStr">
        <is>
          <t>2026-06-23 08:22:53</t>
        </is>
      </c>
      <c r="N4288" t="inlineStr">
        <is>
          <t>system</t>
        </is>
      </c>
      <c r="O4288" t="inlineStr">
        <is>
          <t>2026-06-19 07:10:32</t>
        </is>
      </c>
      <c r="P4288" t="inlineStr">
        <is>
          <t>2026-06-19 07:10:32</t>
        </is>
      </c>
      <c r="Y4288" t="inlineStr">
        <is>
          <t>27767513401</t>
        </is>
      </c>
    </row>
    <row r="4289">
      <c r="A4289" t="inlineStr">
        <is>
          <t>14947668</t>
        </is>
      </c>
      <c r="B4289" t="inlineStr">
        <is>
          <t>db572da5-0e5c-4b75-9a78-dad5ee655e39</t>
        </is>
      </c>
      <c r="D4289" t="inlineStr">
        <is>
          <t>30001087</t>
        </is>
      </c>
      <c r="E4289" t="inlineStr">
        <is>
          <t>ussd_funeral_leads_altitude_20260619</t>
        </is>
      </c>
      <c r="J4289" t="inlineStr">
        <is>
          <t>AA</t>
        </is>
      </c>
      <c r="K4289" t="inlineStr">
        <is>
          <t>Answering Machine Autodial</t>
        </is>
      </c>
      <c r="L4289" t="n">
        <v>2</v>
      </c>
      <c r="M4289" t="inlineStr">
        <is>
          <t>2026-06-23 08:22:31</t>
        </is>
      </c>
      <c r="N4289" t="inlineStr">
        <is>
          <t>system</t>
        </is>
      </c>
      <c r="O4289" t="inlineStr">
        <is>
          <t>2026-06-19 07:10:32</t>
        </is>
      </c>
      <c r="P4289" t="inlineStr">
        <is>
          <t>2026-06-19 07:10:32</t>
        </is>
      </c>
      <c r="Y4289" t="inlineStr">
        <is>
          <t>27793333553</t>
        </is>
      </c>
    </row>
    <row r="4290">
      <c r="A4290" t="inlineStr">
        <is>
          <t>14947669</t>
        </is>
      </c>
      <c r="B4290" t="inlineStr">
        <is>
          <t>2d9d4ce6-2be1-40a2-a611-13b4c9bbed0e</t>
        </is>
      </c>
      <c r="D4290" t="inlineStr">
        <is>
          <t>30001087</t>
        </is>
      </c>
      <c r="E4290" t="inlineStr">
        <is>
          <t>ussd_funeral_leads_altitude_20260619</t>
        </is>
      </c>
      <c r="J4290" t="inlineStr">
        <is>
          <t>NA</t>
        </is>
      </c>
      <c r="K4290" t="inlineStr">
        <is>
          <t>No Answer Autodial</t>
        </is>
      </c>
      <c r="L4290" t="n">
        <v>2</v>
      </c>
      <c r="M4290" t="inlineStr">
        <is>
          <t>2026-06-23 08:22:24</t>
        </is>
      </c>
      <c r="N4290" t="inlineStr">
        <is>
          <t>system</t>
        </is>
      </c>
      <c r="O4290" t="inlineStr">
        <is>
          <t>2026-06-19 07:10:32</t>
        </is>
      </c>
      <c r="P4290" t="inlineStr">
        <is>
          <t>2026-06-19 07:10:32</t>
        </is>
      </c>
      <c r="Y4290" t="inlineStr">
        <is>
          <t>27774821389</t>
        </is>
      </c>
    </row>
    <row r="4291">
      <c r="A4291" t="inlineStr">
        <is>
          <t>14947670</t>
        </is>
      </c>
      <c r="B4291" t="inlineStr">
        <is>
          <t>a587f1ef-897f-40cb-b7eb-e7001a8f6479</t>
        </is>
      </c>
      <c r="D4291" t="inlineStr">
        <is>
          <t>30001087</t>
        </is>
      </c>
      <c r="E4291" t="inlineStr">
        <is>
          <t>ussd_funeral_leads_altitude_20260619</t>
        </is>
      </c>
      <c r="J4291" t="inlineStr">
        <is>
          <t>DROP</t>
        </is>
      </c>
      <c r="K4291" t="inlineStr">
        <is>
          <t>Dropped</t>
        </is>
      </c>
      <c r="L4291" t="n">
        <v>2</v>
      </c>
      <c r="M4291" t="inlineStr">
        <is>
          <t>2026-06-23 08:22:23</t>
        </is>
      </c>
      <c r="N4291" t="inlineStr">
        <is>
          <t>system</t>
        </is>
      </c>
      <c r="O4291" t="inlineStr">
        <is>
          <t>2026-06-19 07:10:32</t>
        </is>
      </c>
      <c r="P4291" t="inlineStr">
        <is>
          <t>2026-06-19 07:10:32</t>
        </is>
      </c>
      <c r="Y4291" t="inlineStr">
        <is>
          <t>27723466861</t>
        </is>
      </c>
    </row>
    <row r="4292">
      <c r="A4292" t="inlineStr">
        <is>
          <t>14947672</t>
        </is>
      </c>
      <c r="B4292" t="inlineStr">
        <is>
          <t>d4f08e0a-9ec2-49ed-8e66-2942fecbfff8</t>
        </is>
      </c>
      <c r="D4292" t="inlineStr">
        <is>
          <t>30001087</t>
        </is>
      </c>
      <c r="E4292" t="inlineStr">
        <is>
          <t>ussd_funeral_leads_altitude_20260619</t>
        </is>
      </c>
      <c r="J4292" t="inlineStr">
        <is>
          <t>AE</t>
        </is>
      </c>
      <c r="K4292" t="inlineStr">
        <is>
          <t>Auto Engaged</t>
        </is>
      </c>
      <c r="L4292" t="n">
        <v>2</v>
      </c>
      <c r="M4292" t="inlineStr">
        <is>
          <t>2026-06-23 08:22:23</t>
        </is>
      </c>
      <c r="N4292" t="inlineStr">
        <is>
          <t>system</t>
        </is>
      </c>
      <c r="O4292" t="inlineStr">
        <is>
          <t>2026-06-19 07:10:32</t>
        </is>
      </c>
      <c r="P4292" t="inlineStr">
        <is>
          <t>2026-06-19 07:10:32</t>
        </is>
      </c>
      <c r="Y4292" t="inlineStr">
        <is>
          <t>27760113842</t>
        </is>
      </c>
    </row>
    <row r="4293">
      <c r="A4293" t="inlineStr">
        <is>
          <t>14947673</t>
        </is>
      </c>
      <c r="B4293" t="inlineStr">
        <is>
          <t>3e133b5b-b91d-4ad5-9f34-06a2d258c71e</t>
        </is>
      </c>
      <c r="D4293" t="inlineStr">
        <is>
          <t>30001087</t>
        </is>
      </c>
      <c r="E4293" t="inlineStr">
        <is>
          <t>ussd_funeral_leads_altitude_20260619</t>
        </is>
      </c>
      <c r="J4293" t="inlineStr">
        <is>
          <t>AA</t>
        </is>
      </c>
      <c r="K4293" t="inlineStr">
        <is>
          <t>Answering Machine Autodial</t>
        </is>
      </c>
      <c r="L4293" t="n">
        <v>2</v>
      </c>
      <c r="M4293" t="inlineStr">
        <is>
          <t>2026-06-23 08:22:23</t>
        </is>
      </c>
      <c r="N4293" t="inlineStr">
        <is>
          <t>system</t>
        </is>
      </c>
      <c r="O4293" t="inlineStr">
        <is>
          <t>2026-06-19 07:10:32</t>
        </is>
      </c>
      <c r="P4293" t="inlineStr">
        <is>
          <t>2026-06-19 07:10:32</t>
        </is>
      </c>
      <c r="Y4293" t="inlineStr">
        <is>
          <t>27728631299</t>
        </is>
      </c>
    </row>
    <row r="4294">
      <c r="A4294" t="inlineStr">
        <is>
          <t>14947677</t>
        </is>
      </c>
      <c r="B4294" t="inlineStr">
        <is>
          <t>c0190a39-bb28-4c50-9086-c419bf893f59</t>
        </is>
      </c>
      <c r="D4294" t="inlineStr">
        <is>
          <t>30001087</t>
        </is>
      </c>
      <c r="E4294" t="inlineStr">
        <is>
          <t>ussd_funeral_leads_altitude_20260619</t>
        </is>
      </c>
      <c r="J4294" t="inlineStr">
        <is>
          <t>TDN</t>
        </is>
      </c>
      <c r="K4294" t="inlineStr">
        <is>
          <t>Temporary Disconnected Number</t>
        </is>
      </c>
      <c r="L4294" t="n">
        <v>2</v>
      </c>
      <c r="M4294" t="inlineStr">
        <is>
          <t>2026-06-23 08:22:23</t>
        </is>
      </c>
      <c r="N4294" t="inlineStr">
        <is>
          <t>system</t>
        </is>
      </c>
      <c r="O4294" t="inlineStr">
        <is>
          <t>2026-06-19 07:10:32</t>
        </is>
      </c>
      <c r="P4294" t="inlineStr">
        <is>
          <t>2026-06-19 07:10:32</t>
        </is>
      </c>
      <c r="Y4294" t="inlineStr">
        <is>
          <t>27797696690</t>
        </is>
      </c>
    </row>
    <row r="4295">
      <c r="A4295" t="inlineStr">
        <is>
          <t>14947720</t>
        </is>
      </c>
      <c r="B4295" t="inlineStr">
        <is>
          <t>64a31df0-a5d6-463a-9a25-f0f8b92efd2c</t>
        </is>
      </c>
      <c r="D4295" t="inlineStr">
        <is>
          <t>30001087</t>
        </is>
      </c>
      <c r="E4295" t="inlineStr">
        <is>
          <t>ussd_funeral_leads_altitude_20260619</t>
        </is>
      </c>
      <c r="J4295" t="inlineStr">
        <is>
          <t>ADC</t>
        </is>
      </c>
      <c r="K4295" t="inlineStr">
        <is>
          <t>Auto Dial Disconnected</t>
        </is>
      </c>
      <c r="L4295" t="n">
        <v>2</v>
      </c>
      <c r="M4295" t="inlineStr">
        <is>
          <t>2026-06-23 08:22:22</t>
        </is>
      </c>
      <c r="N4295" t="inlineStr">
        <is>
          <t>system</t>
        </is>
      </c>
      <c r="O4295" t="inlineStr">
        <is>
          <t>2026-06-19 07:10:32</t>
        </is>
      </c>
      <c r="P4295" t="inlineStr">
        <is>
          <t>2026-06-19 07:10:32</t>
        </is>
      </c>
      <c r="Y4295" t="inlineStr">
        <is>
          <t>27729304677</t>
        </is>
      </c>
    </row>
    <row r="4296">
      <c r="A4296" t="inlineStr">
        <is>
          <t>14947366</t>
        </is>
      </c>
      <c r="B4296" t="inlineStr">
        <is>
          <t>2a53b61c-2047-438c-9999-6bd89e147241</t>
        </is>
      </c>
      <c r="D4296" t="inlineStr">
        <is>
          <t>30001087</t>
        </is>
      </c>
      <c r="E4296" t="inlineStr">
        <is>
          <t>ussd_funeral_leads_altitude_20260619</t>
        </is>
      </c>
      <c r="J4296" t="inlineStr">
        <is>
          <t>NA</t>
        </is>
      </c>
      <c r="K4296" t="inlineStr">
        <is>
          <t>No Answer Autodial</t>
        </is>
      </c>
      <c r="L4296" t="n">
        <v>2</v>
      </c>
      <c r="M4296" t="inlineStr">
        <is>
          <t>2026-06-23 08:16:48</t>
        </is>
      </c>
      <c r="N4296" t="inlineStr">
        <is>
          <t>system</t>
        </is>
      </c>
      <c r="O4296" t="inlineStr">
        <is>
          <t>2026-06-19 07:10:32</t>
        </is>
      </c>
      <c r="P4296" t="inlineStr">
        <is>
          <t>2026-06-19 07:10:32</t>
        </is>
      </c>
      <c r="Y4296" t="inlineStr">
        <is>
          <t>27769636061</t>
        </is>
      </c>
    </row>
    <row r="4297">
      <c r="A4297" t="inlineStr">
        <is>
          <t>14947624</t>
        </is>
      </c>
      <c r="B4297" t="inlineStr">
        <is>
          <t>8185c56c-e722-468f-9e90-a86c7d412234</t>
        </is>
      </c>
      <c r="D4297" t="inlineStr">
        <is>
          <t>30001087</t>
        </is>
      </c>
      <c r="E4297" t="inlineStr">
        <is>
          <t>ussd_funeral_leads_altitude_20260619</t>
        </is>
      </c>
      <c r="J4297" t="inlineStr">
        <is>
          <t>QAVER</t>
        </is>
      </c>
      <c r="K4297" t="inlineStr">
        <is>
          <t>Sale Made</t>
        </is>
      </c>
      <c r="L4297" t="n">
        <v>3</v>
      </c>
      <c r="M4297" t="inlineStr">
        <is>
          <t>2026-06-23 08:16:46</t>
        </is>
      </c>
      <c r="N4297" t="inlineStr">
        <is>
          <t>Lebohang Mabotja</t>
        </is>
      </c>
      <c r="O4297" t="inlineStr">
        <is>
          <t>2026-06-19 07:10:32</t>
        </is>
      </c>
      <c r="P4297" t="inlineStr">
        <is>
          <t>2026-06-19 07:10:32</t>
        </is>
      </c>
      <c r="Y4297" t="inlineStr">
        <is>
          <t>27818042573</t>
        </is>
      </c>
    </row>
    <row r="4298">
      <c r="A4298" t="inlineStr">
        <is>
          <t>14947367</t>
        </is>
      </c>
      <c r="B4298" t="inlineStr">
        <is>
          <t>7ecba28a-0866-422e-bc4d-daf874060e9e</t>
        </is>
      </c>
      <c r="D4298" t="inlineStr">
        <is>
          <t>30001087</t>
        </is>
      </c>
      <c r="E4298" t="inlineStr">
        <is>
          <t>ussd_funeral_leads_altitude_20260619</t>
        </is>
      </c>
      <c r="J4298" t="inlineStr">
        <is>
          <t>NA</t>
        </is>
      </c>
      <c r="K4298" t="inlineStr">
        <is>
          <t>No Answer Autodial</t>
        </is>
      </c>
      <c r="L4298" t="n">
        <v>2</v>
      </c>
      <c r="M4298" t="inlineStr">
        <is>
          <t>2026-06-23 08:16:40</t>
        </is>
      </c>
      <c r="N4298" t="inlineStr">
        <is>
          <t>system</t>
        </is>
      </c>
      <c r="O4298" t="inlineStr">
        <is>
          <t>2026-06-19 07:10:32</t>
        </is>
      </c>
      <c r="P4298" t="inlineStr">
        <is>
          <t>2026-06-19 07:10:32</t>
        </is>
      </c>
      <c r="Y4298" t="inlineStr">
        <is>
          <t>27720452492</t>
        </is>
      </c>
    </row>
    <row r="4299">
      <c r="A4299" t="inlineStr">
        <is>
          <t>14947786</t>
        </is>
      </c>
      <c r="B4299" t="inlineStr">
        <is>
          <t>26682b0a-916f-4d3e-ad92-034c1587d8a0</t>
        </is>
      </c>
      <c r="D4299" t="inlineStr">
        <is>
          <t>30001087</t>
        </is>
      </c>
      <c r="E4299" t="inlineStr">
        <is>
          <t>ussd_funeral_leads_altitude_20260619</t>
        </is>
      </c>
      <c r="J4299" t="inlineStr">
        <is>
          <t>ADC</t>
        </is>
      </c>
      <c r="K4299" t="inlineStr">
        <is>
          <t>Auto Dial Disconnected</t>
        </is>
      </c>
      <c r="L4299" t="n">
        <v>2</v>
      </c>
      <c r="M4299" t="inlineStr">
        <is>
          <t>2026-06-23 08:16:40</t>
        </is>
      </c>
      <c r="N4299" t="inlineStr">
        <is>
          <t>system</t>
        </is>
      </c>
      <c r="O4299" t="inlineStr">
        <is>
          <t>2026-06-19 07:10:32</t>
        </is>
      </c>
      <c r="P4299" t="inlineStr">
        <is>
          <t>2026-06-19 07:10:32</t>
        </is>
      </c>
      <c r="Y4299" t="inlineStr">
        <is>
          <t>27826366548</t>
        </is>
      </c>
    </row>
    <row r="4300">
      <c r="A4300" t="inlineStr">
        <is>
          <t>14947787</t>
        </is>
      </c>
      <c r="B4300" t="inlineStr">
        <is>
          <t>37dbd70f-200f-4ba1-bcc1-c7f77768f68b</t>
        </is>
      </c>
      <c r="D4300" t="inlineStr">
        <is>
          <t>30001087</t>
        </is>
      </c>
      <c r="E4300" t="inlineStr">
        <is>
          <t>ussd_funeral_leads_altitude_20260619</t>
        </is>
      </c>
      <c r="J4300" t="inlineStr">
        <is>
          <t>AA</t>
        </is>
      </c>
      <c r="K4300" t="inlineStr">
        <is>
          <t>Answering Machine Autodial</t>
        </is>
      </c>
      <c r="L4300" t="n">
        <v>2</v>
      </c>
      <c r="M4300" t="inlineStr">
        <is>
          <t>2026-06-23 08:16:39</t>
        </is>
      </c>
      <c r="N4300" t="inlineStr">
        <is>
          <t>system</t>
        </is>
      </c>
      <c r="O4300" t="inlineStr">
        <is>
          <t>2026-06-19 07:10:32</t>
        </is>
      </c>
      <c r="P4300" t="inlineStr">
        <is>
          <t>2026-06-19 07:10:32</t>
        </is>
      </c>
      <c r="Y4300" t="inlineStr">
        <is>
          <t>27772854209</t>
        </is>
      </c>
    </row>
    <row r="4301">
      <c r="A4301" t="inlineStr">
        <is>
          <t>14947788</t>
        </is>
      </c>
      <c r="B4301" t="inlineStr">
        <is>
          <t>f18a19ce-d775-493c-b80d-bfbc215652c0</t>
        </is>
      </c>
      <c r="D4301" t="inlineStr">
        <is>
          <t>30001087</t>
        </is>
      </c>
      <c r="E4301" t="inlineStr">
        <is>
          <t>ussd_funeral_leads_altitude_20260619</t>
        </is>
      </c>
      <c r="J4301" t="inlineStr">
        <is>
          <t>AA</t>
        </is>
      </c>
      <c r="K4301" t="inlineStr">
        <is>
          <t>Answering Machine Autodial</t>
        </is>
      </c>
      <c r="L4301" t="n">
        <v>2</v>
      </c>
      <c r="M4301" t="inlineStr">
        <is>
          <t>2026-06-23 08:16:39</t>
        </is>
      </c>
      <c r="N4301" t="inlineStr">
        <is>
          <t>system</t>
        </is>
      </c>
      <c r="O4301" t="inlineStr">
        <is>
          <t>2026-06-19 07:10:32</t>
        </is>
      </c>
      <c r="P4301" t="inlineStr">
        <is>
          <t>2026-06-19 07:10:32</t>
        </is>
      </c>
      <c r="Y4301" t="inlineStr">
        <is>
          <t>27818975216</t>
        </is>
      </c>
    </row>
    <row r="4302">
      <c r="A4302" t="inlineStr">
        <is>
          <t>14947789</t>
        </is>
      </c>
      <c r="B4302" t="inlineStr">
        <is>
          <t>83c3f546-ee53-40b9-af94-1f524ca5cd52</t>
        </is>
      </c>
      <c r="D4302" t="inlineStr">
        <is>
          <t>30001087</t>
        </is>
      </c>
      <c r="E4302" t="inlineStr">
        <is>
          <t>ussd_funeral_leads_altitude_20260619</t>
        </is>
      </c>
      <c r="J4302" t="inlineStr">
        <is>
          <t>AA</t>
        </is>
      </c>
      <c r="K4302" t="inlineStr">
        <is>
          <t>Answering Machine Autodial</t>
        </is>
      </c>
      <c r="L4302" t="n">
        <v>2</v>
      </c>
      <c r="M4302" t="inlineStr">
        <is>
          <t>2026-06-23 08:16:39</t>
        </is>
      </c>
      <c r="N4302" t="inlineStr">
        <is>
          <t>system</t>
        </is>
      </c>
      <c r="O4302" t="inlineStr">
        <is>
          <t>2026-06-19 07:10:32</t>
        </is>
      </c>
      <c r="P4302" t="inlineStr">
        <is>
          <t>2026-06-19 07:10:32</t>
        </is>
      </c>
      <c r="Y4302" t="inlineStr">
        <is>
          <t>27648242819</t>
        </is>
      </c>
    </row>
    <row r="4303">
      <c r="A4303" t="inlineStr">
        <is>
          <t>14947790</t>
        </is>
      </c>
      <c r="B4303" t="inlineStr">
        <is>
          <t>6c033b64-b5e1-44b7-92cf-9a2daa7ea1cd</t>
        </is>
      </c>
      <c r="D4303" t="inlineStr">
        <is>
          <t>30001087</t>
        </is>
      </c>
      <c r="E4303" t="inlineStr">
        <is>
          <t>ussd_funeral_leads_altitude_20260619</t>
        </is>
      </c>
      <c r="J4303" t="inlineStr">
        <is>
          <t>AA</t>
        </is>
      </c>
      <c r="K4303" t="inlineStr">
        <is>
          <t>Answering Machine Autodial</t>
        </is>
      </c>
      <c r="L4303" t="n">
        <v>2</v>
      </c>
      <c r="M4303" t="inlineStr">
        <is>
          <t>2026-06-23 08:16:39</t>
        </is>
      </c>
      <c r="N4303" t="inlineStr">
        <is>
          <t>system</t>
        </is>
      </c>
      <c r="O4303" t="inlineStr">
        <is>
          <t>2026-06-19 07:10:32</t>
        </is>
      </c>
      <c r="P4303" t="inlineStr">
        <is>
          <t>2026-06-19 07:10:32</t>
        </is>
      </c>
      <c r="Y4303" t="inlineStr">
        <is>
          <t>27609320801</t>
        </is>
      </c>
    </row>
    <row r="4304">
      <c r="A4304" t="inlineStr">
        <is>
          <t>14947358</t>
        </is>
      </c>
      <c r="B4304" t="inlineStr">
        <is>
          <t>7ec6b30d-c5c7-496a-8e8c-e66483923eae</t>
        </is>
      </c>
      <c r="D4304" t="inlineStr">
        <is>
          <t>30001087</t>
        </is>
      </c>
      <c r="E4304" t="inlineStr">
        <is>
          <t>ussd_funeral_leads_altitude_20260619</t>
        </is>
      </c>
      <c r="J4304" t="inlineStr">
        <is>
          <t>AA</t>
        </is>
      </c>
      <c r="K4304" t="inlineStr">
        <is>
          <t>Answering Machine Autodial</t>
        </is>
      </c>
      <c r="L4304" t="n">
        <v>2</v>
      </c>
      <c r="M4304" t="inlineStr">
        <is>
          <t>2026-06-23 08:09:03</t>
        </is>
      </c>
      <c r="N4304" t="inlineStr">
        <is>
          <t>system</t>
        </is>
      </c>
      <c r="O4304" t="inlineStr">
        <is>
          <t>2026-06-19 07:10:32</t>
        </is>
      </c>
      <c r="P4304" t="inlineStr">
        <is>
          <t>2026-06-19 07:10:32</t>
        </is>
      </c>
      <c r="Y4304" t="inlineStr">
        <is>
          <t>27765680980</t>
        </is>
      </c>
    </row>
    <row r="4305">
      <c r="A4305" t="inlineStr">
        <is>
          <t>14947360</t>
        </is>
      </c>
      <c r="B4305" t="inlineStr">
        <is>
          <t>e8def056-6d61-4c25-a73a-d44d39804a89</t>
        </is>
      </c>
      <c r="D4305" t="inlineStr">
        <is>
          <t>30001087</t>
        </is>
      </c>
      <c r="E4305" t="inlineStr">
        <is>
          <t>ussd_funeral_leads_altitude_20260619</t>
        </is>
      </c>
      <c r="J4305" t="inlineStr">
        <is>
          <t>AA</t>
        </is>
      </c>
      <c r="K4305" t="inlineStr">
        <is>
          <t>Answering Machine Autodial</t>
        </is>
      </c>
      <c r="L4305" t="n">
        <v>2</v>
      </c>
      <c r="M4305" t="inlineStr">
        <is>
          <t>2026-06-23 08:08:41</t>
        </is>
      </c>
      <c r="N4305" t="inlineStr">
        <is>
          <t>system</t>
        </is>
      </c>
      <c r="O4305" t="inlineStr">
        <is>
          <t>2026-06-19 07:10:32</t>
        </is>
      </c>
      <c r="P4305" t="inlineStr">
        <is>
          <t>2026-06-19 07:10:32</t>
        </is>
      </c>
      <c r="Y4305" t="inlineStr">
        <is>
          <t>27608665143</t>
        </is>
      </c>
    </row>
    <row r="4306">
      <c r="A4306" t="inlineStr">
        <is>
          <t>14946926</t>
        </is>
      </c>
      <c r="B4306" t="inlineStr">
        <is>
          <t>3baf1edd-abfb-4053-9dd5-9ac63c3a5fab</t>
        </is>
      </c>
      <c r="D4306" t="inlineStr">
        <is>
          <t>30001087</t>
        </is>
      </c>
      <c r="E4306" t="inlineStr">
        <is>
          <t>ussd_funeral_leads_altitude_20260619</t>
        </is>
      </c>
      <c r="J4306" t="inlineStr">
        <is>
          <t>QAVER</t>
        </is>
      </c>
      <c r="K4306" t="inlineStr">
        <is>
          <t>Sale Made</t>
        </is>
      </c>
      <c r="L4306" t="n">
        <v>2</v>
      </c>
      <c r="M4306" t="inlineStr">
        <is>
          <t>2026-06-23 08:07:26</t>
        </is>
      </c>
      <c r="N4306" t="inlineStr">
        <is>
          <t>Vuyiswa Nxumalo</t>
        </is>
      </c>
      <c r="O4306" t="inlineStr">
        <is>
          <t>2026-06-19 07:10:32</t>
        </is>
      </c>
      <c r="P4306" t="inlineStr">
        <is>
          <t>2026-06-19 07:10:32</t>
        </is>
      </c>
      <c r="Y4306" t="inlineStr">
        <is>
          <t>27723338523</t>
        </is>
      </c>
    </row>
    <row r="4307">
      <c r="A4307" t="inlineStr">
        <is>
          <t>14900000</t>
        </is>
      </c>
      <c r="B4307" t="inlineStr">
        <is>
          <t>5e465af2-2d69-4b51-8ffc-2fd2457c6a40</t>
        </is>
      </c>
      <c r="D4307" t="inlineStr">
        <is>
          <t>30001087</t>
        </is>
      </c>
      <c r="E4307" t="inlineStr">
        <is>
          <t>ussd_funeral_leads_altitude_20260619</t>
        </is>
      </c>
      <c r="J4307" t="inlineStr">
        <is>
          <t>AA</t>
        </is>
      </c>
      <c r="K4307" t="inlineStr">
        <is>
          <t>Answering Machine Autodial</t>
        </is>
      </c>
      <c r="L4307" t="n">
        <v>2</v>
      </c>
      <c r="M4307" t="inlineStr">
        <is>
          <t>2026-06-23 08:06:33</t>
        </is>
      </c>
      <c r="N4307" t="inlineStr">
        <is>
          <t>system</t>
        </is>
      </c>
      <c r="O4307" t="inlineStr">
        <is>
          <t>2026-06-19 07:10:32</t>
        </is>
      </c>
      <c r="P4307" t="inlineStr">
        <is>
          <t>2026-06-19 07:10:32</t>
        </is>
      </c>
      <c r="Y4307" t="inlineStr">
        <is>
          <t>27791994225</t>
        </is>
      </c>
    </row>
    <row r="4308">
      <c r="A4308" t="inlineStr">
        <is>
          <t>14942669</t>
        </is>
      </c>
      <c r="B4308" t="inlineStr">
        <is>
          <t>3c4ae0d8-4d6c-43e8-beb3-7ff6246a0e98</t>
        </is>
      </c>
      <c r="D4308" t="inlineStr">
        <is>
          <t>30001087</t>
        </is>
      </c>
      <c r="E4308" t="inlineStr">
        <is>
          <t>ussd_funeral_leads_altitude_20260619</t>
        </is>
      </c>
      <c r="J4308" t="inlineStr">
        <is>
          <t>AA</t>
        </is>
      </c>
      <c r="K4308" t="inlineStr">
        <is>
          <t>Answering Machine Autodial</t>
        </is>
      </c>
      <c r="L4308" t="n">
        <v>2</v>
      </c>
      <c r="M4308" t="inlineStr">
        <is>
          <t>2026-06-23 08:06:33</t>
        </is>
      </c>
      <c r="N4308" t="inlineStr">
        <is>
          <t>system</t>
        </is>
      </c>
      <c r="O4308" t="inlineStr">
        <is>
          <t>2026-06-19 07:10:32</t>
        </is>
      </c>
      <c r="P4308" t="inlineStr">
        <is>
          <t>2026-06-19 07:10:32</t>
        </is>
      </c>
      <c r="Y4308" t="inlineStr">
        <is>
          <t>27724651317</t>
        </is>
      </c>
    </row>
    <row r="4309">
      <c r="A4309" t="inlineStr">
        <is>
          <t>14942666</t>
        </is>
      </c>
      <c r="B4309" t="inlineStr">
        <is>
          <t>731f1159-46af-495c-8fef-2dce2059ce12</t>
        </is>
      </c>
      <c r="D4309" t="inlineStr">
        <is>
          <t>30001087</t>
        </is>
      </c>
      <c r="E4309" t="inlineStr">
        <is>
          <t>ussd_funeral_leads_altitude_20260619</t>
        </is>
      </c>
      <c r="J4309" t="inlineStr">
        <is>
          <t>AA</t>
        </is>
      </c>
      <c r="K4309" t="inlineStr">
        <is>
          <t>Answering Machine Autodial</t>
        </is>
      </c>
      <c r="L4309" t="n">
        <v>2</v>
      </c>
      <c r="M4309" t="inlineStr">
        <is>
          <t>2026-06-23 08:06:30</t>
        </is>
      </c>
      <c r="N4309" t="inlineStr">
        <is>
          <t>system</t>
        </is>
      </c>
      <c r="O4309" t="inlineStr">
        <is>
          <t>2026-06-19 07:10:32</t>
        </is>
      </c>
      <c r="P4309" t="inlineStr">
        <is>
          <t>2026-06-19 07:10:32</t>
        </is>
      </c>
      <c r="Y4309" t="inlineStr">
        <is>
          <t>27765747782</t>
        </is>
      </c>
    </row>
    <row r="4310">
      <c r="A4310" t="inlineStr">
        <is>
          <t>14942667</t>
        </is>
      </c>
      <c r="B4310" t="inlineStr">
        <is>
          <t>a9c8d2cb-44f8-4788-a57b-0c37cce78db0</t>
        </is>
      </c>
      <c r="D4310" t="inlineStr">
        <is>
          <t>30001087</t>
        </is>
      </c>
      <c r="E4310" t="inlineStr">
        <is>
          <t>ussd_funeral_leads_altitude_20260619</t>
        </is>
      </c>
      <c r="J4310" t="inlineStr">
        <is>
          <t>ADC</t>
        </is>
      </c>
      <c r="K4310" t="inlineStr">
        <is>
          <t>Auto Dial Disconnected</t>
        </is>
      </c>
      <c r="L4310" t="n">
        <v>2</v>
      </c>
      <c r="M4310" t="inlineStr">
        <is>
          <t>2026-06-23 08:06:30</t>
        </is>
      </c>
      <c r="N4310" t="inlineStr">
        <is>
          <t>system</t>
        </is>
      </c>
      <c r="O4310" t="inlineStr">
        <is>
          <t>2026-06-19 07:10:32</t>
        </is>
      </c>
      <c r="P4310" t="inlineStr">
        <is>
          <t>2026-06-19 07:10:32</t>
        </is>
      </c>
      <c r="Y4310" t="inlineStr">
        <is>
          <t>27721283650</t>
        </is>
      </c>
    </row>
    <row r="4311">
      <c r="A4311" t="inlineStr">
        <is>
          <t>14942663</t>
        </is>
      </c>
      <c r="B4311" t="inlineStr">
        <is>
          <t>996b68b4-8275-460d-8667-e1988448eba2</t>
        </is>
      </c>
      <c r="D4311" t="inlineStr">
        <is>
          <t>30001087</t>
        </is>
      </c>
      <c r="E4311" t="inlineStr">
        <is>
          <t>ussd_funeral_leads_altitude_20260619</t>
        </is>
      </c>
      <c r="J4311" t="inlineStr">
        <is>
          <t>NA</t>
        </is>
      </c>
      <c r="K4311" t="inlineStr">
        <is>
          <t>No Answer Autodial</t>
        </is>
      </c>
      <c r="L4311" t="n">
        <v>2</v>
      </c>
      <c r="M4311" t="inlineStr">
        <is>
          <t>2026-06-23 08:06:28</t>
        </is>
      </c>
      <c r="N4311" t="inlineStr">
        <is>
          <t>system</t>
        </is>
      </c>
      <c r="O4311" t="inlineStr">
        <is>
          <t>2026-06-19 07:10:32</t>
        </is>
      </c>
      <c r="P4311" t="inlineStr">
        <is>
          <t>2026-06-19 07:10:32</t>
        </is>
      </c>
      <c r="Y4311" t="inlineStr">
        <is>
          <t>27649702224</t>
        </is>
      </c>
    </row>
    <row r="4312">
      <c r="A4312" t="inlineStr">
        <is>
          <t>14942664</t>
        </is>
      </c>
      <c r="B4312" t="inlineStr">
        <is>
          <t>b5344580-e403-4c15-a9bc-099af1c070d9</t>
        </is>
      </c>
      <c r="D4312" t="inlineStr">
        <is>
          <t>30001087</t>
        </is>
      </c>
      <c r="E4312" t="inlineStr">
        <is>
          <t>ussd_funeral_leads_altitude_20260619</t>
        </is>
      </c>
      <c r="J4312" t="inlineStr">
        <is>
          <t>AA</t>
        </is>
      </c>
      <c r="K4312" t="inlineStr">
        <is>
          <t>Answering Machine Autodial</t>
        </is>
      </c>
      <c r="L4312" t="n">
        <v>2</v>
      </c>
      <c r="M4312" t="inlineStr">
        <is>
          <t>2026-06-23 08:06:28</t>
        </is>
      </c>
      <c r="N4312" t="inlineStr">
        <is>
          <t>system</t>
        </is>
      </c>
      <c r="O4312" t="inlineStr">
        <is>
          <t>2026-06-19 07:10:32</t>
        </is>
      </c>
      <c r="P4312" t="inlineStr">
        <is>
          <t>2026-06-19 07:10:32</t>
        </is>
      </c>
      <c r="Y4312" t="inlineStr">
        <is>
          <t>27795304982</t>
        </is>
      </c>
    </row>
    <row r="4313">
      <c r="A4313" t="inlineStr">
        <is>
          <t>14942661</t>
        </is>
      </c>
      <c r="B4313" t="inlineStr">
        <is>
          <t>9cee6342-c5e2-4d36-a2ec-dac60a1e28cc</t>
        </is>
      </c>
      <c r="D4313" t="inlineStr">
        <is>
          <t>30001087</t>
        </is>
      </c>
      <c r="E4313" t="inlineStr">
        <is>
          <t>ussd_funeral_leads_altitude_20260619</t>
        </is>
      </c>
      <c r="J4313" t="inlineStr">
        <is>
          <t>AA</t>
        </is>
      </c>
      <c r="K4313" t="inlineStr">
        <is>
          <t>Answering Machine Autodial</t>
        </is>
      </c>
      <c r="L4313" t="n">
        <v>2</v>
      </c>
      <c r="M4313" t="inlineStr">
        <is>
          <t>2026-06-23 08:06:23</t>
        </is>
      </c>
      <c r="N4313" t="inlineStr">
        <is>
          <t>system</t>
        </is>
      </c>
      <c r="O4313" t="inlineStr">
        <is>
          <t>2026-06-19 07:10:32</t>
        </is>
      </c>
      <c r="P4313" t="inlineStr">
        <is>
          <t>2026-06-19 07:10:32</t>
        </is>
      </c>
      <c r="Y4313" t="inlineStr">
        <is>
          <t>27724314024</t>
        </is>
      </c>
    </row>
    <row r="4314">
      <c r="A4314" t="inlineStr">
        <is>
          <t>14942662</t>
        </is>
      </c>
      <c r="B4314" t="inlineStr">
        <is>
          <t>670b01f0-6807-4c02-b0a3-6dae88ad499c</t>
        </is>
      </c>
      <c r="D4314" t="inlineStr">
        <is>
          <t>30001087</t>
        </is>
      </c>
      <c r="E4314" t="inlineStr">
        <is>
          <t>ussd_funeral_leads_altitude_20260619</t>
        </is>
      </c>
      <c r="J4314" t="inlineStr">
        <is>
          <t>AA</t>
        </is>
      </c>
      <c r="K4314" t="inlineStr">
        <is>
          <t>Answering Machine Autodial</t>
        </is>
      </c>
      <c r="L4314" t="n">
        <v>2</v>
      </c>
      <c r="M4314" t="inlineStr">
        <is>
          <t>2026-06-23 08:06:23</t>
        </is>
      </c>
      <c r="N4314" t="inlineStr">
        <is>
          <t>system</t>
        </is>
      </c>
      <c r="O4314" t="inlineStr">
        <is>
          <t>2026-06-19 07:10:32</t>
        </is>
      </c>
      <c r="P4314" t="inlineStr">
        <is>
          <t>2026-06-19 07:10:32</t>
        </is>
      </c>
      <c r="Y4314" t="inlineStr">
        <is>
          <t>27665778872</t>
        </is>
      </c>
    </row>
    <row r="4315">
      <c r="A4315" t="inlineStr">
        <is>
          <t>14942660</t>
        </is>
      </c>
      <c r="B4315" t="inlineStr">
        <is>
          <t>c8d232e9-3da9-4370-972f-6c300b51fc01</t>
        </is>
      </c>
      <c r="D4315" t="inlineStr">
        <is>
          <t>30001087</t>
        </is>
      </c>
      <c r="E4315" t="inlineStr">
        <is>
          <t>ussd_funeral_leads_altitude_20260619</t>
        </is>
      </c>
      <c r="J4315" t="inlineStr">
        <is>
          <t>AA</t>
        </is>
      </c>
      <c r="K4315" t="inlineStr">
        <is>
          <t>Answering Machine Autodial</t>
        </is>
      </c>
      <c r="L4315" t="n">
        <v>2</v>
      </c>
      <c r="M4315" t="inlineStr">
        <is>
          <t>2026-06-23 08:06:22</t>
        </is>
      </c>
      <c r="N4315" t="inlineStr">
        <is>
          <t>system</t>
        </is>
      </c>
      <c r="O4315" t="inlineStr">
        <is>
          <t>2026-06-19 07:10:32</t>
        </is>
      </c>
      <c r="P4315" t="inlineStr">
        <is>
          <t>2026-06-19 07:10:32</t>
        </is>
      </c>
      <c r="Y4315" t="inlineStr">
        <is>
          <t>27716502999</t>
        </is>
      </c>
    </row>
    <row r="4316">
      <c r="A4316" t="inlineStr">
        <is>
          <t>14942659</t>
        </is>
      </c>
      <c r="B4316" t="inlineStr">
        <is>
          <t>fa865a54-61e6-4ed6-b6c4-7bd40251fc09</t>
        </is>
      </c>
      <c r="D4316" t="inlineStr">
        <is>
          <t>30001087</t>
        </is>
      </c>
      <c r="E4316" t="inlineStr">
        <is>
          <t>ussd_funeral_leads_altitude_20260619</t>
        </is>
      </c>
      <c r="J4316" t="inlineStr">
        <is>
          <t>ADC</t>
        </is>
      </c>
      <c r="K4316" t="inlineStr">
        <is>
          <t>Auto Dial Disconnected</t>
        </is>
      </c>
      <c r="L4316" t="n">
        <v>2</v>
      </c>
      <c r="M4316" t="inlineStr">
        <is>
          <t>2026-06-23 08:06:21</t>
        </is>
      </c>
      <c r="N4316" t="inlineStr">
        <is>
          <t>system</t>
        </is>
      </c>
      <c r="O4316" t="inlineStr">
        <is>
          <t>2026-06-19 07:10:32</t>
        </is>
      </c>
      <c r="P4316" t="inlineStr">
        <is>
          <t>2026-06-19 07:10:32</t>
        </is>
      </c>
      <c r="Y4316" t="inlineStr">
        <is>
          <t>27636703924</t>
        </is>
      </c>
    </row>
    <row r="4317">
      <c r="A4317" t="inlineStr">
        <is>
          <t>14942658</t>
        </is>
      </c>
      <c r="B4317" t="inlineStr">
        <is>
          <t>670cdf98-ca09-43fc-9434-5f7466fbd1e3</t>
        </is>
      </c>
      <c r="D4317" t="inlineStr">
        <is>
          <t>30001087</t>
        </is>
      </c>
      <c r="E4317" t="inlineStr">
        <is>
          <t>ussd_funeral_leads_altitude_20260619</t>
        </is>
      </c>
      <c r="J4317" t="inlineStr">
        <is>
          <t>AA</t>
        </is>
      </c>
      <c r="K4317" t="inlineStr">
        <is>
          <t>Answering Machine Autodial</t>
        </is>
      </c>
      <c r="L4317" t="n">
        <v>2</v>
      </c>
      <c r="M4317" t="inlineStr">
        <is>
          <t>2026-06-23 08:06:18</t>
        </is>
      </c>
      <c r="N4317" t="inlineStr">
        <is>
          <t>system</t>
        </is>
      </c>
      <c r="O4317" t="inlineStr">
        <is>
          <t>2026-06-19 07:10:32</t>
        </is>
      </c>
      <c r="P4317" t="inlineStr">
        <is>
          <t>2026-06-19 07:10:32</t>
        </is>
      </c>
      <c r="Y4317" t="inlineStr">
        <is>
          <t>27762026676</t>
        </is>
      </c>
    </row>
    <row r="4318">
      <c r="A4318" t="inlineStr">
        <is>
          <t>14942656</t>
        </is>
      </c>
      <c r="B4318" t="inlineStr">
        <is>
          <t>64e2a294-41d2-41d2-bf59-4aaedcf45b24</t>
        </is>
      </c>
      <c r="D4318" t="inlineStr">
        <is>
          <t>30001087</t>
        </is>
      </c>
      <c r="E4318" t="inlineStr">
        <is>
          <t>ussd_funeral_leads_altitude_20260619</t>
        </is>
      </c>
      <c r="J4318" t="inlineStr">
        <is>
          <t>AA</t>
        </is>
      </c>
      <c r="K4318" t="inlineStr">
        <is>
          <t>Answering Machine Autodial</t>
        </is>
      </c>
      <c r="L4318" t="n">
        <v>2</v>
      </c>
      <c r="M4318" t="inlineStr">
        <is>
          <t>2026-06-23 08:06:13</t>
        </is>
      </c>
      <c r="N4318" t="inlineStr">
        <is>
          <t>system</t>
        </is>
      </c>
      <c r="O4318" t="inlineStr">
        <is>
          <t>2026-06-19 07:10:32</t>
        </is>
      </c>
      <c r="P4318" t="inlineStr">
        <is>
          <t>2026-06-19 07:10:32</t>
        </is>
      </c>
      <c r="Y4318" t="inlineStr">
        <is>
          <t>27725325174</t>
        </is>
      </c>
    </row>
    <row r="4319">
      <c r="A4319" t="inlineStr">
        <is>
          <t>14942657</t>
        </is>
      </c>
      <c r="B4319" t="inlineStr">
        <is>
          <t>d635b5cb-8107-463b-aba5-145f1f8b6a5a</t>
        </is>
      </c>
      <c r="D4319" t="inlineStr">
        <is>
          <t>30001087</t>
        </is>
      </c>
      <c r="E4319" t="inlineStr">
        <is>
          <t>ussd_funeral_leads_altitude_20260619</t>
        </is>
      </c>
      <c r="J4319" t="inlineStr">
        <is>
          <t>NA</t>
        </is>
      </c>
      <c r="K4319" t="inlineStr">
        <is>
          <t>No Answer Autodial</t>
        </is>
      </c>
      <c r="L4319" t="n">
        <v>2</v>
      </c>
      <c r="M4319" t="inlineStr">
        <is>
          <t>2026-06-23 08:06:13</t>
        </is>
      </c>
      <c r="N4319" t="inlineStr">
        <is>
          <t>system</t>
        </is>
      </c>
      <c r="O4319" t="inlineStr">
        <is>
          <t>2026-06-19 07:10:32</t>
        </is>
      </c>
      <c r="P4319" t="inlineStr">
        <is>
          <t>2026-06-19 07:10:32</t>
        </is>
      </c>
      <c r="Y4319" t="inlineStr">
        <is>
          <t>27675857408</t>
        </is>
      </c>
    </row>
    <row r="4320">
      <c r="A4320" t="inlineStr">
        <is>
          <t>14942653</t>
        </is>
      </c>
      <c r="B4320" t="inlineStr">
        <is>
          <t>1a10e79f-ab55-48b4-8d26-e7a320d3b516</t>
        </is>
      </c>
      <c r="D4320" t="inlineStr">
        <is>
          <t>30001087</t>
        </is>
      </c>
      <c r="E4320" t="inlineStr">
        <is>
          <t>ussd_funeral_leads_altitude_20260619</t>
        </is>
      </c>
      <c r="J4320" t="inlineStr">
        <is>
          <t>AA</t>
        </is>
      </c>
      <c r="K4320" t="inlineStr">
        <is>
          <t>Answering Machine Autodial</t>
        </is>
      </c>
      <c r="L4320" t="n">
        <v>2</v>
      </c>
      <c r="M4320" t="inlineStr">
        <is>
          <t>2026-06-23 08:06:12</t>
        </is>
      </c>
      <c r="N4320" t="inlineStr">
        <is>
          <t>system</t>
        </is>
      </c>
      <c r="O4320" t="inlineStr">
        <is>
          <t>2026-06-19 07:10:32</t>
        </is>
      </c>
      <c r="P4320" t="inlineStr">
        <is>
          <t>2026-06-19 07:10:32</t>
        </is>
      </c>
      <c r="Y4320" t="inlineStr">
        <is>
          <t>27606796722</t>
        </is>
      </c>
    </row>
    <row r="4321">
      <c r="A4321" t="inlineStr">
        <is>
          <t>14942654</t>
        </is>
      </c>
      <c r="B4321" t="inlineStr">
        <is>
          <t>1758449f-fb4b-482a-aabc-ad753750cc53</t>
        </is>
      </c>
      <c r="D4321" t="inlineStr">
        <is>
          <t>30001087</t>
        </is>
      </c>
      <c r="E4321" t="inlineStr">
        <is>
          <t>ussd_funeral_leads_altitude_20260619</t>
        </is>
      </c>
      <c r="J4321" t="inlineStr">
        <is>
          <t>TDN</t>
        </is>
      </c>
      <c r="K4321" t="inlineStr">
        <is>
          <t>Temporary Disconnected Number</t>
        </is>
      </c>
      <c r="L4321" t="n">
        <v>2</v>
      </c>
      <c r="M4321" t="inlineStr">
        <is>
          <t>2026-06-23 08:06:12</t>
        </is>
      </c>
      <c r="N4321" t="inlineStr">
        <is>
          <t>system</t>
        </is>
      </c>
      <c r="O4321" t="inlineStr">
        <is>
          <t>2026-06-19 07:10:32</t>
        </is>
      </c>
      <c r="P4321" t="inlineStr">
        <is>
          <t>2026-06-19 07:10:32</t>
        </is>
      </c>
      <c r="Y4321" t="inlineStr">
        <is>
          <t>27661821098</t>
        </is>
      </c>
    </row>
    <row r="4322">
      <c r="A4322" t="inlineStr">
        <is>
          <t>14942655</t>
        </is>
      </c>
      <c r="B4322" t="inlineStr">
        <is>
          <t>85776804-13b8-42f5-b815-d4cf9ae1ebdc</t>
        </is>
      </c>
      <c r="D4322" t="inlineStr">
        <is>
          <t>30001087</t>
        </is>
      </c>
      <c r="E4322" t="inlineStr">
        <is>
          <t>ussd_funeral_leads_altitude_20260619</t>
        </is>
      </c>
      <c r="J4322" t="inlineStr">
        <is>
          <t>AA</t>
        </is>
      </c>
      <c r="K4322" t="inlineStr">
        <is>
          <t>Answering Machine Autodial</t>
        </is>
      </c>
      <c r="L4322" t="n">
        <v>2</v>
      </c>
      <c r="M4322" t="inlineStr">
        <is>
          <t>2026-06-23 08:06:12</t>
        </is>
      </c>
      <c r="N4322" t="inlineStr">
        <is>
          <t>system</t>
        </is>
      </c>
      <c r="O4322" t="inlineStr">
        <is>
          <t>2026-06-19 07:10:32</t>
        </is>
      </c>
      <c r="P4322" t="inlineStr">
        <is>
          <t>2026-06-19 07:10:32</t>
        </is>
      </c>
      <c r="Y4322" t="inlineStr">
        <is>
          <t>27637165825</t>
        </is>
      </c>
    </row>
    <row r="4323">
      <c r="A4323" t="inlineStr">
        <is>
          <t>14947331</t>
        </is>
      </c>
      <c r="B4323" t="inlineStr">
        <is>
          <t>3d12a600-7928-4ea7-9578-0e7da44d577f</t>
        </is>
      </c>
      <c r="D4323" t="inlineStr">
        <is>
          <t>30001087</t>
        </is>
      </c>
      <c r="E4323" t="inlineStr">
        <is>
          <t>ussd_funeral_leads_altitude_20260619</t>
        </is>
      </c>
      <c r="J4323" t="inlineStr">
        <is>
          <t>CU</t>
        </is>
      </c>
      <c r="K4323" t="inlineStr">
        <is>
          <t>Client Hung Up</t>
        </is>
      </c>
      <c r="L4323" t="n">
        <v>4</v>
      </c>
      <c r="M4323" t="inlineStr">
        <is>
          <t>2026-06-23 08:06:06</t>
        </is>
      </c>
      <c r="N4323" t="inlineStr">
        <is>
          <t>Gontse Monageng</t>
        </is>
      </c>
      <c r="O4323" t="inlineStr">
        <is>
          <t>2026-06-19 07:10:32</t>
        </is>
      </c>
      <c r="P4323" t="inlineStr">
        <is>
          <t>2026-06-19 07:10:32</t>
        </is>
      </c>
      <c r="Y4323" t="inlineStr">
        <is>
          <t>27664911922</t>
        </is>
      </c>
    </row>
    <row r="4324">
      <c r="A4324" t="inlineStr">
        <is>
          <t>14900000</t>
        </is>
      </c>
      <c r="B4324" t="inlineStr">
        <is>
          <t>0e979036-5fb4-4dc2-b3a1-afd7e04c212b</t>
        </is>
      </c>
      <c r="D4324" t="inlineStr">
        <is>
          <t>30001087</t>
        </is>
      </c>
      <c r="E4324" t="inlineStr">
        <is>
          <t>ussd_funeral_leads_altitude_20260619</t>
        </is>
      </c>
      <c r="J4324" t="inlineStr">
        <is>
          <t>A</t>
        </is>
      </c>
      <c r="K4324" t="inlineStr">
        <is>
          <t>Answering Machine</t>
        </is>
      </c>
      <c r="L4324" t="n">
        <v>4</v>
      </c>
      <c r="M4324" t="inlineStr">
        <is>
          <t>2026-06-23 08:05:15</t>
        </is>
      </c>
      <c r="N4324" t="inlineStr">
        <is>
          <t>Goitsimang Mogwasa</t>
        </is>
      </c>
      <c r="O4324" t="inlineStr">
        <is>
          <t>2026-06-19 07:10:32</t>
        </is>
      </c>
      <c r="P4324" t="inlineStr">
        <is>
          <t>2026-06-19 07:10:32</t>
        </is>
      </c>
      <c r="Y4324" t="inlineStr">
        <is>
          <t>27799001787</t>
        </is>
      </c>
    </row>
    <row r="4325">
      <c r="A4325" t="inlineStr">
        <is>
          <t>14947772</t>
        </is>
      </c>
      <c r="B4325" t="inlineStr">
        <is>
          <t>a757fd2c-a57e-40bf-ae33-a67d59989405</t>
        </is>
      </c>
      <c r="D4325" t="inlineStr">
        <is>
          <t>30001087</t>
        </is>
      </c>
      <c r="E4325" t="inlineStr">
        <is>
          <t>ussd_funeral_leads_altitude_20260619</t>
        </is>
      </c>
      <c r="J4325" t="inlineStr">
        <is>
          <t>NA</t>
        </is>
      </c>
      <c r="K4325" t="inlineStr">
        <is>
          <t>No Answer Autodial</t>
        </is>
      </c>
      <c r="L4325" t="n">
        <v>2</v>
      </c>
      <c r="M4325" t="inlineStr">
        <is>
          <t>2026-06-23 08:04:50</t>
        </is>
      </c>
      <c r="N4325" t="inlineStr">
        <is>
          <t>system</t>
        </is>
      </c>
      <c r="O4325" t="inlineStr">
        <is>
          <t>2026-06-19 07:10:32</t>
        </is>
      </c>
      <c r="P4325" t="inlineStr">
        <is>
          <t>2026-06-19 07:10:32</t>
        </is>
      </c>
      <c r="Y4325" t="inlineStr">
        <is>
          <t>27763973702</t>
        </is>
      </c>
    </row>
    <row r="4326">
      <c r="A4326" t="inlineStr">
        <is>
          <t>14900000</t>
        </is>
      </c>
      <c r="B4326" t="inlineStr">
        <is>
          <t>70e09323-2808-430c-a9e4-4234182043c2</t>
        </is>
      </c>
      <c r="D4326" t="inlineStr">
        <is>
          <t>30001087</t>
        </is>
      </c>
      <c r="E4326" t="inlineStr">
        <is>
          <t>ussd_funeral_leads_altitude_20260619</t>
        </is>
      </c>
      <c r="J4326" t="inlineStr">
        <is>
          <t>AA</t>
        </is>
      </c>
      <c r="K4326" t="inlineStr">
        <is>
          <t>Answering Machine Autodial</t>
        </is>
      </c>
      <c r="L4326" t="n">
        <v>2</v>
      </c>
      <c r="M4326" t="inlineStr">
        <is>
          <t>2026-06-23 08:04:50</t>
        </is>
      </c>
      <c r="N4326" t="inlineStr">
        <is>
          <t>system</t>
        </is>
      </c>
      <c r="O4326" t="inlineStr">
        <is>
          <t>2026-06-19 07:10:32</t>
        </is>
      </c>
      <c r="P4326" t="inlineStr">
        <is>
          <t>2026-06-19 07:10:32</t>
        </is>
      </c>
      <c r="Y4326" t="inlineStr">
        <is>
          <t>27714859244</t>
        </is>
      </c>
    </row>
    <row r="4327">
      <c r="A4327" t="inlineStr">
        <is>
          <t>14947774</t>
        </is>
      </c>
      <c r="B4327" t="inlineStr">
        <is>
          <t>fc5780f9-64f4-44d0-ba15-dfb772a99121</t>
        </is>
      </c>
      <c r="D4327" t="inlineStr">
        <is>
          <t>30001087</t>
        </is>
      </c>
      <c r="E4327" t="inlineStr">
        <is>
          <t>ussd_funeral_leads_altitude_20260619</t>
        </is>
      </c>
      <c r="J4327" t="inlineStr">
        <is>
          <t>AA</t>
        </is>
      </c>
      <c r="K4327" t="inlineStr">
        <is>
          <t>Answering Machine Autodial</t>
        </is>
      </c>
      <c r="L4327" t="n">
        <v>2</v>
      </c>
      <c r="M4327" t="inlineStr">
        <is>
          <t>2026-06-23 08:04:46</t>
        </is>
      </c>
      <c r="N4327" t="inlineStr">
        <is>
          <t>system</t>
        </is>
      </c>
      <c r="O4327" t="inlineStr">
        <is>
          <t>2026-06-19 07:10:32</t>
        </is>
      </c>
      <c r="P4327" t="inlineStr">
        <is>
          <t>2026-06-19 07:10:32</t>
        </is>
      </c>
      <c r="Y4327" t="inlineStr">
        <is>
          <t>27774704695</t>
        </is>
      </c>
    </row>
    <row r="4328">
      <c r="A4328" t="inlineStr">
        <is>
          <t>14943621</t>
        </is>
      </c>
      <c r="B4328" t="inlineStr">
        <is>
          <t>3ce61215-340a-4550-b767-558a6176ed02</t>
        </is>
      </c>
      <c r="D4328" t="inlineStr">
        <is>
          <t>30001087</t>
        </is>
      </c>
      <c r="E4328" t="inlineStr">
        <is>
          <t>ussd_funeral_leads_altitude_20260619</t>
        </is>
      </c>
      <c r="J4328" t="inlineStr">
        <is>
          <t>AA</t>
        </is>
      </c>
      <c r="K4328" t="inlineStr">
        <is>
          <t>Answering Machine Autodial</t>
        </is>
      </c>
      <c r="L4328" t="n">
        <v>2</v>
      </c>
      <c r="M4328" t="inlineStr">
        <is>
          <t>2026-06-23 08:04:45</t>
        </is>
      </c>
      <c r="N4328" t="inlineStr">
        <is>
          <t>system</t>
        </is>
      </c>
      <c r="O4328" t="inlineStr">
        <is>
          <t>2026-06-19 07:10:32</t>
        </is>
      </c>
      <c r="P4328" t="inlineStr">
        <is>
          <t>2026-06-19 07:10:32</t>
        </is>
      </c>
      <c r="Y4328" t="inlineStr">
        <is>
          <t>27729640976</t>
        </is>
      </c>
    </row>
    <row r="4329">
      <c r="A4329" t="inlineStr">
        <is>
          <t>14900000</t>
        </is>
      </c>
      <c r="B4329" t="inlineStr">
        <is>
          <t>e509b5b7-896d-4b67-8555-1ce31ae3b457</t>
        </is>
      </c>
      <c r="D4329" t="inlineStr">
        <is>
          <t>30001087</t>
        </is>
      </c>
      <c r="E4329" t="inlineStr">
        <is>
          <t>ussd_funeral_leads_altitude_20260619</t>
        </is>
      </c>
      <c r="J4329" t="inlineStr">
        <is>
          <t>NA</t>
        </is>
      </c>
      <c r="K4329" t="inlineStr">
        <is>
          <t>No Answer Autodial</t>
        </is>
      </c>
      <c r="L4329" t="n">
        <v>2</v>
      </c>
      <c r="M4329" t="inlineStr">
        <is>
          <t>2026-06-23 08:04:45</t>
        </is>
      </c>
      <c r="N4329" t="inlineStr">
        <is>
          <t>system</t>
        </is>
      </c>
      <c r="O4329" t="inlineStr">
        <is>
          <t>2026-06-19 07:10:32</t>
        </is>
      </c>
      <c r="P4329" t="inlineStr">
        <is>
          <t>2026-06-19 07:10:32</t>
        </is>
      </c>
      <c r="Y4329" t="inlineStr">
        <is>
          <t>27609005434</t>
        </is>
      </c>
    </row>
    <row r="4330">
      <c r="A4330" t="inlineStr">
        <is>
          <t>14943623</t>
        </is>
      </c>
      <c r="B4330" t="inlineStr">
        <is>
          <t>39d292d7-7565-4a04-beb1-499fc6268547</t>
        </is>
      </c>
      <c r="D4330" t="inlineStr">
        <is>
          <t>30001087</t>
        </is>
      </c>
      <c r="E4330" t="inlineStr">
        <is>
          <t>ussd_funeral_leads_altitude_20260619</t>
        </is>
      </c>
      <c r="J4330" t="inlineStr">
        <is>
          <t>ADC</t>
        </is>
      </c>
      <c r="K4330" t="inlineStr">
        <is>
          <t>Auto Dial Disconnected</t>
        </is>
      </c>
      <c r="L4330" t="n">
        <v>2</v>
      </c>
      <c r="M4330" t="inlineStr">
        <is>
          <t>2026-06-23 08:04:45</t>
        </is>
      </c>
      <c r="N4330" t="inlineStr">
        <is>
          <t>system</t>
        </is>
      </c>
      <c r="O4330" t="inlineStr">
        <is>
          <t>2026-06-19 07:10:32</t>
        </is>
      </c>
      <c r="P4330" t="inlineStr">
        <is>
          <t>2026-06-19 07:10:32</t>
        </is>
      </c>
      <c r="Y4330" t="inlineStr">
        <is>
          <t>27792439027</t>
        </is>
      </c>
    </row>
    <row r="4331">
      <c r="A4331" t="inlineStr">
        <is>
          <t>14943624</t>
        </is>
      </c>
      <c r="B4331" t="inlineStr">
        <is>
          <t>fe8d83d0-19bd-462d-8368-e1b0f12311b7</t>
        </is>
      </c>
      <c r="D4331" t="inlineStr">
        <is>
          <t>30001087</t>
        </is>
      </c>
      <c r="E4331" t="inlineStr">
        <is>
          <t>ussd_funeral_leads_altitude_20260619</t>
        </is>
      </c>
      <c r="J4331" t="inlineStr">
        <is>
          <t>AE</t>
        </is>
      </c>
      <c r="K4331" t="inlineStr">
        <is>
          <t>Auto Engaged</t>
        </is>
      </c>
      <c r="L4331" t="n">
        <v>2</v>
      </c>
      <c r="M4331" t="inlineStr">
        <is>
          <t>2026-06-23 08:04:45</t>
        </is>
      </c>
      <c r="N4331" t="inlineStr">
        <is>
          <t>system</t>
        </is>
      </c>
      <c r="O4331" t="inlineStr">
        <is>
          <t>2026-06-19 07:10:32</t>
        </is>
      </c>
      <c r="P4331" t="inlineStr">
        <is>
          <t>2026-06-19 07:10:32</t>
        </is>
      </c>
      <c r="Y4331" t="inlineStr">
        <is>
          <t>27796883665</t>
        </is>
      </c>
    </row>
    <row r="4332">
      <c r="A4332" t="inlineStr">
        <is>
          <t>14943627</t>
        </is>
      </c>
      <c r="B4332" t="inlineStr">
        <is>
          <t>ea669c35-a488-4ce4-951f-b48cd8a8d13c</t>
        </is>
      </c>
      <c r="D4332" t="inlineStr">
        <is>
          <t>30001087</t>
        </is>
      </c>
      <c r="E4332" t="inlineStr">
        <is>
          <t>ussd_funeral_leads_altitude_20260619</t>
        </is>
      </c>
      <c r="J4332" t="inlineStr">
        <is>
          <t>AA</t>
        </is>
      </c>
      <c r="K4332" t="inlineStr">
        <is>
          <t>Answering Machine Autodial</t>
        </is>
      </c>
      <c r="L4332" t="n">
        <v>2</v>
      </c>
      <c r="M4332" t="inlineStr">
        <is>
          <t>2026-06-23 08:04:45</t>
        </is>
      </c>
      <c r="N4332" t="inlineStr">
        <is>
          <t>system</t>
        </is>
      </c>
      <c r="O4332" t="inlineStr">
        <is>
          <t>2026-06-19 07:10:32</t>
        </is>
      </c>
      <c r="P4332" t="inlineStr">
        <is>
          <t>2026-06-19 07:10:32</t>
        </is>
      </c>
      <c r="Y4332" t="inlineStr">
        <is>
          <t>27822659843</t>
        </is>
      </c>
    </row>
    <row r="4333">
      <c r="A4333" t="inlineStr">
        <is>
          <t>14943628</t>
        </is>
      </c>
      <c r="B4333" t="inlineStr">
        <is>
          <t>48a3f497-e00b-42ca-8dd6-a8035a8efce5</t>
        </is>
      </c>
      <c r="D4333" t="inlineStr">
        <is>
          <t>30001087</t>
        </is>
      </c>
      <c r="E4333" t="inlineStr">
        <is>
          <t>ussd_funeral_leads_altitude_20260619</t>
        </is>
      </c>
      <c r="J4333" t="inlineStr">
        <is>
          <t>NA</t>
        </is>
      </c>
      <c r="K4333" t="inlineStr">
        <is>
          <t>No Answer Autodial</t>
        </is>
      </c>
      <c r="L4333" t="n">
        <v>2</v>
      </c>
      <c r="M4333" t="inlineStr">
        <is>
          <t>2026-06-23 08:04:45</t>
        </is>
      </c>
      <c r="N4333" t="inlineStr">
        <is>
          <t>system</t>
        </is>
      </c>
      <c r="O4333" t="inlineStr">
        <is>
          <t>2026-06-19 07:10:32</t>
        </is>
      </c>
      <c r="P4333" t="inlineStr">
        <is>
          <t>2026-06-19 07:10:32</t>
        </is>
      </c>
      <c r="Y4333" t="inlineStr">
        <is>
          <t>27768388527</t>
        </is>
      </c>
    </row>
    <row r="4334">
      <c r="A4334" t="inlineStr">
        <is>
          <t>14943629</t>
        </is>
      </c>
      <c r="B4334" t="inlineStr">
        <is>
          <t>9995299e-2f26-4543-a114-ad6fe060a1bc</t>
        </is>
      </c>
      <c r="D4334" t="inlineStr">
        <is>
          <t>30001087</t>
        </is>
      </c>
      <c r="E4334" t="inlineStr">
        <is>
          <t>ussd_funeral_leads_altitude_20260619</t>
        </is>
      </c>
      <c r="J4334" t="inlineStr">
        <is>
          <t>AA</t>
        </is>
      </c>
      <c r="K4334" t="inlineStr">
        <is>
          <t>Answering Machine Autodial</t>
        </is>
      </c>
      <c r="L4334" t="n">
        <v>2</v>
      </c>
      <c r="M4334" t="inlineStr">
        <is>
          <t>2026-06-23 08:04:45</t>
        </is>
      </c>
      <c r="N4334" t="inlineStr">
        <is>
          <t>system</t>
        </is>
      </c>
      <c r="O4334" t="inlineStr">
        <is>
          <t>2026-06-19 07:10:32</t>
        </is>
      </c>
      <c r="P4334" t="inlineStr">
        <is>
          <t>2026-06-19 07:10:32</t>
        </is>
      </c>
      <c r="Y4334" t="inlineStr">
        <is>
          <t>27791430632</t>
        </is>
      </c>
    </row>
    <row r="4335">
      <c r="A4335" t="inlineStr">
        <is>
          <t>14947775</t>
        </is>
      </c>
      <c r="B4335" t="inlineStr">
        <is>
          <t>335452b1-fd60-4142-b7f5-de52771639a0</t>
        </is>
      </c>
      <c r="D4335" t="inlineStr">
        <is>
          <t>30001087</t>
        </is>
      </c>
      <c r="E4335" t="inlineStr">
        <is>
          <t>ussd_funeral_leads_altitude_20260619</t>
        </is>
      </c>
      <c r="J4335" t="inlineStr">
        <is>
          <t>AA</t>
        </is>
      </c>
      <c r="K4335" t="inlineStr">
        <is>
          <t>Answering Machine Autodial</t>
        </is>
      </c>
      <c r="L4335" t="n">
        <v>2</v>
      </c>
      <c r="M4335" t="inlineStr">
        <is>
          <t>2026-06-23 08:04:45</t>
        </is>
      </c>
      <c r="N4335" t="inlineStr">
        <is>
          <t>system</t>
        </is>
      </c>
      <c r="O4335" t="inlineStr">
        <is>
          <t>2026-06-19 07:10:32</t>
        </is>
      </c>
      <c r="P4335" t="inlineStr">
        <is>
          <t>2026-06-19 07:10:32</t>
        </is>
      </c>
      <c r="Y4335" t="inlineStr">
        <is>
          <t>27722489842</t>
        </is>
      </c>
    </row>
    <row r="4336">
      <c r="A4336" t="inlineStr">
        <is>
          <t>14947776</t>
        </is>
      </c>
      <c r="B4336" t="inlineStr">
        <is>
          <t>b34c070c-ab14-45bd-85ab-0da14e1e0c0a</t>
        </is>
      </c>
      <c r="D4336" t="inlineStr">
        <is>
          <t>30001087</t>
        </is>
      </c>
      <c r="E4336" t="inlineStr">
        <is>
          <t>ussd_funeral_leads_altitude_20260619</t>
        </is>
      </c>
      <c r="J4336" t="inlineStr">
        <is>
          <t>AA</t>
        </is>
      </c>
      <c r="K4336" t="inlineStr">
        <is>
          <t>Answering Machine Autodial</t>
        </is>
      </c>
      <c r="L4336" t="n">
        <v>2</v>
      </c>
      <c r="M4336" t="inlineStr">
        <is>
          <t>2026-06-23 08:04:45</t>
        </is>
      </c>
      <c r="N4336" t="inlineStr">
        <is>
          <t>system</t>
        </is>
      </c>
      <c r="O4336" t="inlineStr">
        <is>
          <t>2026-06-19 07:10:32</t>
        </is>
      </c>
      <c r="P4336" t="inlineStr">
        <is>
          <t>2026-06-19 07:10:32</t>
        </is>
      </c>
      <c r="Y4336" t="inlineStr">
        <is>
          <t>27724454348</t>
        </is>
      </c>
    </row>
    <row r="4337">
      <c r="A4337" t="inlineStr">
        <is>
          <t>14947777</t>
        </is>
      </c>
      <c r="B4337" t="inlineStr">
        <is>
          <t>574627d7-5812-48e0-a114-773d9fd420e0</t>
        </is>
      </c>
      <c r="D4337" t="inlineStr">
        <is>
          <t>30001087</t>
        </is>
      </c>
      <c r="E4337" t="inlineStr">
        <is>
          <t>ussd_funeral_leads_altitude_20260619</t>
        </is>
      </c>
      <c r="J4337" t="inlineStr">
        <is>
          <t>NA</t>
        </is>
      </c>
      <c r="K4337" t="inlineStr">
        <is>
          <t>No Answer Autodial</t>
        </is>
      </c>
      <c r="L4337" t="n">
        <v>2</v>
      </c>
      <c r="M4337" t="inlineStr">
        <is>
          <t>2026-06-23 08:04:45</t>
        </is>
      </c>
      <c r="N4337" t="inlineStr">
        <is>
          <t>system</t>
        </is>
      </c>
      <c r="O4337" t="inlineStr">
        <is>
          <t>2026-06-19 07:10:32</t>
        </is>
      </c>
      <c r="P4337" t="inlineStr">
        <is>
          <t>2026-06-19 07:10:32</t>
        </is>
      </c>
      <c r="Y4337" t="inlineStr">
        <is>
          <t>27826042573</t>
        </is>
      </c>
    </row>
    <row r="4338">
      <c r="A4338" t="inlineStr">
        <is>
          <t>14943625</t>
        </is>
      </c>
      <c r="B4338" t="inlineStr">
        <is>
          <t>42ffb9c3-6d3f-4ec0-99a1-000a30ea856d</t>
        </is>
      </c>
      <c r="D4338" t="inlineStr">
        <is>
          <t>30001087</t>
        </is>
      </c>
      <c r="E4338" t="inlineStr">
        <is>
          <t>ussd_funeral_leads_altitude_20260619</t>
        </is>
      </c>
      <c r="J4338" t="inlineStr">
        <is>
          <t>NA</t>
        </is>
      </c>
      <c r="K4338" t="inlineStr">
        <is>
          <t>No Answer Autodial</t>
        </is>
      </c>
      <c r="L4338" t="n">
        <v>2</v>
      </c>
      <c r="M4338" t="inlineStr">
        <is>
          <t>2026-06-23 08:04:44</t>
        </is>
      </c>
      <c r="N4338" t="inlineStr">
        <is>
          <t>system</t>
        </is>
      </c>
      <c r="O4338" t="inlineStr">
        <is>
          <t>2026-06-19 07:10:32</t>
        </is>
      </c>
      <c r="P4338" t="inlineStr">
        <is>
          <t>2026-06-19 07:10:32</t>
        </is>
      </c>
      <c r="Y4338" t="inlineStr">
        <is>
          <t>27720885233</t>
        </is>
      </c>
    </row>
    <row r="4339">
      <c r="A4339" t="inlineStr">
        <is>
          <t>14943626</t>
        </is>
      </c>
      <c r="B4339" t="inlineStr">
        <is>
          <t>9c599cf4-baf9-4b4f-b49e-3ac16705d455</t>
        </is>
      </c>
      <c r="D4339" t="inlineStr">
        <is>
          <t>30001087</t>
        </is>
      </c>
      <c r="E4339" t="inlineStr">
        <is>
          <t>ussd_funeral_leads_altitude_20260619</t>
        </is>
      </c>
      <c r="J4339" t="inlineStr">
        <is>
          <t>AA</t>
        </is>
      </c>
      <c r="K4339" t="inlineStr">
        <is>
          <t>Answering Machine Autodial</t>
        </is>
      </c>
      <c r="L4339" t="n">
        <v>2</v>
      </c>
      <c r="M4339" t="inlineStr">
        <is>
          <t>2026-06-23 08:04:44</t>
        </is>
      </c>
      <c r="N4339" t="inlineStr">
        <is>
          <t>system</t>
        </is>
      </c>
      <c r="O4339" t="inlineStr">
        <is>
          <t>2026-06-19 07:10:32</t>
        </is>
      </c>
      <c r="P4339" t="inlineStr">
        <is>
          <t>2026-06-19 07:10:32</t>
        </is>
      </c>
      <c r="Y4339" t="inlineStr">
        <is>
          <t>27664142491</t>
        </is>
      </c>
    </row>
    <row r="4340">
      <c r="A4340" t="inlineStr">
        <is>
          <t>14947778</t>
        </is>
      </c>
      <c r="B4340" t="inlineStr">
        <is>
          <t>05b6cb43-5dbd-4ec9-ab16-3c4a39575ebf</t>
        </is>
      </c>
      <c r="D4340" t="inlineStr">
        <is>
          <t>30001087</t>
        </is>
      </c>
      <c r="E4340" t="inlineStr">
        <is>
          <t>ussd_funeral_leads_altitude_20260619</t>
        </is>
      </c>
      <c r="J4340" t="inlineStr">
        <is>
          <t>ADC</t>
        </is>
      </c>
      <c r="K4340" t="inlineStr">
        <is>
          <t>Auto Dial Disconnected</t>
        </is>
      </c>
      <c r="L4340" t="n">
        <v>2</v>
      </c>
      <c r="M4340" t="inlineStr">
        <is>
          <t>2026-06-23 08:04:42</t>
        </is>
      </c>
      <c r="N4340" t="inlineStr">
        <is>
          <t>system</t>
        </is>
      </c>
      <c r="O4340" t="inlineStr">
        <is>
          <t>2026-06-19 07:10:32</t>
        </is>
      </c>
      <c r="P4340" t="inlineStr">
        <is>
          <t>2026-06-19 07:10:32</t>
        </is>
      </c>
      <c r="Y4340" t="inlineStr">
        <is>
          <t>27763642945</t>
        </is>
      </c>
    </row>
    <row r="4341">
      <c r="A4341" t="inlineStr">
        <is>
          <t>14947783</t>
        </is>
      </c>
      <c r="B4341" t="inlineStr">
        <is>
          <t>67cd57b1-949a-4397-b580-ad0d8de845d3</t>
        </is>
      </c>
      <c r="D4341" t="inlineStr">
        <is>
          <t>30001087</t>
        </is>
      </c>
      <c r="E4341" t="inlineStr">
        <is>
          <t>ussd_funeral_leads_altitude_20260619</t>
        </is>
      </c>
      <c r="J4341" t="inlineStr">
        <is>
          <t>CUA</t>
        </is>
      </c>
      <c r="K4341" t="inlineStr">
        <is>
          <t>Client Underage</t>
        </is>
      </c>
      <c r="L4341" t="n">
        <v>2</v>
      </c>
      <c r="M4341" t="inlineStr">
        <is>
          <t>2026-06-23 08:04:39</t>
        </is>
      </c>
      <c r="N4341" t="inlineStr">
        <is>
          <t>Vuyiswa Nxumalo</t>
        </is>
      </c>
      <c r="O4341" t="inlineStr">
        <is>
          <t>2026-06-19 07:10:32</t>
        </is>
      </c>
      <c r="P4341" t="inlineStr">
        <is>
          <t>2026-06-19 07:10:32</t>
        </is>
      </c>
      <c r="Y4341" t="inlineStr">
        <is>
          <t>27767849922</t>
        </is>
      </c>
    </row>
    <row r="4342">
      <c r="A4342" t="inlineStr">
        <is>
          <t>14943617</t>
        </is>
      </c>
      <c r="B4342" t="inlineStr">
        <is>
          <t>2d36afea-8d60-4997-9913-16284dabe286</t>
        </is>
      </c>
      <c r="D4342" t="inlineStr">
        <is>
          <t>30001087</t>
        </is>
      </c>
      <c r="E4342" t="inlineStr">
        <is>
          <t>ussd_funeral_leads_altitude_20260619</t>
        </is>
      </c>
      <c r="J4342" t="inlineStr">
        <is>
          <t>AA</t>
        </is>
      </c>
      <c r="K4342" t="inlineStr">
        <is>
          <t>Answering Machine Autodial</t>
        </is>
      </c>
      <c r="L4342" t="n">
        <v>2</v>
      </c>
      <c r="M4342" t="inlineStr">
        <is>
          <t>2026-06-23 08:04:38</t>
        </is>
      </c>
      <c r="N4342" t="inlineStr">
        <is>
          <t>system</t>
        </is>
      </c>
      <c r="O4342" t="inlineStr">
        <is>
          <t>2026-06-19 07:10:32</t>
        </is>
      </c>
      <c r="P4342" t="inlineStr">
        <is>
          <t>2026-06-19 07:10:32</t>
        </is>
      </c>
      <c r="Y4342" t="inlineStr">
        <is>
          <t>27793858965</t>
        </is>
      </c>
    </row>
    <row r="4343">
      <c r="A4343" t="inlineStr">
        <is>
          <t>14947780</t>
        </is>
      </c>
      <c r="B4343" t="inlineStr">
        <is>
          <t>95f82739-22ed-41bc-bdc8-f224ef217239</t>
        </is>
      </c>
      <c r="D4343" t="inlineStr">
        <is>
          <t>30001087</t>
        </is>
      </c>
      <c r="E4343" t="inlineStr">
        <is>
          <t>ussd_funeral_leads_altitude_20260619</t>
        </is>
      </c>
      <c r="J4343" t="inlineStr">
        <is>
          <t>AA</t>
        </is>
      </c>
      <c r="K4343" t="inlineStr">
        <is>
          <t>Answering Machine Autodial</t>
        </is>
      </c>
      <c r="L4343" t="n">
        <v>2</v>
      </c>
      <c r="M4343" t="inlineStr">
        <is>
          <t>2026-06-23 08:04:38</t>
        </is>
      </c>
      <c r="N4343" t="inlineStr">
        <is>
          <t>system</t>
        </is>
      </c>
      <c r="O4343" t="inlineStr">
        <is>
          <t>2026-06-19 07:10:32</t>
        </is>
      </c>
      <c r="P4343" t="inlineStr">
        <is>
          <t>2026-06-19 07:10:32</t>
        </is>
      </c>
      <c r="Y4343" t="inlineStr">
        <is>
          <t>27728431743</t>
        </is>
      </c>
    </row>
    <row r="4344">
      <c r="A4344" t="inlineStr">
        <is>
          <t>14947781</t>
        </is>
      </c>
      <c r="B4344" t="inlineStr">
        <is>
          <t>4a8a278b-edb2-402d-bc54-3a2973d3d2fc</t>
        </is>
      </c>
      <c r="D4344" t="inlineStr">
        <is>
          <t>30001087</t>
        </is>
      </c>
      <c r="E4344" t="inlineStr">
        <is>
          <t>ussd_funeral_leads_altitude_20260619</t>
        </is>
      </c>
      <c r="J4344" t="inlineStr">
        <is>
          <t>AA</t>
        </is>
      </c>
      <c r="K4344" t="inlineStr">
        <is>
          <t>Answering Machine Autodial</t>
        </is>
      </c>
      <c r="L4344" t="n">
        <v>2</v>
      </c>
      <c r="M4344" t="inlineStr">
        <is>
          <t>2026-06-23 08:04:38</t>
        </is>
      </c>
      <c r="N4344" t="inlineStr">
        <is>
          <t>system</t>
        </is>
      </c>
      <c r="O4344" t="inlineStr">
        <is>
          <t>2026-06-19 07:10:32</t>
        </is>
      </c>
      <c r="P4344" t="inlineStr">
        <is>
          <t>2026-06-19 07:10:32</t>
        </is>
      </c>
      <c r="Y4344" t="inlineStr">
        <is>
          <t>27637439045</t>
        </is>
      </c>
    </row>
    <row r="4345">
      <c r="A4345" t="inlineStr">
        <is>
          <t>14947782</t>
        </is>
      </c>
      <c r="B4345" t="inlineStr">
        <is>
          <t>8b827b6a-2251-4d17-b61c-f4d07d9c861f</t>
        </is>
      </c>
      <c r="D4345" t="inlineStr">
        <is>
          <t>30001087</t>
        </is>
      </c>
      <c r="E4345" t="inlineStr">
        <is>
          <t>ussd_funeral_leads_altitude_20260619</t>
        </is>
      </c>
      <c r="J4345" t="inlineStr">
        <is>
          <t>AA</t>
        </is>
      </c>
      <c r="K4345" t="inlineStr">
        <is>
          <t>Answering Machine Autodial</t>
        </is>
      </c>
      <c r="L4345" t="n">
        <v>2</v>
      </c>
      <c r="M4345" t="inlineStr">
        <is>
          <t>2026-06-23 08:04:38</t>
        </is>
      </c>
      <c r="N4345" t="inlineStr">
        <is>
          <t>system</t>
        </is>
      </c>
      <c r="O4345" t="inlineStr">
        <is>
          <t>2026-06-19 07:10:32</t>
        </is>
      </c>
      <c r="P4345" t="inlineStr">
        <is>
          <t>2026-06-19 07:10:32</t>
        </is>
      </c>
      <c r="Y4345" t="inlineStr">
        <is>
          <t>27763429482</t>
        </is>
      </c>
    </row>
    <row r="4346">
      <c r="A4346" t="inlineStr">
        <is>
          <t>14947784</t>
        </is>
      </c>
      <c r="B4346" t="inlineStr">
        <is>
          <t>e39e2e50-2994-4b4c-9528-beb7e38e7a68</t>
        </is>
      </c>
      <c r="D4346" t="inlineStr">
        <is>
          <t>30001087</t>
        </is>
      </c>
      <c r="E4346" t="inlineStr">
        <is>
          <t>ussd_funeral_leads_altitude_20260619</t>
        </is>
      </c>
      <c r="J4346" t="inlineStr">
        <is>
          <t>CU</t>
        </is>
      </c>
      <c r="K4346" t="inlineStr">
        <is>
          <t>Client Hung Up</t>
        </is>
      </c>
      <c r="L4346" t="n">
        <v>2</v>
      </c>
      <c r="M4346" t="inlineStr">
        <is>
          <t>2026-06-23 08:04:38</t>
        </is>
      </c>
      <c r="N4346" t="inlineStr">
        <is>
          <t>Bongiwe Precious Cele</t>
        </is>
      </c>
      <c r="O4346" t="inlineStr">
        <is>
          <t>2026-06-19 07:10:32</t>
        </is>
      </c>
      <c r="P4346" t="inlineStr">
        <is>
          <t>2026-06-19 07:10:32</t>
        </is>
      </c>
      <c r="Y4346" t="inlineStr">
        <is>
          <t>27606261337</t>
        </is>
      </c>
    </row>
    <row r="4347">
      <c r="A4347" t="inlineStr">
        <is>
          <t>14947785</t>
        </is>
      </c>
      <c r="B4347" t="inlineStr">
        <is>
          <t>e6ab7e95-b4bc-46e8-8c5b-2eccdc1afc67</t>
        </is>
      </c>
      <c r="D4347" t="inlineStr">
        <is>
          <t>30001087</t>
        </is>
      </c>
      <c r="E4347" t="inlineStr">
        <is>
          <t>ussd_funeral_leads_altitude_20260619</t>
        </is>
      </c>
      <c r="J4347" t="inlineStr">
        <is>
          <t>AA</t>
        </is>
      </c>
      <c r="K4347" t="inlineStr">
        <is>
          <t>Answering Machine Autodial</t>
        </is>
      </c>
      <c r="L4347" t="n">
        <v>2</v>
      </c>
      <c r="M4347" t="inlineStr">
        <is>
          <t>2026-06-23 08:04:38</t>
        </is>
      </c>
      <c r="N4347" t="inlineStr">
        <is>
          <t>system</t>
        </is>
      </c>
      <c r="O4347" t="inlineStr">
        <is>
          <t>2026-06-19 07:10:32</t>
        </is>
      </c>
      <c r="P4347" t="inlineStr">
        <is>
          <t>2026-06-19 07:10:32</t>
        </is>
      </c>
      <c r="Y4347" t="inlineStr">
        <is>
          <t>27796465262</t>
        </is>
      </c>
    </row>
    <row r="4348">
      <c r="A4348" t="inlineStr">
        <is>
          <t>14947779</t>
        </is>
      </c>
      <c r="B4348" t="inlineStr">
        <is>
          <t>14012382-676f-4d66-aae3-19e5422c13fe</t>
        </is>
      </c>
      <c r="D4348" t="inlineStr">
        <is>
          <t>30001087</t>
        </is>
      </c>
      <c r="E4348" t="inlineStr">
        <is>
          <t>ussd_funeral_leads_altitude_20260619</t>
        </is>
      </c>
      <c r="J4348" t="inlineStr">
        <is>
          <t>AA</t>
        </is>
      </c>
      <c r="K4348" t="inlineStr">
        <is>
          <t>Answering Machine Autodial</t>
        </is>
      </c>
      <c r="L4348" t="n">
        <v>2</v>
      </c>
      <c r="M4348" t="inlineStr">
        <is>
          <t>2026-06-23 08:04:38</t>
        </is>
      </c>
      <c r="N4348" t="inlineStr">
        <is>
          <t>system</t>
        </is>
      </c>
      <c r="O4348" t="inlineStr">
        <is>
          <t>2026-06-19 07:10:32</t>
        </is>
      </c>
      <c r="P4348" t="inlineStr">
        <is>
          <t>2026-06-19 07:10:32</t>
        </is>
      </c>
      <c r="Y4348" t="inlineStr">
        <is>
          <t>27769256267</t>
        </is>
      </c>
    </row>
    <row r="4349">
      <c r="A4349" t="inlineStr">
        <is>
          <t>14947321</t>
        </is>
      </c>
      <c r="B4349" t="inlineStr">
        <is>
          <t>8689a361-2514-43a1-88e5-cc0fd3752736</t>
        </is>
      </c>
      <c r="D4349" t="inlineStr">
        <is>
          <t>30001087</t>
        </is>
      </c>
      <c r="E4349" t="inlineStr">
        <is>
          <t>ussd_funeral_leads_altitude_20260619</t>
        </is>
      </c>
      <c r="J4349" t="inlineStr">
        <is>
          <t>AA</t>
        </is>
      </c>
      <c r="K4349" t="inlineStr">
        <is>
          <t>Answering Machine Autodial</t>
        </is>
      </c>
      <c r="L4349" t="n">
        <v>2</v>
      </c>
      <c r="M4349" t="inlineStr">
        <is>
          <t>2026-06-23 08:03:24</t>
        </is>
      </c>
      <c r="N4349" t="inlineStr">
        <is>
          <t>system</t>
        </is>
      </c>
      <c r="O4349" t="inlineStr">
        <is>
          <t>2026-06-19 07:10:32</t>
        </is>
      </c>
      <c r="P4349" t="inlineStr">
        <is>
          <t>2026-06-19 07:10:32</t>
        </is>
      </c>
      <c r="Y4349" t="inlineStr">
        <is>
          <t>27768306534</t>
        </is>
      </c>
    </row>
    <row r="4350">
      <c r="A4350" t="inlineStr">
        <is>
          <t>14947323</t>
        </is>
      </c>
      <c r="B4350" t="inlineStr">
        <is>
          <t>b978f22d-b2d2-4425-82ea-8126fbe6151d</t>
        </is>
      </c>
      <c r="D4350" t="inlineStr">
        <is>
          <t>30001087</t>
        </is>
      </c>
      <c r="E4350" t="inlineStr">
        <is>
          <t>ussd_funeral_leads_altitude_20260619</t>
        </is>
      </c>
      <c r="J4350" t="inlineStr">
        <is>
          <t>DROP</t>
        </is>
      </c>
      <c r="K4350" t="inlineStr">
        <is>
          <t>Dropped</t>
        </is>
      </c>
      <c r="L4350" t="n">
        <v>2</v>
      </c>
      <c r="M4350" t="inlineStr">
        <is>
          <t>2026-06-23 08:03:23</t>
        </is>
      </c>
      <c r="N4350" t="inlineStr">
        <is>
          <t>system</t>
        </is>
      </c>
      <c r="O4350" t="inlineStr">
        <is>
          <t>2026-06-19 07:10:32</t>
        </is>
      </c>
      <c r="P4350" t="inlineStr">
        <is>
          <t>2026-06-19 07:10:32</t>
        </is>
      </c>
      <c r="Y4350" t="inlineStr">
        <is>
          <t>27713961248</t>
        </is>
      </c>
    </row>
    <row r="4351">
      <c r="A4351" t="inlineStr">
        <is>
          <t>14947343</t>
        </is>
      </c>
      <c r="B4351" t="inlineStr">
        <is>
          <t>62ec2648-c756-4d39-b647-6d684f5db755</t>
        </is>
      </c>
      <c r="D4351" t="inlineStr">
        <is>
          <t>30001087</t>
        </is>
      </c>
      <c r="E4351" t="inlineStr">
        <is>
          <t>ussd_funeral_leads_altitude_20260619</t>
        </is>
      </c>
      <c r="J4351" t="inlineStr">
        <is>
          <t>NA</t>
        </is>
      </c>
      <c r="K4351" t="inlineStr">
        <is>
          <t>No Answer Autodial</t>
        </is>
      </c>
      <c r="L4351" t="n">
        <v>2</v>
      </c>
      <c r="M4351" t="inlineStr">
        <is>
          <t>2026-06-23 08:03:06</t>
        </is>
      </c>
      <c r="N4351" t="inlineStr">
        <is>
          <t>system</t>
        </is>
      </c>
      <c r="O4351" t="inlineStr">
        <is>
          <t>2026-06-19 07:10:32</t>
        </is>
      </c>
      <c r="P4351" t="inlineStr">
        <is>
          <t>2026-06-19 07:10:32</t>
        </is>
      </c>
      <c r="Y4351" t="inlineStr">
        <is>
          <t>27823923461</t>
        </is>
      </c>
    </row>
    <row r="4352">
      <c r="A4352" t="inlineStr">
        <is>
          <t>14947347</t>
        </is>
      </c>
      <c r="B4352" t="inlineStr">
        <is>
          <t>ece5b888-fb6b-405e-8335-521289da68b1</t>
        </is>
      </c>
      <c r="D4352" t="inlineStr">
        <is>
          <t>30001087</t>
        </is>
      </c>
      <c r="E4352" t="inlineStr">
        <is>
          <t>ussd_funeral_leads_altitude_20260619</t>
        </is>
      </c>
      <c r="J4352" t="inlineStr">
        <is>
          <t>NA</t>
        </is>
      </c>
      <c r="K4352" t="inlineStr">
        <is>
          <t>No Answer Autodial</t>
        </is>
      </c>
      <c r="L4352" t="n">
        <v>2</v>
      </c>
      <c r="M4352" t="inlineStr">
        <is>
          <t>2026-06-23 08:03:01</t>
        </is>
      </c>
      <c r="N4352" t="inlineStr">
        <is>
          <t>system</t>
        </is>
      </c>
      <c r="O4352" t="inlineStr">
        <is>
          <t>2026-06-19 07:10:32</t>
        </is>
      </c>
      <c r="P4352" t="inlineStr">
        <is>
          <t>2026-06-19 07:10:32</t>
        </is>
      </c>
      <c r="Y4352" t="inlineStr">
        <is>
          <t>27722588030</t>
        </is>
      </c>
    </row>
    <row r="4353">
      <c r="A4353" t="inlineStr">
        <is>
          <t>14947348</t>
        </is>
      </c>
      <c r="B4353" t="inlineStr">
        <is>
          <t>3df419e7-5825-436e-bd9b-f996edb906a6</t>
        </is>
      </c>
      <c r="D4353" t="inlineStr">
        <is>
          <t>30001087</t>
        </is>
      </c>
      <c r="E4353" t="inlineStr">
        <is>
          <t>ussd_funeral_leads_altitude_20260619</t>
        </is>
      </c>
      <c r="J4353" t="inlineStr">
        <is>
          <t>NA</t>
        </is>
      </c>
      <c r="K4353" t="inlineStr">
        <is>
          <t>No Answer Autodial</t>
        </is>
      </c>
      <c r="L4353" t="n">
        <v>2</v>
      </c>
      <c r="M4353" t="inlineStr">
        <is>
          <t>2026-06-23 08:03:00</t>
        </is>
      </c>
      <c r="N4353" t="inlineStr">
        <is>
          <t>system</t>
        </is>
      </c>
      <c r="O4353" t="inlineStr">
        <is>
          <t>2026-06-19 07:10:32</t>
        </is>
      </c>
      <c r="P4353" t="inlineStr">
        <is>
          <t>2026-06-19 07:10:32</t>
        </is>
      </c>
      <c r="Y4353" t="inlineStr">
        <is>
          <t>27823653505</t>
        </is>
      </c>
    </row>
    <row r="4354">
      <c r="A4354" t="inlineStr">
        <is>
          <t>14947350</t>
        </is>
      </c>
      <c r="B4354" t="inlineStr">
        <is>
          <t>9761aac3-b9ae-42d3-ba67-0ebff156328a</t>
        </is>
      </c>
      <c r="D4354" t="inlineStr">
        <is>
          <t>30001087</t>
        </is>
      </c>
      <c r="E4354" t="inlineStr">
        <is>
          <t>ussd_funeral_leads_altitude_20260619</t>
        </is>
      </c>
      <c r="J4354" t="inlineStr">
        <is>
          <t>AA</t>
        </is>
      </c>
      <c r="K4354" t="inlineStr">
        <is>
          <t>Answering Machine Autodial</t>
        </is>
      </c>
      <c r="L4354" t="n">
        <v>2</v>
      </c>
      <c r="M4354" t="inlineStr">
        <is>
          <t>2026-06-23 08:03:00</t>
        </is>
      </c>
      <c r="N4354" t="inlineStr">
        <is>
          <t>system</t>
        </is>
      </c>
      <c r="O4354" t="inlineStr">
        <is>
          <t>2026-06-19 07:10:32</t>
        </is>
      </c>
      <c r="P4354" t="inlineStr">
        <is>
          <t>2026-06-19 07:10:32</t>
        </is>
      </c>
      <c r="Y4354" t="inlineStr">
        <is>
          <t>27792155822</t>
        </is>
      </c>
    </row>
    <row r="4355">
      <c r="A4355" t="inlineStr">
        <is>
          <t>14947351</t>
        </is>
      </c>
      <c r="B4355" t="inlineStr">
        <is>
          <t>7cfde07c-b45b-49db-8d43-18be10cd5196</t>
        </is>
      </c>
      <c r="D4355" t="inlineStr">
        <is>
          <t>30001087</t>
        </is>
      </c>
      <c r="E4355" t="inlineStr">
        <is>
          <t>ussd_funeral_leads_altitude_20260619</t>
        </is>
      </c>
      <c r="J4355" t="inlineStr">
        <is>
          <t>ADC</t>
        </is>
      </c>
      <c r="K4355" t="inlineStr">
        <is>
          <t>Auto Dial Disconnected</t>
        </is>
      </c>
      <c r="L4355" t="n">
        <v>2</v>
      </c>
      <c r="M4355" t="inlineStr">
        <is>
          <t>2026-06-23 08:03:00</t>
        </is>
      </c>
      <c r="N4355" t="inlineStr">
        <is>
          <t>system</t>
        </is>
      </c>
      <c r="O4355" t="inlineStr">
        <is>
          <t>2026-06-19 07:10:32</t>
        </is>
      </c>
      <c r="P4355" t="inlineStr">
        <is>
          <t>2026-06-19 07:10:32</t>
        </is>
      </c>
      <c r="Y4355" t="inlineStr">
        <is>
          <t>27820641191</t>
        </is>
      </c>
    </row>
    <row r="4356">
      <c r="A4356" t="inlineStr">
        <is>
          <t>14947352</t>
        </is>
      </c>
      <c r="B4356" t="inlineStr">
        <is>
          <t>772f8288-d4c2-4d40-b4f5-77c969b7f60a</t>
        </is>
      </c>
      <c r="D4356" t="inlineStr">
        <is>
          <t>30001087</t>
        </is>
      </c>
      <c r="E4356" t="inlineStr">
        <is>
          <t>ussd_funeral_leads_altitude_20260619</t>
        </is>
      </c>
      <c r="J4356" t="inlineStr">
        <is>
          <t>NA</t>
        </is>
      </c>
      <c r="K4356" t="inlineStr">
        <is>
          <t>No Answer Autodial</t>
        </is>
      </c>
      <c r="L4356" t="n">
        <v>2</v>
      </c>
      <c r="M4356" t="inlineStr">
        <is>
          <t>2026-06-23 08:03:00</t>
        </is>
      </c>
      <c r="N4356" t="inlineStr">
        <is>
          <t>system</t>
        </is>
      </c>
      <c r="O4356" t="inlineStr">
        <is>
          <t>2026-06-19 07:10:32</t>
        </is>
      </c>
      <c r="P4356" t="inlineStr">
        <is>
          <t>2026-06-19 07:10:32</t>
        </is>
      </c>
      <c r="Y4356" t="inlineStr">
        <is>
          <t>27661890322</t>
        </is>
      </c>
    </row>
    <row r="4357">
      <c r="A4357" t="inlineStr">
        <is>
          <t>14947353</t>
        </is>
      </c>
      <c r="B4357" t="inlineStr">
        <is>
          <t>e31a2c32-eeca-48de-82d3-bb3b14abe57e</t>
        </is>
      </c>
      <c r="D4357" t="inlineStr">
        <is>
          <t>30001087</t>
        </is>
      </c>
      <c r="E4357" t="inlineStr">
        <is>
          <t>ussd_funeral_leads_altitude_20260619</t>
        </is>
      </c>
      <c r="J4357" t="inlineStr">
        <is>
          <t>ADC</t>
        </is>
      </c>
      <c r="K4357" t="inlineStr">
        <is>
          <t>Auto Dial Disconnected</t>
        </is>
      </c>
      <c r="L4357" t="n">
        <v>2</v>
      </c>
      <c r="M4357" t="inlineStr">
        <is>
          <t>2026-06-23 08:02:58</t>
        </is>
      </c>
      <c r="N4357" t="inlineStr">
        <is>
          <t>system</t>
        </is>
      </c>
      <c r="O4357" t="inlineStr">
        <is>
          <t>2026-06-19 07:10:32</t>
        </is>
      </c>
      <c r="P4357" t="inlineStr">
        <is>
          <t>2026-06-19 07:10:32</t>
        </is>
      </c>
      <c r="Y4357" t="inlineStr">
        <is>
          <t>27818054794</t>
        </is>
      </c>
    </row>
    <row r="4358">
      <c r="A4358" t="inlineStr">
        <is>
          <t>14947354</t>
        </is>
      </c>
      <c r="B4358" t="inlineStr">
        <is>
          <t>b3d0956f-12af-47fb-a5f8-704bec204955</t>
        </is>
      </c>
      <c r="D4358" t="inlineStr">
        <is>
          <t>30001087</t>
        </is>
      </c>
      <c r="E4358" t="inlineStr">
        <is>
          <t>ussd_funeral_leads_altitude_20260619</t>
        </is>
      </c>
      <c r="J4358" t="inlineStr">
        <is>
          <t>ADC</t>
        </is>
      </c>
      <c r="K4358" t="inlineStr">
        <is>
          <t>Auto Dial Disconnected</t>
        </is>
      </c>
      <c r="L4358" t="n">
        <v>2</v>
      </c>
      <c r="M4358" t="inlineStr">
        <is>
          <t>2026-06-23 08:02:56</t>
        </is>
      </c>
      <c r="N4358" t="inlineStr">
        <is>
          <t>system</t>
        </is>
      </c>
      <c r="O4358" t="inlineStr">
        <is>
          <t>2026-06-19 07:10:32</t>
        </is>
      </c>
      <c r="P4358" t="inlineStr">
        <is>
          <t>2026-06-19 07:10:32</t>
        </is>
      </c>
      <c r="Y4358" t="inlineStr">
        <is>
          <t>27765321056</t>
        </is>
      </c>
    </row>
    <row r="4359">
      <c r="A4359" t="inlineStr">
        <is>
          <t>14947355</t>
        </is>
      </c>
      <c r="B4359" t="inlineStr">
        <is>
          <t>566c75c0-d9fc-4f38-a709-4f58589a7edc</t>
        </is>
      </c>
      <c r="D4359" t="inlineStr">
        <is>
          <t>30001087</t>
        </is>
      </c>
      <c r="E4359" t="inlineStr">
        <is>
          <t>ussd_funeral_leads_altitude_20260619</t>
        </is>
      </c>
      <c r="J4359" t="inlineStr">
        <is>
          <t>AA</t>
        </is>
      </c>
      <c r="K4359" t="inlineStr">
        <is>
          <t>Answering Machine Autodial</t>
        </is>
      </c>
      <c r="L4359" t="n">
        <v>2</v>
      </c>
      <c r="M4359" t="inlineStr">
        <is>
          <t>2026-06-23 08:02:52</t>
        </is>
      </c>
      <c r="N4359" t="inlineStr">
        <is>
          <t>system</t>
        </is>
      </c>
      <c r="O4359" t="inlineStr">
        <is>
          <t>2026-06-19 07:10:32</t>
        </is>
      </c>
      <c r="P4359" t="inlineStr">
        <is>
          <t>2026-06-19 07:10:32</t>
        </is>
      </c>
      <c r="Y4359" t="inlineStr">
        <is>
          <t>27664197780</t>
        </is>
      </c>
    </row>
    <row r="4360">
      <c r="A4360" t="inlineStr">
        <is>
          <t>14947356</t>
        </is>
      </c>
      <c r="B4360" t="inlineStr">
        <is>
          <t>1f00c964-d926-4e00-84cb-55f83bc8c0e2</t>
        </is>
      </c>
      <c r="D4360" t="inlineStr">
        <is>
          <t>30001087</t>
        </is>
      </c>
      <c r="E4360" t="inlineStr">
        <is>
          <t>ussd_funeral_leads_altitude_20260619</t>
        </is>
      </c>
      <c r="J4360" t="inlineStr">
        <is>
          <t>TDN</t>
        </is>
      </c>
      <c r="K4360" t="inlineStr">
        <is>
          <t>Temporary Disconnected Number</t>
        </is>
      </c>
      <c r="L4360" t="n">
        <v>2</v>
      </c>
      <c r="M4360" t="inlineStr">
        <is>
          <t>2026-06-23 08:02:50</t>
        </is>
      </c>
      <c r="N4360" t="inlineStr">
        <is>
          <t>system</t>
        </is>
      </c>
      <c r="O4360" t="inlineStr">
        <is>
          <t>2026-06-19 07:10:32</t>
        </is>
      </c>
      <c r="P4360" t="inlineStr">
        <is>
          <t>2026-06-19 07:10:32</t>
        </is>
      </c>
      <c r="Y4360" t="inlineStr">
        <is>
          <t>27637520016</t>
        </is>
      </c>
    </row>
    <row r="4361">
      <c r="A4361" t="inlineStr">
        <is>
          <t>14947357</t>
        </is>
      </c>
      <c r="B4361" t="inlineStr">
        <is>
          <t>8f87ef6a-6dad-479b-a3e9-a3e60851aeb2</t>
        </is>
      </c>
      <c r="D4361" t="inlineStr">
        <is>
          <t>30001087</t>
        </is>
      </c>
      <c r="E4361" t="inlineStr">
        <is>
          <t>ussd_funeral_leads_altitude_20260619</t>
        </is>
      </c>
      <c r="J4361" t="inlineStr">
        <is>
          <t>ADC</t>
        </is>
      </c>
      <c r="K4361" t="inlineStr">
        <is>
          <t>Auto Dial Disconnected</t>
        </is>
      </c>
      <c r="L4361" t="n">
        <v>2</v>
      </c>
      <c r="M4361" t="inlineStr">
        <is>
          <t>2026-06-23 08:02:50</t>
        </is>
      </c>
      <c r="N4361" t="inlineStr">
        <is>
          <t>system</t>
        </is>
      </c>
      <c r="O4361" t="inlineStr">
        <is>
          <t>2026-06-19 07:10:32</t>
        </is>
      </c>
      <c r="P4361" t="inlineStr">
        <is>
          <t>2026-06-19 07:10:32</t>
        </is>
      </c>
      <c r="Y4361" t="inlineStr">
        <is>
          <t>27665080411</t>
        </is>
      </c>
    </row>
    <row r="4362">
      <c r="A4362" t="inlineStr">
        <is>
          <t>14947359</t>
        </is>
      </c>
      <c r="B4362" t="inlineStr">
        <is>
          <t>f91aa428-a42b-4a5a-92e5-1c3f8d7d0476</t>
        </is>
      </c>
      <c r="D4362" t="inlineStr">
        <is>
          <t>30001087</t>
        </is>
      </c>
      <c r="E4362" t="inlineStr">
        <is>
          <t>ussd_funeral_leads_altitude_20260619</t>
        </is>
      </c>
      <c r="J4362" t="inlineStr">
        <is>
          <t>AA</t>
        </is>
      </c>
      <c r="K4362" t="inlineStr">
        <is>
          <t>Answering Machine Autodial</t>
        </is>
      </c>
      <c r="L4362" t="n">
        <v>2</v>
      </c>
      <c r="M4362" t="inlineStr">
        <is>
          <t>2026-06-23 08:02:50</t>
        </is>
      </c>
      <c r="N4362" t="inlineStr">
        <is>
          <t>system</t>
        </is>
      </c>
      <c r="O4362" t="inlineStr">
        <is>
          <t>2026-06-19 07:10:32</t>
        </is>
      </c>
      <c r="P4362" t="inlineStr">
        <is>
          <t>2026-06-19 07:10:32</t>
        </is>
      </c>
      <c r="Y4362" t="inlineStr">
        <is>
          <t>27796433021</t>
        </is>
      </c>
    </row>
    <row r="4363">
      <c r="A4363" t="inlineStr">
        <is>
          <t>14947116</t>
        </is>
      </c>
      <c r="B4363" t="inlineStr">
        <is>
          <t>0d154762-7864-4ac1-bb28-ce2c9211e065</t>
        </is>
      </c>
      <c r="D4363" t="inlineStr">
        <is>
          <t>30001087</t>
        </is>
      </c>
      <c r="E4363" t="inlineStr">
        <is>
          <t>ussd_funeral_leads_altitude_20260619</t>
        </is>
      </c>
      <c r="J4363" t="inlineStr">
        <is>
          <t>U</t>
        </is>
      </c>
      <c r="K4363" t="inlineStr">
        <is>
          <t>Unemployed</t>
        </is>
      </c>
      <c r="L4363" t="n">
        <v>2</v>
      </c>
      <c r="M4363" t="inlineStr">
        <is>
          <t>2026-06-23 08:02:18</t>
        </is>
      </c>
      <c r="N4363" t="inlineStr">
        <is>
          <t>Dimakatso Nkomo</t>
        </is>
      </c>
      <c r="O4363" t="inlineStr">
        <is>
          <t>2026-06-19 07:10:32</t>
        </is>
      </c>
      <c r="P4363" t="inlineStr">
        <is>
          <t>2026-06-19 07:10:32</t>
        </is>
      </c>
      <c r="Y4363" t="inlineStr">
        <is>
          <t>27825613892</t>
        </is>
      </c>
    </row>
    <row r="4364">
      <c r="A4364" t="inlineStr">
        <is>
          <t>14942871</t>
        </is>
      </c>
      <c r="B4364" t="inlineStr">
        <is>
          <t>c40994b0-1e0b-4515-b0ba-415a5750b511</t>
        </is>
      </c>
      <c r="D4364" t="inlineStr">
        <is>
          <t>30001087</t>
        </is>
      </c>
      <c r="E4364" t="inlineStr">
        <is>
          <t>ussd_funeral_leads_altitude_20260619</t>
        </is>
      </c>
      <c r="H4364" t="inlineStr">
        <is>
          <t>27722399081</t>
        </is>
      </c>
      <c r="J4364" t="inlineStr">
        <is>
          <t>CU</t>
        </is>
      </c>
      <c r="K4364" t="inlineStr">
        <is>
          <t>Client Hung Up</t>
        </is>
      </c>
      <c r="L4364" t="n">
        <v>2</v>
      </c>
      <c r="M4364" t="inlineStr">
        <is>
          <t>2026-06-23 08:01:58</t>
        </is>
      </c>
      <c r="N4364" t="inlineStr">
        <is>
          <t>Bongiwe Precious Cele</t>
        </is>
      </c>
      <c r="O4364" t="inlineStr">
        <is>
          <t>2026-06-19 07:10:32</t>
        </is>
      </c>
      <c r="P4364" t="inlineStr">
        <is>
          <t>2026-06-19 07:10:32</t>
        </is>
      </c>
      <c r="Y4364" t="inlineStr">
        <is>
          <t>27722399081</t>
        </is>
      </c>
    </row>
    <row r="4365">
      <c r="A4365" t="inlineStr">
        <is>
          <t>14947829</t>
        </is>
      </c>
      <c r="B4365" t="inlineStr">
        <is>
          <t>0ad98d8e-2157-4d7c-a8f3-33b0911c4105</t>
        </is>
      </c>
      <c r="D4365" t="inlineStr">
        <is>
          <t>30001087</t>
        </is>
      </c>
      <c r="E4365" t="inlineStr">
        <is>
          <t>ussd_funeral_leads_altitude_20260619</t>
        </is>
      </c>
      <c r="H4365" t="inlineStr">
        <is>
          <t>27637949642</t>
        </is>
      </c>
      <c r="J4365" t="inlineStr">
        <is>
          <t>NA</t>
        </is>
      </c>
      <c r="K4365" t="inlineStr">
        <is>
          <t>No Answer Autodial</t>
        </is>
      </c>
      <c r="L4365" t="n">
        <v>2</v>
      </c>
      <c r="M4365" t="inlineStr">
        <is>
          <t>2026-06-23 08:01:52</t>
        </is>
      </c>
      <c r="N4365" t="inlineStr">
        <is>
          <t>system</t>
        </is>
      </c>
      <c r="O4365" t="inlineStr">
        <is>
          <t>2026-06-19 07:10:32</t>
        </is>
      </c>
      <c r="P4365" t="inlineStr">
        <is>
          <t>2026-06-19 07:10:32</t>
        </is>
      </c>
      <c r="Y4365" t="inlineStr">
        <is>
          <t>27637949642</t>
        </is>
      </c>
    </row>
    <row r="4366">
      <c r="A4366" t="inlineStr">
        <is>
          <t>14947563</t>
        </is>
      </c>
      <c r="B4366" t="inlineStr">
        <is>
          <t>cac3e952-6e25-439f-82c4-9935d4016a6f</t>
        </is>
      </c>
      <c r="D4366" t="inlineStr">
        <is>
          <t>30001087</t>
        </is>
      </c>
      <c r="E4366" t="inlineStr">
        <is>
          <t>ussd_funeral_leads_altitude_20260619</t>
        </is>
      </c>
      <c r="J4366" t="inlineStr">
        <is>
          <t>AA</t>
        </is>
      </c>
      <c r="K4366" t="inlineStr">
        <is>
          <t>Answering Machine Autodial</t>
        </is>
      </c>
      <c r="L4366" t="n">
        <v>2</v>
      </c>
      <c r="M4366" t="inlineStr">
        <is>
          <t>2026-06-23 08:01:17</t>
        </is>
      </c>
      <c r="N4366" t="inlineStr">
        <is>
          <t>system</t>
        </is>
      </c>
      <c r="O4366" t="inlineStr">
        <is>
          <t>2026-06-19 07:10:32</t>
        </is>
      </c>
      <c r="P4366" t="inlineStr">
        <is>
          <t>2026-06-19 07:10:32</t>
        </is>
      </c>
      <c r="Y4366" t="inlineStr">
        <is>
          <t>27673593173</t>
        </is>
      </c>
    </row>
    <row r="4367">
      <c r="A4367" t="inlineStr">
        <is>
          <t>14947564</t>
        </is>
      </c>
      <c r="B4367" t="inlineStr">
        <is>
          <t>35727584-d60d-4ff3-b01f-836d26663636</t>
        </is>
      </c>
      <c r="D4367" t="inlineStr">
        <is>
          <t>30001087</t>
        </is>
      </c>
      <c r="E4367" t="inlineStr">
        <is>
          <t>ussd_funeral_leads_altitude_20260619</t>
        </is>
      </c>
      <c r="J4367" t="inlineStr">
        <is>
          <t>AA</t>
        </is>
      </c>
      <c r="K4367" t="inlineStr">
        <is>
          <t>Answering Machine Autodial</t>
        </is>
      </c>
      <c r="L4367" t="n">
        <v>2</v>
      </c>
      <c r="M4367" t="inlineStr">
        <is>
          <t>2026-06-23 08:00:30</t>
        </is>
      </c>
      <c r="N4367" t="inlineStr">
        <is>
          <t>system</t>
        </is>
      </c>
      <c r="O4367" t="inlineStr">
        <is>
          <t>2026-06-19 07:10:32</t>
        </is>
      </c>
      <c r="P4367" t="inlineStr">
        <is>
          <t>2026-06-19 07:10:32</t>
        </is>
      </c>
      <c r="Y4367" t="inlineStr">
        <is>
          <t>27608612312</t>
        </is>
      </c>
    </row>
    <row r="4368">
      <c r="A4368" t="inlineStr">
        <is>
          <t>14947571</t>
        </is>
      </c>
      <c r="B4368" t="inlineStr">
        <is>
          <t>9bd7e490-ead7-489b-935b-18970d431993</t>
        </is>
      </c>
      <c r="D4368" t="inlineStr">
        <is>
          <t>30001087</t>
        </is>
      </c>
      <c r="E4368" t="inlineStr">
        <is>
          <t>ussd_funeral_leads_altitude_20260619</t>
        </is>
      </c>
      <c r="J4368" t="inlineStr">
        <is>
          <t>TDN</t>
        </is>
      </c>
      <c r="K4368" t="inlineStr">
        <is>
          <t>Temporary Disconnected Number</t>
        </is>
      </c>
      <c r="L4368" t="n">
        <v>2</v>
      </c>
      <c r="M4368" t="inlineStr">
        <is>
          <t>2026-06-23 07:59:18</t>
        </is>
      </c>
      <c r="N4368" t="inlineStr">
        <is>
          <t>system</t>
        </is>
      </c>
      <c r="O4368" t="inlineStr">
        <is>
          <t>2026-06-19 07:10:32</t>
        </is>
      </c>
      <c r="P4368" t="inlineStr">
        <is>
          <t>2026-06-19 07:10:32</t>
        </is>
      </c>
      <c r="Y4368" t="inlineStr">
        <is>
          <t>27767693861</t>
        </is>
      </c>
    </row>
    <row r="4369">
      <c r="A4369" t="inlineStr">
        <is>
          <t>14947572</t>
        </is>
      </c>
      <c r="B4369" t="inlineStr">
        <is>
          <t>f7043f6d-b0da-44f3-bb74-326e011f3931</t>
        </is>
      </c>
      <c r="D4369" t="inlineStr">
        <is>
          <t>30001087</t>
        </is>
      </c>
      <c r="E4369" t="inlineStr">
        <is>
          <t>ussd_funeral_leads_altitude_20260619</t>
        </is>
      </c>
      <c r="J4369" t="inlineStr">
        <is>
          <t>AA</t>
        </is>
      </c>
      <c r="K4369" t="inlineStr">
        <is>
          <t>Answering Machine Autodial</t>
        </is>
      </c>
      <c r="L4369" t="n">
        <v>2</v>
      </c>
      <c r="M4369" t="inlineStr">
        <is>
          <t>2026-06-23 07:59:16</t>
        </is>
      </c>
      <c r="N4369" t="inlineStr">
        <is>
          <t>system</t>
        </is>
      </c>
      <c r="O4369" t="inlineStr">
        <is>
          <t>2026-06-19 07:10:32</t>
        </is>
      </c>
      <c r="P4369" t="inlineStr">
        <is>
          <t>2026-06-19 07:10:32</t>
        </is>
      </c>
      <c r="Y4369" t="inlineStr">
        <is>
          <t>27722960346</t>
        </is>
      </c>
    </row>
    <row r="4370">
      <c r="A4370" t="inlineStr">
        <is>
          <t>14947573</t>
        </is>
      </c>
      <c r="B4370" t="inlineStr">
        <is>
          <t>fdfb2056-474c-46bf-af47-cfb18c4dca32</t>
        </is>
      </c>
      <c r="D4370" t="inlineStr">
        <is>
          <t>30001087</t>
        </is>
      </c>
      <c r="E4370" t="inlineStr">
        <is>
          <t>ussd_funeral_leads_altitude_20260619</t>
        </is>
      </c>
      <c r="J4370" t="inlineStr">
        <is>
          <t>AA</t>
        </is>
      </c>
      <c r="K4370" t="inlineStr">
        <is>
          <t>Answering Machine Autodial</t>
        </is>
      </c>
      <c r="L4370" t="n">
        <v>2</v>
      </c>
      <c r="M4370" t="inlineStr">
        <is>
          <t>2026-06-23 07:59:13</t>
        </is>
      </c>
      <c r="N4370" t="inlineStr">
        <is>
          <t>system</t>
        </is>
      </c>
      <c r="O4370" t="inlineStr">
        <is>
          <t>2026-06-19 07:10:32</t>
        </is>
      </c>
      <c r="P4370" t="inlineStr">
        <is>
          <t>2026-06-19 07:10:32</t>
        </is>
      </c>
      <c r="Y4370" t="inlineStr">
        <is>
          <t>27796769278</t>
        </is>
      </c>
    </row>
    <row r="4371">
      <c r="A4371" t="inlineStr">
        <is>
          <t>14947574</t>
        </is>
      </c>
      <c r="B4371" t="inlineStr">
        <is>
          <t>7cba5d4e-a543-4838-88be-e3e3bac72b25</t>
        </is>
      </c>
      <c r="D4371" t="inlineStr">
        <is>
          <t>30001087</t>
        </is>
      </c>
      <c r="E4371" t="inlineStr">
        <is>
          <t>ussd_funeral_leads_altitude_20260619</t>
        </is>
      </c>
      <c r="J4371" t="inlineStr">
        <is>
          <t>AA</t>
        </is>
      </c>
      <c r="K4371" t="inlineStr">
        <is>
          <t>Answering Machine Autodial</t>
        </is>
      </c>
      <c r="L4371" t="n">
        <v>2</v>
      </c>
      <c r="M4371" t="inlineStr">
        <is>
          <t>2026-06-23 07:59:10</t>
        </is>
      </c>
      <c r="N4371" t="inlineStr">
        <is>
          <t>system</t>
        </is>
      </c>
      <c r="O4371" t="inlineStr">
        <is>
          <t>2026-06-19 07:10:32</t>
        </is>
      </c>
      <c r="P4371" t="inlineStr">
        <is>
          <t>2026-06-19 07:10:32</t>
        </is>
      </c>
      <c r="Y4371" t="inlineStr">
        <is>
          <t>27720475031</t>
        </is>
      </c>
    </row>
    <row r="4372">
      <c r="A4372" t="inlineStr">
        <is>
          <t>14947575</t>
        </is>
      </c>
      <c r="B4372" t="inlineStr">
        <is>
          <t>a2a33d24-e8cd-49c8-81cc-5cccd1d9d9dc</t>
        </is>
      </c>
      <c r="D4372" t="inlineStr">
        <is>
          <t>30001087</t>
        </is>
      </c>
      <c r="E4372" t="inlineStr">
        <is>
          <t>ussd_funeral_leads_altitude_20260619</t>
        </is>
      </c>
      <c r="J4372" t="inlineStr">
        <is>
          <t>AA</t>
        </is>
      </c>
      <c r="K4372" t="inlineStr">
        <is>
          <t>Answering Machine Autodial</t>
        </is>
      </c>
      <c r="L4372" t="n">
        <v>2</v>
      </c>
      <c r="M4372" t="inlineStr">
        <is>
          <t>2026-06-23 07:59:07</t>
        </is>
      </c>
      <c r="N4372" t="inlineStr">
        <is>
          <t>system</t>
        </is>
      </c>
      <c r="O4372" t="inlineStr">
        <is>
          <t>2026-06-19 07:10:32</t>
        </is>
      </c>
      <c r="P4372" t="inlineStr">
        <is>
          <t>2026-06-19 07:10:32</t>
        </is>
      </c>
      <c r="Y4372" t="inlineStr">
        <is>
          <t>27796087935</t>
        </is>
      </c>
    </row>
    <row r="4373">
      <c r="A4373" t="inlineStr">
        <is>
          <t>14947583</t>
        </is>
      </c>
      <c r="B4373" t="inlineStr">
        <is>
          <t>143fd4de-326a-4095-b0d7-4f8f993a5d08</t>
        </is>
      </c>
      <c r="D4373" t="inlineStr">
        <is>
          <t>30001087</t>
        </is>
      </c>
      <c r="E4373" t="inlineStr">
        <is>
          <t>ussd_funeral_leads_altitude_20260619</t>
        </is>
      </c>
      <c r="J4373" t="inlineStr">
        <is>
          <t>NI</t>
        </is>
      </c>
      <c r="K4373" t="inlineStr">
        <is>
          <t>Not Interested</t>
        </is>
      </c>
      <c r="L4373" t="n">
        <v>2</v>
      </c>
      <c r="M4373" t="inlineStr">
        <is>
          <t>2026-06-23 07:58:22</t>
        </is>
      </c>
      <c r="N4373" t="inlineStr">
        <is>
          <t>Dimakatso Nkomo</t>
        </is>
      </c>
      <c r="O4373" t="inlineStr">
        <is>
          <t>2026-06-19 07:10:32</t>
        </is>
      </c>
      <c r="P4373" t="inlineStr">
        <is>
          <t>2026-06-19 07:10:32</t>
        </is>
      </c>
      <c r="Y4373" t="inlineStr">
        <is>
          <t>27818845303</t>
        </is>
      </c>
    </row>
    <row r="4374">
      <c r="A4374" t="inlineStr">
        <is>
          <t>14900000</t>
        </is>
      </c>
      <c r="B4374" t="inlineStr">
        <is>
          <t>e6855b8f-f55c-42bc-b8c1-eba711c0bdcf</t>
        </is>
      </c>
      <c r="D4374" t="inlineStr">
        <is>
          <t>30001087</t>
        </is>
      </c>
      <c r="E4374" t="inlineStr">
        <is>
          <t>ussd_funeral_leads_altitude_20260619</t>
        </is>
      </c>
      <c r="J4374" t="inlineStr">
        <is>
          <t>U</t>
        </is>
      </c>
      <c r="K4374" t="inlineStr">
        <is>
          <t>Unemployed</t>
        </is>
      </c>
      <c r="L4374" t="n">
        <v>2</v>
      </c>
      <c r="M4374" t="inlineStr">
        <is>
          <t>2026-06-23 07:58:05</t>
        </is>
      </c>
      <c r="N4374" t="inlineStr">
        <is>
          <t>Bongiwe Precious Cele</t>
        </is>
      </c>
      <c r="O4374" t="inlineStr">
        <is>
          <t>2026-06-19 07:10:32</t>
        </is>
      </c>
      <c r="P4374" t="inlineStr">
        <is>
          <t>2026-06-19 07:10:32</t>
        </is>
      </c>
      <c r="Y4374" t="inlineStr">
        <is>
          <t>27828648894</t>
        </is>
      </c>
    </row>
    <row r="4375">
      <c r="A4375" t="inlineStr">
        <is>
          <t>14947791</t>
        </is>
      </c>
      <c r="B4375" t="inlineStr">
        <is>
          <t>f319a3d5-dbcb-4043-bc47-8419bbd74780</t>
        </is>
      </c>
      <c r="D4375" t="inlineStr">
        <is>
          <t>30001087</t>
        </is>
      </c>
      <c r="E4375" t="inlineStr">
        <is>
          <t>ussd_funeral_leads_altitude_20260619</t>
        </is>
      </c>
      <c r="J4375" t="inlineStr">
        <is>
          <t>TDN</t>
        </is>
      </c>
      <c r="K4375" t="inlineStr">
        <is>
          <t>Temporary Disconnected Number</t>
        </is>
      </c>
      <c r="L4375" t="n">
        <v>2</v>
      </c>
      <c r="M4375" t="inlineStr">
        <is>
          <t>2026-06-23 07:57:21</t>
        </is>
      </c>
      <c r="N4375" t="inlineStr">
        <is>
          <t>system</t>
        </is>
      </c>
      <c r="O4375" t="inlineStr">
        <is>
          <t>2026-06-19 07:10:32</t>
        </is>
      </c>
      <c r="P4375" t="inlineStr">
        <is>
          <t>2026-06-19 07:10:32</t>
        </is>
      </c>
      <c r="Y4375" t="inlineStr">
        <is>
          <t>27760855207</t>
        </is>
      </c>
    </row>
    <row r="4376">
      <c r="A4376" t="inlineStr">
        <is>
          <t>14947610</t>
        </is>
      </c>
      <c r="B4376" t="inlineStr">
        <is>
          <t>673aa851-ed84-4e4a-a4c0-b3db604e3c0f</t>
        </is>
      </c>
      <c r="D4376" t="inlineStr">
        <is>
          <t>30001087</t>
        </is>
      </c>
      <c r="E4376" t="inlineStr">
        <is>
          <t>ussd_funeral_leads_altitude_20260619</t>
        </is>
      </c>
      <c r="H4376" t="inlineStr">
        <is>
          <t>27728551760</t>
        </is>
      </c>
      <c r="J4376" t="inlineStr">
        <is>
          <t>AE</t>
        </is>
      </c>
      <c r="K4376" t="inlineStr">
        <is>
          <t>Auto Engaged</t>
        </is>
      </c>
      <c r="L4376" t="n">
        <v>2</v>
      </c>
      <c r="M4376" t="inlineStr">
        <is>
          <t>2026-06-23 07:57:17</t>
        </is>
      </c>
      <c r="N4376" t="inlineStr">
        <is>
          <t>system</t>
        </is>
      </c>
      <c r="O4376" t="inlineStr">
        <is>
          <t>2026-06-19 07:10:32</t>
        </is>
      </c>
      <c r="P4376" t="inlineStr">
        <is>
          <t>2026-06-19 07:10:32</t>
        </is>
      </c>
      <c r="Y4376" t="inlineStr">
        <is>
          <t>27728551760</t>
        </is>
      </c>
    </row>
    <row r="4377">
      <c r="A4377" t="inlineStr">
        <is>
          <t>14947611</t>
        </is>
      </c>
      <c r="B4377" t="inlineStr">
        <is>
          <t>87a5cb63-c809-46f1-b41d-aa34454756b2</t>
        </is>
      </c>
      <c r="D4377" t="inlineStr">
        <is>
          <t>30001087</t>
        </is>
      </c>
      <c r="E4377" t="inlineStr">
        <is>
          <t>ussd_funeral_leads_altitude_20260619</t>
        </is>
      </c>
      <c r="J4377" t="inlineStr">
        <is>
          <t>NA</t>
        </is>
      </c>
      <c r="K4377" t="inlineStr">
        <is>
          <t>No Answer Autodial</t>
        </is>
      </c>
      <c r="L4377" t="n">
        <v>2</v>
      </c>
      <c r="M4377" t="inlineStr">
        <is>
          <t>2026-06-23 07:57:17</t>
        </is>
      </c>
      <c r="N4377" t="inlineStr">
        <is>
          <t>system</t>
        </is>
      </c>
      <c r="O4377" t="inlineStr">
        <is>
          <t>2026-06-19 07:10:32</t>
        </is>
      </c>
      <c r="P4377" t="inlineStr">
        <is>
          <t>2026-06-19 07:10:32</t>
        </is>
      </c>
      <c r="Y4377" t="inlineStr">
        <is>
          <t>27724605551</t>
        </is>
      </c>
    </row>
    <row r="4378">
      <c r="A4378" t="inlineStr">
        <is>
          <t>14947612</t>
        </is>
      </c>
      <c r="B4378" t="inlineStr">
        <is>
          <t>1e1a6681-5e10-41e9-88ee-efa16b4cc7eb</t>
        </is>
      </c>
      <c r="D4378" t="inlineStr">
        <is>
          <t>30001087</t>
        </is>
      </c>
      <c r="E4378" t="inlineStr">
        <is>
          <t>ussd_funeral_leads_altitude_20260619</t>
        </is>
      </c>
      <c r="J4378" t="inlineStr">
        <is>
          <t>ADC</t>
        </is>
      </c>
      <c r="K4378" t="inlineStr">
        <is>
          <t>Auto Dial Disconnected</t>
        </is>
      </c>
      <c r="L4378" t="n">
        <v>2</v>
      </c>
      <c r="M4378" t="inlineStr">
        <is>
          <t>2026-06-23 07:57:15</t>
        </is>
      </c>
      <c r="N4378" t="inlineStr">
        <is>
          <t>system</t>
        </is>
      </c>
      <c r="O4378" t="inlineStr">
        <is>
          <t>2026-06-19 07:10:32</t>
        </is>
      </c>
      <c r="P4378" t="inlineStr">
        <is>
          <t>2026-06-19 07:10:32</t>
        </is>
      </c>
      <c r="Y4378" t="inlineStr">
        <is>
          <t>27764033732</t>
        </is>
      </c>
    </row>
    <row r="4379">
      <c r="A4379" t="inlineStr">
        <is>
          <t>14947613</t>
        </is>
      </c>
      <c r="B4379" t="inlineStr">
        <is>
          <t>7d003884-6a0d-40cb-a9b4-0ef5551cdf9d</t>
        </is>
      </c>
      <c r="D4379" t="inlineStr">
        <is>
          <t>30001087</t>
        </is>
      </c>
      <c r="E4379" t="inlineStr">
        <is>
          <t>ussd_funeral_leads_altitude_20260619</t>
        </is>
      </c>
      <c r="J4379" t="inlineStr">
        <is>
          <t>NA</t>
        </is>
      </c>
      <c r="K4379" t="inlineStr">
        <is>
          <t>No Answer Autodial</t>
        </is>
      </c>
      <c r="L4379" t="n">
        <v>2</v>
      </c>
      <c r="M4379" t="inlineStr">
        <is>
          <t>2026-06-23 07:57:15</t>
        </is>
      </c>
      <c r="N4379" t="inlineStr">
        <is>
          <t>system</t>
        </is>
      </c>
      <c r="O4379" t="inlineStr">
        <is>
          <t>2026-06-19 07:10:32</t>
        </is>
      </c>
      <c r="P4379" t="inlineStr">
        <is>
          <t>2026-06-19 07:10:32</t>
        </is>
      </c>
      <c r="Y4379" t="inlineStr">
        <is>
          <t>27773598838</t>
        </is>
      </c>
    </row>
    <row r="4380">
      <c r="A4380" t="inlineStr">
        <is>
          <t>14947614</t>
        </is>
      </c>
      <c r="B4380" t="inlineStr">
        <is>
          <t>8f987d9c-622e-48a8-a5ed-0e7a65d3dea9</t>
        </is>
      </c>
      <c r="D4380" t="inlineStr">
        <is>
          <t>30001087</t>
        </is>
      </c>
      <c r="E4380" t="inlineStr">
        <is>
          <t>ussd_funeral_leads_altitude_20260619</t>
        </is>
      </c>
      <c r="J4380" t="inlineStr">
        <is>
          <t>NA</t>
        </is>
      </c>
      <c r="K4380" t="inlineStr">
        <is>
          <t>No Answer Autodial</t>
        </is>
      </c>
      <c r="L4380" t="n">
        <v>2</v>
      </c>
      <c r="M4380" t="inlineStr">
        <is>
          <t>2026-06-23 07:57:14</t>
        </is>
      </c>
      <c r="N4380" t="inlineStr">
        <is>
          <t>system</t>
        </is>
      </c>
      <c r="O4380" t="inlineStr">
        <is>
          <t>2026-06-19 07:10:32</t>
        </is>
      </c>
      <c r="P4380" t="inlineStr">
        <is>
          <t>2026-06-19 07:10:32</t>
        </is>
      </c>
      <c r="Y4380" t="inlineStr">
        <is>
          <t>27793167677</t>
        </is>
      </c>
    </row>
    <row r="4381">
      <c r="A4381" t="inlineStr">
        <is>
          <t>14947615</t>
        </is>
      </c>
      <c r="B4381" t="inlineStr">
        <is>
          <t>11d12e94-d8fc-4095-8998-c7fe6fa45e84</t>
        </is>
      </c>
      <c r="D4381" t="inlineStr">
        <is>
          <t>30001087</t>
        </is>
      </c>
      <c r="E4381" t="inlineStr">
        <is>
          <t>ussd_funeral_leads_altitude_20260619</t>
        </is>
      </c>
      <c r="J4381" t="inlineStr">
        <is>
          <t>AA</t>
        </is>
      </c>
      <c r="K4381" t="inlineStr">
        <is>
          <t>Answering Machine Autodial</t>
        </is>
      </c>
      <c r="L4381" t="n">
        <v>2</v>
      </c>
      <c r="M4381" t="inlineStr">
        <is>
          <t>2026-06-23 07:57:14</t>
        </is>
      </c>
      <c r="N4381" t="inlineStr">
        <is>
          <t>system</t>
        </is>
      </c>
      <c r="O4381" t="inlineStr">
        <is>
          <t>2026-06-19 07:10:32</t>
        </is>
      </c>
      <c r="P4381" t="inlineStr">
        <is>
          <t>2026-06-19 07:10:32</t>
        </is>
      </c>
      <c r="Y4381" t="inlineStr">
        <is>
          <t>27791329327</t>
        </is>
      </c>
    </row>
    <row r="4382">
      <c r="A4382" t="inlineStr">
        <is>
          <t>14947616</t>
        </is>
      </c>
      <c r="B4382" t="inlineStr">
        <is>
          <t>f1e0b791-f35e-4c51-a4f6-54f2f98f926f</t>
        </is>
      </c>
      <c r="D4382" t="inlineStr">
        <is>
          <t>30001087</t>
        </is>
      </c>
      <c r="E4382" t="inlineStr">
        <is>
          <t>ussd_funeral_leads_altitude_20260619</t>
        </is>
      </c>
      <c r="H4382" t="inlineStr">
        <is>
          <t>27764044065</t>
        </is>
      </c>
      <c r="J4382" t="inlineStr">
        <is>
          <t>AA</t>
        </is>
      </c>
      <c r="K4382" t="inlineStr">
        <is>
          <t>Answering Machine Autodial</t>
        </is>
      </c>
      <c r="L4382" t="n">
        <v>2</v>
      </c>
      <c r="M4382" t="inlineStr">
        <is>
          <t>2026-06-23 07:56:19</t>
        </is>
      </c>
      <c r="N4382" t="inlineStr">
        <is>
          <t>system</t>
        </is>
      </c>
      <c r="O4382" t="inlineStr">
        <is>
          <t>2026-06-19 07:10:32</t>
        </is>
      </c>
      <c r="P4382" t="inlineStr">
        <is>
          <t>2026-06-19 07:10:32</t>
        </is>
      </c>
      <c r="Y4382" t="inlineStr">
        <is>
          <t>27764044065</t>
        </is>
      </c>
    </row>
    <row r="4383">
      <c r="A4383" t="inlineStr">
        <is>
          <t>14947622</t>
        </is>
      </c>
      <c r="B4383" t="inlineStr">
        <is>
          <t>bd4823b9-7fe9-4ad2-bde4-a1d73aaba5f6</t>
        </is>
      </c>
      <c r="D4383" t="inlineStr">
        <is>
          <t>30001087</t>
        </is>
      </c>
      <c r="E4383" t="inlineStr">
        <is>
          <t>ussd_funeral_leads_altitude_20260619</t>
        </is>
      </c>
      <c r="J4383" t="inlineStr">
        <is>
          <t>ADC</t>
        </is>
      </c>
      <c r="K4383" t="inlineStr">
        <is>
          <t>Auto Dial Disconnected</t>
        </is>
      </c>
      <c r="L4383" t="n">
        <v>2</v>
      </c>
      <c r="M4383" t="inlineStr">
        <is>
          <t>2026-06-23 07:56:19</t>
        </is>
      </c>
      <c r="N4383" t="inlineStr">
        <is>
          <t>system</t>
        </is>
      </c>
      <c r="O4383" t="inlineStr">
        <is>
          <t>2026-06-19 07:10:32</t>
        </is>
      </c>
      <c r="P4383" t="inlineStr">
        <is>
          <t>2026-06-19 07:10:32</t>
        </is>
      </c>
      <c r="Y4383" t="inlineStr">
        <is>
          <t>27793210637</t>
        </is>
      </c>
    </row>
    <row r="4384">
      <c r="A4384" t="inlineStr">
        <is>
          <t>14947623</t>
        </is>
      </c>
      <c r="B4384" t="inlineStr">
        <is>
          <t>7946c790-bc03-4244-9a27-20edc262d633</t>
        </is>
      </c>
      <c r="D4384" t="inlineStr">
        <is>
          <t>30001087</t>
        </is>
      </c>
      <c r="E4384" t="inlineStr">
        <is>
          <t>ussd_funeral_leads_altitude_20260619</t>
        </is>
      </c>
      <c r="J4384" t="inlineStr">
        <is>
          <t>AA</t>
        </is>
      </c>
      <c r="K4384" t="inlineStr">
        <is>
          <t>Answering Machine Autodial</t>
        </is>
      </c>
      <c r="L4384" t="n">
        <v>2</v>
      </c>
      <c r="M4384" t="inlineStr">
        <is>
          <t>2026-06-23 07:56:19</t>
        </is>
      </c>
      <c r="N4384" t="inlineStr">
        <is>
          <t>system</t>
        </is>
      </c>
      <c r="O4384" t="inlineStr">
        <is>
          <t>2026-06-19 07:10:32</t>
        </is>
      </c>
      <c r="P4384" t="inlineStr">
        <is>
          <t>2026-06-19 07:10:32</t>
        </is>
      </c>
      <c r="Y4384" t="inlineStr">
        <is>
          <t>27724722579</t>
        </is>
      </c>
    </row>
    <row r="4385">
      <c r="A4385" t="inlineStr">
        <is>
          <t>14942764</t>
        </is>
      </c>
      <c r="B4385" t="inlineStr">
        <is>
          <t>ebd60248-f927-40da-8d0f-ab15d486b2f1</t>
        </is>
      </c>
      <c r="D4385" t="inlineStr">
        <is>
          <t>30001087</t>
        </is>
      </c>
      <c r="E4385" t="inlineStr">
        <is>
          <t>ussd_funeral_leads_altitude_20260619</t>
        </is>
      </c>
      <c r="J4385" t="inlineStr">
        <is>
          <t>CU</t>
        </is>
      </c>
      <c r="K4385" t="inlineStr">
        <is>
          <t>Client Hung Up</t>
        </is>
      </c>
      <c r="L4385" t="n">
        <v>2</v>
      </c>
      <c r="M4385" t="inlineStr">
        <is>
          <t>2026-06-23 07:56:13</t>
        </is>
      </c>
      <c r="N4385" t="inlineStr">
        <is>
          <t>Bongiwe Precious Cele</t>
        </is>
      </c>
      <c r="O4385" t="inlineStr">
        <is>
          <t>2026-06-19 07:10:32</t>
        </is>
      </c>
      <c r="P4385" t="inlineStr">
        <is>
          <t>2026-06-19 07:10:32</t>
        </is>
      </c>
      <c r="Y4385" t="inlineStr">
        <is>
          <t>27799127113</t>
        </is>
      </c>
    </row>
    <row r="4386">
      <c r="A4386" t="inlineStr">
        <is>
          <t>14942765</t>
        </is>
      </c>
      <c r="B4386" t="inlineStr">
        <is>
          <t>394874de-2e9d-453b-8c2b-1866ac70e432</t>
        </is>
      </c>
      <c r="D4386" t="inlineStr">
        <is>
          <t>30001087</t>
        </is>
      </c>
      <c r="E4386" t="inlineStr">
        <is>
          <t>ussd_funeral_leads_altitude_20260619</t>
        </is>
      </c>
      <c r="J4386" t="inlineStr">
        <is>
          <t>CU</t>
        </is>
      </c>
      <c r="K4386" t="inlineStr">
        <is>
          <t>Client Hung Up</t>
        </is>
      </c>
      <c r="L4386" t="n">
        <v>2</v>
      </c>
      <c r="M4386" t="inlineStr">
        <is>
          <t>2026-06-23 07:56:13</t>
        </is>
      </c>
      <c r="N4386" t="inlineStr">
        <is>
          <t>Dimakatso Nkomo</t>
        </is>
      </c>
      <c r="O4386" t="inlineStr">
        <is>
          <t>2026-06-19 07:10:32</t>
        </is>
      </c>
      <c r="P4386" t="inlineStr">
        <is>
          <t>2026-06-19 07:10:32</t>
        </is>
      </c>
      <c r="Y4386" t="inlineStr">
        <is>
          <t>27760363383</t>
        </is>
      </c>
    </row>
    <row r="4387">
      <c r="A4387" t="inlineStr">
        <is>
          <t>14942762</t>
        </is>
      </c>
      <c r="B4387" t="inlineStr">
        <is>
          <t>794e7aea-9edf-49ea-8d60-2fc90fee03e4</t>
        </is>
      </c>
      <c r="D4387" t="inlineStr">
        <is>
          <t>30001087</t>
        </is>
      </c>
      <c r="E4387" t="inlineStr">
        <is>
          <t>ussd_funeral_leads_altitude_20260619</t>
        </is>
      </c>
      <c r="J4387" t="inlineStr">
        <is>
          <t>TDN</t>
        </is>
      </c>
      <c r="K4387" t="inlineStr">
        <is>
          <t>Temporary Disconnected Number</t>
        </is>
      </c>
      <c r="L4387" t="n">
        <v>2</v>
      </c>
      <c r="M4387" t="inlineStr">
        <is>
          <t>2026-06-23 07:56:07</t>
        </is>
      </c>
      <c r="N4387" t="inlineStr">
        <is>
          <t>system</t>
        </is>
      </c>
      <c r="O4387" t="inlineStr">
        <is>
          <t>2026-06-19 07:10:32</t>
        </is>
      </c>
      <c r="P4387" t="inlineStr">
        <is>
          <t>2026-06-19 07:10:32</t>
        </is>
      </c>
      <c r="Y4387" t="inlineStr">
        <is>
          <t>27713291798</t>
        </is>
      </c>
    </row>
    <row r="4388">
      <c r="A4388" t="inlineStr">
        <is>
          <t>14942763</t>
        </is>
      </c>
      <c r="B4388" t="inlineStr">
        <is>
          <t>39fb0199-953c-4c3c-a5c3-51a5c763454c</t>
        </is>
      </c>
      <c r="D4388" t="inlineStr">
        <is>
          <t>30001087</t>
        </is>
      </c>
      <c r="E4388" t="inlineStr">
        <is>
          <t>ussd_funeral_leads_altitude_20260619</t>
        </is>
      </c>
      <c r="J4388" t="inlineStr">
        <is>
          <t>AA</t>
        </is>
      </c>
      <c r="K4388" t="inlineStr">
        <is>
          <t>Answering Machine Autodial</t>
        </is>
      </c>
      <c r="L4388" t="n">
        <v>2</v>
      </c>
      <c r="M4388" t="inlineStr">
        <is>
          <t>2026-06-23 07:56:07</t>
        </is>
      </c>
      <c r="N4388" t="inlineStr">
        <is>
          <t>system</t>
        </is>
      </c>
      <c r="O4388" t="inlineStr">
        <is>
          <t>2026-06-19 07:10:32</t>
        </is>
      </c>
      <c r="P4388" t="inlineStr">
        <is>
          <t>2026-06-19 07:10:32</t>
        </is>
      </c>
      <c r="Y4388" t="inlineStr">
        <is>
          <t>27607649422</t>
        </is>
      </c>
    </row>
    <row r="4389">
      <c r="A4389" t="inlineStr">
        <is>
          <t>14942761</t>
        </is>
      </c>
      <c r="B4389" t="inlineStr">
        <is>
          <t>89200d3e-719c-456a-aa59-c2b4331c3ccf</t>
        </is>
      </c>
      <c r="D4389" t="inlineStr">
        <is>
          <t>30001087</t>
        </is>
      </c>
      <c r="E4389" t="inlineStr">
        <is>
          <t>ussd_funeral_leads_altitude_20260619</t>
        </is>
      </c>
      <c r="J4389" t="inlineStr">
        <is>
          <t>ADC</t>
        </is>
      </c>
      <c r="K4389" t="inlineStr">
        <is>
          <t>Auto Dial Disconnected</t>
        </is>
      </c>
      <c r="L4389" t="n">
        <v>2</v>
      </c>
      <c r="M4389" t="inlineStr">
        <is>
          <t>2026-06-23 07:56:06</t>
        </is>
      </c>
      <c r="N4389" t="inlineStr">
        <is>
          <t>system</t>
        </is>
      </c>
      <c r="O4389" t="inlineStr">
        <is>
          <t>2026-06-19 07:10:32</t>
        </is>
      </c>
      <c r="P4389" t="inlineStr">
        <is>
          <t>2026-06-19 07:10:32</t>
        </is>
      </c>
      <c r="Y4389" t="inlineStr">
        <is>
          <t>27647877766</t>
        </is>
      </c>
    </row>
    <row r="4390">
      <c r="A4390" t="inlineStr">
        <is>
          <t>14943004</t>
        </is>
      </c>
      <c r="B4390" t="inlineStr">
        <is>
          <t>7ec03a75-0a07-4c68-bfce-db7a04a4123f</t>
        </is>
      </c>
      <c r="D4390" t="inlineStr">
        <is>
          <t>30001087</t>
        </is>
      </c>
      <c r="E4390" t="inlineStr">
        <is>
          <t>ussd_funeral_leads_altitude_20260619</t>
        </is>
      </c>
      <c r="J4390" t="inlineStr">
        <is>
          <t>AA</t>
        </is>
      </c>
      <c r="K4390" t="inlineStr">
        <is>
          <t>Answering Machine Autodial</t>
        </is>
      </c>
      <c r="L4390" t="n">
        <v>2</v>
      </c>
      <c r="M4390" t="inlineStr">
        <is>
          <t>2026-06-23 07:55:22</t>
        </is>
      </c>
      <c r="N4390" t="inlineStr">
        <is>
          <t>system</t>
        </is>
      </c>
      <c r="O4390" t="inlineStr">
        <is>
          <t>2026-06-19 07:10:32</t>
        </is>
      </c>
      <c r="P4390" t="inlineStr">
        <is>
          <t>2026-06-19 07:10:32</t>
        </is>
      </c>
      <c r="Y4390" t="inlineStr">
        <is>
          <t>27729867615</t>
        </is>
      </c>
    </row>
    <row r="4391">
      <c r="A4391" t="inlineStr">
        <is>
          <t>14942783</t>
        </is>
      </c>
      <c r="B4391" t="inlineStr">
        <is>
          <t>2b27a04c-192a-4e2e-a9c3-34e08d57b425</t>
        </is>
      </c>
      <c r="D4391" t="inlineStr">
        <is>
          <t>30001087</t>
        </is>
      </c>
      <c r="E4391" t="inlineStr">
        <is>
          <t>ussd_funeral_leads_altitude_20260619</t>
        </is>
      </c>
      <c r="H4391" t="inlineStr">
        <is>
          <t>27711993651</t>
        </is>
      </c>
      <c r="J4391" t="inlineStr">
        <is>
          <t>DC</t>
        </is>
      </c>
      <c r="K4391" t="inlineStr">
        <is>
          <t>Disconnected</t>
        </is>
      </c>
      <c r="L4391" t="n">
        <v>2</v>
      </c>
      <c r="M4391" t="inlineStr">
        <is>
          <t>2026-06-23 07:55:21</t>
        </is>
      </c>
      <c r="N4391" t="inlineStr">
        <is>
          <t>Dimakatso Nkomo</t>
        </is>
      </c>
      <c r="O4391" t="inlineStr">
        <is>
          <t>2026-06-19 07:10:32</t>
        </is>
      </c>
      <c r="P4391" t="inlineStr">
        <is>
          <t>2026-06-19 07:10:32</t>
        </is>
      </c>
      <c r="Y4391" t="inlineStr">
        <is>
          <t>27711993651</t>
        </is>
      </c>
    </row>
    <row r="4392">
      <c r="A4392" t="inlineStr">
        <is>
          <t>14947625</t>
        </is>
      </c>
      <c r="B4392" t="inlineStr">
        <is>
          <t>46b7162a-ef1d-4f2b-bc4a-583d58b7d6b7</t>
        </is>
      </c>
      <c r="D4392" t="inlineStr">
        <is>
          <t>30001087</t>
        </is>
      </c>
      <c r="E4392" t="inlineStr">
        <is>
          <t>ussd_funeral_leads_altitude_20260619</t>
        </is>
      </c>
      <c r="J4392" t="inlineStr">
        <is>
          <t>NA</t>
        </is>
      </c>
      <c r="K4392" t="inlineStr">
        <is>
          <t>No Answer Autodial</t>
        </is>
      </c>
      <c r="L4392" t="n">
        <v>2</v>
      </c>
      <c r="M4392" t="inlineStr">
        <is>
          <t>2026-06-23 07:55:19</t>
        </is>
      </c>
      <c r="N4392" t="inlineStr">
        <is>
          <t>system</t>
        </is>
      </c>
      <c r="O4392" t="inlineStr">
        <is>
          <t>2026-06-19 07:10:32</t>
        </is>
      </c>
      <c r="P4392" t="inlineStr">
        <is>
          <t>2026-06-19 07:10:32</t>
        </is>
      </c>
      <c r="Y4392" t="inlineStr">
        <is>
          <t>27676263013</t>
        </is>
      </c>
    </row>
    <row r="4393">
      <c r="A4393" t="inlineStr">
        <is>
          <t>14947626</t>
        </is>
      </c>
      <c r="B4393" t="inlineStr">
        <is>
          <t>9c6cc7d1-fecc-41ca-a7ba-09b4b3216de6</t>
        </is>
      </c>
      <c r="D4393" t="inlineStr">
        <is>
          <t>30001087</t>
        </is>
      </c>
      <c r="E4393" t="inlineStr">
        <is>
          <t>ussd_funeral_leads_altitude_20260619</t>
        </is>
      </c>
      <c r="J4393" t="inlineStr">
        <is>
          <t>AA</t>
        </is>
      </c>
      <c r="K4393" t="inlineStr">
        <is>
          <t>Answering Machine Autodial</t>
        </is>
      </c>
      <c r="L4393" t="n">
        <v>2</v>
      </c>
      <c r="M4393" t="inlineStr">
        <is>
          <t>2026-06-23 07:55:19</t>
        </is>
      </c>
      <c r="N4393" t="inlineStr">
        <is>
          <t>system</t>
        </is>
      </c>
      <c r="O4393" t="inlineStr">
        <is>
          <t>2026-06-19 07:10:32</t>
        </is>
      </c>
      <c r="P4393" t="inlineStr">
        <is>
          <t>2026-06-19 07:10:32</t>
        </is>
      </c>
      <c r="Y4393" t="inlineStr">
        <is>
          <t>27710109585</t>
        </is>
      </c>
    </row>
    <row r="4394">
      <c r="A4394" t="inlineStr">
        <is>
          <t>14947627</t>
        </is>
      </c>
      <c r="B4394" t="inlineStr">
        <is>
          <t>d290132e-7f32-4170-aff7-19e225780f9d</t>
        </is>
      </c>
      <c r="D4394" t="inlineStr">
        <is>
          <t>30001087</t>
        </is>
      </c>
      <c r="E4394" t="inlineStr">
        <is>
          <t>ussd_funeral_leads_altitude_20260619</t>
        </is>
      </c>
      <c r="J4394" t="inlineStr">
        <is>
          <t>AA</t>
        </is>
      </c>
      <c r="K4394" t="inlineStr">
        <is>
          <t>Answering Machine Autodial</t>
        </is>
      </c>
      <c r="L4394" t="n">
        <v>2</v>
      </c>
      <c r="M4394" t="inlineStr">
        <is>
          <t>2026-06-23 07:55:15</t>
        </is>
      </c>
      <c r="N4394" t="inlineStr">
        <is>
          <t>system</t>
        </is>
      </c>
      <c r="O4394" t="inlineStr">
        <is>
          <t>2026-06-19 07:10:32</t>
        </is>
      </c>
      <c r="P4394" t="inlineStr">
        <is>
          <t>2026-06-19 07:10:32</t>
        </is>
      </c>
      <c r="Y4394" t="inlineStr">
        <is>
          <t>27663275870</t>
        </is>
      </c>
    </row>
    <row r="4395">
      <c r="A4395" t="inlineStr">
        <is>
          <t>14942784</t>
        </is>
      </c>
      <c r="B4395" t="inlineStr">
        <is>
          <t>03a97e6a-1613-4e14-9681-476687a5eaca</t>
        </is>
      </c>
      <c r="D4395" t="inlineStr">
        <is>
          <t>30001087</t>
        </is>
      </c>
      <c r="E4395" t="inlineStr">
        <is>
          <t>ussd_funeral_leads_altitude_20260619</t>
        </is>
      </c>
      <c r="J4395" t="inlineStr">
        <is>
          <t>CU</t>
        </is>
      </c>
      <c r="K4395" t="inlineStr">
        <is>
          <t>Client Hung Up</t>
        </is>
      </c>
      <c r="L4395" t="n">
        <v>2</v>
      </c>
      <c r="M4395" t="inlineStr">
        <is>
          <t>2026-06-23 07:55:09</t>
        </is>
      </c>
      <c r="N4395" t="inlineStr">
        <is>
          <t>Lebohang Mabotja</t>
        </is>
      </c>
      <c r="O4395" t="inlineStr">
        <is>
          <t>2026-06-19 07:10:32</t>
        </is>
      </c>
      <c r="P4395" t="inlineStr">
        <is>
          <t>2026-06-19 07:10:32</t>
        </is>
      </c>
      <c r="Y4395" t="inlineStr">
        <is>
          <t>27724352677</t>
        </is>
      </c>
    </row>
    <row r="4396">
      <c r="A4396" t="inlineStr">
        <is>
          <t>14947628</t>
        </is>
      </c>
      <c r="B4396" t="inlineStr">
        <is>
          <t>4f86c636-e1cf-424a-9203-d16980421c93</t>
        </is>
      </c>
      <c r="D4396" t="inlineStr">
        <is>
          <t>30001087</t>
        </is>
      </c>
      <c r="E4396" t="inlineStr">
        <is>
          <t>ussd_funeral_leads_altitude_20260619</t>
        </is>
      </c>
      <c r="J4396" t="inlineStr">
        <is>
          <t>ADC</t>
        </is>
      </c>
      <c r="K4396" t="inlineStr">
        <is>
          <t>Auto Dial Disconnected</t>
        </is>
      </c>
      <c r="L4396" t="n">
        <v>2</v>
      </c>
      <c r="M4396" t="inlineStr">
        <is>
          <t>2026-06-23 07:55:09</t>
        </is>
      </c>
      <c r="N4396" t="inlineStr">
        <is>
          <t>system</t>
        </is>
      </c>
      <c r="O4396" t="inlineStr">
        <is>
          <t>2026-06-19 07:10:32</t>
        </is>
      </c>
      <c r="P4396" t="inlineStr">
        <is>
          <t>2026-06-19 07:10:32</t>
        </is>
      </c>
      <c r="Y4396" t="inlineStr">
        <is>
          <t>27822975346</t>
        </is>
      </c>
    </row>
    <row r="4397">
      <c r="A4397" t="inlineStr">
        <is>
          <t>14947629</t>
        </is>
      </c>
      <c r="B4397" t="inlineStr">
        <is>
          <t>5ed6c22e-c58e-4a38-ab06-589a583e5204</t>
        </is>
      </c>
      <c r="D4397" t="inlineStr">
        <is>
          <t>30001087</t>
        </is>
      </c>
      <c r="E4397" t="inlineStr">
        <is>
          <t>ussd_funeral_leads_altitude_20260619</t>
        </is>
      </c>
      <c r="J4397" t="inlineStr">
        <is>
          <t>AA</t>
        </is>
      </c>
      <c r="K4397" t="inlineStr">
        <is>
          <t>Answering Machine Autodial</t>
        </is>
      </c>
      <c r="L4397" t="n">
        <v>2</v>
      </c>
      <c r="M4397" t="inlineStr">
        <is>
          <t>2026-06-23 07:55:09</t>
        </is>
      </c>
      <c r="N4397" t="inlineStr">
        <is>
          <t>system</t>
        </is>
      </c>
      <c r="O4397" t="inlineStr">
        <is>
          <t>2026-06-19 07:10:32</t>
        </is>
      </c>
      <c r="P4397" t="inlineStr">
        <is>
          <t>2026-06-19 07:10:32</t>
        </is>
      </c>
      <c r="Y4397" t="inlineStr">
        <is>
          <t>27648841029</t>
        </is>
      </c>
    </row>
    <row r="4398">
      <c r="A4398" t="inlineStr">
        <is>
          <t>14942780</t>
        </is>
      </c>
      <c r="B4398" t="inlineStr">
        <is>
          <t>c9b2d9ef-591f-40eb-bd36-64d5720dcfb9</t>
        </is>
      </c>
      <c r="D4398" t="inlineStr">
        <is>
          <t>30001087</t>
        </is>
      </c>
      <c r="E4398" t="inlineStr">
        <is>
          <t>ussd_funeral_leads_altitude_20260619</t>
        </is>
      </c>
      <c r="J4398" t="inlineStr">
        <is>
          <t>AA</t>
        </is>
      </c>
      <c r="K4398" t="inlineStr">
        <is>
          <t>Answering Machine Autodial</t>
        </is>
      </c>
      <c r="L4398" t="n">
        <v>2</v>
      </c>
      <c r="M4398" t="inlineStr">
        <is>
          <t>2026-06-23 07:54:59</t>
        </is>
      </c>
      <c r="N4398" t="inlineStr">
        <is>
          <t>system</t>
        </is>
      </c>
      <c r="O4398" t="inlineStr">
        <is>
          <t>2026-06-19 07:10:32</t>
        </is>
      </c>
      <c r="P4398" t="inlineStr">
        <is>
          <t>2026-06-19 07:10:32</t>
        </is>
      </c>
      <c r="Y4398" t="inlineStr">
        <is>
          <t>27768014308</t>
        </is>
      </c>
    </row>
    <row r="4399">
      <c r="A4399" t="inlineStr">
        <is>
          <t>14942781</t>
        </is>
      </c>
      <c r="B4399" t="inlineStr">
        <is>
          <t>a0730e03-2d65-40bb-a010-601c386660e9</t>
        </is>
      </c>
      <c r="D4399" t="inlineStr">
        <is>
          <t>30001087</t>
        </is>
      </c>
      <c r="E4399" t="inlineStr">
        <is>
          <t>ussd_funeral_leads_altitude_20260619</t>
        </is>
      </c>
      <c r="J4399" t="inlineStr">
        <is>
          <t>DROP</t>
        </is>
      </c>
      <c r="K4399" t="inlineStr">
        <is>
          <t>Dropped</t>
        </is>
      </c>
      <c r="L4399" t="n">
        <v>2</v>
      </c>
      <c r="M4399" t="inlineStr">
        <is>
          <t>2026-06-23 07:54:59</t>
        </is>
      </c>
      <c r="N4399" t="inlineStr">
        <is>
          <t>system</t>
        </is>
      </c>
      <c r="O4399" t="inlineStr">
        <is>
          <t>2026-06-19 07:10:32</t>
        </is>
      </c>
      <c r="P4399" t="inlineStr">
        <is>
          <t>2026-06-19 07:10:32</t>
        </is>
      </c>
      <c r="Y4399" t="inlineStr">
        <is>
          <t>27791852316</t>
        </is>
      </c>
    </row>
    <row r="4400">
      <c r="A4400" t="inlineStr">
        <is>
          <t>14942782</t>
        </is>
      </c>
      <c r="B4400" t="inlineStr">
        <is>
          <t>1f69d505-a93f-4c4d-9a4d-be58c88c8975</t>
        </is>
      </c>
      <c r="D4400" t="inlineStr">
        <is>
          <t>30001087</t>
        </is>
      </c>
      <c r="E4400" t="inlineStr">
        <is>
          <t>ussd_funeral_leads_altitude_20260619</t>
        </is>
      </c>
      <c r="J4400" t="inlineStr">
        <is>
          <t>AA</t>
        </is>
      </c>
      <c r="K4400" t="inlineStr">
        <is>
          <t>Answering Machine Autodial</t>
        </is>
      </c>
      <c r="L4400" t="n">
        <v>2</v>
      </c>
      <c r="M4400" t="inlineStr">
        <is>
          <t>2026-06-23 07:54:59</t>
        </is>
      </c>
      <c r="N4400" t="inlineStr">
        <is>
          <t>system</t>
        </is>
      </c>
      <c r="O4400" t="inlineStr">
        <is>
          <t>2026-06-19 07:10:32</t>
        </is>
      </c>
      <c r="P4400" t="inlineStr">
        <is>
          <t>2026-06-19 07:10:32</t>
        </is>
      </c>
      <c r="Y4400" t="inlineStr">
        <is>
          <t>27774807472</t>
        </is>
      </c>
    </row>
    <row r="4401">
      <c r="A4401" t="inlineStr">
        <is>
          <t>14942778</t>
        </is>
      </c>
      <c r="B4401" t="inlineStr">
        <is>
          <t>3563996c-085e-4172-9f0b-ab403bddbfb3</t>
        </is>
      </c>
      <c r="D4401" t="inlineStr">
        <is>
          <t>30001087</t>
        </is>
      </c>
      <c r="E4401" t="inlineStr">
        <is>
          <t>ussd_funeral_leads_altitude_20260619</t>
        </is>
      </c>
      <c r="J4401" t="inlineStr">
        <is>
          <t>AA</t>
        </is>
      </c>
      <c r="K4401" t="inlineStr">
        <is>
          <t>Answering Machine Autodial</t>
        </is>
      </c>
      <c r="L4401" t="n">
        <v>2</v>
      </c>
      <c r="M4401" t="inlineStr">
        <is>
          <t>2026-06-23 07:54:58</t>
        </is>
      </c>
      <c r="N4401" t="inlineStr">
        <is>
          <t>system</t>
        </is>
      </c>
      <c r="O4401" t="inlineStr">
        <is>
          <t>2026-06-19 07:10:32</t>
        </is>
      </c>
      <c r="P4401" t="inlineStr">
        <is>
          <t>2026-06-19 07:10:32</t>
        </is>
      </c>
      <c r="Y4401" t="inlineStr">
        <is>
          <t>27607412632</t>
        </is>
      </c>
    </row>
    <row r="4402">
      <c r="A4402" t="inlineStr">
        <is>
          <t>14942779</t>
        </is>
      </c>
      <c r="B4402" t="inlineStr">
        <is>
          <t>cccc23ae-a2b7-481a-b773-84412bb3a2dc</t>
        </is>
      </c>
      <c r="D4402" t="inlineStr">
        <is>
          <t>30001087</t>
        </is>
      </c>
      <c r="E4402" t="inlineStr">
        <is>
          <t>ussd_funeral_leads_altitude_20260619</t>
        </is>
      </c>
      <c r="J4402" t="inlineStr">
        <is>
          <t>CU</t>
        </is>
      </c>
      <c r="K4402" t="inlineStr">
        <is>
          <t>Client Hung Up</t>
        </is>
      </c>
      <c r="L4402" t="n">
        <v>2</v>
      </c>
      <c r="M4402" t="inlineStr">
        <is>
          <t>2026-06-23 07:54:58</t>
        </is>
      </c>
      <c r="N4402" t="inlineStr">
        <is>
          <t>Goitsimang Mogwasa</t>
        </is>
      </c>
      <c r="O4402" t="inlineStr">
        <is>
          <t>2026-06-19 07:10:32</t>
        </is>
      </c>
      <c r="P4402" t="inlineStr">
        <is>
          <t>2026-06-19 07:10:32</t>
        </is>
      </c>
      <c r="Y4402" t="inlineStr">
        <is>
          <t>27714417658</t>
        </is>
      </c>
    </row>
    <row r="4403">
      <c r="A4403" t="inlineStr">
        <is>
          <t>14942775</t>
        </is>
      </c>
      <c r="B4403" t="inlineStr">
        <is>
          <t>eb50bc43-7a04-4e58-b66d-5596c4fca740</t>
        </is>
      </c>
      <c r="D4403" t="inlineStr">
        <is>
          <t>30001087</t>
        </is>
      </c>
      <c r="E4403" t="inlineStr">
        <is>
          <t>ussd_funeral_leads_altitude_20260619</t>
        </is>
      </c>
      <c r="J4403" t="inlineStr">
        <is>
          <t>AA</t>
        </is>
      </c>
      <c r="K4403" t="inlineStr">
        <is>
          <t>Answering Machine Autodial</t>
        </is>
      </c>
      <c r="L4403" t="n">
        <v>2</v>
      </c>
      <c r="M4403" t="inlineStr">
        <is>
          <t>2026-06-23 07:54:57</t>
        </is>
      </c>
      <c r="N4403" t="inlineStr">
        <is>
          <t>system</t>
        </is>
      </c>
      <c r="O4403" t="inlineStr">
        <is>
          <t>2026-06-19 07:10:32</t>
        </is>
      </c>
      <c r="P4403" t="inlineStr">
        <is>
          <t>2026-06-19 07:10:32</t>
        </is>
      </c>
      <c r="Y4403" t="inlineStr">
        <is>
          <t>27720895454</t>
        </is>
      </c>
    </row>
    <row r="4404">
      <c r="A4404" t="inlineStr">
        <is>
          <t>14942774</t>
        </is>
      </c>
      <c r="B4404" t="inlineStr">
        <is>
          <t>ef2dd191-258e-4a9d-a0d3-0694b2545a6b</t>
        </is>
      </c>
      <c r="D4404" t="inlineStr">
        <is>
          <t>30001087</t>
        </is>
      </c>
      <c r="E4404" t="inlineStr">
        <is>
          <t>ussd_funeral_leads_altitude_20260619</t>
        </is>
      </c>
      <c r="J4404" t="inlineStr">
        <is>
          <t>ADC</t>
        </is>
      </c>
      <c r="K4404" t="inlineStr">
        <is>
          <t>Auto Dial Disconnected</t>
        </is>
      </c>
      <c r="L4404" t="n">
        <v>2</v>
      </c>
      <c r="M4404" t="inlineStr">
        <is>
          <t>2026-06-23 07:54:55</t>
        </is>
      </c>
      <c r="N4404" t="inlineStr">
        <is>
          <t>system</t>
        </is>
      </c>
      <c r="O4404" t="inlineStr">
        <is>
          <t>2026-06-19 07:10:32</t>
        </is>
      </c>
      <c r="P4404" t="inlineStr">
        <is>
          <t>2026-06-19 07:10:32</t>
        </is>
      </c>
      <c r="Y4404" t="inlineStr">
        <is>
          <t>27797702863</t>
        </is>
      </c>
    </row>
    <row r="4405">
      <c r="A4405" t="inlineStr">
        <is>
          <t>14942771</t>
        </is>
      </c>
      <c r="B4405" t="inlineStr">
        <is>
          <t>6c28659a-3c0f-4368-8bd3-7ff0ed4f8006</t>
        </is>
      </c>
      <c r="D4405" t="inlineStr">
        <is>
          <t>30001087</t>
        </is>
      </c>
      <c r="E4405" t="inlineStr">
        <is>
          <t>ussd_funeral_leads_altitude_20260619</t>
        </is>
      </c>
      <c r="J4405" t="inlineStr">
        <is>
          <t>ADC</t>
        </is>
      </c>
      <c r="K4405" t="inlineStr">
        <is>
          <t>Auto Dial Disconnected</t>
        </is>
      </c>
      <c r="L4405" t="n">
        <v>2</v>
      </c>
      <c r="M4405" t="inlineStr">
        <is>
          <t>2026-06-23 07:54:46</t>
        </is>
      </c>
      <c r="N4405" t="inlineStr">
        <is>
          <t>system</t>
        </is>
      </c>
      <c r="O4405" t="inlineStr">
        <is>
          <t>2026-06-19 07:10:32</t>
        </is>
      </c>
      <c r="P4405" t="inlineStr">
        <is>
          <t>2026-06-19 07:10:32</t>
        </is>
      </c>
      <c r="Y4405" t="inlineStr">
        <is>
          <t>27724584238</t>
        </is>
      </c>
    </row>
    <row r="4406">
      <c r="A4406" t="inlineStr">
        <is>
          <t>14942772</t>
        </is>
      </c>
      <c r="B4406" t="inlineStr">
        <is>
          <t>87d7f39f-5d75-4dd6-b1c7-9cc4e2963e22</t>
        </is>
      </c>
      <c r="D4406" t="inlineStr">
        <is>
          <t>30001087</t>
        </is>
      </c>
      <c r="E4406" t="inlineStr">
        <is>
          <t>ussd_funeral_leads_altitude_20260619</t>
        </is>
      </c>
      <c r="J4406" t="inlineStr">
        <is>
          <t>ADC</t>
        </is>
      </c>
      <c r="K4406" t="inlineStr">
        <is>
          <t>Auto Dial Disconnected</t>
        </is>
      </c>
      <c r="L4406" t="n">
        <v>2</v>
      </c>
      <c r="M4406" t="inlineStr">
        <is>
          <t>2026-06-23 07:54:46</t>
        </is>
      </c>
      <c r="N4406" t="inlineStr">
        <is>
          <t>system</t>
        </is>
      </c>
      <c r="O4406" t="inlineStr">
        <is>
          <t>2026-06-19 07:10:32</t>
        </is>
      </c>
      <c r="P4406" t="inlineStr">
        <is>
          <t>2026-06-19 07:10:32</t>
        </is>
      </c>
      <c r="Y4406" t="inlineStr">
        <is>
          <t>27607939343</t>
        </is>
      </c>
    </row>
    <row r="4407">
      <c r="A4407" t="inlineStr">
        <is>
          <t>14942770</t>
        </is>
      </c>
      <c r="B4407" t="inlineStr">
        <is>
          <t>7469062a-38cd-456d-a730-855afe732b39</t>
        </is>
      </c>
      <c r="D4407" t="inlineStr">
        <is>
          <t>30001087</t>
        </is>
      </c>
      <c r="E4407" t="inlineStr">
        <is>
          <t>ussd_funeral_leads_altitude_20260619</t>
        </is>
      </c>
      <c r="J4407" t="inlineStr">
        <is>
          <t>ADC</t>
        </is>
      </c>
      <c r="K4407" t="inlineStr">
        <is>
          <t>Auto Dial Disconnected</t>
        </is>
      </c>
      <c r="L4407" t="n">
        <v>2</v>
      </c>
      <c r="M4407" t="inlineStr">
        <is>
          <t>2026-06-23 07:54:45</t>
        </is>
      </c>
      <c r="N4407" t="inlineStr">
        <is>
          <t>system</t>
        </is>
      </c>
      <c r="O4407" t="inlineStr">
        <is>
          <t>2026-06-19 07:10:32</t>
        </is>
      </c>
      <c r="P4407" t="inlineStr">
        <is>
          <t>2026-06-19 07:10:32</t>
        </is>
      </c>
      <c r="Y4407" t="inlineStr">
        <is>
          <t>27763891156</t>
        </is>
      </c>
    </row>
    <row r="4408">
      <c r="A4408" t="inlineStr">
        <is>
          <t>14942768</t>
        </is>
      </c>
      <c r="B4408" t="inlineStr">
        <is>
          <t>f52df270-4ef8-434d-81ec-52cd564aa3bc</t>
        </is>
      </c>
      <c r="D4408" t="inlineStr">
        <is>
          <t>30001087</t>
        </is>
      </c>
      <c r="E4408" t="inlineStr">
        <is>
          <t>ussd_funeral_leads_altitude_20260619</t>
        </is>
      </c>
      <c r="J4408" t="inlineStr">
        <is>
          <t>AA</t>
        </is>
      </c>
      <c r="K4408" t="inlineStr">
        <is>
          <t>Answering Machine Autodial</t>
        </is>
      </c>
      <c r="L4408" t="n">
        <v>2</v>
      </c>
      <c r="M4408" t="inlineStr">
        <is>
          <t>2026-06-23 07:54:41</t>
        </is>
      </c>
      <c r="N4408" t="inlineStr">
        <is>
          <t>system</t>
        </is>
      </c>
      <c r="O4408" t="inlineStr">
        <is>
          <t>2026-06-19 07:10:32</t>
        </is>
      </c>
      <c r="P4408" t="inlineStr">
        <is>
          <t>2026-06-19 07:10:32</t>
        </is>
      </c>
      <c r="Y4408" t="inlineStr">
        <is>
          <t>27608307218</t>
        </is>
      </c>
    </row>
    <row r="4409">
      <c r="A4409" t="inlineStr">
        <is>
          <t>14942769</t>
        </is>
      </c>
      <c r="B4409" t="inlineStr">
        <is>
          <t>e77d98cf-fb4a-41aa-a829-90845a432121</t>
        </is>
      </c>
      <c r="D4409" t="inlineStr">
        <is>
          <t>30001087</t>
        </is>
      </c>
      <c r="E4409" t="inlineStr">
        <is>
          <t>ussd_funeral_leads_altitude_20260619</t>
        </is>
      </c>
      <c r="J4409" t="inlineStr">
        <is>
          <t>AA</t>
        </is>
      </c>
      <c r="K4409" t="inlineStr">
        <is>
          <t>Answering Machine Autodial</t>
        </is>
      </c>
      <c r="L4409" t="n">
        <v>2</v>
      </c>
      <c r="M4409" t="inlineStr">
        <is>
          <t>2026-06-23 07:54:41</t>
        </is>
      </c>
      <c r="N4409" t="inlineStr">
        <is>
          <t>system</t>
        </is>
      </c>
      <c r="O4409" t="inlineStr">
        <is>
          <t>2026-06-19 07:10:32</t>
        </is>
      </c>
      <c r="P4409" t="inlineStr">
        <is>
          <t>2026-06-19 07:10:32</t>
        </is>
      </c>
      <c r="Y4409" t="inlineStr">
        <is>
          <t>27798068250</t>
        </is>
      </c>
    </row>
    <row r="4410">
      <c r="A4410" t="inlineStr">
        <is>
          <t>14942766</t>
        </is>
      </c>
      <c r="B4410" t="inlineStr">
        <is>
          <t>1593346b-06a1-4055-ab20-d030182e7db1</t>
        </is>
      </c>
      <c r="D4410" t="inlineStr">
        <is>
          <t>30001087</t>
        </is>
      </c>
      <c r="E4410" t="inlineStr">
        <is>
          <t>ussd_funeral_leads_altitude_20260619</t>
        </is>
      </c>
      <c r="J4410" t="inlineStr">
        <is>
          <t>ADC</t>
        </is>
      </c>
      <c r="K4410" t="inlineStr">
        <is>
          <t>Auto Dial Disconnected</t>
        </is>
      </c>
      <c r="L4410" t="n">
        <v>2</v>
      </c>
      <c r="M4410" t="inlineStr">
        <is>
          <t>2026-06-23 07:54:40</t>
        </is>
      </c>
      <c r="N4410" t="inlineStr">
        <is>
          <t>system</t>
        </is>
      </c>
      <c r="O4410" t="inlineStr">
        <is>
          <t>2026-06-19 07:10:32</t>
        </is>
      </c>
      <c r="P4410" t="inlineStr">
        <is>
          <t>2026-06-19 07:10:32</t>
        </is>
      </c>
      <c r="Y4410" t="inlineStr">
        <is>
          <t>27608903608</t>
        </is>
      </c>
    </row>
    <row r="4411">
      <c r="A4411" t="inlineStr">
        <is>
          <t>14942767</t>
        </is>
      </c>
      <c r="B4411" t="inlineStr">
        <is>
          <t>9ac8114f-4090-43fa-b60d-a31fa6f31338</t>
        </is>
      </c>
      <c r="D4411" t="inlineStr">
        <is>
          <t>30001087</t>
        </is>
      </c>
      <c r="E4411" t="inlineStr">
        <is>
          <t>ussd_funeral_leads_altitude_20260619</t>
        </is>
      </c>
      <c r="J4411" t="inlineStr">
        <is>
          <t>AF</t>
        </is>
      </c>
      <c r="K4411" t="inlineStr">
        <is>
          <t>Cannot Afford</t>
        </is>
      </c>
      <c r="L4411" t="n">
        <v>2</v>
      </c>
      <c r="M4411" t="inlineStr">
        <is>
          <t>2026-06-23 07:54:40</t>
        </is>
      </c>
      <c r="N4411" t="inlineStr">
        <is>
          <t>Vuyiswa Nxumalo</t>
        </is>
      </c>
      <c r="O4411" t="inlineStr">
        <is>
          <t>2026-06-19 07:10:32</t>
        </is>
      </c>
      <c r="P4411" t="inlineStr">
        <is>
          <t>2026-06-19 07:10:32</t>
        </is>
      </c>
      <c r="Y4411" t="inlineStr">
        <is>
          <t>27663975291</t>
        </is>
      </c>
    </row>
    <row r="4412">
      <c r="A4412" t="inlineStr">
        <is>
          <t>14947705</t>
        </is>
      </c>
      <c r="B4412" t="inlineStr">
        <is>
          <t>53c78d48-5323-4d1f-8704-3fdd776840aa</t>
        </is>
      </c>
      <c r="D4412" t="inlineStr">
        <is>
          <t>30001087</t>
        </is>
      </c>
      <c r="E4412" t="inlineStr">
        <is>
          <t>ussd_funeral_leads_altitude_20260619</t>
        </is>
      </c>
      <c r="J4412" t="inlineStr">
        <is>
          <t>AA</t>
        </is>
      </c>
      <c r="K4412" t="inlineStr">
        <is>
          <t>Answering Machine Autodial</t>
        </is>
      </c>
      <c r="L4412" t="n">
        <v>2</v>
      </c>
      <c r="M4412" t="inlineStr">
        <is>
          <t>2026-06-23 07:54:40</t>
        </is>
      </c>
      <c r="N4412" t="inlineStr">
        <is>
          <t>system</t>
        </is>
      </c>
      <c r="O4412" t="inlineStr">
        <is>
          <t>2026-06-19 07:10:32</t>
        </is>
      </c>
      <c r="P4412" t="inlineStr">
        <is>
          <t>2026-06-19 07:10:32</t>
        </is>
      </c>
      <c r="Y4412" t="inlineStr">
        <is>
          <t>27723246160</t>
        </is>
      </c>
    </row>
    <row r="4413">
      <c r="A4413" t="inlineStr">
        <is>
          <t>14947588</t>
        </is>
      </c>
      <c r="B4413" t="inlineStr">
        <is>
          <t>441c653f-efef-4e08-9973-338cbd5e1b59</t>
        </is>
      </c>
      <c r="D4413" t="inlineStr">
        <is>
          <t>30001087</t>
        </is>
      </c>
      <c r="E4413" t="inlineStr">
        <is>
          <t>ussd_funeral_leads_altitude_20260619</t>
        </is>
      </c>
      <c r="J4413" t="inlineStr">
        <is>
          <t>AA</t>
        </is>
      </c>
      <c r="K4413" t="inlineStr">
        <is>
          <t>Answering Machine Autodial</t>
        </is>
      </c>
      <c r="L4413" t="n">
        <v>2</v>
      </c>
      <c r="M4413" t="inlineStr">
        <is>
          <t>2026-06-23 07:54:16</t>
        </is>
      </c>
      <c r="N4413" t="inlineStr">
        <is>
          <t>system</t>
        </is>
      </c>
      <c r="O4413" t="inlineStr">
        <is>
          <t>2026-06-19 07:10:32</t>
        </is>
      </c>
      <c r="P4413" t="inlineStr">
        <is>
          <t>2026-06-19 07:10:32</t>
        </is>
      </c>
      <c r="Y4413" t="inlineStr">
        <is>
          <t>27796358117</t>
        </is>
      </c>
    </row>
    <row r="4414">
      <c r="A4414" t="inlineStr">
        <is>
          <t>14947589</t>
        </is>
      </c>
      <c r="B4414" t="inlineStr">
        <is>
          <t>26b6956e-37ef-49a5-8688-0d80658ef240</t>
        </is>
      </c>
      <c r="D4414" t="inlineStr">
        <is>
          <t>30001087</t>
        </is>
      </c>
      <c r="E4414" t="inlineStr">
        <is>
          <t>ussd_funeral_leads_altitude_20260619</t>
        </is>
      </c>
      <c r="J4414" t="inlineStr">
        <is>
          <t>AE</t>
        </is>
      </c>
      <c r="K4414" t="inlineStr">
        <is>
          <t>Auto Engaged</t>
        </is>
      </c>
      <c r="L4414" t="n">
        <v>2</v>
      </c>
      <c r="M4414" t="inlineStr">
        <is>
          <t>2026-06-23 07:54:15</t>
        </is>
      </c>
      <c r="N4414" t="inlineStr">
        <is>
          <t>system</t>
        </is>
      </c>
      <c r="O4414" t="inlineStr">
        <is>
          <t>2026-06-19 07:10:32</t>
        </is>
      </c>
      <c r="P4414" t="inlineStr">
        <is>
          <t>2026-06-19 07:10:32</t>
        </is>
      </c>
      <c r="Y4414" t="inlineStr">
        <is>
          <t>27662166303</t>
        </is>
      </c>
    </row>
    <row r="4415">
      <c r="A4415" t="inlineStr">
        <is>
          <t>14942874</t>
        </is>
      </c>
      <c r="B4415" t="inlineStr">
        <is>
          <t>be2e4fd5-00a0-41e7-94ce-03f1ea691c65</t>
        </is>
      </c>
      <c r="D4415" t="inlineStr">
        <is>
          <t>30001087</t>
        </is>
      </c>
      <c r="E4415" t="inlineStr">
        <is>
          <t>ussd_funeral_leads_altitude_20260619</t>
        </is>
      </c>
      <c r="J4415" t="inlineStr">
        <is>
          <t>DNQS</t>
        </is>
      </c>
      <c r="K4415" t="inlineStr">
        <is>
          <t>Does Not Qualify</t>
        </is>
      </c>
      <c r="L4415" t="n">
        <v>2</v>
      </c>
      <c r="M4415" t="inlineStr">
        <is>
          <t>2026-06-23 07:53:56</t>
        </is>
      </c>
      <c r="N4415" t="inlineStr">
        <is>
          <t>Goitsimang Mogwasa</t>
        </is>
      </c>
      <c r="O4415" t="inlineStr">
        <is>
          <t>2026-06-19 07:10:32</t>
        </is>
      </c>
      <c r="P4415" t="inlineStr">
        <is>
          <t>2026-06-19 07:10:32</t>
        </is>
      </c>
      <c r="Y4415" t="inlineStr">
        <is>
          <t>27726511729</t>
        </is>
      </c>
    </row>
    <row r="4416">
      <c r="A4416" t="inlineStr">
        <is>
          <t>14942870</t>
        </is>
      </c>
      <c r="B4416" t="inlineStr">
        <is>
          <t>a7b6b8d6-991e-454a-9909-fa5ef16a8d08</t>
        </is>
      </c>
      <c r="D4416" t="inlineStr">
        <is>
          <t>30001087</t>
        </is>
      </c>
      <c r="E4416" t="inlineStr">
        <is>
          <t>ussd_funeral_leads_altitude_20260619</t>
        </is>
      </c>
      <c r="J4416" t="inlineStr">
        <is>
          <t>AA</t>
        </is>
      </c>
      <c r="K4416" t="inlineStr">
        <is>
          <t>Answering Machine Autodial</t>
        </is>
      </c>
      <c r="L4416" t="n">
        <v>2</v>
      </c>
      <c r="M4416" t="inlineStr">
        <is>
          <t>2026-06-23 07:53:53</t>
        </is>
      </c>
      <c r="N4416" t="inlineStr">
        <is>
          <t>system</t>
        </is>
      </c>
      <c r="O4416" t="inlineStr">
        <is>
          <t>2026-06-19 07:10:32</t>
        </is>
      </c>
      <c r="P4416" t="inlineStr">
        <is>
          <t>2026-06-19 07:10:32</t>
        </is>
      </c>
      <c r="Y4416" t="inlineStr">
        <is>
          <t>27722087903</t>
        </is>
      </c>
    </row>
    <row r="4417">
      <c r="A4417" t="inlineStr">
        <is>
          <t>14945991</t>
        </is>
      </c>
      <c r="B4417" t="inlineStr">
        <is>
          <t>308193e2-a4ea-4555-8c75-4f8bdcf29390</t>
        </is>
      </c>
      <c r="D4417" t="inlineStr">
        <is>
          <t>30001087</t>
        </is>
      </c>
      <c r="E4417" t="inlineStr">
        <is>
          <t>ussd_funeral_leads_altitude_20260619</t>
        </is>
      </c>
      <c r="J4417" t="inlineStr">
        <is>
          <t>A</t>
        </is>
      </c>
      <c r="K4417" t="inlineStr">
        <is>
          <t>Answering Machine</t>
        </is>
      </c>
      <c r="L4417" t="n">
        <v>3</v>
      </c>
      <c r="M4417" t="inlineStr">
        <is>
          <t>2026-06-23 07:53:47</t>
        </is>
      </c>
      <c r="N4417" t="inlineStr">
        <is>
          <t>Goitsimang Mogwasa</t>
        </is>
      </c>
      <c r="O4417" t="inlineStr">
        <is>
          <t>2026-06-19 07:10:32</t>
        </is>
      </c>
      <c r="P4417" t="inlineStr">
        <is>
          <t>2026-06-19 07:10:32</t>
        </is>
      </c>
      <c r="Y4417" t="inlineStr">
        <is>
          <t>27727341882</t>
        </is>
      </c>
    </row>
    <row r="4418">
      <c r="A4418" t="inlineStr">
        <is>
          <t>14942866</t>
        </is>
      </c>
      <c r="B4418" t="inlineStr">
        <is>
          <t>c02a62e4-aaea-4535-987c-2f27630641af</t>
        </is>
      </c>
      <c r="D4418" t="inlineStr">
        <is>
          <t>30001087</t>
        </is>
      </c>
      <c r="E4418" t="inlineStr">
        <is>
          <t>ussd_funeral_leads_altitude_20260619</t>
        </is>
      </c>
      <c r="J4418" t="inlineStr">
        <is>
          <t>AA</t>
        </is>
      </c>
      <c r="K4418" t="inlineStr">
        <is>
          <t>Answering Machine Autodial</t>
        </is>
      </c>
      <c r="L4418" t="n">
        <v>2</v>
      </c>
      <c r="M4418" t="inlineStr">
        <is>
          <t>2026-06-23 07:53:39</t>
        </is>
      </c>
      <c r="N4418" t="inlineStr">
        <is>
          <t>system</t>
        </is>
      </c>
      <c r="O4418" t="inlineStr">
        <is>
          <t>2026-06-19 07:10:32</t>
        </is>
      </c>
      <c r="P4418" t="inlineStr">
        <is>
          <t>2026-06-19 07:10:32</t>
        </is>
      </c>
      <c r="Y4418" t="inlineStr">
        <is>
          <t>27824996168</t>
        </is>
      </c>
    </row>
    <row r="4419">
      <c r="A4419" t="inlineStr">
        <is>
          <t>14942867</t>
        </is>
      </c>
      <c r="B4419" t="inlineStr">
        <is>
          <t>54922046-1dda-407d-b3bb-0453f5741507</t>
        </is>
      </c>
      <c r="D4419" t="inlineStr">
        <is>
          <t>30001087</t>
        </is>
      </c>
      <c r="E4419" t="inlineStr">
        <is>
          <t>ussd_funeral_leads_altitude_20260619</t>
        </is>
      </c>
      <c r="J4419" t="inlineStr">
        <is>
          <t>ADC</t>
        </is>
      </c>
      <c r="K4419" t="inlineStr">
        <is>
          <t>Auto Dial Disconnected</t>
        </is>
      </c>
      <c r="L4419" t="n">
        <v>2</v>
      </c>
      <c r="M4419" t="inlineStr">
        <is>
          <t>2026-06-23 07:53:39</t>
        </is>
      </c>
      <c r="N4419" t="inlineStr">
        <is>
          <t>system</t>
        </is>
      </c>
      <c r="O4419" t="inlineStr">
        <is>
          <t>2026-06-19 07:10:32</t>
        </is>
      </c>
      <c r="P4419" t="inlineStr">
        <is>
          <t>2026-06-19 07:10:32</t>
        </is>
      </c>
      <c r="Y4419" t="inlineStr">
        <is>
          <t>27792687983</t>
        </is>
      </c>
    </row>
    <row r="4420">
      <c r="A4420" t="inlineStr">
        <is>
          <t>14942868</t>
        </is>
      </c>
      <c r="B4420" t="inlineStr">
        <is>
          <t>4079e78c-59ec-4451-821f-2b7a6059968c</t>
        </is>
      </c>
      <c r="D4420" t="inlineStr">
        <is>
          <t>30001087</t>
        </is>
      </c>
      <c r="E4420" t="inlineStr">
        <is>
          <t>ussd_funeral_leads_altitude_20260619</t>
        </is>
      </c>
      <c r="J4420" t="inlineStr">
        <is>
          <t>ADC</t>
        </is>
      </c>
      <c r="K4420" t="inlineStr">
        <is>
          <t>Auto Dial Disconnected</t>
        </is>
      </c>
      <c r="L4420" t="n">
        <v>2</v>
      </c>
      <c r="M4420" t="inlineStr">
        <is>
          <t>2026-06-23 07:53:39</t>
        </is>
      </c>
      <c r="N4420" t="inlineStr">
        <is>
          <t>system</t>
        </is>
      </c>
      <c r="O4420" t="inlineStr">
        <is>
          <t>2026-06-19 07:10:32</t>
        </is>
      </c>
      <c r="P4420" t="inlineStr">
        <is>
          <t>2026-06-19 07:10:32</t>
        </is>
      </c>
      <c r="Y4420" t="inlineStr">
        <is>
          <t>27607695875</t>
        </is>
      </c>
    </row>
    <row r="4421">
      <c r="A4421" t="inlineStr">
        <is>
          <t>14942869</t>
        </is>
      </c>
      <c r="B4421" t="inlineStr">
        <is>
          <t>27ec148e-5732-4547-9b49-8715d39d05d7</t>
        </is>
      </c>
      <c r="D4421" t="inlineStr">
        <is>
          <t>30001087</t>
        </is>
      </c>
      <c r="E4421" t="inlineStr">
        <is>
          <t>ussd_funeral_leads_altitude_20260619</t>
        </is>
      </c>
      <c r="J4421" t="inlineStr">
        <is>
          <t>ADC</t>
        </is>
      </c>
      <c r="K4421" t="inlineStr">
        <is>
          <t>Auto Dial Disconnected</t>
        </is>
      </c>
      <c r="L4421" t="n">
        <v>2</v>
      </c>
      <c r="M4421" t="inlineStr">
        <is>
          <t>2026-06-23 07:53:39</t>
        </is>
      </c>
      <c r="N4421" t="inlineStr">
        <is>
          <t>system</t>
        </is>
      </c>
      <c r="O4421" t="inlineStr">
        <is>
          <t>2026-06-19 07:10:32</t>
        </is>
      </c>
      <c r="P4421" t="inlineStr">
        <is>
          <t>2026-06-19 07:10:32</t>
        </is>
      </c>
      <c r="Y4421" t="inlineStr">
        <is>
          <t>27722868254</t>
        </is>
      </c>
    </row>
    <row r="4422">
      <c r="A4422" t="inlineStr">
        <is>
          <t>14947590</t>
        </is>
      </c>
      <c r="B4422" t="inlineStr">
        <is>
          <t>5f20eb67-dbb0-4a8a-93df-979775e15974</t>
        </is>
      </c>
      <c r="D4422" t="inlineStr">
        <is>
          <t>30001087</t>
        </is>
      </c>
      <c r="E4422" t="inlineStr">
        <is>
          <t>ussd_funeral_leads_altitude_20260619</t>
        </is>
      </c>
      <c r="J4422" t="inlineStr">
        <is>
          <t>AA</t>
        </is>
      </c>
      <c r="K4422" t="inlineStr">
        <is>
          <t>Answering Machine Autodial</t>
        </is>
      </c>
      <c r="L4422" t="n">
        <v>2</v>
      </c>
      <c r="M4422" t="inlineStr">
        <is>
          <t>2026-06-23 07:53:38</t>
        </is>
      </c>
      <c r="N4422" t="inlineStr">
        <is>
          <t>system</t>
        </is>
      </c>
      <c r="O4422" t="inlineStr">
        <is>
          <t>2026-06-19 07:10:32</t>
        </is>
      </c>
      <c r="P4422" t="inlineStr">
        <is>
          <t>2026-06-19 07:10:32</t>
        </is>
      </c>
      <c r="Y4422" t="inlineStr">
        <is>
          <t>27726601327</t>
        </is>
      </c>
    </row>
    <row r="4423">
      <c r="A4423" t="inlineStr">
        <is>
          <t>14947591</t>
        </is>
      </c>
      <c r="B4423" t="inlineStr">
        <is>
          <t>6b78523e-d17a-45d1-bb83-545b11ae8510</t>
        </is>
      </c>
      <c r="D4423" t="inlineStr">
        <is>
          <t>30001087</t>
        </is>
      </c>
      <c r="E4423" t="inlineStr">
        <is>
          <t>ussd_funeral_leads_altitude_20260619</t>
        </is>
      </c>
      <c r="J4423" t="inlineStr">
        <is>
          <t>AA</t>
        </is>
      </c>
      <c r="K4423" t="inlineStr">
        <is>
          <t>Answering Machine Autodial</t>
        </is>
      </c>
      <c r="L4423" t="n">
        <v>2</v>
      </c>
      <c r="M4423" t="inlineStr">
        <is>
          <t>2026-06-23 07:53:08</t>
        </is>
      </c>
      <c r="N4423" t="inlineStr">
        <is>
          <t>system</t>
        </is>
      </c>
      <c r="O4423" t="inlineStr">
        <is>
          <t>2026-06-19 07:10:32</t>
        </is>
      </c>
      <c r="P4423" t="inlineStr">
        <is>
          <t>2026-06-19 07:10:32</t>
        </is>
      </c>
      <c r="Y4423" t="inlineStr">
        <is>
          <t>27822326974</t>
        </is>
      </c>
    </row>
    <row r="4424">
      <c r="A4424" t="inlineStr">
        <is>
          <t>14947593</t>
        </is>
      </c>
      <c r="B4424" t="inlineStr">
        <is>
          <t>60bd60da-5075-4916-b52d-53f27f38c061</t>
        </is>
      </c>
      <c r="D4424" t="inlineStr">
        <is>
          <t>30001087</t>
        </is>
      </c>
      <c r="E4424" t="inlineStr">
        <is>
          <t>ussd_funeral_leads_altitude_20260619</t>
        </is>
      </c>
      <c r="J4424" t="inlineStr">
        <is>
          <t>DROP</t>
        </is>
      </c>
      <c r="K4424" t="inlineStr">
        <is>
          <t>Dropped</t>
        </is>
      </c>
      <c r="L4424" t="n">
        <v>2</v>
      </c>
      <c r="M4424" t="inlineStr">
        <is>
          <t>2026-06-23 07:53:08</t>
        </is>
      </c>
      <c r="N4424" t="inlineStr">
        <is>
          <t>system</t>
        </is>
      </c>
      <c r="O4424" t="inlineStr">
        <is>
          <t>2026-06-19 07:10:32</t>
        </is>
      </c>
      <c r="P4424" t="inlineStr">
        <is>
          <t>2026-06-19 07:10:32</t>
        </is>
      </c>
      <c r="Y4424" t="inlineStr">
        <is>
          <t>27722773432</t>
        </is>
      </c>
    </row>
    <row r="4425">
      <c r="A4425" t="inlineStr">
        <is>
          <t>14947594</t>
        </is>
      </c>
      <c r="B4425" t="inlineStr">
        <is>
          <t>3016a353-4230-4ac6-a758-6f86aeb08668</t>
        </is>
      </c>
      <c r="D4425" t="inlineStr">
        <is>
          <t>30001087</t>
        </is>
      </c>
      <c r="E4425" t="inlineStr">
        <is>
          <t>ussd_funeral_leads_altitude_20260619</t>
        </is>
      </c>
      <c r="J4425" t="inlineStr">
        <is>
          <t>AA</t>
        </is>
      </c>
      <c r="K4425" t="inlineStr">
        <is>
          <t>Answering Machine Autodial</t>
        </is>
      </c>
      <c r="L4425" t="n">
        <v>2</v>
      </c>
      <c r="M4425" t="inlineStr">
        <is>
          <t>2026-06-23 07:53:07</t>
        </is>
      </c>
      <c r="N4425" t="inlineStr">
        <is>
          <t>system</t>
        </is>
      </c>
      <c r="O4425" t="inlineStr">
        <is>
          <t>2026-06-19 07:10:32</t>
        </is>
      </c>
      <c r="P4425" t="inlineStr">
        <is>
          <t>2026-06-19 07:10:32</t>
        </is>
      </c>
      <c r="Y4425" t="inlineStr">
        <is>
          <t>27722761837</t>
        </is>
      </c>
    </row>
    <row r="4426">
      <c r="A4426" t="inlineStr">
        <is>
          <t>14947597</t>
        </is>
      </c>
      <c r="B4426" t="inlineStr">
        <is>
          <t>c87dcdd4-5923-439c-a23f-9630425ae1a1</t>
        </is>
      </c>
      <c r="D4426" t="inlineStr">
        <is>
          <t>30001087</t>
        </is>
      </c>
      <c r="E4426" t="inlineStr">
        <is>
          <t>ussd_funeral_leads_altitude_20260619</t>
        </is>
      </c>
      <c r="J4426" t="inlineStr">
        <is>
          <t>AA</t>
        </is>
      </c>
      <c r="K4426" t="inlineStr">
        <is>
          <t>Answering Machine Autodial</t>
        </is>
      </c>
      <c r="L4426" t="n">
        <v>2</v>
      </c>
      <c r="M4426" t="inlineStr">
        <is>
          <t>2026-06-23 07:53:07</t>
        </is>
      </c>
      <c r="N4426" t="inlineStr">
        <is>
          <t>system</t>
        </is>
      </c>
      <c r="O4426" t="inlineStr">
        <is>
          <t>2026-06-19 07:10:32</t>
        </is>
      </c>
      <c r="P4426" t="inlineStr">
        <is>
          <t>2026-06-19 07:10:32</t>
        </is>
      </c>
      <c r="Y4426" t="inlineStr">
        <is>
          <t>27820886698</t>
        </is>
      </c>
    </row>
    <row r="4427">
      <c r="A4427" t="inlineStr">
        <is>
          <t>14947598</t>
        </is>
      </c>
      <c r="B4427" t="inlineStr">
        <is>
          <t>7a950258-13b4-4778-8447-4579b5473219</t>
        </is>
      </c>
      <c r="D4427" t="inlineStr">
        <is>
          <t>30001087</t>
        </is>
      </c>
      <c r="E4427" t="inlineStr">
        <is>
          <t>ussd_funeral_leads_altitude_20260619</t>
        </is>
      </c>
      <c r="J4427" t="inlineStr">
        <is>
          <t>AA</t>
        </is>
      </c>
      <c r="K4427" t="inlineStr">
        <is>
          <t>Answering Machine Autodial</t>
        </is>
      </c>
      <c r="L4427" t="n">
        <v>2</v>
      </c>
      <c r="M4427" t="inlineStr">
        <is>
          <t>2026-06-23 07:52:48</t>
        </is>
      </c>
      <c r="N4427" t="inlineStr">
        <is>
          <t>system</t>
        </is>
      </c>
      <c r="O4427" t="inlineStr">
        <is>
          <t>2026-06-19 07:10:32</t>
        </is>
      </c>
      <c r="P4427" t="inlineStr">
        <is>
          <t>2026-06-19 07:10:32</t>
        </is>
      </c>
      <c r="Y4427" t="inlineStr">
        <is>
          <t>27799371599</t>
        </is>
      </c>
    </row>
    <row r="4428">
      <c r="A4428" t="inlineStr">
        <is>
          <t>14947599</t>
        </is>
      </c>
      <c r="B4428" t="inlineStr">
        <is>
          <t>5bb1efc6-a90a-4c99-8bfe-f69b5c92a7f0</t>
        </is>
      </c>
      <c r="D4428" t="inlineStr">
        <is>
          <t>30001087</t>
        </is>
      </c>
      <c r="E4428" t="inlineStr">
        <is>
          <t>ussd_funeral_leads_altitude_20260619</t>
        </is>
      </c>
      <c r="J4428" t="inlineStr">
        <is>
          <t>AA</t>
        </is>
      </c>
      <c r="K4428" t="inlineStr">
        <is>
          <t>Answering Machine Autodial</t>
        </is>
      </c>
      <c r="L4428" t="n">
        <v>2</v>
      </c>
      <c r="M4428" t="inlineStr">
        <is>
          <t>2026-06-23 07:52:48</t>
        </is>
      </c>
      <c r="N4428" t="inlineStr">
        <is>
          <t>system</t>
        </is>
      </c>
      <c r="O4428" t="inlineStr">
        <is>
          <t>2026-06-19 07:10:32</t>
        </is>
      </c>
      <c r="P4428" t="inlineStr">
        <is>
          <t>2026-06-19 07:10:32</t>
        </is>
      </c>
      <c r="Y4428" t="inlineStr">
        <is>
          <t>27760614050</t>
        </is>
      </c>
    </row>
    <row r="4429">
      <c r="A4429" t="inlineStr">
        <is>
          <t>14947600</t>
        </is>
      </c>
      <c r="B4429" t="inlineStr">
        <is>
          <t>e4c1bc42-7980-49d8-b41f-92fa5b17f10d</t>
        </is>
      </c>
      <c r="D4429" t="inlineStr">
        <is>
          <t>30001087</t>
        </is>
      </c>
      <c r="E4429" t="inlineStr">
        <is>
          <t>ussd_funeral_leads_altitude_20260619</t>
        </is>
      </c>
      <c r="J4429" t="inlineStr">
        <is>
          <t>AA</t>
        </is>
      </c>
      <c r="K4429" t="inlineStr">
        <is>
          <t>Answering Machine Autodial</t>
        </is>
      </c>
      <c r="L4429" t="n">
        <v>2</v>
      </c>
      <c r="M4429" t="inlineStr">
        <is>
          <t>2026-06-23 07:52:48</t>
        </is>
      </c>
      <c r="N4429" t="inlineStr">
        <is>
          <t>system</t>
        </is>
      </c>
      <c r="O4429" t="inlineStr">
        <is>
          <t>2026-06-19 07:10:32</t>
        </is>
      </c>
      <c r="P4429" t="inlineStr">
        <is>
          <t>2026-06-19 07:10:32</t>
        </is>
      </c>
      <c r="Y4429" t="inlineStr">
        <is>
          <t>27711955702</t>
        </is>
      </c>
    </row>
    <row r="4430">
      <c r="A4430" t="inlineStr">
        <is>
          <t>14943025</t>
        </is>
      </c>
      <c r="B4430" t="inlineStr">
        <is>
          <t>0ecc8905-11e2-4eeb-a95c-6b7638ec05ee</t>
        </is>
      </c>
      <c r="D4430" t="inlineStr">
        <is>
          <t>30001087</t>
        </is>
      </c>
      <c r="E4430" t="inlineStr">
        <is>
          <t>ussd_funeral_leads_altitude_20260619</t>
        </is>
      </c>
      <c r="J4430" t="inlineStr">
        <is>
          <t>AA</t>
        </is>
      </c>
      <c r="K4430" t="inlineStr">
        <is>
          <t>Answering Machine Autodial</t>
        </is>
      </c>
      <c r="L4430" t="n">
        <v>2</v>
      </c>
      <c r="M4430" t="inlineStr">
        <is>
          <t>2026-06-23 07:52:20</t>
        </is>
      </c>
      <c r="N4430" t="inlineStr">
        <is>
          <t>system</t>
        </is>
      </c>
      <c r="O4430" t="inlineStr">
        <is>
          <t>2026-06-19 07:10:32</t>
        </is>
      </c>
      <c r="P4430" t="inlineStr">
        <is>
          <t>2026-06-19 07:10:32</t>
        </is>
      </c>
      <c r="Y4430" t="inlineStr">
        <is>
          <t>27760260159</t>
        </is>
      </c>
    </row>
    <row r="4431">
      <c r="A4431" t="inlineStr">
        <is>
          <t>14943027</t>
        </is>
      </c>
      <c r="B4431" t="inlineStr">
        <is>
          <t>527a468f-27a8-4a86-8fb1-d973953c3a18</t>
        </is>
      </c>
      <c r="D4431" t="inlineStr">
        <is>
          <t>30001087</t>
        </is>
      </c>
      <c r="E4431" t="inlineStr">
        <is>
          <t>ussd_funeral_leads_altitude_20260619</t>
        </is>
      </c>
      <c r="J4431" t="inlineStr">
        <is>
          <t>AA</t>
        </is>
      </c>
      <c r="K4431" t="inlineStr">
        <is>
          <t>Answering Machine Autodial</t>
        </is>
      </c>
      <c r="L4431" t="n">
        <v>2</v>
      </c>
      <c r="M4431" t="inlineStr">
        <is>
          <t>2026-06-23 07:52:20</t>
        </is>
      </c>
      <c r="N4431" t="inlineStr">
        <is>
          <t>system</t>
        </is>
      </c>
      <c r="O4431" t="inlineStr">
        <is>
          <t>2026-06-19 07:10:32</t>
        </is>
      </c>
      <c r="P4431" t="inlineStr">
        <is>
          <t>2026-06-19 07:10:32</t>
        </is>
      </c>
      <c r="Y4431" t="inlineStr">
        <is>
          <t>27762178754</t>
        </is>
      </c>
    </row>
    <row r="4432">
      <c r="A4432" t="inlineStr">
        <is>
          <t>14942835</t>
        </is>
      </c>
      <c r="B4432" t="inlineStr">
        <is>
          <t>34d2c9ed-f63c-4bc5-83ad-708717b7eb24</t>
        </is>
      </c>
      <c r="D4432" t="inlineStr">
        <is>
          <t>30001087</t>
        </is>
      </c>
      <c r="E4432" t="inlineStr">
        <is>
          <t>ussd_funeral_leads_altitude_20260619</t>
        </is>
      </c>
      <c r="J4432" t="inlineStr">
        <is>
          <t>AA</t>
        </is>
      </c>
      <c r="K4432" t="inlineStr">
        <is>
          <t>Answering Machine Autodial</t>
        </is>
      </c>
      <c r="L4432" t="n">
        <v>2</v>
      </c>
      <c r="M4432" t="inlineStr">
        <is>
          <t>2026-06-23 07:52:12</t>
        </is>
      </c>
      <c r="N4432" t="inlineStr">
        <is>
          <t>system</t>
        </is>
      </c>
      <c r="O4432" t="inlineStr">
        <is>
          <t>2026-06-19 07:10:32</t>
        </is>
      </c>
      <c r="P4432" t="inlineStr">
        <is>
          <t>2026-06-19 07:10:32</t>
        </is>
      </c>
      <c r="Y4432" t="inlineStr">
        <is>
          <t>27822633364</t>
        </is>
      </c>
    </row>
    <row r="4433">
      <c r="A4433" t="inlineStr">
        <is>
          <t>14942836</t>
        </is>
      </c>
      <c r="B4433" t="inlineStr">
        <is>
          <t>a7fa55e6-4d98-45c9-af20-77bc70a50b76</t>
        </is>
      </c>
      <c r="D4433" t="inlineStr">
        <is>
          <t>30001087</t>
        </is>
      </c>
      <c r="E4433" t="inlineStr">
        <is>
          <t>ussd_funeral_leads_altitude_20260619</t>
        </is>
      </c>
      <c r="J4433" t="inlineStr">
        <is>
          <t>NA</t>
        </is>
      </c>
      <c r="K4433" t="inlineStr">
        <is>
          <t>No Answer Autodial</t>
        </is>
      </c>
      <c r="L4433" t="n">
        <v>2</v>
      </c>
      <c r="M4433" t="inlineStr">
        <is>
          <t>2026-06-23 07:52:12</t>
        </is>
      </c>
      <c r="N4433" t="inlineStr">
        <is>
          <t>system</t>
        </is>
      </c>
      <c r="O4433" t="inlineStr">
        <is>
          <t>2026-06-19 07:10:32</t>
        </is>
      </c>
      <c r="P4433" t="inlineStr">
        <is>
          <t>2026-06-19 07:10:32</t>
        </is>
      </c>
      <c r="Y4433" t="inlineStr">
        <is>
          <t>27607398901</t>
        </is>
      </c>
    </row>
    <row r="4434">
      <c r="A4434" t="inlineStr">
        <is>
          <t>14942830</t>
        </is>
      </c>
      <c r="B4434" t="inlineStr">
        <is>
          <t>edf148a9-4c24-4bbd-830e-023544dbfed5</t>
        </is>
      </c>
      <c r="D4434" t="inlineStr">
        <is>
          <t>30001087</t>
        </is>
      </c>
      <c r="E4434" t="inlineStr">
        <is>
          <t>ussd_funeral_leads_altitude_20260619</t>
        </is>
      </c>
      <c r="J4434" t="inlineStr">
        <is>
          <t>AA</t>
        </is>
      </c>
      <c r="K4434" t="inlineStr">
        <is>
          <t>Answering Machine Autodial</t>
        </is>
      </c>
      <c r="L4434" t="n">
        <v>2</v>
      </c>
      <c r="M4434" t="inlineStr">
        <is>
          <t>2026-06-23 07:51:23</t>
        </is>
      </c>
      <c r="N4434" t="inlineStr">
        <is>
          <t>system</t>
        </is>
      </c>
      <c r="O4434" t="inlineStr">
        <is>
          <t>2026-06-19 07:10:32</t>
        </is>
      </c>
      <c r="P4434" t="inlineStr">
        <is>
          <t>2026-06-19 07:10:32</t>
        </is>
      </c>
      <c r="Y4434" t="inlineStr">
        <is>
          <t>27606707413</t>
        </is>
      </c>
    </row>
    <row r="4435">
      <c r="A4435" t="inlineStr">
        <is>
          <t>14942831</t>
        </is>
      </c>
      <c r="B4435" t="inlineStr">
        <is>
          <t>4411fb92-735d-4301-a67a-884065d5b944</t>
        </is>
      </c>
      <c r="D4435" t="inlineStr">
        <is>
          <t>30001087</t>
        </is>
      </c>
      <c r="E4435" t="inlineStr">
        <is>
          <t>ussd_funeral_leads_altitude_20260619</t>
        </is>
      </c>
      <c r="J4435" t="inlineStr">
        <is>
          <t>CU</t>
        </is>
      </c>
      <c r="K4435" t="inlineStr">
        <is>
          <t>Client Hung Up</t>
        </is>
      </c>
      <c r="L4435" t="n">
        <v>2</v>
      </c>
      <c r="M4435" t="inlineStr">
        <is>
          <t>2026-06-23 07:51:23</t>
        </is>
      </c>
      <c r="N4435" t="inlineStr">
        <is>
          <t>Goitsimang Mogwasa</t>
        </is>
      </c>
      <c r="O4435" t="inlineStr">
        <is>
          <t>2026-06-19 07:10:32</t>
        </is>
      </c>
      <c r="P4435" t="inlineStr">
        <is>
          <t>2026-06-19 07:10:32</t>
        </is>
      </c>
      <c r="Y4435" t="inlineStr">
        <is>
          <t>27791634964</t>
        </is>
      </c>
    </row>
    <row r="4436">
      <c r="A4436" t="inlineStr">
        <is>
          <t>14942832</t>
        </is>
      </c>
      <c r="B4436" t="inlineStr">
        <is>
          <t>9031a222-d871-498f-95fc-19a3e4f97d7f</t>
        </is>
      </c>
      <c r="D4436" t="inlineStr">
        <is>
          <t>30001087</t>
        </is>
      </c>
      <c r="E4436" t="inlineStr">
        <is>
          <t>ussd_funeral_leads_altitude_20260619</t>
        </is>
      </c>
      <c r="J4436" t="inlineStr">
        <is>
          <t>AA</t>
        </is>
      </c>
      <c r="K4436" t="inlineStr">
        <is>
          <t>Answering Machine Autodial</t>
        </is>
      </c>
      <c r="L4436" t="n">
        <v>2</v>
      </c>
      <c r="M4436" t="inlineStr">
        <is>
          <t>2026-06-23 07:51:23</t>
        </is>
      </c>
      <c r="N4436" t="inlineStr">
        <is>
          <t>system</t>
        </is>
      </c>
      <c r="O4436" t="inlineStr">
        <is>
          <t>2026-06-19 07:10:32</t>
        </is>
      </c>
      <c r="P4436" t="inlineStr">
        <is>
          <t>2026-06-19 07:10:32</t>
        </is>
      </c>
      <c r="Y4436" t="inlineStr">
        <is>
          <t>27660436344</t>
        </is>
      </c>
    </row>
    <row r="4437">
      <c r="A4437" t="inlineStr">
        <is>
          <t>14942834</t>
        </is>
      </c>
      <c r="B4437" t="inlineStr">
        <is>
          <t>44c3dfd8-5bda-4081-8756-366cc5dd6b32</t>
        </is>
      </c>
      <c r="D4437" t="inlineStr">
        <is>
          <t>30001087</t>
        </is>
      </c>
      <c r="E4437" t="inlineStr">
        <is>
          <t>ussd_funeral_leads_altitude_20260619</t>
        </is>
      </c>
      <c r="J4437" t="inlineStr">
        <is>
          <t>AA</t>
        </is>
      </c>
      <c r="K4437" t="inlineStr">
        <is>
          <t>Answering Machine Autodial</t>
        </is>
      </c>
      <c r="L4437" t="n">
        <v>2</v>
      </c>
      <c r="M4437" t="inlineStr">
        <is>
          <t>2026-06-23 07:51:23</t>
        </is>
      </c>
      <c r="N4437" t="inlineStr">
        <is>
          <t>system</t>
        </is>
      </c>
      <c r="O4437" t="inlineStr">
        <is>
          <t>2026-06-19 07:10:32</t>
        </is>
      </c>
      <c r="P4437" t="inlineStr">
        <is>
          <t>2026-06-19 07:10:32</t>
        </is>
      </c>
      <c r="Y4437" t="inlineStr">
        <is>
          <t>27827691140</t>
        </is>
      </c>
    </row>
    <row r="4438">
      <c r="A4438" t="inlineStr">
        <is>
          <t>14942827</t>
        </is>
      </c>
      <c r="B4438" t="inlineStr">
        <is>
          <t>01235d1a-526b-4617-9b80-8992c7eaae91</t>
        </is>
      </c>
      <c r="D4438" t="inlineStr">
        <is>
          <t>30001087</t>
        </is>
      </c>
      <c r="E4438" t="inlineStr">
        <is>
          <t>ussd_funeral_leads_altitude_20260619</t>
        </is>
      </c>
      <c r="J4438" t="inlineStr">
        <is>
          <t>ADC</t>
        </is>
      </c>
      <c r="K4438" t="inlineStr">
        <is>
          <t>Auto Dial Disconnected</t>
        </is>
      </c>
      <c r="L4438" t="n">
        <v>2</v>
      </c>
      <c r="M4438" t="inlineStr">
        <is>
          <t>2026-06-23 07:51:22</t>
        </is>
      </c>
      <c r="N4438" t="inlineStr">
        <is>
          <t>system</t>
        </is>
      </c>
      <c r="O4438" t="inlineStr">
        <is>
          <t>2026-06-19 07:10:32</t>
        </is>
      </c>
      <c r="P4438" t="inlineStr">
        <is>
          <t>2026-06-19 07:10:32</t>
        </is>
      </c>
      <c r="Y4438" t="inlineStr">
        <is>
          <t>27675480200</t>
        </is>
      </c>
    </row>
    <row r="4439">
      <c r="A4439" t="inlineStr">
        <is>
          <t>14942828</t>
        </is>
      </c>
      <c r="B4439" t="inlineStr">
        <is>
          <t>2a92057c-8162-4bb5-8cec-12f4aaa51f5c</t>
        </is>
      </c>
      <c r="D4439" t="inlineStr">
        <is>
          <t>30001087</t>
        </is>
      </c>
      <c r="E4439" t="inlineStr">
        <is>
          <t>ussd_funeral_leads_altitude_20260619</t>
        </is>
      </c>
      <c r="J4439" t="inlineStr">
        <is>
          <t>AA</t>
        </is>
      </c>
      <c r="K4439" t="inlineStr">
        <is>
          <t>Answering Machine Autodial</t>
        </is>
      </c>
      <c r="L4439" t="n">
        <v>2</v>
      </c>
      <c r="M4439" t="inlineStr">
        <is>
          <t>2026-06-23 07:51:22</t>
        </is>
      </c>
      <c r="N4439" t="inlineStr">
        <is>
          <t>system</t>
        </is>
      </c>
      <c r="O4439" t="inlineStr">
        <is>
          <t>2026-06-19 07:10:32</t>
        </is>
      </c>
      <c r="P4439" t="inlineStr">
        <is>
          <t>2026-06-19 07:10:32</t>
        </is>
      </c>
      <c r="Y4439" t="inlineStr">
        <is>
          <t>27772485004</t>
        </is>
      </c>
    </row>
    <row r="4440">
      <c r="A4440" t="inlineStr">
        <is>
          <t>14942829</t>
        </is>
      </c>
      <c r="B4440" t="inlineStr">
        <is>
          <t>deb965d9-eb61-49d5-9e67-7a848a70eec6</t>
        </is>
      </c>
      <c r="D4440" t="inlineStr">
        <is>
          <t>30001087</t>
        </is>
      </c>
      <c r="E4440" t="inlineStr">
        <is>
          <t>ussd_funeral_leads_altitude_20260619</t>
        </is>
      </c>
      <c r="J4440" t="inlineStr">
        <is>
          <t>AA</t>
        </is>
      </c>
      <c r="K4440" t="inlineStr">
        <is>
          <t>Answering Machine Autodial</t>
        </is>
      </c>
      <c r="L4440" t="n">
        <v>2</v>
      </c>
      <c r="M4440" t="inlineStr">
        <is>
          <t>2026-06-23 07:51:22</t>
        </is>
      </c>
      <c r="N4440" t="inlineStr">
        <is>
          <t>system</t>
        </is>
      </c>
      <c r="O4440" t="inlineStr">
        <is>
          <t>2026-06-19 07:10:32</t>
        </is>
      </c>
      <c r="P4440" t="inlineStr">
        <is>
          <t>2026-06-19 07:10:32</t>
        </is>
      </c>
      <c r="Y4440" t="inlineStr">
        <is>
          <t>27723383803</t>
        </is>
      </c>
    </row>
    <row r="4441">
      <c r="A4441" t="inlineStr">
        <is>
          <t>14943026</t>
        </is>
      </c>
      <c r="B4441" t="inlineStr">
        <is>
          <t>c0418324-96ff-49c7-996d-41a0aaca0848</t>
        </is>
      </c>
      <c r="D4441" t="inlineStr">
        <is>
          <t>30001087</t>
        </is>
      </c>
      <c r="E4441" t="inlineStr">
        <is>
          <t>ussd_funeral_leads_altitude_20260619</t>
        </is>
      </c>
      <c r="J4441" t="inlineStr">
        <is>
          <t>TDN</t>
        </is>
      </c>
      <c r="K4441" t="inlineStr">
        <is>
          <t>Temporary Disconnected Number</t>
        </is>
      </c>
      <c r="L4441" t="n">
        <v>2</v>
      </c>
      <c r="M4441" t="inlineStr">
        <is>
          <t>2026-06-23 07:51:19</t>
        </is>
      </c>
      <c r="N4441" t="inlineStr">
        <is>
          <t>system</t>
        </is>
      </c>
      <c r="O4441" t="inlineStr">
        <is>
          <t>2026-06-19 07:10:32</t>
        </is>
      </c>
      <c r="P4441" t="inlineStr">
        <is>
          <t>2026-06-19 07:10:32</t>
        </is>
      </c>
      <c r="Y4441" t="inlineStr">
        <is>
          <t>27760388962</t>
        </is>
      </c>
    </row>
    <row r="4442">
      <c r="A4442" t="inlineStr">
        <is>
          <t>14942864</t>
        </is>
      </c>
      <c r="B4442" t="inlineStr">
        <is>
          <t>65292ad2-cd76-4f1b-b510-59980dd60013</t>
        </is>
      </c>
      <c r="D4442" t="inlineStr">
        <is>
          <t>30001087</t>
        </is>
      </c>
      <c r="E4442" t="inlineStr">
        <is>
          <t>ussd_funeral_leads_altitude_20260619</t>
        </is>
      </c>
      <c r="J4442" t="inlineStr">
        <is>
          <t>NA</t>
        </is>
      </c>
      <c r="K4442" t="inlineStr">
        <is>
          <t>No Answer Autodial</t>
        </is>
      </c>
      <c r="L4442" t="n">
        <v>2</v>
      </c>
      <c r="M4442" t="inlineStr">
        <is>
          <t>2026-06-23 07:50:36</t>
        </is>
      </c>
      <c r="N4442" t="inlineStr">
        <is>
          <t>system</t>
        </is>
      </c>
      <c r="O4442" t="inlineStr">
        <is>
          <t>2026-06-19 07:10:32</t>
        </is>
      </c>
      <c r="P4442" t="inlineStr">
        <is>
          <t>2026-06-19 07:10:32</t>
        </is>
      </c>
      <c r="Y4442" t="inlineStr">
        <is>
          <t>27766749505</t>
        </is>
      </c>
    </row>
    <row r="4443">
      <c r="A4443" t="inlineStr">
        <is>
          <t>14942865</t>
        </is>
      </c>
      <c r="B4443" t="inlineStr">
        <is>
          <t>98958de1-e4dd-48f8-aa48-6fed2eaf8328</t>
        </is>
      </c>
      <c r="D4443" t="inlineStr">
        <is>
          <t>30001087</t>
        </is>
      </c>
      <c r="E4443" t="inlineStr">
        <is>
          <t>ussd_funeral_leads_altitude_20260619</t>
        </is>
      </c>
      <c r="J4443" t="inlineStr">
        <is>
          <t>ADC</t>
        </is>
      </c>
      <c r="K4443" t="inlineStr">
        <is>
          <t>Auto Dial Disconnected</t>
        </is>
      </c>
      <c r="L4443" t="n">
        <v>2</v>
      </c>
      <c r="M4443" t="inlineStr">
        <is>
          <t>2026-06-23 07:50:36</t>
        </is>
      </c>
      <c r="N4443" t="inlineStr">
        <is>
          <t>system</t>
        </is>
      </c>
      <c r="O4443" t="inlineStr">
        <is>
          <t>2026-06-19 07:10:32</t>
        </is>
      </c>
      <c r="P4443" t="inlineStr">
        <is>
          <t>2026-06-19 07:10:32</t>
        </is>
      </c>
      <c r="Y4443" t="inlineStr">
        <is>
          <t>27793907995</t>
        </is>
      </c>
    </row>
    <row r="4444">
      <c r="A4444" t="inlineStr">
        <is>
          <t>14942863</t>
        </is>
      </c>
      <c r="B4444" t="inlineStr">
        <is>
          <t>809e6fca-6ce9-4cc9-a374-80863d995dda</t>
        </is>
      </c>
      <c r="D4444" t="inlineStr">
        <is>
          <t>30001087</t>
        </is>
      </c>
      <c r="E4444" t="inlineStr">
        <is>
          <t>ussd_funeral_leads_altitude_20260619</t>
        </is>
      </c>
      <c r="J4444" t="inlineStr">
        <is>
          <t>AA</t>
        </is>
      </c>
      <c r="K4444" t="inlineStr">
        <is>
          <t>Answering Machine Autodial</t>
        </is>
      </c>
      <c r="L4444" t="n">
        <v>2</v>
      </c>
      <c r="M4444" t="inlineStr">
        <is>
          <t>2026-06-23 07:50:24</t>
        </is>
      </c>
      <c r="N4444" t="inlineStr">
        <is>
          <t>system</t>
        </is>
      </c>
      <c r="O4444" t="inlineStr">
        <is>
          <t>2026-06-19 07:10:32</t>
        </is>
      </c>
      <c r="P4444" t="inlineStr">
        <is>
          <t>2026-06-19 07:10:32</t>
        </is>
      </c>
      <c r="Y4444" t="inlineStr">
        <is>
          <t>27824790235</t>
        </is>
      </c>
    </row>
    <row r="4445">
      <c r="A4445" t="inlineStr">
        <is>
          <t>14947595</t>
        </is>
      </c>
      <c r="B4445" t="inlineStr">
        <is>
          <t>87b20f68-8697-414e-bb30-e7fea9aa30df</t>
        </is>
      </c>
      <c r="D4445" t="inlineStr">
        <is>
          <t>30001087</t>
        </is>
      </c>
      <c r="E4445" t="inlineStr">
        <is>
          <t>ussd_funeral_leads_altitude_20260619</t>
        </is>
      </c>
      <c r="J4445" t="inlineStr">
        <is>
          <t>NA</t>
        </is>
      </c>
      <c r="K4445" t="inlineStr">
        <is>
          <t>No Answer Autodial</t>
        </is>
      </c>
      <c r="L4445" t="n">
        <v>2</v>
      </c>
      <c r="M4445" t="inlineStr">
        <is>
          <t>2026-06-23 07:50:16</t>
        </is>
      </c>
      <c r="N4445" t="inlineStr">
        <is>
          <t>system</t>
        </is>
      </c>
      <c r="O4445" t="inlineStr">
        <is>
          <t>2026-06-19 07:10:32</t>
        </is>
      </c>
      <c r="P4445" t="inlineStr">
        <is>
          <t>2026-06-19 07:10:32</t>
        </is>
      </c>
      <c r="Y4445" t="inlineStr">
        <is>
          <t>27764850261</t>
        </is>
      </c>
    </row>
    <row r="4446">
      <c r="A4446" t="inlineStr">
        <is>
          <t>14947596</t>
        </is>
      </c>
      <c r="B4446" t="inlineStr">
        <is>
          <t>a2f66bc7-49d8-446b-9492-f502df216fe9</t>
        </is>
      </c>
      <c r="D4446" t="inlineStr">
        <is>
          <t>30001087</t>
        </is>
      </c>
      <c r="E4446" t="inlineStr">
        <is>
          <t>ussd_funeral_leads_altitude_20260619</t>
        </is>
      </c>
      <c r="J4446" t="inlineStr">
        <is>
          <t>ADC</t>
        </is>
      </c>
      <c r="K4446" t="inlineStr">
        <is>
          <t>Auto Dial Disconnected</t>
        </is>
      </c>
      <c r="L4446" t="n">
        <v>2</v>
      </c>
      <c r="M4446" t="inlineStr">
        <is>
          <t>2026-06-23 07:50:16</t>
        </is>
      </c>
      <c r="N4446" t="inlineStr">
        <is>
          <t>system</t>
        </is>
      </c>
      <c r="O4446" t="inlineStr">
        <is>
          <t>2026-06-19 07:10:32</t>
        </is>
      </c>
      <c r="P4446" t="inlineStr">
        <is>
          <t>2026-06-19 07:10:32</t>
        </is>
      </c>
      <c r="Y4446" t="inlineStr">
        <is>
          <t>27606378040</t>
        </is>
      </c>
    </row>
    <row r="4447">
      <c r="A4447" t="inlineStr">
        <is>
          <t>14947388</t>
        </is>
      </c>
      <c r="B4447" t="inlineStr">
        <is>
          <t>5ce147f4-1c9f-4add-bc35-b6914277c927</t>
        </is>
      </c>
      <c r="D4447" t="inlineStr">
        <is>
          <t>30001087</t>
        </is>
      </c>
      <c r="E4447" t="inlineStr">
        <is>
          <t>ussd_funeral_leads_altitude_20260619</t>
        </is>
      </c>
      <c r="J4447" t="inlineStr">
        <is>
          <t>NI</t>
        </is>
      </c>
      <c r="K4447" t="inlineStr">
        <is>
          <t>Not Interested</t>
        </is>
      </c>
      <c r="L4447" t="n">
        <v>2</v>
      </c>
      <c r="M4447" t="inlineStr">
        <is>
          <t>2026-06-23 07:50:09</t>
        </is>
      </c>
      <c r="N4447" t="inlineStr">
        <is>
          <t>Vuyiswa Nxumalo</t>
        </is>
      </c>
      <c r="O4447" t="inlineStr">
        <is>
          <t>2026-06-19 07:10:32</t>
        </is>
      </c>
      <c r="P4447" t="inlineStr">
        <is>
          <t>2026-06-19 07:10:32</t>
        </is>
      </c>
      <c r="Y4447" t="inlineStr">
        <is>
          <t>27790605127</t>
        </is>
      </c>
    </row>
    <row r="4448">
      <c r="A4448" t="inlineStr">
        <is>
          <t>14947390</t>
        </is>
      </c>
      <c r="B4448" t="inlineStr">
        <is>
          <t>eba33544-9b66-4ee2-81e3-ad516788801a</t>
        </is>
      </c>
      <c r="D4448" t="inlineStr">
        <is>
          <t>30001087</t>
        </is>
      </c>
      <c r="E4448" t="inlineStr">
        <is>
          <t>ussd_funeral_leads_altitude_20260619</t>
        </is>
      </c>
      <c r="J4448" t="inlineStr">
        <is>
          <t>CBACK</t>
        </is>
      </c>
      <c r="K4448" t="inlineStr">
        <is>
          <t>Callback</t>
        </is>
      </c>
      <c r="L4448" t="n">
        <v>2</v>
      </c>
      <c r="M4448" t="inlineStr">
        <is>
          <t>2026-06-23 07:50:05</t>
        </is>
      </c>
      <c r="N4448" t="inlineStr">
        <is>
          <t>Bongiwe Precious Cele</t>
        </is>
      </c>
      <c r="O4448" t="inlineStr">
        <is>
          <t>2026-06-19 07:10:32</t>
        </is>
      </c>
      <c r="P4448" t="inlineStr">
        <is>
          <t>2026-06-19 07:10:32</t>
        </is>
      </c>
      <c r="Y4448" t="inlineStr">
        <is>
          <t>27791491904</t>
        </is>
      </c>
    </row>
    <row r="4449">
      <c r="A4449" t="inlineStr">
        <is>
          <t>14943093</t>
        </is>
      </c>
      <c r="B4449" t="inlineStr">
        <is>
          <t>47df7441-b84a-4819-b232-65dea5903911</t>
        </is>
      </c>
      <c r="D4449" t="inlineStr">
        <is>
          <t>30001087</t>
        </is>
      </c>
      <c r="E4449" t="inlineStr">
        <is>
          <t>ussd_funeral_leads_altitude_20260619</t>
        </is>
      </c>
      <c r="J4449" t="inlineStr">
        <is>
          <t>AA</t>
        </is>
      </c>
      <c r="K4449" t="inlineStr">
        <is>
          <t>Answering Machine Autodial</t>
        </is>
      </c>
      <c r="L4449" t="n">
        <v>2</v>
      </c>
      <c r="M4449" t="inlineStr">
        <is>
          <t>2026-06-23 07:50:04</t>
        </is>
      </c>
      <c r="N4449" t="inlineStr">
        <is>
          <t>system</t>
        </is>
      </c>
      <c r="O4449" t="inlineStr">
        <is>
          <t>2026-06-19 07:10:32</t>
        </is>
      </c>
      <c r="P4449" t="inlineStr">
        <is>
          <t>2026-06-19 07:10:32</t>
        </is>
      </c>
      <c r="Y4449" t="inlineStr">
        <is>
          <t>27763953125</t>
        </is>
      </c>
    </row>
    <row r="4450">
      <c r="A4450" t="inlineStr">
        <is>
          <t>14900000</t>
        </is>
      </c>
      <c r="B4450" t="inlineStr">
        <is>
          <t>7e731891-f0f8-478c-be10-6fcf7b0ea92b</t>
        </is>
      </c>
      <c r="D4450" t="inlineStr">
        <is>
          <t>30001087</t>
        </is>
      </c>
      <c r="E4450" t="inlineStr">
        <is>
          <t>ussd_funeral_leads_altitude_20260619</t>
        </is>
      </c>
      <c r="J4450" t="inlineStr">
        <is>
          <t>ADC</t>
        </is>
      </c>
      <c r="K4450" t="inlineStr">
        <is>
          <t>Auto Dial Disconnected</t>
        </is>
      </c>
      <c r="L4450" t="n">
        <v>2</v>
      </c>
      <c r="M4450" t="inlineStr">
        <is>
          <t>2026-06-23 07:49:52</t>
        </is>
      </c>
      <c r="N4450" t="inlineStr">
        <is>
          <t>system</t>
        </is>
      </c>
      <c r="O4450" t="inlineStr">
        <is>
          <t>2026-06-19 07:10:32</t>
        </is>
      </c>
      <c r="P4450" t="inlineStr">
        <is>
          <t>2026-06-19 07:10:32</t>
        </is>
      </c>
      <c r="Y4450" t="inlineStr">
        <is>
          <t>27774520896</t>
        </is>
      </c>
    </row>
    <row r="4451">
      <c r="A4451" t="inlineStr">
        <is>
          <t>14947455</t>
        </is>
      </c>
      <c r="B4451" t="inlineStr">
        <is>
          <t>30f14b30-ccc7-4bbc-a8c0-8745e7127ad3</t>
        </is>
      </c>
      <c r="D4451" t="inlineStr">
        <is>
          <t>30001087</t>
        </is>
      </c>
      <c r="E4451" t="inlineStr">
        <is>
          <t>ussd_funeral_leads_altitude_20260619</t>
        </is>
      </c>
      <c r="J4451" t="inlineStr">
        <is>
          <t>ADC</t>
        </is>
      </c>
      <c r="K4451" t="inlineStr">
        <is>
          <t>Auto Dial Disconnected</t>
        </is>
      </c>
      <c r="L4451" t="n">
        <v>2</v>
      </c>
      <c r="M4451" t="inlineStr">
        <is>
          <t>2026-06-23 07:49:52</t>
        </is>
      </c>
      <c r="N4451" t="inlineStr">
        <is>
          <t>system</t>
        </is>
      </c>
      <c r="O4451" t="inlineStr">
        <is>
          <t>2026-06-19 07:10:32</t>
        </is>
      </c>
      <c r="P4451" t="inlineStr">
        <is>
          <t>2026-06-19 07:10:32</t>
        </is>
      </c>
      <c r="Y4451" t="inlineStr">
        <is>
          <t>27765350174</t>
        </is>
      </c>
    </row>
    <row r="4452">
      <c r="A4452" t="inlineStr">
        <is>
          <t>14943071</t>
        </is>
      </c>
      <c r="B4452" t="inlineStr">
        <is>
          <t>c23c461d-2369-4a96-822b-1eeed28cf260</t>
        </is>
      </c>
      <c r="D4452" t="inlineStr">
        <is>
          <t>30001087</t>
        </is>
      </c>
      <c r="E4452" t="inlineStr">
        <is>
          <t>ussd_funeral_leads_altitude_20260619</t>
        </is>
      </c>
      <c r="J4452" t="inlineStr">
        <is>
          <t>CU</t>
        </is>
      </c>
      <c r="K4452" t="inlineStr">
        <is>
          <t>Client Hung Up</t>
        </is>
      </c>
      <c r="L4452" t="n">
        <v>2</v>
      </c>
      <c r="M4452" t="inlineStr">
        <is>
          <t>2026-06-23 07:49:47</t>
        </is>
      </c>
      <c r="N4452" t="inlineStr">
        <is>
          <t>Lebohang Mabotja</t>
        </is>
      </c>
      <c r="O4452" t="inlineStr">
        <is>
          <t>2026-06-19 07:10:32</t>
        </is>
      </c>
      <c r="P4452" t="inlineStr">
        <is>
          <t>2026-06-19 07:10:32</t>
        </is>
      </c>
      <c r="Y4452" t="inlineStr">
        <is>
          <t>27820639608</t>
        </is>
      </c>
    </row>
    <row r="4453">
      <c r="A4453" t="inlineStr">
        <is>
          <t>14943072</t>
        </is>
      </c>
      <c r="B4453" t="inlineStr">
        <is>
          <t>5dfea37f-7a88-4180-ad46-7abff2031bd1</t>
        </is>
      </c>
      <c r="D4453" t="inlineStr">
        <is>
          <t>30001087</t>
        </is>
      </c>
      <c r="E4453" t="inlineStr">
        <is>
          <t>ussd_funeral_leads_altitude_20260619</t>
        </is>
      </c>
      <c r="J4453" t="inlineStr">
        <is>
          <t>AA</t>
        </is>
      </c>
      <c r="K4453" t="inlineStr">
        <is>
          <t>Answering Machine Autodial</t>
        </is>
      </c>
      <c r="L4453" t="n">
        <v>2</v>
      </c>
      <c r="M4453" t="inlineStr">
        <is>
          <t>2026-06-23 07:49:47</t>
        </is>
      </c>
      <c r="N4453" t="inlineStr">
        <is>
          <t>system</t>
        </is>
      </c>
      <c r="O4453" t="inlineStr">
        <is>
          <t>2026-06-19 07:10:32</t>
        </is>
      </c>
      <c r="P4453" t="inlineStr">
        <is>
          <t>2026-06-19 07:10:32</t>
        </is>
      </c>
      <c r="Y4453" t="inlineStr">
        <is>
          <t>27673702459</t>
        </is>
      </c>
    </row>
    <row r="4454">
      <c r="A4454" t="inlineStr">
        <is>
          <t>14943073</t>
        </is>
      </c>
      <c r="B4454" t="inlineStr">
        <is>
          <t>31e5d7db-1759-46e1-84fd-803017b0b327</t>
        </is>
      </c>
      <c r="D4454" t="inlineStr">
        <is>
          <t>30001087</t>
        </is>
      </c>
      <c r="E4454" t="inlineStr">
        <is>
          <t>ussd_funeral_leads_altitude_20260619</t>
        </is>
      </c>
      <c r="J4454" t="inlineStr">
        <is>
          <t>NA</t>
        </is>
      </c>
      <c r="K4454" t="inlineStr">
        <is>
          <t>No Answer Autodial</t>
        </is>
      </c>
      <c r="L4454" t="n">
        <v>2</v>
      </c>
      <c r="M4454" t="inlineStr">
        <is>
          <t>2026-06-23 07:49:47</t>
        </is>
      </c>
      <c r="N4454" t="inlineStr">
        <is>
          <t>system</t>
        </is>
      </c>
      <c r="O4454" t="inlineStr">
        <is>
          <t>2026-06-19 07:10:32</t>
        </is>
      </c>
      <c r="P4454" t="inlineStr">
        <is>
          <t>2026-06-19 07:10:32</t>
        </is>
      </c>
      <c r="Y4454" t="inlineStr">
        <is>
          <t>27827933699</t>
        </is>
      </c>
    </row>
    <row r="4455">
      <c r="A4455" t="inlineStr">
        <is>
          <t>14943075</t>
        </is>
      </c>
      <c r="B4455" t="inlineStr">
        <is>
          <t>0c6ac547-e1e1-48a1-bb82-f8318ab51863</t>
        </is>
      </c>
      <c r="D4455" t="inlineStr">
        <is>
          <t>30001087</t>
        </is>
      </c>
      <c r="E4455" t="inlineStr">
        <is>
          <t>ussd_funeral_leads_altitude_20260619</t>
        </is>
      </c>
      <c r="J4455" t="inlineStr">
        <is>
          <t>ADC</t>
        </is>
      </c>
      <c r="K4455" t="inlineStr">
        <is>
          <t>Auto Dial Disconnected</t>
        </is>
      </c>
      <c r="L4455" t="n">
        <v>2</v>
      </c>
      <c r="M4455" t="inlineStr">
        <is>
          <t>2026-06-23 07:49:47</t>
        </is>
      </c>
      <c r="N4455" t="inlineStr">
        <is>
          <t>system</t>
        </is>
      </c>
      <c r="O4455" t="inlineStr">
        <is>
          <t>2026-06-19 07:10:32</t>
        </is>
      </c>
      <c r="P4455" t="inlineStr">
        <is>
          <t>2026-06-19 07:10:32</t>
        </is>
      </c>
      <c r="Y4455" t="inlineStr">
        <is>
          <t>27792105606</t>
        </is>
      </c>
    </row>
    <row r="4456">
      <c r="A4456" t="inlineStr">
        <is>
          <t>14947456</t>
        </is>
      </c>
      <c r="B4456" t="inlineStr">
        <is>
          <t>29f2d178-752b-4b75-89d2-4789542f7f30</t>
        </is>
      </c>
      <c r="D4456" t="inlineStr">
        <is>
          <t>30001087</t>
        </is>
      </c>
      <c r="E4456" t="inlineStr">
        <is>
          <t>ussd_funeral_leads_altitude_20260619</t>
        </is>
      </c>
      <c r="J4456" t="inlineStr">
        <is>
          <t>AA</t>
        </is>
      </c>
      <c r="K4456" t="inlineStr">
        <is>
          <t>Answering Machine Autodial</t>
        </is>
      </c>
      <c r="L4456" t="n">
        <v>2</v>
      </c>
      <c r="M4456" t="inlineStr">
        <is>
          <t>2026-06-23 07:49:47</t>
        </is>
      </c>
      <c r="N4456" t="inlineStr">
        <is>
          <t>system</t>
        </is>
      </c>
      <c r="O4456" t="inlineStr">
        <is>
          <t>2026-06-19 07:10:32</t>
        </is>
      </c>
      <c r="P4456" t="inlineStr">
        <is>
          <t>2026-06-19 07:10:32</t>
        </is>
      </c>
      <c r="Y4456" t="inlineStr">
        <is>
          <t>27820571566</t>
        </is>
      </c>
    </row>
    <row r="4457">
      <c r="A4457" t="inlineStr">
        <is>
          <t>14947457</t>
        </is>
      </c>
      <c r="B4457" t="inlineStr">
        <is>
          <t>b5ea9335-1b61-4a94-9f8e-dfc255210eb9</t>
        </is>
      </c>
      <c r="D4457" t="inlineStr">
        <is>
          <t>30001087</t>
        </is>
      </c>
      <c r="E4457" t="inlineStr">
        <is>
          <t>ussd_funeral_leads_altitude_20260619</t>
        </is>
      </c>
      <c r="J4457" t="inlineStr">
        <is>
          <t>ADC</t>
        </is>
      </c>
      <c r="K4457" t="inlineStr">
        <is>
          <t>Auto Dial Disconnected</t>
        </is>
      </c>
      <c r="L4457" t="n">
        <v>2</v>
      </c>
      <c r="M4457" t="inlineStr">
        <is>
          <t>2026-06-23 07:49:47</t>
        </is>
      </c>
      <c r="N4457" t="inlineStr">
        <is>
          <t>system</t>
        </is>
      </c>
      <c r="O4457" t="inlineStr">
        <is>
          <t>2026-06-19 07:10:32</t>
        </is>
      </c>
      <c r="P4457" t="inlineStr">
        <is>
          <t>2026-06-19 07:10:32</t>
        </is>
      </c>
      <c r="Y4457" t="inlineStr">
        <is>
          <t>27798758442</t>
        </is>
      </c>
    </row>
    <row r="4458">
      <c r="A4458" t="inlineStr">
        <is>
          <t>14947458</t>
        </is>
      </c>
      <c r="B4458" t="inlineStr">
        <is>
          <t>d8f86dd8-ab88-49ee-b2d1-619de37aa40b</t>
        </is>
      </c>
      <c r="D4458" t="inlineStr">
        <is>
          <t>30001087</t>
        </is>
      </c>
      <c r="E4458" t="inlineStr">
        <is>
          <t>ussd_funeral_leads_altitude_20260619</t>
        </is>
      </c>
      <c r="J4458" t="inlineStr">
        <is>
          <t>AA</t>
        </is>
      </c>
      <c r="K4458" t="inlineStr">
        <is>
          <t>Answering Machine Autodial</t>
        </is>
      </c>
      <c r="L4458" t="n">
        <v>2</v>
      </c>
      <c r="M4458" t="inlineStr">
        <is>
          <t>2026-06-23 07:49:47</t>
        </is>
      </c>
      <c r="N4458" t="inlineStr">
        <is>
          <t>system</t>
        </is>
      </c>
      <c r="O4458" t="inlineStr">
        <is>
          <t>2026-06-19 07:10:32</t>
        </is>
      </c>
      <c r="P4458" t="inlineStr">
        <is>
          <t>2026-06-19 07:10:32</t>
        </is>
      </c>
      <c r="Y4458" t="inlineStr">
        <is>
          <t>27791955901</t>
        </is>
      </c>
    </row>
    <row r="4459">
      <c r="A4459" t="inlineStr">
        <is>
          <t>14947459</t>
        </is>
      </c>
      <c r="B4459" t="inlineStr">
        <is>
          <t>97ea9319-5e29-4341-abc3-eaa866c53b27</t>
        </is>
      </c>
      <c r="D4459" t="inlineStr">
        <is>
          <t>30001087</t>
        </is>
      </c>
      <c r="E4459" t="inlineStr">
        <is>
          <t>ussd_funeral_leads_altitude_20260619</t>
        </is>
      </c>
      <c r="J4459" t="inlineStr">
        <is>
          <t>NA</t>
        </is>
      </c>
      <c r="K4459" t="inlineStr">
        <is>
          <t>No Answer Autodial</t>
        </is>
      </c>
      <c r="L4459" t="n">
        <v>2</v>
      </c>
      <c r="M4459" t="inlineStr">
        <is>
          <t>2026-06-23 07:49:47</t>
        </is>
      </c>
      <c r="N4459" t="inlineStr">
        <is>
          <t>system</t>
        </is>
      </c>
      <c r="O4459" t="inlineStr">
        <is>
          <t>2026-06-19 07:10:32</t>
        </is>
      </c>
      <c r="P4459" t="inlineStr">
        <is>
          <t>2026-06-19 07:10:32</t>
        </is>
      </c>
      <c r="Y4459" t="inlineStr">
        <is>
          <t>27790236844</t>
        </is>
      </c>
    </row>
    <row r="4460">
      <c r="A4460" t="inlineStr">
        <is>
          <t>14943085</t>
        </is>
      </c>
      <c r="B4460" t="inlineStr">
        <is>
          <t>fb44d2ed-b79f-4c63-96c3-2ac23c1237dd</t>
        </is>
      </c>
      <c r="D4460" t="inlineStr">
        <is>
          <t>30001087</t>
        </is>
      </c>
      <c r="E4460" t="inlineStr">
        <is>
          <t>ussd_funeral_leads_altitude_20260619</t>
        </is>
      </c>
      <c r="J4460" t="inlineStr">
        <is>
          <t>AA</t>
        </is>
      </c>
      <c r="K4460" t="inlineStr">
        <is>
          <t>Answering Machine Autodial</t>
        </is>
      </c>
      <c r="L4460" t="n">
        <v>2</v>
      </c>
      <c r="M4460" t="inlineStr">
        <is>
          <t>2026-06-23 07:49:46</t>
        </is>
      </c>
      <c r="N4460" t="inlineStr">
        <is>
          <t>system</t>
        </is>
      </c>
      <c r="O4460" t="inlineStr">
        <is>
          <t>2026-06-19 07:10:32</t>
        </is>
      </c>
      <c r="P4460" t="inlineStr">
        <is>
          <t>2026-06-19 07:10:32</t>
        </is>
      </c>
      <c r="Y4460" t="inlineStr">
        <is>
          <t>27727045039</t>
        </is>
      </c>
    </row>
    <row r="4461">
      <c r="A4461" t="inlineStr">
        <is>
          <t>14900000</t>
        </is>
      </c>
      <c r="B4461" t="inlineStr">
        <is>
          <t>98e8204d-4a8e-43c9-8440-83bc3e0bbb36</t>
        </is>
      </c>
      <c r="D4461" t="inlineStr">
        <is>
          <t>30001087</t>
        </is>
      </c>
      <c r="E4461" t="inlineStr">
        <is>
          <t>ussd_funeral_leads_altitude_20260619</t>
        </is>
      </c>
      <c r="J4461" t="inlineStr">
        <is>
          <t>AA</t>
        </is>
      </c>
      <c r="K4461" t="inlineStr">
        <is>
          <t>Answering Machine Autodial</t>
        </is>
      </c>
      <c r="L4461" t="n">
        <v>2</v>
      </c>
      <c r="M4461" t="inlineStr">
        <is>
          <t>2026-06-23 07:49:41</t>
        </is>
      </c>
      <c r="N4461" t="inlineStr">
        <is>
          <t>system</t>
        </is>
      </c>
      <c r="O4461" t="inlineStr">
        <is>
          <t>2026-06-19 07:10:32</t>
        </is>
      </c>
      <c r="P4461" t="inlineStr">
        <is>
          <t>2026-06-19 07:10:32</t>
        </is>
      </c>
      <c r="Y4461" t="inlineStr">
        <is>
          <t>27761678608</t>
        </is>
      </c>
    </row>
    <row r="4462">
      <c r="A4462" t="inlineStr">
        <is>
          <t>14900000</t>
        </is>
      </c>
      <c r="B4462" t="inlineStr">
        <is>
          <t>2e59177a-8bdc-4852-a03c-7e1448aac8b5</t>
        </is>
      </c>
      <c r="D4462" t="inlineStr">
        <is>
          <t>30001087</t>
        </is>
      </c>
      <c r="E4462" t="inlineStr">
        <is>
          <t>ussd_funeral_leads_altitude_20260619</t>
        </is>
      </c>
      <c r="J4462" t="inlineStr">
        <is>
          <t>ADC</t>
        </is>
      </c>
      <c r="K4462" t="inlineStr">
        <is>
          <t>Auto Dial Disconnected</t>
        </is>
      </c>
      <c r="L4462" t="n">
        <v>2</v>
      </c>
      <c r="M4462" t="inlineStr">
        <is>
          <t>2026-06-23 07:49:31</t>
        </is>
      </c>
      <c r="N4462" t="inlineStr">
        <is>
          <t>system</t>
        </is>
      </c>
      <c r="O4462" t="inlineStr">
        <is>
          <t>2026-06-19 07:10:32</t>
        </is>
      </c>
      <c r="P4462" t="inlineStr">
        <is>
          <t>2026-06-19 07:10:32</t>
        </is>
      </c>
      <c r="Y4462" t="inlineStr">
        <is>
          <t>27774715022</t>
        </is>
      </c>
    </row>
    <row r="4463">
      <c r="A4463" t="inlineStr">
        <is>
          <t>14943069</t>
        </is>
      </c>
      <c r="B4463" t="inlineStr">
        <is>
          <t>98fa0943-ce23-4f0a-b709-fb2f3855fd41</t>
        </is>
      </c>
      <c r="D4463" t="inlineStr">
        <is>
          <t>30001087</t>
        </is>
      </c>
      <c r="E4463" t="inlineStr">
        <is>
          <t>ussd_funeral_leads_altitude_20260619</t>
        </is>
      </c>
      <c r="J4463" t="inlineStr">
        <is>
          <t>AA</t>
        </is>
      </c>
      <c r="K4463" t="inlineStr">
        <is>
          <t>Answering Machine Autodial</t>
        </is>
      </c>
      <c r="L4463" t="n">
        <v>2</v>
      </c>
      <c r="M4463" t="inlineStr">
        <is>
          <t>2026-06-23 07:49:31</t>
        </is>
      </c>
      <c r="N4463" t="inlineStr">
        <is>
          <t>system</t>
        </is>
      </c>
      <c r="O4463" t="inlineStr">
        <is>
          <t>2026-06-19 07:10:32</t>
        </is>
      </c>
      <c r="P4463" t="inlineStr">
        <is>
          <t>2026-06-19 07:10:32</t>
        </is>
      </c>
      <c r="Y4463" t="inlineStr">
        <is>
          <t>27661615038</t>
        </is>
      </c>
    </row>
    <row r="4464">
      <c r="A4464" t="inlineStr">
        <is>
          <t>14943083</t>
        </is>
      </c>
      <c r="B4464" t="inlineStr">
        <is>
          <t>85f344d9-2793-4490-9f0a-08cbf07392b9</t>
        </is>
      </c>
      <c r="D4464" t="inlineStr">
        <is>
          <t>30001087</t>
        </is>
      </c>
      <c r="E4464" t="inlineStr">
        <is>
          <t>ussd_funeral_leads_altitude_20260619</t>
        </is>
      </c>
      <c r="J4464" t="inlineStr">
        <is>
          <t>NA</t>
        </is>
      </c>
      <c r="K4464" t="inlineStr">
        <is>
          <t>No Answer Autodial</t>
        </is>
      </c>
      <c r="L4464" t="n">
        <v>2</v>
      </c>
      <c r="M4464" t="inlineStr">
        <is>
          <t>2026-06-23 07:48:55</t>
        </is>
      </c>
      <c r="N4464" t="inlineStr">
        <is>
          <t>system</t>
        </is>
      </c>
      <c r="O4464" t="inlineStr">
        <is>
          <t>2026-06-19 07:10:32</t>
        </is>
      </c>
      <c r="P4464" t="inlineStr">
        <is>
          <t>2026-06-19 07:10:32</t>
        </is>
      </c>
      <c r="Y4464" t="inlineStr">
        <is>
          <t>27729480777</t>
        </is>
      </c>
    </row>
    <row r="4465">
      <c r="A4465" t="inlineStr">
        <is>
          <t>14943084</t>
        </is>
      </c>
      <c r="B4465" t="inlineStr">
        <is>
          <t>4c1f18b2-14df-4f1e-9f5b-122b02a15659</t>
        </is>
      </c>
      <c r="D4465" t="inlineStr">
        <is>
          <t>30001087</t>
        </is>
      </c>
      <c r="E4465" t="inlineStr">
        <is>
          <t>ussd_funeral_leads_altitude_20260619</t>
        </is>
      </c>
      <c r="J4465" t="inlineStr">
        <is>
          <t>NA</t>
        </is>
      </c>
      <c r="K4465" t="inlineStr">
        <is>
          <t>No Answer Autodial</t>
        </is>
      </c>
      <c r="L4465" t="n">
        <v>2</v>
      </c>
      <c r="M4465" t="inlineStr">
        <is>
          <t>2026-06-23 07:48:55</t>
        </is>
      </c>
      <c r="N4465" t="inlineStr">
        <is>
          <t>system</t>
        </is>
      </c>
      <c r="O4465" t="inlineStr">
        <is>
          <t>2026-06-19 07:10:32</t>
        </is>
      </c>
      <c r="P4465" t="inlineStr">
        <is>
          <t>2026-06-19 07:10:32</t>
        </is>
      </c>
      <c r="Y4465" t="inlineStr">
        <is>
          <t>27825379515</t>
        </is>
      </c>
    </row>
    <row r="4466">
      <c r="A4466" t="inlineStr">
        <is>
          <t>14947461</t>
        </is>
      </c>
      <c r="B4466" t="inlineStr">
        <is>
          <t>8b2e6332-0681-4b94-9caa-b85ced4a31b9</t>
        </is>
      </c>
      <c r="D4466" t="inlineStr">
        <is>
          <t>30001087</t>
        </is>
      </c>
      <c r="E4466" t="inlineStr">
        <is>
          <t>ussd_funeral_leads_altitude_20260619</t>
        </is>
      </c>
      <c r="J4466" t="inlineStr">
        <is>
          <t>NI</t>
        </is>
      </c>
      <c r="K4466" t="inlineStr">
        <is>
          <t>Not Interested</t>
        </is>
      </c>
      <c r="L4466" t="n">
        <v>2</v>
      </c>
      <c r="M4466" t="inlineStr">
        <is>
          <t>2026-06-23 07:48:30</t>
        </is>
      </c>
      <c r="N4466" t="inlineStr">
        <is>
          <t>Goitsimang Mogwasa</t>
        </is>
      </c>
      <c r="O4466" t="inlineStr">
        <is>
          <t>2026-06-19 07:10:32</t>
        </is>
      </c>
      <c r="P4466" t="inlineStr">
        <is>
          <t>2026-06-19 07:10:32</t>
        </is>
      </c>
      <c r="Y4466" t="inlineStr">
        <is>
          <t>27725774785</t>
        </is>
      </c>
    </row>
    <row r="4467">
      <c r="A4467" t="inlineStr">
        <is>
          <t>14943077</t>
        </is>
      </c>
      <c r="B4467" t="inlineStr">
        <is>
          <t>7d65ff1d-9a38-49f8-95c3-5deade16043a</t>
        </is>
      </c>
      <c r="D4467" t="inlineStr">
        <is>
          <t>30001087</t>
        </is>
      </c>
      <c r="E4467" t="inlineStr">
        <is>
          <t>ussd_funeral_leads_altitude_20260619</t>
        </is>
      </c>
      <c r="J4467" t="inlineStr">
        <is>
          <t>AA</t>
        </is>
      </c>
      <c r="K4467" t="inlineStr">
        <is>
          <t>Answering Machine Autodial</t>
        </is>
      </c>
      <c r="L4467" t="n">
        <v>2</v>
      </c>
      <c r="M4467" t="inlineStr">
        <is>
          <t>2026-06-23 07:48:29</t>
        </is>
      </c>
      <c r="N4467" t="inlineStr">
        <is>
          <t>system</t>
        </is>
      </c>
      <c r="O4467" t="inlineStr">
        <is>
          <t>2026-06-19 07:10:32</t>
        </is>
      </c>
      <c r="P4467" t="inlineStr">
        <is>
          <t>2026-06-19 07:10:32</t>
        </is>
      </c>
      <c r="Y4467" t="inlineStr">
        <is>
          <t>27725127037</t>
        </is>
      </c>
    </row>
    <row r="4468">
      <c r="A4468" t="inlineStr">
        <is>
          <t>14943078</t>
        </is>
      </c>
      <c r="B4468" t="inlineStr">
        <is>
          <t>1a03cbca-8f73-4756-b5db-9eb97c0c8cc6</t>
        </is>
      </c>
      <c r="D4468" t="inlineStr">
        <is>
          <t>30001087</t>
        </is>
      </c>
      <c r="E4468" t="inlineStr">
        <is>
          <t>ussd_funeral_leads_altitude_20260619</t>
        </is>
      </c>
      <c r="J4468" t="inlineStr">
        <is>
          <t>AA</t>
        </is>
      </c>
      <c r="K4468" t="inlineStr">
        <is>
          <t>Answering Machine Autodial</t>
        </is>
      </c>
      <c r="L4468" t="n">
        <v>2</v>
      </c>
      <c r="M4468" t="inlineStr">
        <is>
          <t>2026-06-23 07:48:29</t>
        </is>
      </c>
      <c r="N4468" t="inlineStr">
        <is>
          <t>system</t>
        </is>
      </c>
      <c r="O4468" t="inlineStr">
        <is>
          <t>2026-06-19 07:10:32</t>
        </is>
      </c>
      <c r="P4468" t="inlineStr">
        <is>
          <t>2026-06-19 07:10:32</t>
        </is>
      </c>
      <c r="Y4468" t="inlineStr">
        <is>
          <t>27673612378</t>
        </is>
      </c>
    </row>
    <row r="4469">
      <c r="A4469" t="inlineStr">
        <is>
          <t>14943079</t>
        </is>
      </c>
      <c r="B4469" t="inlineStr">
        <is>
          <t>a74f9be6-2838-4a4c-9d13-6dae505a0160</t>
        </is>
      </c>
      <c r="D4469" t="inlineStr">
        <is>
          <t>30001087</t>
        </is>
      </c>
      <c r="E4469" t="inlineStr">
        <is>
          <t>ussd_funeral_leads_altitude_20260619</t>
        </is>
      </c>
      <c r="J4469" t="inlineStr">
        <is>
          <t>AA</t>
        </is>
      </c>
      <c r="K4469" t="inlineStr">
        <is>
          <t>Answering Machine Autodial</t>
        </is>
      </c>
      <c r="L4469" t="n">
        <v>2</v>
      </c>
      <c r="M4469" t="inlineStr">
        <is>
          <t>2026-06-23 07:48:29</t>
        </is>
      </c>
      <c r="N4469" t="inlineStr">
        <is>
          <t>system</t>
        </is>
      </c>
      <c r="O4469" t="inlineStr">
        <is>
          <t>2026-06-19 07:10:32</t>
        </is>
      </c>
      <c r="P4469" t="inlineStr">
        <is>
          <t>2026-06-19 07:10:32</t>
        </is>
      </c>
      <c r="Y4469" t="inlineStr">
        <is>
          <t>27722930812</t>
        </is>
      </c>
    </row>
    <row r="4470">
      <c r="A4470" t="inlineStr">
        <is>
          <t>14943080</t>
        </is>
      </c>
      <c r="B4470" t="inlineStr">
        <is>
          <t>06f57c33-b273-4d6b-8179-0c75eeecfdce</t>
        </is>
      </c>
      <c r="D4470" t="inlineStr">
        <is>
          <t>30001087</t>
        </is>
      </c>
      <c r="E4470" t="inlineStr">
        <is>
          <t>ussd_funeral_leads_altitude_20260619</t>
        </is>
      </c>
      <c r="J4470" t="inlineStr">
        <is>
          <t>AA</t>
        </is>
      </c>
      <c r="K4470" t="inlineStr">
        <is>
          <t>Answering Machine Autodial</t>
        </is>
      </c>
      <c r="L4470" t="n">
        <v>2</v>
      </c>
      <c r="M4470" t="inlineStr">
        <is>
          <t>2026-06-23 07:48:29</t>
        </is>
      </c>
      <c r="N4470" t="inlineStr">
        <is>
          <t>system</t>
        </is>
      </c>
      <c r="O4470" t="inlineStr">
        <is>
          <t>2026-06-19 07:10:32</t>
        </is>
      </c>
      <c r="P4470" t="inlineStr">
        <is>
          <t>2026-06-19 07:10:32</t>
        </is>
      </c>
      <c r="Y4470" t="inlineStr">
        <is>
          <t>27774135134</t>
        </is>
      </c>
    </row>
    <row r="4471">
      <c r="A4471" t="inlineStr">
        <is>
          <t>14943081</t>
        </is>
      </c>
      <c r="B4471" t="inlineStr">
        <is>
          <t>c4f51140-a7d2-452a-a6bb-8579cc17a274</t>
        </is>
      </c>
      <c r="D4471" t="inlineStr">
        <is>
          <t>30001087</t>
        </is>
      </c>
      <c r="E4471" t="inlineStr">
        <is>
          <t>ussd_funeral_leads_altitude_20260619</t>
        </is>
      </c>
      <c r="J4471" t="inlineStr">
        <is>
          <t>AA</t>
        </is>
      </c>
      <c r="K4471" t="inlineStr">
        <is>
          <t>Answering Machine Autodial</t>
        </is>
      </c>
      <c r="L4471" t="n">
        <v>2</v>
      </c>
      <c r="M4471" t="inlineStr">
        <is>
          <t>2026-06-23 07:48:29</t>
        </is>
      </c>
      <c r="N4471" t="inlineStr">
        <is>
          <t>system</t>
        </is>
      </c>
      <c r="O4471" t="inlineStr">
        <is>
          <t>2026-06-19 07:10:32</t>
        </is>
      </c>
      <c r="P4471" t="inlineStr">
        <is>
          <t>2026-06-19 07:10:32</t>
        </is>
      </c>
      <c r="Y4471" t="inlineStr">
        <is>
          <t>27608136466</t>
        </is>
      </c>
    </row>
    <row r="4472">
      <c r="A4472" t="inlineStr">
        <is>
          <t>14943076</t>
        </is>
      </c>
      <c r="B4472" t="inlineStr">
        <is>
          <t>388cb2e1-c128-42cb-9050-b92d1fe19030</t>
        </is>
      </c>
      <c r="D4472" t="inlineStr">
        <is>
          <t>30001087</t>
        </is>
      </c>
      <c r="E4472" t="inlineStr">
        <is>
          <t>ussd_funeral_leads_altitude_20260619</t>
        </is>
      </c>
      <c r="J4472" t="inlineStr">
        <is>
          <t>CU</t>
        </is>
      </c>
      <c r="K4472" t="inlineStr">
        <is>
          <t>Client Hung Up</t>
        </is>
      </c>
      <c r="L4472" t="n">
        <v>2</v>
      </c>
      <c r="M4472" t="inlineStr">
        <is>
          <t>2026-06-23 07:48:17</t>
        </is>
      </c>
      <c r="N4472" t="inlineStr">
        <is>
          <t>Bongiwe Precious Cele</t>
        </is>
      </c>
      <c r="O4472" t="inlineStr">
        <is>
          <t>2026-06-19 07:10:32</t>
        </is>
      </c>
      <c r="P4472" t="inlineStr">
        <is>
          <t>2026-06-19 07:10:32</t>
        </is>
      </c>
      <c r="Y4472" t="inlineStr">
        <is>
          <t>27725792769</t>
        </is>
      </c>
    </row>
    <row r="4473">
      <c r="A4473" t="inlineStr">
        <is>
          <t>14942843</t>
        </is>
      </c>
      <c r="B4473" t="inlineStr">
        <is>
          <t>d5fd51ed-eb58-40c1-b882-c6ec87493463</t>
        </is>
      </c>
      <c r="D4473" t="inlineStr">
        <is>
          <t>30001087</t>
        </is>
      </c>
      <c r="E4473" t="inlineStr">
        <is>
          <t>ussd_funeral_leads_altitude_20260619</t>
        </is>
      </c>
      <c r="J4473" t="inlineStr">
        <is>
          <t>A</t>
        </is>
      </c>
      <c r="K4473" t="inlineStr">
        <is>
          <t>Answering Machine</t>
        </is>
      </c>
      <c r="L4473" t="n">
        <v>3</v>
      </c>
      <c r="M4473" t="inlineStr">
        <is>
          <t>2026-06-23 07:48:16</t>
        </is>
      </c>
      <c r="N4473" t="inlineStr">
        <is>
          <t>Goitsimang Mogwasa</t>
        </is>
      </c>
      <c r="O4473" t="inlineStr">
        <is>
          <t>2026-06-19 07:10:32</t>
        </is>
      </c>
      <c r="P4473" t="inlineStr">
        <is>
          <t>2026-06-19 07:10:32</t>
        </is>
      </c>
      <c r="Y4473" t="inlineStr">
        <is>
          <t>27648292004</t>
        </is>
      </c>
    </row>
    <row r="4474">
      <c r="A4474" t="inlineStr">
        <is>
          <t>14943074</t>
        </is>
      </c>
      <c r="B4474" t="inlineStr">
        <is>
          <t>993b70a7-fde5-476d-8b20-afc1b8b0e607</t>
        </is>
      </c>
      <c r="D4474" t="inlineStr">
        <is>
          <t>30001087</t>
        </is>
      </c>
      <c r="E4474" t="inlineStr">
        <is>
          <t>ussd_funeral_leads_altitude_20260619</t>
        </is>
      </c>
      <c r="J4474" t="inlineStr">
        <is>
          <t>DROP</t>
        </is>
      </c>
      <c r="K4474" t="inlineStr">
        <is>
          <t>Dropped</t>
        </is>
      </c>
      <c r="L4474" t="n">
        <v>2</v>
      </c>
      <c r="M4474" t="inlineStr">
        <is>
          <t>2026-06-23 07:48:16</t>
        </is>
      </c>
      <c r="N4474" t="inlineStr">
        <is>
          <t>system</t>
        </is>
      </c>
      <c r="O4474" t="inlineStr">
        <is>
          <t>2026-06-19 07:10:32</t>
        </is>
      </c>
      <c r="P4474" t="inlineStr">
        <is>
          <t>2026-06-19 07:10:32</t>
        </is>
      </c>
      <c r="Y4474" t="inlineStr">
        <is>
          <t>27769445622</t>
        </is>
      </c>
    </row>
    <row r="4475">
      <c r="A4475" t="inlineStr">
        <is>
          <t>14947445</t>
        </is>
      </c>
      <c r="B4475" t="inlineStr">
        <is>
          <t>80a6474f-9810-499f-bd5f-8944360502f9</t>
        </is>
      </c>
      <c r="D4475" t="inlineStr">
        <is>
          <t>30001087</t>
        </is>
      </c>
      <c r="E4475" t="inlineStr">
        <is>
          <t>ussd_funeral_leads_altitude_20260619</t>
        </is>
      </c>
      <c r="J4475" t="inlineStr">
        <is>
          <t>AA</t>
        </is>
      </c>
      <c r="K4475" t="inlineStr">
        <is>
          <t>Answering Machine Autodial</t>
        </is>
      </c>
      <c r="L4475" t="n">
        <v>2</v>
      </c>
      <c r="M4475" t="inlineStr">
        <is>
          <t>2026-06-23 07:48:13</t>
        </is>
      </c>
      <c r="N4475" t="inlineStr">
        <is>
          <t>system</t>
        </is>
      </c>
      <c r="O4475" t="inlineStr">
        <is>
          <t>2026-06-19 07:10:32</t>
        </is>
      </c>
      <c r="P4475" t="inlineStr">
        <is>
          <t>2026-06-19 07:10:32</t>
        </is>
      </c>
      <c r="Y4475" t="inlineStr">
        <is>
          <t>27796360783</t>
        </is>
      </c>
    </row>
    <row r="4476">
      <c r="A4476" t="inlineStr">
        <is>
          <t>14947446</t>
        </is>
      </c>
      <c r="B4476" t="inlineStr">
        <is>
          <t>ad1effd6-6461-4698-b63e-97c86d967a2f</t>
        </is>
      </c>
      <c r="D4476" t="inlineStr">
        <is>
          <t>30001087</t>
        </is>
      </c>
      <c r="E4476" t="inlineStr">
        <is>
          <t>ussd_funeral_leads_altitude_20260619</t>
        </is>
      </c>
      <c r="J4476" t="inlineStr">
        <is>
          <t>NA</t>
        </is>
      </c>
      <c r="K4476" t="inlineStr">
        <is>
          <t>No Answer Autodial</t>
        </is>
      </c>
      <c r="L4476" t="n">
        <v>2</v>
      </c>
      <c r="M4476" t="inlineStr">
        <is>
          <t>2026-06-23 07:48:12</t>
        </is>
      </c>
      <c r="N4476" t="inlineStr">
        <is>
          <t>system</t>
        </is>
      </c>
      <c r="O4476" t="inlineStr">
        <is>
          <t>2026-06-19 07:10:32</t>
        </is>
      </c>
      <c r="P4476" t="inlineStr">
        <is>
          <t>2026-06-19 07:10:32</t>
        </is>
      </c>
      <c r="Y4476" t="inlineStr">
        <is>
          <t>27769960463</t>
        </is>
      </c>
    </row>
    <row r="4477">
      <c r="A4477" t="inlineStr">
        <is>
          <t>14947447</t>
        </is>
      </c>
      <c r="B4477" t="inlineStr">
        <is>
          <t>384a4453-01bb-4f4c-87f5-14833d0acbe7</t>
        </is>
      </c>
      <c r="D4477" t="inlineStr">
        <is>
          <t>30001087</t>
        </is>
      </c>
      <c r="E4477" t="inlineStr">
        <is>
          <t>ussd_funeral_leads_altitude_20260619</t>
        </is>
      </c>
      <c r="J4477" t="inlineStr">
        <is>
          <t>ADC</t>
        </is>
      </c>
      <c r="K4477" t="inlineStr">
        <is>
          <t>Auto Dial Disconnected</t>
        </is>
      </c>
      <c r="L4477" t="n">
        <v>2</v>
      </c>
      <c r="M4477" t="inlineStr">
        <is>
          <t>2026-06-23 07:48:12</t>
        </is>
      </c>
      <c r="N4477" t="inlineStr">
        <is>
          <t>system</t>
        </is>
      </c>
      <c r="O4477" t="inlineStr">
        <is>
          <t>2026-06-19 07:10:32</t>
        </is>
      </c>
      <c r="P4477" t="inlineStr">
        <is>
          <t>2026-06-19 07:10:32</t>
        </is>
      </c>
      <c r="Y4477" t="inlineStr">
        <is>
          <t>27794844162</t>
        </is>
      </c>
    </row>
    <row r="4478">
      <c r="A4478" t="inlineStr">
        <is>
          <t>14947452</t>
        </is>
      </c>
      <c r="B4478" t="inlineStr">
        <is>
          <t>652c47bb-b22c-4838-a4a6-71d91318a127</t>
        </is>
      </c>
      <c r="D4478" t="inlineStr">
        <is>
          <t>30001087</t>
        </is>
      </c>
      <c r="E4478" t="inlineStr">
        <is>
          <t>ussd_funeral_leads_altitude_20260619</t>
        </is>
      </c>
      <c r="J4478" t="inlineStr">
        <is>
          <t>AF</t>
        </is>
      </c>
      <c r="K4478" t="inlineStr">
        <is>
          <t>Cannot Afford</t>
        </is>
      </c>
      <c r="L4478" t="n">
        <v>2</v>
      </c>
      <c r="M4478" t="inlineStr">
        <is>
          <t>2026-06-23 07:47:40</t>
        </is>
      </c>
      <c r="N4478" t="inlineStr">
        <is>
          <t>Vuyiswa Nxumalo</t>
        </is>
      </c>
      <c r="O4478" t="inlineStr">
        <is>
          <t>2026-06-19 07:10:32</t>
        </is>
      </c>
      <c r="P4478" t="inlineStr">
        <is>
          <t>2026-06-19 07:10:32</t>
        </is>
      </c>
      <c r="Y4478" t="inlineStr">
        <is>
          <t>27825444918</t>
        </is>
      </c>
    </row>
    <row r="4479">
      <c r="A4479" t="inlineStr">
        <is>
          <t>14947450</t>
        </is>
      </c>
      <c r="B4479" t="inlineStr">
        <is>
          <t>62e3b7b3-32a1-4e01-a002-2333e775e4c7</t>
        </is>
      </c>
      <c r="D4479" t="inlineStr">
        <is>
          <t>30001087</t>
        </is>
      </c>
      <c r="E4479" t="inlineStr">
        <is>
          <t>ussd_funeral_leads_altitude_20260619</t>
        </is>
      </c>
      <c r="J4479" t="inlineStr">
        <is>
          <t>NA</t>
        </is>
      </c>
      <c r="K4479" t="inlineStr">
        <is>
          <t>No Answer Autodial</t>
        </is>
      </c>
      <c r="L4479" t="n">
        <v>2</v>
      </c>
      <c r="M4479" t="inlineStr">
        <is>
          <t>2026-06-23 07:46:37</t>
        </is>
      </c>
      <c r="N4479" t="inlineStr">
        <is>
          <t>system</t>
        </is>
      </c>
      <c r="O4479" t="inlineStr">
        <is>
          <t>2026-06-19 07:10:32</t>
        </is>
      </c>
      <c r="P4479" t="inlineStr">
        <is>
          <t>2026-06-19 07:10:32</t>
        </is>
      </c>
      <c r="Y4479" t="inlineStr">
        <is>
          <t>27818341727</t>
        </is>
      </c>
    </row>
    <row r="4480">
      <c r="A4480" t="inlineStr">
        <is>
          <t>14947448</t>
        </is>
      </c>
      <c r="B4480" t="inlineStr">
        <is>
          <t>1ff140dc-9a1a-4855-90cd-03f1358a2bbe</t>
        </is>
      </c>
      <c r="D4480" t="inlineStr">
        <is>
          <t>30001087</t>
        </is>
      </c>
      <c r="E4480" t="inlineStr">
        <is>
          <t>ussd_funeral_leads_altitude_20260619</t>
        </is>
      </c>
      <c r="J4480" t="inlineStr">
        <is>
          <t>ADC</t>
        </is>
      </c>
      <c r="K4480" t="inlineStr">
        <is>
          <t>Auto Dial Disconnected</t>
        </is>
      </c>
      <c r="L4480" t="n">
        <v>2</v>
      </c>
      <c r="M4480" t="inlineStr">
        <is>
          <t>2026-06-23 07:46:36</t>
        </is>
      </c>
      <c r="N4480" t="inlineStr">
        <is>
          <t>system</t>
        </is>
      </c>
      <c r="O4480" t="inlineStr">
        <is>
          <t>2026-06-19 07:10:32</t>
        </is>
      </c>
      <c r="P4480" t="inlineStr">
        <is>
          <t>2026-06-19 07:10:32</t>
        </is>
      </c>
      <c r="Y4480" t="inlineStr">
        <is>
          <t>27663354744</t>
        </is>
      </c>
    </row>
    <row r="4481">
      <c r="A4481" t="inlineStr">
        <is>
          <t>14947451</t>
        </is>
      </c>
      <c r="B4481" t="inlineStr">
        <is>
          <t>e74ef012-99e3-4cc1-8296-4360d26767d5</t>
        </is>
      </c>
      <c r="D4481" t="inlineStr">
        <is>
          <t>30001087</t>
        </is>
      </c>
      <c r="E4481" t="inlineStr">
        <is>
          <t>ussd_funeral_leads_altitude_20260619</t>
        </is>
      </c>
      <c r="J4481" t="inlineStr">
        <is>
          <t>DROP</t>
        </is>
      </c>
      <c r="K4481" t="inlineStr">
        <is>
          <t>Dropped</t>
        </is>
      </c>
      <c r="L4481" t="n">
        <v>2</v>
      </c>
      <c r="M4481" t="inlineStr">
        <is>
          <t>2026-06-23 07:46:35</t>
        </is>
      </c>
      <c r="N4481" t="inlineStr">
        <is>
          <t>system</t>
        </is>
      </c>
      <c r="O4481" t="inlineStr">
        <is>
          <t>2026-06-19 07:10:32</t>
        </is>
      </c>
      <c r="P4481" t="inlineStr">
        <is>
          <t>2026-06-19 07:10:32</t>
        </is>
      </c>
      <c r="Y4481" t="inlineStr">
        <is>
          <t>27648201546</t>
        </is>
      </c>
    </row>
    <row r="4482">
      <c r="A4482" t="inlineStr">
        <is>
          <t>14947425</t>
        </is>
      </c>
      <c r="B4482" t="inlineStr">
        <is>
          <t>a7db133f-29ee-4602-a04a-f15a3364fea9</t>
        </is>
      </c>
      <c r="D4482" t="inlineStr">
        <is>
          <t>30001087</t>
        </is>
      </c>
      <c r="E4482" t="inlineStr">
        <is>
          <t>ussd_funeral_leads_altitude_20260619</t>
        </is>
      </c>
      <c r="J4482" t="inlineStr">
        <is>
          <t>AA</t>
        </is>
      </c>
      <c r="K4482" t="inlineStr">
        <is>
          <t>Answering Machine Autodial</t>
        </is>
      </c>
      <c r="L4482" t="n">
        <v>2</v>
      </c>
      <c r="M4482" t="inlineStr">
        <is>
          <t>2026-06-23 07:46:08</t>
        </is>
      </c>
      <c r="N4482" t="inlineStr">
        <is>
          <t>system</t>
        </is>
      </c>
      <c r="O4482" t="inlineStr">
        <is>
          <t>2026-06-19 07:10:32</t>
        </is>
      </c>
      <c r="P4482" t="inlineStr">
        <is>
          <t>2026-06-19 07:10:32</t>
        </is>
      </c>
      <c r="Y4482" t="inlineStr">
        <is>
          <t>27818731417</t>
        </is>
      </c>
    </row>
    <row r="4483">
      <c r="A4483" t="inlineStr">
        <is>
          <t>14947397</t>
        </is>
      </c>
      <c r="B4483" t="inlineStr">
        <is>
          <t>e1b608d9-b88f-4a75-9f21-f8bcbb406b36</t>
        </is>
      </c>
      <c r="D4483" t="inlineStr">
        <is>
          <t>30001087</t>
        </is>
      </c>
      <c r="E4483" t="inlineStr">
        <is>
          <t>ussd_funeral_leads_altitude_20260619</t>
        </is>
      </c>
      <c r="J4483" t="inlineStr">
        <is>
          <t>CUA</t>
        </is>
      </c>
      <c r="K4483" t="inlineStr">
        <is>
          <t>Client Underage</t>
        </is>
      </c>
      <c r="L4483" t="n">
        <v>2</v>
      </c>
      <c r="M4483" t="inlineStr">
        <is>
          <t>2026-06-23 07:46:08</t>
        </is>
      </c>
      <c r="N4483" t="inlineStr">
        <is>
          <t>Lebohang Mabotja</t>
        </is>
      </c>
      <c r="O4483" t="inlineStr">
        <is>
          <t>2026-06-19 07:10:32</t>
        </is>
      </c>
      <c r="P4483" t="inlineStr">
        <is>
          <t>2026-06-19 07:10:32</t>
        </is>
      </c>
      <c r="Y4483" t="inlineStr">
        <is>
          <t>27608818124</t>
        </is>
      </c>
    </row>
    <row r="4484">
      <c r="A4484" t="inlineStr">
        <is>
          <t>14947426</t>
        </is>
      </c>
      <c r="B4484" t="inlineStr">
        <is>
          <t>ab9c09d9-4e0b-455e-aa21-8f5eb8665aab</t>
        </is>
      </c>
      <c r="D4484" t="inlineStr">
        <is>
          <t>30001087</t>
        </is>
      </c>
      <c r="E4484" t="inlineStr">
        <is>
          <t>ussd_funeral_leads_altitude_20260619</t>
        </is>
      </c>
      <c r="J4484" t="inlineStr">
        <is>
          <t>AA</t>
        </is>
      </c>
      <c r="K4484" t="inlineStr">
        <is>
          <t>Answering Machine Autodial</t>
        </is>
      </c>
      <c r="L4484" t="n">
        <v>2</v>
      </c>
      <c r="M4484" t="inlineStr">
        <is>
          <t>2026-06-23 07:46:07</t>
        </is>
      </c>
      <c r="N4484" t="inlineStr">
        <is>
          <t>system</t>
        </is>
      </c>
      <c r="O4484" t="inlineStr">
        <is>
          <t>2026-06-19 07:10:32</t>
        </is>
      </c>
      <c r="P4484" t="inlineStr">
        <is>
          <t>2026-06-19 07:10:32</t>
        </is>
      </c>
      <c r="Y4484" t="inlineStr">
        <is>
          <t>27608730350</t>
        </is>
      </c>
    </row>
    <row r="4485">
      <c r="A4485" t="inlineStr">
        <is>
          <t>14947427</t>
        </is>
      </c>
      <c r="B4485" t="inlineStr">
        <is>
          <t>ac105575-27bb-414f-9e27-3349578500d4</t>
        </is>
      </c>
      <c r="D4485" t="inlineStr">
        <is>
          <t>30001087</t>
        </is>
      </c>
      <c r="E4485" t="inlineStr">
        <is>
          <t>ussd_funeral_leads_altitude_20260619</t>
        </is>
      </c>
      <c r="J4485" t="inlineStr">
        <is>
          <t>ADC</t>
        </is>
      </c>
      <c r="K4485" t="inlineStr">
        <is>
          <t>Auto Dial Disconnected</t>
        </is>
      </c>
      <c r="L4485" t="n">
        <v>2</v>
      </c>
      <c r="M4485" t="inlineStr">
        <is>
          <t>2026-06-23 07:46:07</t>
        </is>
      </c>
      <c r="N4485" t="inlineStr">
        <is>
          <t>system</t>
        </is>
      </c>
      <c r="O4485" t="inlineStr">
        <is>
          <t>2026-06-19 07:10:32</t>
        </is>
      </c>
      <c r="P4485" t="inlineStr">
        <is>
          <t>2026-06-19 07:10:32</t>
        </is>
      </c>
      <c r="Y4485" t="inlineStr">
        <is>
          <t>27675868992</t>
        </is>
      </c>
    </row>
    <row r="4486">
      <c r="A4486" t="inlineStr">
        <is>
          <t>14947438</t>
        </is>
      </c>
      <c r="B4486" t="inlineStr">
        <is>
          <t>3c91b6e4-5ce1-46b7-bb8e-f1c91f85449c</t>
        </is>
      </c>
      <c r="D4486" t="inlineStr">
        <is>
          <t>30001087</t>
        </is>
      </c>
      <c r="E4486" t="inlineStr">
        <is>
          <t>ussd_funeral_leads_altitude_20260619</t>
        </is>
      </c>
      <c r="J4486" t="inlineStr">
        <is>
          <t>CBACK</t>
        </is>
      </c>
      <c r="K4486" t="inlineStr">
        <is>
          <t>Callback</t>
        </is>
      </c>
      <c r="L4486" t="n">
        <v>2</v>
      </c>
      <c r="M4486" t="inlineStr">
        <is>
          <t>2026-06-23 07:45:48</t>
        </is>
      </c>
      <c r="N4486" t="inlineStr">
        <is>
          <t>Gontse Monageng</t>
        </is>
      </c>
      <c r="O4486" t="inlineStr">
        <is>
          <t>2026-06-19 07:10:32</t>
        </is>
      </c>
      <c r="P4486" t="inlineStr">
        <is>
          <t>2026-06-19 07:10:32</t>
        </is>
      </c>
      <c r="Y4486" t="inlineStr">
        <is>
          <t>27728717480</t>
        </is>
      </c>
    </row>
    <row r="4487">
      <c r="A4487" t="inlineStr">
        <is>
          <t>14947440</t>
        </is>
      </c>
      <c r="B4487" t="inlineStr">
        <is>
          <t>6b145b48-1d4f-44fd-9672-6f2606fc4d4a</t>
        </is>
      </c>
      <c r="D4487" t="inlineStr">
        <is>
          <t>30001087</t>
        </is>
      </c>
      <c r="E4487" t="inlineStr">
        <is>
          <t>ussd_funeral_leads_altitude_20260619</t>
        </is>
      </c>
      <c r="J4487" t="inlineStr">
        <is>
          <t>AA</t>
        </is>
      </c>
      <c r="K4487" t="inlineStr">
        <is>
          <t>Answering Machine Autodial</t>
        </is>
      </c>
      <c r="L4487" t="n">
        <v>2</v>
      </c>
      <c r="M4487" t="inlineStr">
        <is>
          <t>2026-06-23 07:45:48</t>
        </is>
      </c>
      <c r="N4487" t="inlineStr">
        <is>
          <t>system</t>
        </is>
      </c>
      <c r="O4487" t="inlineStr">
        <is>
          <t>2026-06-19 07:10:32</t>
        </is>
      </c>
      <c r="P4487" t="inlineStr">
        <is>
          <t>2026-06-19 07:10:32</t>
        </is>
      </c>
      <c r="Y4487" t="inlineStr">
        <is>
          <t>27774414484</t>
        </is>
      </c>
    </row>
    <row r="4488">
      <c r="A4488" t="inlineStr">
        <is>
          <t>14947441</t>
        </is>
      </c>
      <c r="B4488" t="inlineStr">
        <is>
          <t>892be4d6-c977-41a7-b4a9-20775af09c14</t>
        </is>
      </c>
      <c r="D4488" t="inlineStr">
        <is>
          <t>30001087</t>
        </is>
      </c>
      <c r="E4488" t="inlineStr">
        <is>
          <t>ussd_funeral_leads_altitude_20260619</t>
        </is>
      </c>
      <c r="J4488" t="inlineStr">
        <is>
          <t>AA</t>
        </is>
      </c>
      <c r="K4488" t="inlineStr">
        <is>
          <t>Answering Machine Autodial</t>
        </is>
      </c>
      <c r="L4488" t="n">
        <v>2</v>
      </c>
      <c r="M4488" t="inlineStr">
        <is>
          <t>2026-06-23 07:45:48</t>
        </is>
      </c>
      <c r="N4488" t="inlineStr">
        <is>
          <t>system</t>
        </is>
      </c>
      <c r="O4488" t="inlineStr">
        <is>
          <t>2026-06-19 07:10:32</t>
        </is>
      </c>
      <c r="P4488" t="inlineStr">
        <is>
          <t>2026-06-19 07:10:32</t>
        </is>
      </c>
      <c r="Y4488" t="inlineStr">
        <is>
          <t>27713758223</t>
        </is>
      </c>
    </row>
    <row r="4489">
      <c r="A4489" t="inlineStr">
        <is>
          <t>14947442</t>
        </is>
      </c>
      <c r="B4489" t="inlineStr">
        <is>
          <t>3242b77f-0df6-4d3f-b6c1-f7145371e235</t>
        </is>
      </c>
      <c r="D4489" t="inlineStr">
        <is>
          <t>30001087</t>
        </is>
      </c>
      <c r="E4489" t="inlineStr">
        <is>
          <t>ussd_funeral_leads_altitude_20260619</t>
        </is>
      </c>
      <c r="J4489" t="inlineStr">
        <is>
          <t>ADC</t>
        </is>
      </c>
      <c r="K4489" t="inlineStr">
        <is>
          <t>Auto Dial Disconnected</t>
        </is>
      </c>
      <c r="L4489" t="n">
        <v>2</v>
      </c>
      <c r="M4489" t="inlineStr">
        <is>
          <t>2026-06-23 07:45:44</t>
        </is>
      </c>
      <c r="N4489" t="inlineStr">
        <is>
          <t>system</t>
        </is>
      </c>
      <c r="O4489" t="inlineStr">
        <is>
          <t>2026-06-19 07:10:32</t>
        </is>
      </c>
      <c r="P4489" t="inlineStr">
        <is>
          <t>2026-06-19 07:10:32</t>
        </is>
      </c>
      <c r="Y4489" t="inlineStr">
        <is>
          <t>27768702141</t>
        </is>
      </c>
    </row>
    <row r="4490">
      <c r="A4490" t="inlineStr">
        <is>
          <t>14947443</t>
        </is>
      </c>
      <c r="B4490" t="inlineStr">
        <is>
          <t>2c0f0543-5a3e-4d5b-826c-4cdb11bc96ad</t>
        </is>
      </c>
      <c r="D4490" t="inlineStr">
        <is>
          <t>30001087</t>
        </is>
      </c>
      <c r="E4490" t="inlineStr">
        <is>
          <t>ussd_funeral_leads_altitude_20260619</t>
        </is>
      </c>
      <c r="J4490" t="inlineStr">
        <is>
          <t>TDN</t>
        </is>
      </c>
      <c r="K4490" t="inlineStr">
        <is>
          <t>Temporary Disconnected Number</t>
        </is>
      </c>
      <c r="L4490" t="n">
        <v>2</v>
      </c>
      <c r="M4490" t="inlineStr">
        <is>
          <t>2026-06-23 07:45:44</t>
        </is>
      </c>
      <c r="N4490" t="inlineStr">
        <is>
          <t>system</t>
        </is>
      </c>
      <c r="O4490" t="inlineStr">
        <is>
          <t>2026-06-19 07:10:32</t>
        </is>
      </c>
      <c r="P4490" t="inlineStr">
        <is>
          <t>2026-06-19 07:10:32</t>
        </is>
      </c>
      <c r="Y4490" t="inlineStr">
        <is>
          <t>27723159083</t>
        </is>
      </c>
    </row>
    <row r="4491">
      <c r="A4491" t="inlineStr">
        <is>
          <t>14942776</t>
        </is>
      </c>
      <c r="B4491" t="inlineStr">
        <is>
          <t>f32407e0-27e9-4c68-92ac-c3fac4c988ed</t>
        </is>
      </c>
      <c r="D4491" t="inlineStr">
        <is>
          <t>30001087</t>
        </is>
      </c>
      <c r="E4491" t="inlineStr">
        <is>
          <t>ussd_funeral_leads_altitude_20260619</t>
        </is>
      </c>
      <c r="J4491" t="inlineStr">
        <is>
          <t>AA</t>
        </is>
      </c>
      <c r="K4491" t="inlineStr">
        <is>
          <t>Answering Machine Autodial</t>
        </is>
      </c>
      <c r="L4491" t="n">
        <v>2</v>
      </c>
      <c r="M4491" t="inlineStr">
        <is>
          <t>2026-06-23 07:45:43</t>
        </is>
      </c>
      <c r="N4491" t="inlineStr">
        <is>
          <t>system</t>
        </is>
      </c>
      <c r="O4491" t="inlineStr">
        <is>
          <t>2026-06-19 07:10:32</t>
        </is>
      </c>
      <c r="P4491" t="inlineStr">
        <is>
          <t>2026-06-19 07:10:32</t>
        </is>
      </c>
      <c r="Y4491" t="inlineStr">
        <is>
          <t>27792819623</t>
        </is>
      </c>
    </row>
    <row r="4492">
      <c r="A4492" t="inlineStr">
        <is>
          <t>14947420</t>
        </is>
      </c>
      <c r="B4492" t="inlineStr">
        <is>
          <t>40c21f5c-6713-4b65-a415-89e6f6c5e059</t>
        </is>
      </c>
      <c r="D4492" t="inlineStr">
        <is>
          <t>30001087</t>
        </is>
      </c>
      <c r="E4492" t="inlineStr">
        <is>
          <t>ussd_funeral_leads_altitude_20260619</t>
        </is>
      </c>
      <c r="J4492" t="inlineStr">
        <is>
          <t>ADC</t>
        </is>
      </c>
      <c r="K4492" t="inlineStr">
        <is>
          <t>Auto Dial Disconnected</t>
        </is>
      </c>
      <c r="L4492" t="n">
        <v>2</v>
      </c>
      <c r="M4492" t="inlineStr">
        <is>
          <t>2026-06-23 07:44:38</t>
        </is>
      </c>
      <c r="N4492" t="inlineStr">
        <is>
          <t>system</t>
        </is>
      </c>
      <c r="O4492" t="inlineStr">
        <is>
          <t>2026-06-19 07:10:32</t>
        </is>
      </c>
      <c r="P4492" t="inlineStr">
        <is>
          <t>2026-06-19 07:10:32</t>
        </is>
      </c>
      <c r="Y4492" t="inlineStr">
        <is>
          <t>27663625847</t>
        </is>
      </c>
    </row>
    <row r="4493">
      <c r="A4493" t="inlineStr">
        <is>
          <t>14947421</t>
        </is>
      </c>
      <c r="B4493" t="inlineStr">
        <is>
          <t>b989973f-e4b3-47f8-b19e-557062fafa51</t>
        </is>
      </c>
      <c r="D4493" t="inlineStr">
        <is>
          <t>30001087</t>
        </is>
      </c>
      <c r="E4493" t="inlineStr">
        <is>
          <t>ussd_funeral_leads_altitude_20260619</t>
        </is>
      </c>
      <c r="J4493" t="inlineStr">
        <is>
          <t>AA</t>
        </is>
      </c>
      <c r="K4493" t="inlineStr">
        <is>
          <t>Answering Machine Autodial</t>
        </is>
      </c>
      <c r="L4493" t="n">
        <v>2</v>
      </c>
      <c r="M4493" t="inlineStr">
        <is>
          <t>2026-06-23 07:44:37</t>
        </is>
      </c>
      <c r="N4493" t="inlineStr">
        <is>
          <t>system</t>
        </is>
      </c>
      <c r="O4493" t="inlineStr">
        <is>
          <t>2026-06-19 07:10:32</t>
        </is>
      </c>
      <c r="P4493" t="inlineStr">
        <is>
          <t>2026-06-19 07:10:32</t>
        </is>
      </c>
      <c r="Y4493" t="inlineStr">
        <is>
          <t>27727237329</t>
        </is>
      </c>
    </row>
    <row r="4494">
      <c r="A4494" t="inlineStr">
        <is>
          <t>14947422</t>
        </is>
      </c>
      <c r="B4494" t="inlineStr">
        <is>
          <t>0f193fad-e75a-48ae-9d31-0d1c4a0d7f30</t>
        </is>
      </c>
      <c r="D4494" t="inlineStr">
        <is>
          <t>30001087</t>
        </is>
      </c>
      <c r="E4494" t="inlineStr">
        <is>
          <t>ussd_funeral_leads_altitude_20260619</t>
        </is>
      </c>
      <c r="J4494" t="inlineStr">
        <is>
          <t>ADC</t>
        </is>
      </c>
      <c r="K4494" t="inlineStr">
        <is>
          <t>Auto Dial Disconnected</t>
        </is>
      </c>
      <c r="L4494" t="n">
        <v>2</v>
      </c>
      <c r="M4494" t="inlineStr">
        <is>
          <t>2026-06-23 07:44:37</t>
        </is>
      </c>
      <c r="N4494" t="inlineStr">
        <is>
          <t>system</t>
        </is>
      </c>
      <c r="O4494" t="inlineStr">
        <is>
          <t>2026-06-19 07:10:32</t>
        </is>
      </c>
      <c r="P4494" t="inlineStr">
        <is>
          <t>2026-06-19 07:10:32</t>
        </is>
      </c>
      <c r="Y4494" t="inlineStr">
        <is>
          <t>27772541128</t>
        </is>
      </c>
    </row>
    <row r="4495">
      <c r="A4495" t="inlineStr">
        <is>
          <t>14947424</t>
        </is>
      </c>
      <c r="B4495" t="inlineStr">
        <is>
          <t>a0ecf39a-5184-4337-996b-ceb5fa9f0027</t>
        </is>
      </c>
      <c r="D4495" t="inlineStr">
        <is>
          <t>30001087</t>
        </is>
      </c>
      <c r="E4495" t="inlineStr">
        <is>
          <t>ussd_funeral_leads_altitude_20260619</t>
        </is>
      </c>
      <c r="J4495" t="inlineStr">
        <is>
          <t>ADC</t>
        </is>
      </c>
      <c r="K4495" t="inlineStr">
        <is>
          <t>Auto Dial Disconnected</t>
        </is>
      </c>
      <c r="L4495" t="n">
        <v>2</v>
      </c>
      <c r="M4495" t="inlineStr">
        <is>
          <t>2026-06-23 07:44:37</t>
        </is>
      </c>
      <c r="N4495" t="inlineStr">
        <is>
          <t>system</t>
        </is>
      </c>
      <c r="O4495" t="inlineStr">
        <is>
          <t>2026-06-19 07:10:32</t>
        </is>
      </c>
      <c r="P4495" t="inlineStr">
        <is>
          <t>2026-06-19 07:10:32</t>
        </is>
      </c>
      <c r="Y4495" t="inlineStr">
        <is>
          <t>27827880088</t>
        </is>
      </c>
    </row>
    <row r="4496">
      <c r="A4496" t="inlineStr">
        <is>
          <t>14943174</t>
        </is>
      </c>
      <c r="B4496" t="inlineStr">
        <is>
          <t>56a3ed07-343d-43e2-9938-67972fb7daf0</t>
        </is>
      </c>
      <c r="D4496" t="inlineStr">
        <is>
          <t>30001087</t>
        </is>
      </c>
      <c r="E4496" t="inlineStr">
        <is>
          <t>ussd_funeral_leads_altitude_20260619</t>
        </is>
      </c>
      <c r="J4496" t="inlineStr">
        <is>
          <t>AA</t>
        </is>
      </c>
      <c r="K4496" t="inlineStr">
        <is>
          <t>Answering Machine Autodial</t>
        </is>
      </c>
      <c r="L4496" t="n">
        <v>2</v>
      </c>
      <c r="M4496" t="inlineStr">
        <is>
          <t>2026-06-23 07:42:24</t>
        </is>
      </c>
      <c r="N4496" t="inlineStr">
        <is>
          <t>system</t>
        </is>
      </c>
      <c r="O4496" t="inlineStr">
        <is>
          <t>2026-06-19 07:10:32</t>
        </is>
      </c>
      <c r="P4496" t="inlineStr">
        <is>
          <t>2026-06-19 07:10:32</t>
        </is>
      </c>
      <c r="Y4496" t="inlineStr">
        <is>
          <t>27649423276</t>
        </is>
      </c>
    </row>
    <row r="4497">
      <c r="A4497" t="inlineStr">
        <is>
          <t>14942833</t>
        </is>
      </c>
      <c r="B4497" t="inlineStr">
        <is>
          <t>f33be717-8d6c-4e98-a8fc-2a35f2cd954e</t>
        </is>
      </c>
      <c r="D4497" t="inlineStr">
        <is>
          <t>30001087</t>
        </is>
      </c>
      <c r="E4497" t="inlineStr">
        <is>
          <t>ussd_funeral_leads_altitude_20260619</t>
        </is>
      </c>
      <c r="J4497" t="inlineStr">
        <is>
          <t>AA</t>
        </is>
      </c>
      <c r="K4497" t="inlineStr">
        <is>
          <t>Answering Machine Autodial</t>
        </is>
      </c>
      <c r="L4497" t="n">
        <v>2</v>
      </c>
      <c r="M4497" t="inlineStr">
        <is>
          <t>2026-06-23 07:42:23</t>
        </is>
      </c>
      <c r="N4497" t="inlineStr">
        <is>
          <t>system</t>
        </is>
      </c>
      <c r="O4497" t="inlineStr">
        <is>
          <t>2026-06-19 07:10:32</t>
        </is>
      </c>
      <c r="P4497" t="inlineStr">
        <is>
          <t>2026-06-19 07:10:32</t>
        </is>
      </c>
      <c r="Y4497" t="inlineStr">
        <is>
          <t>27791894029</t>
        </is>
      </c>
    </row>
    <row r="4498">
      <c r="A4498" t="inlineStr">
        <is>
          <t>14943232</t>
        </is>
      </c>
      <c r="B4498" t="inlineStr">
        <is>
          <t>c04ad669-a645-4bca-a290-f37f4d932ca6</t>
        </is>
      </c>
      <c r="D4498" t="inlineStr">
        <is>
          <t>30001087</t>
        </is>
      </c>
      <c r="E4498" t="inlineStr">
        <is>
          <t>ussd_funeral_leads_altitude_20260619</t>
        </is>
      </c>
      <c r="J4498" t="inlineStr">
        <is>
          <t>AA</t>
        </is>
      </c>
      <c r="K4498" t="inlineStr">
        <is>
          <t>Answering Machine Autodial</t>
        </is>
      </c>
      <c r="L4498" t="n">
        <v>2</v>
      </c>
      <c r="M4498" t="inlineStr">
        <is>
          <t>2026-06-23 07:42:14</t>
        </is>
      </c>
      <c r="N4498" t="inlineStr">
        <is>
          <t>system</t>
        </is>
      </c>
      <c r="O4498" t="inlineStr">
        <is>
          <t>2026-06-19 07:10:32</t>
        </is>
      </c>
      <c r="P4498" t="inlineStr">
        <is>
          <t>2026-06-19 07:10:32</t>
        </is>
      </c>
      <c r="Y4498" t="inlineStr">
        <is>
          <t>27791986764</t>
        </is>
      </c>
    </row>
    <row r="4499">
      <c r="A4499" t="inlineStr">
        <is>
          <t>14943233</t>
        </is>
      </c>
      <c r="B4499" t="inlineStr">
        <is>
          <t>85eef56e-c8e3-4bd8-8faf-9cd0f7cf06d5</t>
        </is>
      </c>
      <c r="D4499" t="inlineStr">
        <is>
          <t>30001087</t>
        </is>
      </c>
      <c r="E4499" t="inlineStr">
        <is>
          <t>ussd_funeral_leads_altitude_20260619</t>
        </is>
      </c>
      <c r="J4499" t="inlineStr">
        <is>
          <t>AA</t>
        </is>
      </c>
      <c r="K4499" t="inlineStr">
        <is>
          <t>Answering Machine Autodial</t>
        </is>
      </c>
      <c r="L4499" t="n">
        <v>2</v>
      </c>
      <c r="M4499" t="inlineStr">
        <is>
          <t>2026-06-23 07:42:14</t>
        </is>
      </c>
      <c r="N4499" t="inlineStr">
        <is>
          <t>system</t>
        </is>
      </c>
      <c r="O4499" t="inlineStr">
        <is>
          <t>2026-06-19 07:10:32</t>
        </is>
      </c>
      <c r="P4499" t="inlineStr">
        <is>
          <t>2026-06-19 07:10:32</t>
        </is>
      </c>
      <c r="Y4499" t="inlineStr">
        <is>
          <t>27818248142</t>
        </is>
      </c>
    </row>
    <row r="4500">
      <c r="A4500" t="inlineStr">
        <is>
          <t>14943234</t>
        </is>
      </c>
      <c r="B4500" t="inlineStr">
        <is>
          <t>d370719f-73ea-4f07-b961-8be2cc1958a2</t>
        </is>
      </c>
      <c r="D4500" t="inlineStr">
        <is>
          <t>30001087</t>
        </is>
      </c>
      <c r="E4500" t="inlineStr">
        <is>
          <t>ussd_funeral_leads_altitude_20260619</t>
        </is>
      </c>
      <c r="J4500" t="inlineStr">
        <is>
          <t>AA</t>
        </is>
      </c>
      <c r="K4500" t="inlineStr">
        <is>
          <t>Answering Machine Autodial</t>
        </is>
      </c>
      <c r="L4500" t="n">
        <v>2</v>
      </c>
      <c r="M4500" t="inlineStr">
        <is>
          <t>2026-06-23 07:42:14</t>
        </is>
      </c>
      <c r="N4500" t="inlineStr">
        <is>
          <t>system</t>
        </is>
      </c>
      <c r="O4500" t="inlineStr">
        <is>
          <t>2026-06-19 07:10:32</t>
        </is>
      </c>
      <c r="P4500" t="inlineStr">
        <is>
          <t>2026-06-19 07:10:32</t>
        </is>
      </c>
      <c r="Y4500" t="inlineStr">
        <is>
          <t>27768084386</t>
        </is>
      </c>
    </row>
    <row r="4501">
      <c r="A4501" t="inlineStr">
        <is>
          <t>14943235</t>
        </is>
      </c>
      <c r="B4501" t="inlineStr">
        <is>
          <t>21c9cce8-4e14-4a98-b0f8-cc591eb4ea9c</t>
        </is>
      </c>
      <c r="D4501" t="inlineStr">
        <is>
          <t>30001087</t>
        </is>
      </c>
      <c r="E4501" t="inlineStr">
        <is>
          <t>ussd_funeral_leads_altitude_20260619</t>
        </is>
      </c>
      <c r="J4501" t="inlineStr">
        <is>
          <t>ADC</t>
        </is>
      </c>
      <c r="K4501" t="inlineStr">
        <is>
          <t>Auto Dial Disconnected</t>
        </is>
      </c>
      <c r="L4501" t="n">
        <v>2</v>
      </c>
      <c r="M4501" t="inlineStr">
        <is>
          <t>2026-06-23 07:42:14</t>
        </is>
      </c>
      <c r="N4501" t="inlineStr">
        <is>
          <t>system</t>
        </is>
      </c>
      <c r="O4501" t="inlineStr">
        <is>
          <t>2026-06-19 07:10:32</t>
        </is>
      </c>
      <c r="P4501" t="inlineStr">
        <is>
          <t>2026-06-19 07:10:32</t>
        </is>
      </c>
      <c r="Y4501" t="inlineStr">
        <is>
          <t>27772445385</t>
        </is>
      </c>
    </row>
    <row r="4502">
      <c r="A4502" t="inlineStr">
        <is>
          <t>14943230</t>
        </is>
      </c>
      <c r="B4502" t="inlineStr">
        <is>
          <t>5dbfc06e-ba08-4f69-b226-4110ca76664c</t>
        </is>
      </c>
      <c r="D4502" t="inlineStr">
        <is>
          <t>30001087</t>
        </is>
      </c>
      <c r="E4502" t="inlineStr">
        <is>
          <t>ussd_funeral_leads_altitude_20260619</t>
        </is>
      </c>
      <c r="J4502" t="inlineStr">
        <is>
          <t>NA</t>
        </is>
      </c>
      <c r="K4502" t="inlineStr">
        <is>
          <t>No Answer Autodial</t>
        </is>
      </c>
      <c r="L4502" t="n">
        <v>2</v>
      </c>
      <c r="M4502" t="inlineStr">
        <is>
          <t>2026-06-23 07:42:13</t>
        </is>
      </c>
      <c r="N4502" t="inlineStr">
        <is>
          <t>system</t>
        </is>
      </c>
      <c r="O4502" t="inlineStr">
        <is>
          <t>2026-06-19 07:10:32</t>
        </is>
      </c>
      <c r="P4502" t="inlineStr">
        <is>
          <t>2026-06-19 07:10:32</t>
        </is>
      </c>
      <c r="Y4502" t="inlineStr">
        <is>
          <t>27795954465</t>
        </is>
      </c>
    </row>
    <row r="4503">
      <c r="A4503" t="inlineStr">
        <is>
          <t>14943231</t>
        </is>
      </c>
      <c r="B4503" t="inlineStr">
        <is>
          <t>37752849-e9c3-43c7-a71c-49347a6b60b8</t>
        </is>
      </c>
      <c r="D4503" t="inlineStr">
        <is>
          <t>30001087</t>
        </is>
      </c>
      <c r="E4503" t="inlineStr">
        <is>
          <t>ussd_funeral_leads_altitude_20260619</t>
        </is>
      </c>
      <c r="J4503" t="inlineStr">
        <is>
          <t>CU</t>
        </is>
      </c>
      <c r="K4503" t="inlineStr">
        <is>
          <t>Client Hung Up</t>
        </is>
      </c>
      <c r="L4503" t="n">
        <v>2</v>
      </c>
      <c r="M4503" t="inlineStr">
        <is>
          <t>2026-06-23 07:42:13</t>
        </is>
      </c>
      <c r="N4503" t="inlineStr">
        <is>
          <t>Goitsimang Mogwasa</t>
        </is>
      </c>
      <c r="O4503" t="inlineStr">
        <is>
          <t>2026-06-19 07:10:32</t>
        </is>
      </c>
      <c r="P4503" t="inlineStr">
        <is>
          <t>2026-06-19 07:10:32</t>
        </is>
      </c>
      <c r="Y4503" t="inlineStr">
        <is>
          <t>27607030592</t>
        </is>
      </c>
    </row>
    <row r="4504">
      <c r="A4504" t="inlineStr">
        <is>
          <t>14943228</t>
        </is>
      </c>
      <c r="B4504" t="inlineStr">
        <is>
          <t>2d33a5bd-9be5-43c9-947f-3cf6d4f5c349</t>
        </is>
      </c>
      <c r="D4504" t="inlineStr">
        <is>
          <t>30001087</t>
        </is>
      </c>
      <c r="E4504" t="inlineStr">
        <is>
          <t>ussd_funeral_leads_altitude_20260619</t>
        </is>
      </c>
      <c r="J4504" t="inlineStr">
        <is>
          <t>AA</t>
        </is>
      </c>
      <c r="K4504" t="inlineStr">
        <is>
          <t>Answering Machine Autodial</t>
        </is>
      </c>
      <c r="L4504" t="n">
        <v>2</v>
      </c>
      <c r="M4504" t="inlineStr">
        <is>
          <t>2026-06-23 07:42:12</t>
        </is>
      </c>
      <c r="N4504" t="inlineStr">
        <is>
          <t>system</t>
        </is>
      </c>
      <c r="O4504" t="inlineStr">
        <is>
          <t>2026-06-19 07:10:32</t>
        </is>
      </c>
      <c r="P4504" t="inlineStr">
        <is>
          <t>2026-06-19 07:10:32</t>
        </is>
      </c>
      <c r="Y4504" t="inlineStr">
        <is>
          <t>27798280629</t>
        </is>
      </c>
    </row>
    <row r="4505">
      <c r="A4505" t="inlineStr">
        <is>
          <t>14943229</t>
        </is>
      </c>
      <c r="B4505" t="inlineStr">
        <is>
          <t>508d685e-9f7d-422e-99e6-803795775fa4</t>
        </is>
      </c>
      <c r="D4505" t="inlineStr">
        <is>
          <t>30001087</t>
        </is>
      </c>
      <c r="E4505" t="inlineStr">
        <is>
          <t>ussd_funeral_leads_altitude_20260619</t>
        </is>
      </c>
      <c r="J4505" t="inlineStr">
        <is>
          <t>ADC</t>
        </is>
      </c>
      <c r="K4505" t="inlineStr">
        <is>
          <t>Auto Dial Disconnected</t>
        </is>
      </c>
      <c r="L4505" t="n">
        <v>2</v>
      </c>
      <c r="M4505" t="inlineStr">
        <is>
          <t>2026-06-23 07:42:12</t>
        </is>
      </c>
      <c r="N4505" t="inlineStr">
        <is>
          <t>system</t>
        </is>
      </c>
      <c r="O4505" t="inlineStr">
        <is>
          <t>2026-06-19 07:10:32</t>
        </is>
      </c>
      <c r="P4505" t="inlineStr">
        <is>
          <t>2026-06-19 07:10:32</t>
        </is>
      </c>
      <c r="Y4505" t="inlineStr">
        <is>
          <t>27721768034</t>
        </is>
      </c>
    </row>
    <row r="4506">
      <c r="A4506" t="inlineStr">
        <is>
          <t>14943226</t>
        </is>
      </c>
      <c r="B4506" t="inlineStr">
        <is>
          <t>714058cf-5209-4655-be63-058b6b5584e3</t>
        </is>
      </c>
      <c r="D4506" t="inlineStr">
        <is>
          <t>30001087</t>
        </is>
      </c>
      <c r="E4506" t="inlineStr">
        <is>
          <t>ussd_funeral_leads_altitude_20260619</t>
        </is>
      </c>
      <c r="J4506" t="inlineStr">
        <is>
          <t>AA</t>
        </is>
      </c>
      <c r="K4506" t="inlineStr">
        <is>
          <t>Answering Machine Autodial</t>
        </is>
      </c>
      <c r="L4506" t="n">
        <v>2</v>
      </c>
      <c r="M4506" t="inlineStr">
        <is>
          <t>2026-06-23 07:42:11</t>
        </is>
      </c>
      <c r="N4506" t="inlineStr">
        <is>
          <t>system</t>
        </is>
      </c>
      <c r="O4506" t="inlineStr">
        <is>
          <t>2026-06-19 07:10:32</t>
        </is>
      </c>
      <c r="P4506" t="inlineStr">
        <is>
          <t>2026-06-19 07:10:32</t>
        </is>
      </c>
      <c r="Y4506" t="inlineStr">
        <is>
          <t>27795725420</t>
        </is>
      </c>
    </row>
    <row r="4507">
      <c r="A4507" t="inlineStr">
        <is>
          <t>14943227</t>
        </is>
      </c>
      <c r="B4507" t="inlineStr">
        <is>
          <t>74581531-6bc2-45a3-be91-dc0013165d0c</t>
        </is>
      </c>
      <c r="D4507" t="inlineStr">
        <is>
          <t>30001087</t>
        </is>
      </c>
      <c r="E4507" t="inlineStr">
        <is>
          <t>ussd_funeral_leads_altitude_20260619</t>
        </is>
      </c>
      <c r="J4507" t="inlineStr">
        <is>
          <t>AE</t>
        </is>
      </c>
      <c r="K4507" t="inlineStr">
        <is>
          <t>Auto Engaged</t>
        </is>
      </c>
      <c r="L4507" t="n">
        <v>2</v>
      </c>
      <c r="M4507" t="inlineStr">
        <is>
          <t>2026-06-23 07:42:11</t>
        </is>
      </c>
      <c r="N4507" t="inlineStr">
        <is>
          <t>system</t>
        </is>
      </c>
      <c r="O4507" t="inlineStr">
        <is>
          <t>2026-06-19 07:10:32</t>
        </is>
      </c>
      <c r="P4507" t="inlineStr">
        <is>
          <t>2026-06-19 07:10:32</t>
        </is>
      </c>
      <c r="Y4507" t="inlineStr">
        <is>
          <t>27774107483</t>
        </is>
      </c>
    </row>
    <row r="4508">
      <c r="A4508" t="inlineStr">
        <is>
          <t>14947464</t>
        </is>
      </c>
      <c r="B4508" t="inlineStr">
        <is>
          <t>81c6e587-58f8-451f-944c-3c0a44917fe8</t>
        </is>
      </c>
      <c r="D4508" t="inlineStr">
        <is>
          <t>30001087</t>
        </is>
      </c>
      <c r="E4508" t="inlineStr">
        <is>
          <t>ussd_funeral_leads_altitude_20260619</t>
        </is>
      </c>
      <c r="J4508" t="inlineStr">
        <is>
          <t>N</t>
        </is>
      </c>
      <c r="K4508" t="inlineStr">
        <is>
          <t>No Answer</t>
        </is>
      </c>
      <c r="L4508" t="n">
        <v>3</v>
      </c>
      <c r="M4508" t="inlineStr">
        <is>
          <t>2026-06-23 07:39:28</t>
        </is>
      </c>
      <c r="N4508" t="inlineStr">
        <is>
          <t>Vuyiswa Nxumalo</t>
        </is>
      </c>
      <c r="O4508" t="inlineStr">
        <is>
          <t>2026-06-19 07:10:32</t>
        </is>
      </c>
      <c r="P4508" t="inlineStr">
        <is>
          <t>2026-06-19 07:10:32</t>
        </is>
      </c>
      <c r="Y4508" t="inlineStr">
        <is>
          <t>27674427375</t>
        </is>
      </c>
    </row>
    <row r="4509">
      <c r="A4509" t="inlineStr">
        <is>
          <t>14943616</t>
        </is>
      </c>
      <c r="B4509" t="inlineStr">
        <is>
          <t>bc368231-9d6c-41b0-91ef-092a8e2e648c</t>
        </is>
      </c>
      <c r="D4509" t="inlineStr">
        <is>
          <t>30001087</t>
        </is>
      </c>
      <c r="E4509" t="inlineStr">
        <is>
          <t>ussd_funeral_leads_altitude_20260619</t>
        </is>
      </c>
      <c r="J4509" t="inlineStr">
        <is>
          <t>CU</t>
        </is>
      </c>
      <c r="K4509" t="inlineStr">
        <is>
          <t>Client Hung Up</t>
        </is>
      </c>
      <c r="L4509" t="n">
        <v>3</v>
      </c>
      <c r="M4509" t="inlineStr">
        <is>
          <t>2026-06-23 07:31:16</t>
        </is>
      </c>
      <c r="N4509" t="inlineStr">
        <is>
          <t>Goitsimang Mogwasa</t>
        </is>
      </c>
      <c r="O4509" t="inlineStr">
        <is>
          <t>2026-06-19 07:10:32</t>
        </is>
      </c>
      <c r="P4509" t="inlineStr">
        <is>
          <t>2026-06-19 07:10:32</t>
        </is>
      </c>
      <c r="Y4509" t="inlineStr">
        <is>
          <t>27790874240</t>
        </is>
      </c>
    </row>
    <row r="4510">
      <c r="A4510" t="inlineStr">
        <is>
          <t>14943742</t>
        </is>
      </c>
      <c r="B4510" t="inlineStr">
        <is>
          <t>cabb3eb5-cd72-406b-9ff1-9bfc56175877</t>
        </is>
      </c>
      <c r="D4510" t="inlineStr">
        <is>
          <t>30001087</t>
        </is>
      </c>
      <c r="E4510" t="inlineStr">
        <is>
          <t>ussd_funeral_leads_altitude_20260619</t>
        </is>
      </c>
      <c r="J4510" t="inlineStr">
        <is>
          <t>CU</t>
        </is>
      </c>
      <c r="K4510" t="inlineStr">
        <is>
          <t>Client Hung Up</t>
        </is>
      </c>
      <c r="L4510" t="n">
        <v>3</v>
      </c>
      <c r="M4510" t="inlineStr">
        <is>
          <t>2026-06-23 07:31:00</t>
        </is>
      </c>
      <c r="N4510" t="inlineStr">
        <is>
          <t>Virginia Letsatsi</t>
        </is>
      </c>
      <c r="O4510" t="inlineStr">
        <is>
          <t>2026-06-19 07:10:32</t>
        </is>
      </c>
      <c r="P4510" t="inlineStr">
        <is>
          <t>2026-06-19 07:10:32</t>
        </is>
      </c>
      <c r="Y4510" t="inlineStr">
        <is>
          <t>27728430619</t>
        </is>
      </c>
    </row>
    <row r="4511">
      <c r="A4511" t="inlineStr">
        <is>
          <t>14943604</t>
        </is>
      </c>
      <c r="B4511" t="inlineStr">
        <is>
          <t>802839a9-0545-4ccb-8f30-b6bc2995754e</t>
        </is>
      </c>
      <c r="D4511" t="inlineStr">
        <is>
          <t>30001087</t>
        </is>
      </c>
      <c r="E4511" t="inlineStr">
        <is>
          <t>ussd_funeral_leads_altitude_20260619</t>
        </is>
      </c>
      <c r="J4511" t="inlineStr">
        <is>
          <t>U</t>
        </is>
      </c>
      <c r="K4511" t="inlineStr">
        <is>
          <t>Unemployed</t>
        </is>
      </c>
      <c r="L4511" t="n">
        <v>3</v>
      </c>
      <c r="M4511" t="inlineStr">
        <is>
          <t>2026-06-23 07:25:16</t>
        </is>
      </c>
      <c r="N4511" t="inlineStr">
        <is>
          <t>Goitsimang Mogwasa</t>
        </is>
      </c>
      <c r="O4511" t="inlineStr">
        <is>
          <t>2026-06-19 07:10:32</t>
        </is>
      </c>
      <c r="P4511" t="inlineStr">
        <is>
          <t>2026-06-19 07:10:32</t>
        </is>
      </c>
      <c r="Y4511" t="inlineStr">
        <is>
          <t>27647568671</t>
        </is>
      </c>
    </row>
    <row r="4512">
      <c r="A4512" t="inlineStr">
        <is>
          <t>14944238</t>
        </is>
      </c>
      <c r="B4512" t="inlineStr">
        <is>
          <t>27f578a8-cb5d-4fb9-a463-27ab12ea8ad9</t>
        </is>
      </c>
      <c r="D4512" t="inlineStr">
        <is>
          <t>30001087</t>
        </is>
      </c>
      <c r="E4512" t="inlineStr">
        <is>
          <t>ussd_funeral_leads_altitude_20260619</t>
        </is>
      </c>
      <c r="J4512" t="inlineStr">
        <is>
          <t>A</t>
        </is>
      </c>
      <c r="K4512" t="inlineStr">
        <is>
          <t>Answering Machine</t>
        </is>
      </c>
      <c r="L4512" t="n">
        <v>10</v>
      </c>
      <c r="M4512" t="inlineStr">
        <is>
          <t>2026-06-23 07:11:22</t>
        </is>
      </c>
      <c r="N4512" t="inlineStr">
        <is>
          <t>Lebohang Mabotja</t>
        </is>
      </c>
      <c r="O4512" t="inlineStr">
        <is>
          <t>2026-06-19 07:10:32</t>
        </is>
      </c>
      <c r="P4512" t="inlineStr">
        <is>
          <t>2026-06-19 07:10:32</t>
        </is>
      </c>
      <c r="Y4512" t="inlineStr">
        <is>
          <t>27820694210</t>
        </is>
      </c>
    </row>
    <row r="4513">
      <c r="A4513" t="inlineStr">
        <is>
          <t>14943612</t>
        </is>
      </c>
      <c r="B4513" t="inlineStr">
        <is>
          <t>fb415b0f-5400-40da-84d0-7b8b0a55a915</t>
        </is>
      </c>
      <c r="D4513" t="inlineStr">
        <is>
          <t>30001087</t>
        </is>
      </c>
      <c r="E4513" t="inlineStr">
        <is>
          <t>ussd_funeral_leads_altitude_20260619</t>
        </is>
      </c>
      <c r="H4513" t="inlineStr">
        <is>
          <t>27826340923</t>
        </is>
      </c>
      <c r="J4513" t="inlineStr">
        <is>
          <t>IABDN</t>
        </is>
      </c>
      <c r="K4513" t="inlineStr">
        <is>
          <t>Inbound Abandon</t>
        </is>
      </c>
      <c r="L4513" t="n">
        <v>2</v>
      </c>
      <c r="M4513" t="inlineStr">
        <is>
          <t>2026-06-23 07:06:36</t>
        </is>
      </c>
      <c r="N4513" t="inlineStr">
        <is>
          <t>system</t>
        </is>
      </c>
      <c r="O4513" t="inlineStr">
        <is>
          <t>2026-06-19 07:10:32</t>
        </is>
      </c>
      <c r="P4513" t="inlineStr">
        <is>
          <t>2026-06-19 07:10:32</t>
        </is>
      </c>
      <c r="Y4513" t="inlineStr">
        <is>
          <t>27826340923</t>
        </is>
      </c>
    </row>
    <row r="4514">
      <c r="A4514" t="inlineStr">
        <is>
          <t>14943705</t>
        </is>
      </c>
      <c r="B4514" t="inlineStr">
        <is>
          <t>49d394eb-f294-4dc9-882b-cdee35d64a2a</t>
        </is>
      </c>
      <c r="D4514" t="inlineStr">
        <is>
          <t>30001087</t>
        </is>
      </c>
      <c r="E4514" t="inlineStr">
        <is>
          <t>ussd_funeral_leads_altitude_20260619</t>
        </is>
      </c>
      <c r="J4514" t="inlineStr">
        <is>
          <t>CU</t>
        </is>
      </c>
      <c r="K4514" t="inlineStr">
        <is>
          <t>Client Hung Up</t>
        </is>
      </c>
      <c r="L4514" t="n">
        <v>4</v>
      </c>
      <c r="M4514" t="inlineStr">
        <is>
          <t>2026-06-23 06:56:45</t>
        </is>
      </c>
      <c r="N4514" t="inlineStr">
        <is>
          <t>Goitsimang Mogwasa</t>
        </is>
      </c>
      <c r="O4514" t="inlineStr">
        <is>
          <t>2026-06-19 07:10:32</t>
        </is>
      </c>
      <c r="P4514" t="inlineStr">
        <is>
          <t>2026-06-19 07:10:32</t>
        </is>
      </c>
      <c r="Y4514" t="inlineStr">
        <is>
          <t>27799138793</t>
        </is>
      </c>
    </row>
    <row r="4515">
      <c r="A4515" t="inlineStr">
        <is>
          <t>14945072</t>
        </is>
      </c>
      <c r="B4515" t="inlineStr">
        <is>
          <t>e4aea5b4-b017-48b7-a134-f2c5e68db4c2</t>
        </is>
      </c>
      <c r="D4515" t="inlineStr">
        <is>
          <t>30001087</t>
        </is>
      </c>
      <c r="E4515" t="inlineStr">
        <is>
          <t>ussd_funeral_leads_altitude_20260619</t>
        </is>
      </c>
      <c r="J4515" t="inlineStr">
        <is>
          <t>N</t>
        </is>
      </c>
      <c r="K4515" t="inlineStr">
        <is>
          <t>No Answer</t>
        </is>
      </c>
      <c r="L4515" t="n">
        <v>9</v>
      </c>
      <c r="M4515" t="inlineStr">
        <is>
          <t>2026-06-23 06:54:53</t>
        </is>
      </c>
      <c r="N4515" t="inlineStr">
        <is>
          <t>Lebohang Mabotja</t>
        </is>
      </c>
      <c r="O4515" t="inlineStr">
        <is>
          <t>2026-06-19 07:10:32</t>
        </is>
      </c>
      <c r="P4515" t="inlineStr">
        <is>
          <t>2026-06-19 07:10:32</t>
        </is>
      </c>
      <c r="Y4515" t="inlineStr">
        <is>
          <t>27795788564</t>
        </is>
      </c>
    </row>
    <row r="4516">
      <c r="A4516" t="inlineStr">
        <is>
          <t>14945328</t>
        </is>
      </c>
      <c r="B4516" t="inlineStr">
        <is>
          <t>a01280f0-7207-4102-bf5b-e069a8fd6583</t>
        </is>
      </c>
      <c r="D4516" t="inlineStr">
        <is>
          <t>30001087</t>
        </is>
      </c>
      <c r="E4516" t="inlineStr">
        <is>
          <t>ussd_funeral_leads_altitude_20260619</t>
        </is>
      </c>
      <c r="J4516" t="inlineStr">
        <is>
          <t>NI</t>
        </is>
      </c>
      <c r="K4516" t="inlineStr">
        <is>
          <t>Not Interested</t>
        </is>
      </c>
      <c r="L4516" t="n">
        <v>5</v>
      </c>
      <c r="M4516" t="inlineStr">
        <is>
          <t>2026-06-23 06:52:46</t>
        </is>
      </c>
      <c r="N4516" t="inlineStr">
        <is>
          <t>Goitsimang Mogwasa</t>
        </is>
      </c>
      <c r="O4516" t="inlineStr">
        <is>
          <t>2026-06-19 07:10:32</t>
        </is>
      </c>
      <c r="P4516" t="inlineStr">
        <is>
          <t>2026-06-19 07:10:32</t>
        </is>
      </c>
      <c r="Y4516" t="inlineStr">
        <is>
          <t>27792031314</t>
        </is>
      </c>
    </row>
    <row r="4517">
      <c r="A4517" t="inlineStr">
        <is>
          <t>14944111</t>
        </is>
      </c>
      <c r="B4517" t="inlineStr">
        <is>
          <t>885e58ee-b09a-469e-a3f7-f492302b3440</t>
        </is>
      </c>
      <c r="D4517" t="inlineStr">
        <is>
          <t>30001087</t>
        </is>
      </c>
      <c r="E4517" t="inlineStr">
        <is>
          <t>ussd_funeral_leads_altitude_20260619</t>
        </is>
      </c>
      <c r="J4517" t="inlineStr">
        <is>
          <t>A</t>
        </is>
      </c>
      <c r="K4517" t="inlineStr">
        <is>
          <t>Answering Machine</t>
        </is>
      </c>
      <c r="L4517" t="n">
        <v>3</v>
      </c>
      <c r="M4517" t="inlineStr">
        <is>
          <t>2026-06-23 06:51:43</t>
        </is>
      </c>
      <c r="N4517" t="inlineStr">
        <is>
          <t>Goitsimang Mogwasa</t>
        </is>
      </c>
      <c r="O4517" t="inlineStr">
        <is>
          <t>2026-06-19 07:10:32</t>
        </is>
      </c>
      <c r="P4517" t="inlineStr">
        <is>
          <t>2026-06-19 07:10:32</t>
        </is>
      </c>
      <c r="Y4517" t="inlineStr">
        <is>
          <t>27712711723</t>
        </is>
      </c>
    </row>
    <row r="4518">
      <c r="A4518" t="inlineStr">
        <is>
          <t>14946079</t>
        </is>
      </c>
      <c r="B4518" t="inlineStr">
        <is>
          <t>52ddf181-15ea-4be7-915e-7ded264a3298</t>
        </is>
      </c>
      <c r="D4518" t="inlineStr">
        <is>
          <t>30001087</t>
        </is>
      </c>
      <c r="E4518" t="inlineStr">
        <is>
          <t>ussd_funeral_leads_altitude_20260619</t>
        </is>
      </c>
      <c r="J4518" t="inlineStr">
        <is>
          <t>A</t>
        </is>
      </c>
      <c r="K4518" t="inlineStr">
        <is>
          <t>Answering Machine</t>
        </is>
      </c>
      <c r="L4518" t="n">
        <v>6</v>
      </c>
      <c r="M4518" t="inlineStr">
        <is>
          <t>2026-06-23 06:41:21</t>
        </is>
      </c>
      <c r="N4518" t="inlineStr">
        <is>
          <t>Dimakatso Nkomo</t>
        </is>
      </c>
      <c r="O4518" t="inlineStr">
        <is>
          <t>2026-06-19 07:10:32</t>
        </is>
      </c>
      <c r="P4518" t="inlineStr">
        <is>
          <t>2026-06-19 07:10:32</t>
        </is>
      </c>
      <c r="Y4518" t="inlineStr">
        <is>
          <t>27798132281</t>
        </is>
      </c>
    </row>
    <row r="4519">
      <c r="A4519" t="inlineStr">
        <is>
          <t>14945619</t>
        </is>
      </c>
      <c r="B4519" t="inlineStr">
        <is>
          <t>dcb5125c-2deb-490c-96be-a315dddc3307</t>
        </is>
      </c>
      <c r="D4519" t="inlineStr">
        <is>
          <t>30001087</t>
        </is>
      </c>
      <c r="E4519" t="inlineStr">
        <is>
          <t>ussd_funeral_leads_altitude_20260619</t>
        </is>
      </c>
      <c r="J4519" t="inlineStr">
        <is>
          <t>A</t>
        </is>
      </c>
      <c r="K4519" t="inlineStr">
        <is>
          <t>Answering Machine</t>
        </is>
      </c>
      <c r="L4519" t="n">
        <v>3</v>
      </c>
      <c r="M4519" t="inlineStr">
        <is>
          <t>2026-06-23 06:40:36</t>
        </is>
      </c>
      <c r="N4519" t="inlineStr">
        <is>
          <t>Dimakatso Nkomo</t>
        </is>
      </c>
      <c r="O4519" t="inlineStr">
        <is>
          <t>2026-06-19 07:10:32</t>
        </is>
      </c>
      <c r="P4519" t="inlineStr">
        <is>
          <t>2026-06-19 07:10:32</t>
        </is>
      </c>
      <c r="Y4519" t="inlineStr">
        <is>
          <t>27715830021</t>
        </is>
      </c>
    </row>
    <row r="4520">
      <c r="A4520" t="inlineStr">
        <is>
          <t>14946237</t>
        </is>
      </c>
      <c r="B4520" t="inlineStr">
        <is>
          <t>5f262f58-f557-4f75-96c3-858e58c4423a</t>
        </is>
      </c>
      <c r="D4520" t="inlineStr">
        <is>
          <t>30001087</t>
        </is>
      </c>
      <c r="E4520" t="inlineStr">
        <is>
          <t>ussd_funeral_leads_altitude_20260619</t>
        </is>
      </c>
      <c r="J4520" t="inlineStr">
        <is>
          <t>N</t>
        </is>
      </c>
      <c r="K4520" t="inlineStr">
        <is>
          <t>No Answer</t>
        </is>
      </c>
      <c r="L4520" t="n">
        <v>3</v>
      </c>
      <c r="M4520" t="inlineStr">
        <is>
          <t>2026-06-23 06:18:01</t>
        </is>
      </c>
      <c r="N4520" t="inlineStr">
        <is>
          <t>Lebohang Mabotja</t>
        </is>
      </c>
      <c r="O4520" t="inlineStr">
        <is>
          <t>2026-06-19 07:10:32</t>
        </is>
      </c>
      <c r="P4520" t="inlineStr">
        <is>
          <t>2026-06-19 07:10:32</t>
        </is>
      </c>
      <c r="Y4520" t="inlineStr">
        <is>
          <t>27662795553</t>
        </is>
      </c>
    </row>
    <row r="4521">
      <c r="A4521" t="inlineStr">
        <is>
          <t>14944591</t>
        </is>
      </c>
      <c r="B4521" t="inlineStr">
        <is>
          <t>36f31c9d-db35-4d25-af56-5aef0819f8cb</t>
        </is>
      </c>
      <c r="D4521" t="inlineStr">
        <is>
          <t>30001087</t>
        </is>
      </c>
      <c r="E4521" t="inlineStr">
        <is>
          <t>ussd_funeral_leads_altitude_20260619</t>
        </is>
      </c>
      <c r="H4521" t="inlineStr">
        <is>
          <t>27627767104</t>
        </is>
      </c>
      <c r="J4521" t="inlineStr">
        <is>
          <t>IABDN</t>
        </is>
      </c>
      <c r="K4521" t="inlineStr">
        <is>
          <t>Inbound Abandon</t>
        </is>
      </c>
      <c r="L4521" t="n">
        <v>2</v>
      </c>
      <c r="M4521" t="inlineStr">
        <is>
          <t>2026-06-22 16:18:57</t>
        </is>
      </c>
      <c r="N4521" t="inlineStr">
        <is>
          <t>system</t>
        </is>
      </c>
      <c r="O4521" t="inlineStr">
        <is>
          <t>2026-06-19 07:10:32</t>
        </is>
      </c>
      <c r="P4521" t="inlineStr">
        <is>
          <t>2026-06-19 07:10:32</t>
        </is>
      </c>
      <c r="Y4521" t="inlineStr">
        <is>
          <t>27627767104</t>
        </is>
      </c>
    </row>
    <row r="4522">
      <c r="A4522" t="inlineStr">
        <is>
          <t>14947601</t>
        </is>
      </c>
      <c r="B4522" t="inlineStr">
        <is>
          <t>bf75ef4c-eabc-452f-937f-e3e97b3d25bb</t>
        </is>
      </c>
      <c r="D4522" t="inlineStr">
        <is>
          <t>30001087</t>
        </is>
      </c>
      <c r="E4522" t="inlineStr">
        <is>
          <t>ussd_funeral_leads_altitude_20260619</t>
        </is>
      </c>
      <c r="J4522" t="inlineStr">
        <is>
          <t>AA</t>
        </is>
      </c>
      <c r="K4522" t="inlineStr">
        <is>
          <t>Answering Machine Autodial</t>
        </is>
      </c>
      <c r="L4522" t="n">
        <v>2</v>
      </c>
      <c r="M4522" t="inlineStr">
        <is>
          <t>2026-06-22 15:23:56</t>
        </is>
      </c>
      <c r="N4522" t="inlineStr">
        <is>
          <t>system</t>
        </is>
      </c>
      <c r="O4522" t="inlineStr">
        <is>
          <t>2026-06-19 07:10:32</t>
        </is>
      </c>
      <c r="P4522" t="inlineStr">
        <is>
          <t>2026-06-19 07:10:32</t>
        </is>
      </c>
      <c r="Y4522" t="inlineStr">
        <is>
          <t>27722932771</t>
        </is>
      </c>
    </row>
    <row r="4523">
      <c r="A4523" t="inlineStr">
        <is>
          <t>14943619</t>
        </is>
      </c>
      <c r="B4523" t="inlineStr">
        <is>
          <t>db49c9cd-2249-4279-8e93-35c04923e128</t>
        </is>
      </c>
      <c r="D4523" t="inlineStr">
        <is>
          <t>30001087</t>
        </is>
      </c>
      <c r="E4523" t="inlineStr">
        <is>
          <t>ussd_funeral_leads_altitude_20260619</t>
        </is>
      </c>
      <c r="J4523" t="inlineStr">
        <is>
          <t>NA</t>
        </is>
      </c>
      <c r="K4523" t="inlineStr">
        <is>
          <t>No Answer Autodial</t>
        </is>
      </c>
      <c r="L4523" t="n">
        <v>2</v>
      </c>
      <c r="M4523" t="inlineStr">
        <is>
          <t>2026-06-22 15:23:54</t>
        </is>
      </c>
      <c r="N4523" t="inlineStr">
        <is>
          <t>system</t>
        </is>
      </c>
      <c r="O4523" t="inlineStr">
        <is>
          <t>2026-06-19 07:10:32</t>
        </is>
      </c>
      <c r="P4523" t="inlineStr">
        <is>
          <t>2026-06-19 07:10:32</t>
        </is>
      </c>
      <c r="Y4523" t="inlineStr">
        <is>
          <t>27729749453</t>
        </is>
      </c>
    </row>
    <row r="4524">
      <c r="A4524" t="inlineStr">
        <is>
          <t>14943618</t>
        </is>
      </c>
      <c r="B4524" t="inlineStr">
        <is>
          <t>bc429c6f-ea1f-4e6a-a6da-03cb2c3715e5</t>
        </is>
      </c>
      <c r="D4524" t="inlineStr">
        <is>
          <t>30001087</t>
        </is>
      </c>
      <c r="E4524" t="inlineStr">
        <is>
          <t>ussd_funeral_leads_altitude_20260619</t>
        </is>
      </c>
      <c r="J4524" t="inlineStr">
        <is>
          <t>ADC</t>
        </is>
      </c>
      <c r="K4524" t="inlineStr">
        <is>
          <t>Auto Dial Disconnected</t>
        </is>
      </c>
      <c r="L4524" t="n">
        <v>2</v>
      </c>
      <c r="M4524" t="inlineStr">
        <is>
          <t>2026-06-22 15:23:49</t>
        </is>
      </c>
      <c r="N4524" t="inlineStr">
        <is>
          <t>system</t>
        </is>
      </c>
      <c r="O4524" t="inlineStr">
        <is>
          <t>2026-06-19 07:10:32</t>
        </is>
      </c>
      <c r="P4524" t="inlineStr">
        <is>
          <t>2026-06-19 07:10:32</t>
        </is>
      </c>
      <c r="Y4524" t="inlineStr">
        <is>
          <t>27820803861</t>
        </is>
      </c>
    </row>
    <row r="4525">
      <c r="A4525" t="inlineStr">
        <is>
          <t>14943646</t>
        </is>
      </c>
      <c r="B4525" t="inlineStr">
        <is>
          <t>7d0c49d7-98b3-49ff-808d-bcedcb0caa07</t>
        </is>
      </c>
      <c r="D4525" t="inlineStr">
        <is>
          <t>30001087</t>
        </is>
      </c>
      <c r="E4525" t="inlineStr">
        <is>
          <t>ussd_funeral_leads_altitude_20260619</t>
        </is>
      </c>
      <c r="J4525" t="inlineStr">
        <is>
          <t>AA</t>
        </is>
      </c>
      <c r="K4525" t="inlineStr">
        <is>
          <t>Answering Machine Autodial</t>
        </is>
      </c>
      <c r="L4525" t="n">
        <v>2</v>
      </c>
      <c r="M4525" t="inlineStr">
        <is>
          <t>2026-06-22 15:17:15</t>
        </is>
      </c>
      <c r="N4525" t="inlineStr">
        <is>
          <t>system</t>
        </is>
      </c>
      <c r="O4525" t="inlineStr">
        <is>
          <t>2026-06-19 07:10:32</t>
        </is>
      </c>
      <c r="P4525" t="inlineStr">
        <is>
          <t>2026-06-19 07:10:32</t>
        </is>
      </c>
      <c r="Y4525" t="inlineStr">
        <is>
          <t>27663656200</t>
        </is>
      </c>
    </row>
    <row r="4526">
      <c r="A4526" t="inlineStr">
        <is>
          <t>14943645</t>
        </is>
      </c>
      <c r="B4526" t="inlineStr">
        <is>
          <t>d5895fc2-6e6d-4021-8b0c-cfe0b631abc2</t>
        </is>
      </c>
      <c r="D4526" t="inlineStr">
        <is>
          <t>30001087</t>
        </is>
      </c>
      <c r="E4526" t="inlineStr">
        <is>
          <t>ussd_funeral_leads_altitude_20260619</t>
        </is>
      </c>
      <c r="J4526" t="inlineStr">
        <is>
          <t>ADC</t>
        </is>
      </c>
      <c r="K4526" t="inlineStr">
        <is>
          <t>Auto Dial Disconnected</t>
        </is>
      </c>
      <c r="L4526" t="n">
        <v>2</v>
      </c>
      <c r="M4526" t="inlineStr">
        <is>
          <t>2026-06-22 15:17:05</t>
        </is>
      </c>
      <c r="N4526" t="inlineStr">
        <is>
          <t>system</t>
        </is>
      </c>
      <c r="O4526" t="inlineStr">
        <is>
          <t>2026-06-19 07:10:32</t>
        </is>
      </c>
      <c r="P4526" t="inlineStr">
        <is>
          <t>2026-06-19 07:10:32</t>
        </is>
      </c>
      <c r="Y4526" t="inlineStr">
        <is>
          <t>27765727724</t>
        </is>
      </c>
    </row>
    <row r="4527">
      <c r="A4527" t="inlineStr">
        <is>
          <t>14943643</t>
        </is>
      </c>
      <c r="B4527" t="inlineStr">
        <is>
          <t>efacac05-2bd5-4707-a5fd-0287fd1a8007</t>
        </is>
      </c>
      <c r="D4527" t="inlineStr">
        <is>
          <t>30001087</t>
        </is>
      </c>
      <c r="E4527" t="inlineStr">
        <is>
          <t>ussd_funeral_leads_altitude_20260619</t>
        </is>
      </c>
      <c r="J4527" t="inlineStr">
        <is>
          <t>ADC</t>
        </is>
      </c>
      <c r="K4527" t="inlineStr">
        <is>
          <t>Auto Dial Disconnected</t>
        </is>
      </c>
      <c r="L4527" t="n">
        <v>2</v>
      </c>
      <c r="M4527" t="inlineStr">
        <is>
          <t>2026-06-22 15:17:04</t>
        </is>
      </c>
      <c r="N4527" t="inlineStr">
        <is>
          <t>system</t>
        </is>
      </c>
      <c r="O4527" t="inlineStr">
        <is>
          <t>2026-06-19 07:10:32</t>
        </is>
      </c>
      <c r="P4527" t="inlineStr">
        <is>
          <t>2026-06-19 07:10:32</t>
        </is>
      </c>
      <c r="Y4527" t="inlineStr">
        <is>
          <t>27765472424</t>
        </is>
      </c>
    </row>
    <row r="4528">
      <c r="A4528" t="inlineStr">
        <is>
          <t>14947617</t>
        </is>
      </c>
      <c r="B4528" t="inlineStr">
        <is>
          <t>3dacbd44-9c99-4eb5-83cb-76dc3a58df93</t>
        </is>
      </c>
      <c r="D4528" t="inlineStr">
        <is>
          <t>30001087</t>
        </is>
      </c>
      <c r="E4528" t="inlineStr">
        <is>
          <t>ussd_funeral_leads_altitude_20260619</t>
        </is>
      </c>
      <c r="J4528" t="inlineStr">
        <is>
          <t>ADC</t>
        </is>
      </c>
      <c r="K4528" t="inlineStr">
        <is>
          <t>Auto Dial Disconnected</t>
        </is>
      </c>
      <c r="L4528" t="n">
        <v>2</v>
      </c>
      <c r="M4528" t="inlineStr">
        <is>
          <t>2026-06-22 15:17:04</t>
        </is>
      </c>
      <c r="N4528" t="inlineStr">
        <is>
          <t>system</t>
        </is>
      </c>
      <c r="O4528" t="inlineStr">
        <is>
          <t>2026-06-19 07:10:32</t>
        </is>
      </c>
      <c r="P4528" t="inlineStr">
        <is>
          <t>2026-06-19 07:10:32</t>
        </is>
      </c>
      <c r="Y4528" t="inlineStr">
        <is>
          <t>27660195856</t>
        </is>
      </c>
    </row>
    <row r="4529">
      <c r="A4529" t="inlineStr">
        <is>
          <t>14943640</t>
        </is>
      </c>
      <c r="B4529" t="inlineStr">
        <is>
          <t>3c8305c0-1ba3-4d82-bc24-98a351410171</t>
        </is>
      </c>
      <c r="D4529" t="inlineStr">
        <is>
          <t>30001087</t>
        </is>
      </c>
      <c r="E4529" t="inlineStr">
        <is>
          <t>ussd_funeral_leads_altitude_20260619</t>
        </is>
      </c>
      <c r="J4529" t="inlineStr">
        <is>
          <t>NA</t>
        </is>
      </c>
      <c r="K4529" t="inlineStr">
        <is>
          <t>No Answer Autodial</t>
        </is>
      </c>
      <c r="L4529" t="n">
        <v>2</v>
      </c>
      <c r="M4529" t="inlineStr">
        <is>
          <t>2026-06-22 15:16:48</t>
        </is>
      </c>
      <c r="N4529" t="inlineStr">
        <is>
          <t>system</t>
        </is>
      </c>
      <c r="O4529" t="inlineStr">
        <is>
          <t>2026-06-19 07:10:32</t>
        </is>
      </c>
      <c r="P4529" t="inlineStr">
        <is>
          <t>2026-06-19 07:10:32</t>
        </is>
      </c>
      <c r="Y4529" t="inlineStr">
        <is>
          <t>27636391771</t>
        </is>
      </c>
    </row>
    <row r="4530">
      <c r="A4530" t="inlineStr">
        <is>
          <t>14947619</t>
        </is>
      </c>
      <c r="B4530" t="inlineStr">
        <is>
          <t>574d42e7-42ae-4a47-a537-e7e180d03b50</t>
        </is>
      </c>
      <c r="D4530" t="inlineStr">
        <is>
          <t>30001087</t>
        </is>
      </c>
      <c r="E4530" t="inlineStr">
        <is>
          <t>ussd_funeral_leads_altitude_20260619</t>
        </is>
      </c>
      <c r="J4530" t="inlineStr">
        <is>
          <t>AA</t>
        </is>
      </c>
      <c r="K4530" t="inlineStr">
        <is>
          <t>Answering Machine Autodial</t>
        </is>
      </c>
      <c r="L4530" t="n">
        <v>2</v>
      </c>
      <c r="M4530" t="inlineStr">
        <is>
          <t>2026-06-22 15:16:14</t>
        </is>
      </c>
      <c r="N4530" t="inlineStr">
        <is>
          <t>system</t>
        </is>
      </c>
      <c r="O4530" t="inlineStr">
        <is>
          <t>2026-06-19 07:10:32</t>
        </is>
      </c>
      <c r="P4530" t="inlineStr">
        <is>
          <t>2026-06-19 07:10:32</t>
        </is>
      </c>
      <c r="Y4530" t="inlineStr">
        <is>
          <t>27722431774</t>
        </is>
      </c>
    </row>
    <row r="4531">
      <c r="A4531" t="inlineStr">
        <is>
          <t>14943642</t>
        </is>
      </c>
      <c r="B4531" t="inlineStr">
        <is>
          <t>73afb659-2d77-4598-a721-017c29146be0</t>
        </is>
      </c>
      <c r="D4531" t="inlineStr">
        <is>
          <t>30001087</t>
        </is>
      </c>
      <c r="E4531" t="inlineStr">
        <is>
          <t>ussd_funeral_leads_altitude_20260619</t>
        </is>
      </c>
      <c r="J4531" t="inlineStr">
        <is>
          <t>TDN</t>
        </is>
      </c>
      <c r="K4531" t="inlineStr">
        <is>
          <t>Temporary Disconnected Number</t>
        </is>
      </c>
      <c r="L4531" t="n">
        <v>2</v>
      </c>
      <c r="M4531" t="inlineStr">
        <is>
          <t>2026-06-22 15:16:13</t>
        </is>
      </c>
      <c r="N4531" t="inlineStr">
        <is>
          <t>system</t>
        </is>
      </c>
      <c r="O4531" t="inlineStr">
        <is>
          <t>2026-06-19 07:10:32</t>
        </is>
      </c>
      <c r="P4531" t="inlineStr">
        <is>
          <t>2026-06-19 07:10:32</t>
        </is>
      </c>
      <c r="Y4531" t="inlineStr">
        <is>
          <t>27648540758</t>
        </is>
      </c>
    </row>
    <row r="4532">
      <c r="A4532" t="inlineStr">
        <is>
          <t>14943650</t>
        </is>
      </c>
      <c r="B4532" t="inlineStr">
        <is>
          <t>b6aaf13f-69cf-4f3a-bdfa-199d609d3c8d</t>
        </is>
      </c>
      <c r="D4532" t="inlineStr">
        <is>
          <t>30001087</t>
        </is>
      </c>
      <c r="E4532" t="inlineStr">
        <is>
          <t>ussd_funeral_leads_altitude_20260619</t>
        </is>
      </c>
      <c r="J4532" t="inlineStr">
        <is>
          <t>AA</t>
        </is>
      </c>
      <c r="K4532" t="inlineStr">
        <is>
          <t>Answering Machine Autodial</t>
        </is>
      </c>
      <c r="L4532" t="n">
        <v>2</v>
      </c>
      <c r="M4532" t="inlineStr">
        <is>
          <t>2026-06-22 15:15:13</t>
        </is>
      </c>
      <c r="N4532" t="inlineStr">
        <is>
          <t>system</t>
        </is>
      </c>
      <c r="O4532" t="inlineStr">
        <is>
          <t>2026-06-19 07:10:32</t>
        </is>
      </c>
      <c r="P4532" t="inlineStr">
        <is>
          <t>2026-06-19 07:10:32</t>
        </is>
      </c>
      <c r="Y4532" t="inlineStr">
        <is>
          <t>27674530951</t>
        </is>
      </c>
    </row>
    <row r="4533">
      <c r="A4533" t="inlineStr">
        <is>
          <t>14943651</t>
        </is>
      </c>
      <c r="B4533" t="inlineStr">
        <is>
          <t>98116cc5-608d-4420-ae48-b5514b07053f</t>
        </is>
      </c>
      <c r="D4533" t="inlineStr">
        <is>
          <t>30001087</t>
        </is>
      </c>
      <c r="E4533" t="inlineStr">
        <is>
          <t>ussd_funeral_leads_altitude_20260619</t>
        </is>
      </c>
      <c r="J4533" t="inlineStr">
        <is>
          <t>CU</t>
        </is>
      </c>
      <c r="K4533" t="inlineStr">
        <is>
          <t>Client Hung Up</t>
        </is>
      </c>
      <c r="L4533" t="n">
        <v>2</v>
      </c>
      <c r="M4533" t="inlineStr">
        <is>
          <t>2026-06-22 15:15:13</t>
        </is>
      </c>
      <c r="N4533" t="inlineStr">
        <is>
          <t>Goitsimang Mogwasa</t>
        </is>
      </c>
      <c r="O4533" t="inlineStr">
        <is>
          <t>2026-06-19 07:10:32</t>
        </is>
      </c>
      <c r="P4533" t="inlineStr">
        <is>
          <t>2026-06-19 07:10:32</t>
        </is>
      </c>
      <c r="Y4533" t="inlineStr">
        <is>
          <t>27799854659</t>
        </is>
      </c>
    </row>
    <row r="4534">
      <c r="A4534" t="inlineStr">
        <is>
          <t>14943648</t>
        </is>
      </c>
      <c r="B4534" t="inlineStr">
        <is>
          <t>3fe53f17-d3ea-4816-8839-86811775e9c9</t>
        </is>
      </c>
      <c r="D4534" t="inlineStr">
        <is>
          <t>30001087</t>
        </is>
      </c>
      <c r="E4534" t="inlineStr">
        <is>
          <t>ussd_funeral_leads_altitude_20260619</t>
        </is>
      </c>
      <c r="J4534" t="inlineStr">
        <is>
          <t>ADC</t>
        </is>
      </c>
      <c r="K4534" t="inlineStr">
        <is>
          <t>Auto Dial Disconnected</t>
        </is>
      </c>
      <c r="L4534" t="n">
        <v>2</v>
      </c>
      <c r="M4534" t="inlineStr">
        <is>
          <t>2026-06-22 15:15:11</t>
        </is>
      </c>
      <c r="N4534" t="inlineStr">
        <is>
          <t>system</t>
        </is>
      </c>
      <c r="O4534" t="inlineStr">
        <is>
          <t>2026-06-19 07:10:32</t>
        </is>
      </c>
      <c r="P4534" t="inlineStr">
        <is>
          <t>2026-06-19 07:10:32</t>
        </is>
      </c>
      <c r="Y4534" t="inlineStr">
        <is>
          <t>27608812709</t>
        </is>
      </c>
    </row>
    <row r="4535">
      <c r="A4535" t="inlineStr">
        <is>
          <t>14900000</t>
        </is>
      </c>
      <c r="B4535" t="inlineStr">
        <is>
          <t>2e75216c-7571-4d68-a921-5067a88f7fa9</t>
        </is>
      </c>
      <c r="D4535" t="inlineStr">
        <is>
          <t>30001087</t>
        </is>
      </c>
      <c r="E4535" t="inlineStr">
        <is>
          <t>ussd_funeral_leads_altitude_20260619</t>
        </is>
      </c>
      <c r="J4535" t="inlineStr">
        <is>
          <t>AA</t>
        </is>
      </c>
      <c r="K4535" t="inlineStr">
        <is>
          <t>Answering Machine Autodial</t>
        </is>
      </c>
      <c r="L4535" t="n">
        <v>2</v>
      </c>
      <c r="M4535" t="inlineStr">
        <is>
          <t>2026-06-22 15:13:04</t>
        </is>
      </c>
      <c r="N4535" t="inlineStr">
        <is>
          <t>system</t>
        </is>
      </c>
      <c r="O4535" t="inlineStr">
        <is>
          <t>2026-06-19 07:10:32</t>
        </is>
      </c>
      <c r="P4535" t="inlineStr">
        <is>
          <t>2026-06-19 07:10:32</t>
        </is>
      </c>
      <c r="Y4535" t="inlineStr">
        <is>
          <t>27720313115</t>
        </is>
      </c>
    </row>
    <row r="4536">
      <c r="A4536" t="inlineStr">
        <is>
          <t>14943655</t>
        </is>
      </c>
      <c r="B4536" t="inlineStr">
        <is>
          <t>d1933171-aa7c-4d0b-ad68-fc615c5b93b0</t>
        </is>
      </c>
      <c r="D4536" t="inlineStr">
        <is>
          <t>30001087</t>
        </is>
      </c>
      <c r="E4536" t="inlineStr">
        <is>
          <t>ussd_funeral_leads_altitude_20260619</t>
        </is>
      </c>
      <c r="J4536" t="inlineStr">
        <is>
          <t>AA</t>
        </is>
      </c>
      <c r="K4536" t="inlineStr">
        <is>
          <t>Answering Machine Autodial</t>
        </is>
      </c>
      <c r="L4536" t="n">
        <v>2</v>
      </c>
      <c r="M4536" t="inlineStr">
        <is>
          <t>2026-06-22 15:13:03</t>
        </is>
      </c>
      <c r="N4536" t="inlineStr">
        <is>
          <t>system</t>
        </is>
      </c>
      <c r="O4536" t="inlineStr">
        <is>
          <t>2026-06-19 07:10:32</t>
        </is>
      </c>
      <c r="P4536" t="inlineStr">
        <is>
          <t>2026-06-19 07:10:32</t>
        </is>
      </c>
      <c r="Y4536" t="inlineStr">
        <is>
          <t>27637458170</t>
        </is>
      </c>
    </row>
    <row r="4537">
      <c r="A4537" t="inlineStr">
        <is>
          <t>14943654</t>
        </is>
      </c>
      <c r="B4537" t="inlineStr">
        <is>
          <t>2307a34d-b29c-4cd2-abf7-1dc265bcfa65</t>
        </is>
      </c>
      <c r="D4537" t="inlineStr">
        <is>
          <t>30001087</t>
        </is>
      </c>
      <c r="E4537" t="inlineStr">
        <is>
          <t>ussd_funeral_leads_altitude_20260619</t>
        </is>
      </c>
      <c r="J4537" t="inlineStr">
        <is>
          <t>NA</t>
        </is>
      </c>
      <c r="K4537" t="inlineStr">
        <is>
          <t>No Answer Autodial</t>
        </is>
      </c>
      <c r="L4537" t="n">
        <v>2</v>
      </c>
      <c r="M4537" t="inlineStr">
        <is>
          <t>2026-06-22 15:13:00</t>
        </is>
      </c>
      <c r="N4537" t="inlineStr">
        <is>
          <t>system</t>
        </is>
      </c>
      <c r="O4537" t="inlineStr">
        <is>
          <t>2026-06-19 07:10:32</t>
        </is>
      </c>
      <c r="P4537" t="inlineStr">
        <is>
          <t>2026-06-19 07:10:32</t>
        </is>
      </c>
      <c r="Y4537" t="inlineStr">
        <is>
          <t>27725261618</t>
        </is>
      </c>
    </row>
    <row r="4538">
      <c r="A4538" t="inlineStr">
        <is>
          <t>14943652</t>
        </is>
      </c>
      <c r="B4538" t="inlineStr">
        <is>
          <t>f333e0e0-5715-4e86-b883-daed923ce067</t>
        </is>
      </c>
      <c r="D4538" t="inlineStr">
        <is>
          <t>30001087</t>
        </is>
      </c>
      <c r="E4538" t="inlineStr">
        <is>
          <t>ussd_funeral_leads_altitude_20260619</t>
        </is>
      </c>
      <c r="J4538" t="inlineStr">
        <is>
          <t>AA</t>
        </is>
      </c>
      <c r="K4538" t="inlineStr">
        <is>
          <t>Answering Machine Autodial</t>
        </is>
      </c>
      <c r="L4538" t="n">
        <v>2</v>
      </c>
      <c r="M4538" t="inlineStr">
        <is>
          <t>2026-06-22 15:12:57</t>
        </is>
      </c>
      <c r="N4538" t="inlineStr">
        <is>
          <t>system</t>
        </is>
      </c>
      <c r="O4538" t="inlineStr">
        <is>
          <t>2026-06-19 07:10:32</t>
        </is>
      </c>
      <c r="P4538" t="inlineStr">
        <is>
          <t>2026-06-19 07:10:32</t>
        </is>
      </c>
      <c r="Y4538" t="inlineStr">
        <is>
          <t>27663228441</t>
        </is>
      </c>
    </row>
    <row r="4539">
      <c r="A4539" t="inlineStr">
        <is>
          <t>14943657</t>
        </is>
      </c>
      <c r="B4539" t="inlineStr">
        <is>
          <t>756bfc2f-fd66-4bb8-9fd2-d90a8235101d</t>
        </is>
      </c>
      <c r="D4539" t="inlineStr">
        <is>
          <t>30001087</t>
        </is>
      </c>
      <c r="E4539" t="inlineStr">
        <is>
          <t>ussd_funeral_leads_altitude_20260619</t>
        </is>
      </c>
      <c r="J4539" t="inlineStr">
        <is>
          <t>DROP</t>
        </is>
      </c>
      <c r="K4539" t="inlineStr">
        <is>
          <t>Dropped</t>
        </is>
      </c>
      <c r="L4539" t="n">
        <v>2</v>
      </c>
      <c r="M4539" t="inlineStr">
        <is>
          <t>2026-06-22 15:11:56</t>
        </is>
      </c>
      <c r="N4539" t="inlineStr">
        <is>
          <t>system</t>
        </is>
      </c>
      <c r="O4539" t="inlineStr">
        <is>
          <t>2026-06-19 07:10:32</t>
        </is>
      </c>
      <c r="P4539" t="inlineStr">
        <is>
          <t>2026-06-19 07:10:32</t>
        </is>
      </c>
      <c r="Y4539" t="inlineStr">
        <is>
          <t>27720614282</t>
        </is>
      </c>
    </row>
    <row r="4540">
      <c r="A4540" t="inlineStr">
        <is>
          <t>14943542</t>
        </is>
      </c>
      <c r="B4540" t="inlineStr">
        <is>
          <t>d188668e-c389-4706-be78-1e33320a5a30</t>
        </is>
      </c>
      <c r="D4540" t="inlineStr">
        <is>
          <t>30001087</t>
        </is>
      </c>
      <c r="E4540" t="inlineStr">
        <is>
          <t>ussd_funeral_leads_altitude_20260619</t>
        </is>
      </c>
      <c r="J4540" t="inlineStr">
        <is>
          <t>AA</t>
        </is>
      </c>
      <c r="K4540" t="inlineStr">
        <is>
          <t>Answering Machine Autodial</t>
        </is>
      </c>
      <c r="L4540" t="n">
        <v>2</v>
      </c>
      <c r="M4540" t="inlineStr">
        <is>
          <t>2026-06-22 15:10:53</t>
        </is>
      </c>
      <c r="N4540" t="inlineStr">
        <is>
          <t>system</t>
        </is>
      </c>
      <c r="O4540" t="inlineStr">
        <is>
          <t>2026-06-19 07:10:32</t>
        </is>
      </c>
      <c r="P4540" t="inlineStr">
        <is>
          <t>2026-06-19 07:10:32</t>
        </is>
      </c>
      <c r="Y4540" t="inlineStr">
        <is>
          <t>27768989374</t>
        </is>
      </c>
    </row>
    <row r="4541">
      <c r="A4541" t="inlineStr">
        <is>
          <t>14943551</t>
        </is>
      </c>
      <c r="B4541" t="inlineStr">
        <is>
          <t>f89bb055-ba3e-433a-adfc-97c1506f4e24</t>
        </is>
      </c>
      <c r="D4541" t="inlineStr">
        <is>
          <t>30001087</t>
        </is>
      </c>
      <c r="E4541" t="inlineStr">
        <is>
          <t>ussd_funeral_leads_altitude_20260619</t>
        </is>
      </c>
      <c r="H4541" t="inlineStr">
        <is>
          <t>27715508311</t>
        </is>
      </c>
      <c r="J4541" t="inlineStr">
        <is>
          <t>NA</t>
        </is>
      </c>
      <c r="K4541" t="inlineStr">
        <is>
          <t>No Answer Autodial</t>
        </is>
      </c>
      <c r="L4541" t="n">
        <v>2</v>
      </c>
      <c r="M4541" t="inlineStr">
        <is>
          <t>2026-06-22 15:10:53</t>
        </is>
      </c>
      <c r="N4541" t="inlineStr">
        <is>
          <t>system</t>
        </is>
      </c>
      <c r="O4541" t="inlineStr">
        <is>
          <t>2026-06-19 07:10:32</t>
        </is>
      </c>
      <c r="P4541" t="inlineStr">
        <is>
          <t>2026-06-19 07:10:32</t>
        </is>
      </c>
      <c r="Y4541" t="inlineStr">
        <is>
          <t>27715508311</t>
        </is>
      </c>
    </row>
    <row r="4542">
      <c r="A4542" t="inlineStr">
        <is>
          <t>14943552</t>
        </is>
      </c>
      <c r="B4542" t="inlineStr">
        <is>
          <t>185e82fc-32c2-4ebc-b0a3-a772f06e54b4</t>
        </is>
      </c>
      <c r="D4542" t="inlineStr">
        <is>
          <t>30001087</t>
        </is>
      </c>
      <c r="E4542" t="inlineStr">
        <is>
          <t>ussd_funeral_leads_altitude_20260619</t>
        </is>
      </c>
      <c r="J4542" t="inlineStr">
        <is>
          <t>AA</t>
        </is>
      </c>
      <c r="K4542" t="inlineStr">
        <is>
          <t>Answering Machine Autodial</t>
        </is>
      </c>
      <c r="L4542" t="n">
        <v>2</v>
      </c>
      <c r="M4542" t="inlineStr">
        <is>
          <t>2026-06-22 15:10:53</t>
        </is>
      </c>
      <c r="N4542" t="inlineStr">
        <is>
          <t>system</t>
        </is>
      </c>
      <c r="O4542" t="inlineStr">
        <is>
          <t>2026-06-19 07:10:32</t>
        </is>
      </c>
      <c r="P4542" t="inlineStr">
        <is>
          <t>2026-06-19 07:10:32</t>
        </is>
      </c>
      <c r="Y4542" t="inlineStr">
        <is>
          <t>27797779072</t>
        </is>
      </c>
    </row>
    <row r="4543">
      <c r="A4543" t="inlineStr">
        <is>
          <t>14943553</t>
        </is>
      </c>
      <c r="B4543" t="inlineStr">
        <is>
          <t>9b65b323-0b9e-4ba9-baf2-e0f592a882ce</t>
        </is>
      </c>
      <c r="D4543" t="inlineStr">
        <is>
          <t>30001087</t>
        </is>
      </c>
      <c r="E4543" t="inlineStr">
        <is>
          <t>ussd_funeral_leads_altitude_20260619</t>
        </is>
      </c>
      <c r="J4543" t="inlineStr">
        <is>
          <t>DROP</t>
        </is>
      </c>
      <c r="K4543" t="inlineStr">
        <is>
          <t>Dropped</t>
        </is>
      </c>
      <c r="L4543" t="n">
        <v>2</v>
      </c>
      <c r="M4543" t="inlineStr">
        <is>
          <t>2026-06-22 15:10:53</t>
        </is>
      </c>
      <c r="N4543" t="inlineStr">
        <is>
          <t>system</t>
        </is>
      </c>
      <c r="O4543" t="inlineStr">
        <is>
          <t>2026-06-19 07:10:32</t>
        </is>
      </c>
      <c r="P4543" t="inlineStr">
        <is>
          <t>2026-06-19 07:10:32</t>
        </is>
      </c>
      <c r="Y4543" t="inlineStr">
        <is>
          <t>27794637491</t>
        </is>
      </c>
    </row>
    <row r="4544">
      <c r="A4544" t="inlineStr">
        <is>
          <t>14943549</t>
        </is>
      </c>
      <c r="B4544" t="inlineStr">
        <is>
          <t>b9bd38d2-fa75-43c4-979d-08f60084d6bc</t>
        </is>
      </c>
      <c r="D4544" t="inlineStr">
        <is>
          <t>30001087</t>
        </is>
      </c>
      <c r="E4544" t="inlineStr">
        <is>
          <t>ussd_funeral_leads_altitude_20260619</t>
        </is>
      </c>
      <c r="J4544" t="inlineStr">
        <is>
          <t>DROP</t>
        </is>
      </c>
      <c r="K4544" t="inlineStr">
        <is>
          <t>Dropped</t>
        </is>
      </c>
      <c r="L4544" t="n">
        <v>2</v>
      </c>
      <c r="M4544" t="inlineStr">
        <is>
          <t>2026-06-22 15:10:50</t>
        </is>
      </c>
      <c r="N4544" t="inlineStr">
        <is>
          <t>system</t>
        </is>
      </c>
      <c r="O4544" t="inlineStr">
        <is>
          <t>2026-06-19 07:10:32</t>
        </is>
      </c>
      <c r="P4544" t="inlineStr">
        <is>
          <t>2026-06-19 07:10:32</t>
        </is>
      </c>
      <c r="Y4544" t="inlineStr">
        <is>
          <t>27661237439</t>
        </is>
      </c>
    </row>
    <row r="4545">
      <c r="A4545" t="inlineStr">
        <is>
          <t>14943546</t>
        </is>
      </c>
      <c r="B4545" t="inlineStr">
        <is>
          <t>9f880e3b-b782-4a90-9c08-f581105c6d66</t>
        </is>
      </c>
      <c r="D4545" t="inlineStr">
        <is>
          <t>30001087</t>
        </is>
      </c>
      <c r="E4545" t="inlineStr">
        <is>
          <t>ussd_funeral_leads_altitude_20260619</t>
        </is>
      </c>
      <c r="J4545" t="inlineStr">
        <is>
          <t>ADC</t>
        </is>
      </c>
      <c r="K4545" t="inlineStr">
        <is>
          <t>Auto Dial Disconnected</t>
        </is>
      </c>
      <c r="L4545" t="n">
        <v>2</v>
      </c>
      <c r="M4545" t="inlineStr">
        <is>
          <t>2026-06-22 15:10:49</t>
        </is>
      </c>
      <c r="N4545" t="inlineStr">
        <is>
          <t>system</t>
        </is>
      </c>
      <c r="O4545" t="inlineStr">
        <is>
          <t>2026-06-19 07:10:32</t>
        </is>
      </c>
      <c r="P4545" t="inlineStr">
        <is>
          <t>2026-06-19 07:10:32</t>
        </is>
      </c>
      <c r="Y4545" t="inlineStr">
        <is>
          <t>27722067408</t>
        </is>
      </c>
    </row>
    <row r="4546">
      <c r="A4546" t="inlineStr">
        <is>
          <t>14943547</t>
        </is>
      </c>
      <c r="B4546" t="inlineStr">
        <is>
          <t>8a520bce-d6dc-4625-a3db-407806af8f68</t>
        </is>
      </c>
      <c r="D4546" t="inlineStr">
        <is>
          <t>30001087</t>
        </is>
      </c>
      <c r="E4546" t="inlineStr">
        <is>
          <t>ussd_funeral_leads_altitude_20260619</t>
        </is>
      </c>
      <c r="J4546" t="inlineStr">
        <is>
          <t>AA</t>
        </is>
      </c>
      <c r="K4546" t="inlineStr">
        <is>
          <t>Answering Machine Autodial</t>
        </is>
      </c>
      <c r="L4546" t="n">
        <v>2</v>
      </c>
      <c r="M4546" t="inlineStr">
        <is>
          <t>2026-06-22 15:10:49</t>
        </is>
      </c>
      <c r="N4546" t="inlineStr">
        <is>
          <t>system</t>
        </is>
      </c>
      <c r="O4546" t="inlineStr">
        <is>
          <t>2026-06-19 07:10:32</t>
        </is>
      </c>
      <c r="P4546" t="inlineStr">
        <is>
          <t>2026-06-19 07:10:32</t>
        </is>
      </c>
      <c r="Y4546" t="inlineStr">
        <is>
          <t>27823462838</t>
        </is>
      </c>
    </row>
    <row r="4547">
      <c r="A4547" t="inlineStr">
        <is>
          <t>14943548</t>
        </is>
      </c>
      <c r="B4547" t="inlineStr">
        <is>
          <t>fa343601-f42c-4b19-bc13-f45822a7b785</t>
        </is>
      </c>
      <c r="D4547" t="inlineStr">
        <is>
          <t>30001087</t>
        </is>
      </c>
      <c r="E4547" t="inlineStr">
        <is>
          <t>ussd_funeral_leads_altitude_20260619</t>
        </is>
      </c>
      <c r="J4547" t="inlineStr">
        <is>
          <t>AA</t>
        </is>
      </c>
      <c r="K4547" t="inlineStr">
        <is>
          <t>Answering Machine Autodial</t>
        </is>
      </c>
      <c r="L4547" t="n">
        <v>2</v>
      </c>
      <c r="M4547" t="inlineStr">
        <is>
          <t>2026-06-22 15:10:49</t>
        </is>
      </c>
      <c r="N4547" t="inlineStr">
        <is>
          <t>system</t>
        </is>
      </c>
      <c r="O4547" t="inlineStr">
        <is>
          <t>2026-06-19 07:10:32</t>
        </is>
      </c>
      <c r="P4547" t="inlineStr">
        <is>
          <t>2026-06-19 07:10:32</t>
        </is>
      </c>
      <c r="Y4547" t="inlineStr">
        <is>
          <t>27665310088</t>
        </is>
      </c>
    </row>
    <row r="4548">
      <c r="A4548" t="inlineStr">
        <is>
          <t>14943550</t>
        </is>
      </c>
      <c r="B4548" t="inlineStr">
        <is>
          <t>46d9a372-8071-4735-9abb-0a4a41a71c51</t>
        </is>
      </c>
      <c r="D4548" t="inlineStr">
        <is>
          <t>30001087</t>
        </is>
      </c>
      <c r="E4548" t="inlineStr">
        <is>
          <t>ussd_funeral_leads_altitude_20260619</t>
        </is>
      </c>
      <c r="J4548" t="inlineStr">
        <is>
          <t>A</t>
        </is>
      </c>
      <c r="K4548" t="inlineStr">
        <is>
          <t>Answering Machine</t>
        </is>
      </c>
      <c r="L4548" t="n">
        <v>2</v>
      </c>
      <c r="M4548" t="inlineStr">
        <is>
          <t>2026-06-22 15:10:04</t>
        </is>
      </c>
      <c r="N4548" t="inlineStr">
        <is>
          <t>Goitsimang Mogwasa</t>
        </is>
      </c>
      <c r="O4548" t="inlineStr">
        <is>
          <t>2026-06-19 07:10:32</t>
        </is>
      </c>
      <c r="P4548" t="inlineStr">
        <is>
          <t>2026-06-19 07:10:32</t>
        </is>
      </c>
      <c r="Y4548" t="inlineStr">
        <is>
          <t>27724478631</t>
        </is>
      </c>
    </row>
    <row r="4549">
      <c r="A4549" t="inlineStr">
        <is>
          <t>14943172</t>
        </is>
      </c>
      <c r="B4549" t="inlineStr">
        <is>
          <t>83c35179-9bb8-4f2a-9329-f22c7f82b231</t>
        </is>
      </c>
      <c r="D4549" t="inlineStr">
        <is>
          <t>30001087</t>
        </is>
      </c>
      <c r="E4549" t="inlineStr">
        <is>
          <t>ussd_funeral_leads_altitude_20260619</t>
        </is>
      </c>
      <c r="J4549" t="inlineStr">
        <is>
          <t>AA</t>
        </is>
      </c>
      <c r="K4549" t="inlineStr">
        <is>
          <t>Answering Machine Autodial</t>
        </is>
      </c>
      <c r="L4549" t="n">
        <v>2</v>
      </c>
      <c r="M4549" t="inlineStr">
        <is>
          <t>2026-06-22 15:09:58</t>
        </is>
      </c>
      <c r="N4549" t="inlineStr">
        <is>
          <t>system</t>
        </is>
      </c>
      <c r="O4549" t="inlineStr">
        <is>
          <t>2026-06-19 07:10:32</t>
        </is>
      </c>
      <c r="P4549" t="inlineStr">
        <is>
          <t>2026-06-19 07:10:32</t>
        </is>
      </c>
      <c r="Y4549" t="inlineStr">
        <is>
          <t>27715683339</t>
        </is>
      </c>
    </row>
    <row r="4550">
      <c r="A4550" t="inlineStr">
        <is>
          <t>14947463</t>
        </is>
      </c>
      <c r="B4550" t="inlineStr">
        <is>
          <t>8b626ee7-2fa6-4828-9e47-418f4e14affc</t>
        </is>
      </c>
      <c r="D4550" t="inlineStr">
        <is>
          <t>30001087</t>
        </is>
      </c>
      <c r="E4550" t="inlineStr">
        <is>
          <t>ussd_funeral_leads_altitude_20260619</t>
        </is>
      </c>
      <c r="J4550" t="inlineStr">
        <is>
          <t>AA</t>
        </is>
      </c>
      <c r="K4550" t="inlineStr">
        <is>
          <t>Answering Machine Autodial</t>
        </is>
      </c>
      <c r="L4550" t="n">
        <v>2</v>
      </c>
      <c r="M4550" t="inlineStr">
        <is>
          <t>2026-06-22 15:03:51</t>
        </is>
      </c>
      <c r="N4550" t="inlineStr">
        <is>
          <t>system</t>
        </is>
      </c>
      <c r="O4550" t="inlineStr">
        <is>
          <t>2026-06-19 07:10:32</t>
        </is>
      </c>
      <c r="P4550" t="inlineStr">
        <is>
          <t>2026-06-19 07:10:32</t>
        </is>
      </c>
      <c r="Y4550" t="inlineStr">
        <is>
          <t>27724794742</t>
        </is>
      </c>
    </row>
    <row r="4551">
      <c r="A4551" t="inlineStr">
        <is>
          <t>14943968</t>
        </is>
      </c>
      <c r="B4551" t="inlineStr">
        <is>
          <t>b3219b03-cf21-453f-a22e-a7147d413223</t>
        </is>
      </c>
      <c r="D4551" t="inlineStr">
        <is>
          <t>30001087</t>
        </is>
      </c>
      <c r="E4551" t="inlineStr">
        <is>
          <t>ussd_funeral_leads_altitude_20260619</t>
        </is>
      </c>
      <c r="J4551" t="inlineStr">
        <is>
          <t>TDN</t>
        </is>
      </c>
      <c r="K4551" t="inlineStr">
        <is>
          <t>Temporary Disconnected Number</t>
        </is>
      </c>
      <c r="L4551" t="n">
        <v>2</v>
      </c>
      <c r="M4551" t="inlineStr">
        <is>
          <t>2026-06-22 15:01:58</t>
        </is>
      </c>
      <c r="N4551" t="inlineStr">
        <is>
          <t>system</t>
        </is>
      </c>
      <c r="O4551" t="inlineStr">
        <is>
          <t>2026-06-19 07:10:32</t>
        </is>
      </c>
      <c r="P4551" t="inlineStr">
        <is>
          <t>2026-06-19 07:10:32</t>
        </is>
      </c>
      <c r="Y4551" t="inlineStr">
        <is>
          <t>27724230710</t>
        </is>
      </c>
    </row>
    <row r="4552">
      <c r="A4552" t="inlineStr">
        <is>
          <t>14943948</t>
        </is>
      </c>
      <c r="B4552" t="inlineStr">
        <is>
          <t>5e1fa712-6a4b-40f0-af8a-b845d369e18c</t>
        </is>
      </c>
      <c r="D4552" t="inlineStr">
        <is>
          <t>30001087</t>
        </is>
      </c>
      <c r="E4552" t="inlineStr">
        <is>
          <t>ussd_funeral_leads_altitude_20260619</t>
        </is>
      </c>
      <c r="J4552" t="inlineStr">
        <is>
          <t>AA</t>
        </is>
      </c>
      <c r="K4552" t="inlineStr">
        <is>
          <t>Answering Machine Autodial</t>
        </is>
      </c>
      <c r="L4552" t="n">
        <v>2</v>
      </c>
      <c r="M4552" t="inlineStr">
        <is>
          <t>2026-06-22 15:01:31</t>
        </is>
      </c>
      <c r="N4552" t="inlineStr">
        <is>
          <t>system</t>
        </is>
      </c>
      <c r="O4552" t="inlineStr">
        <is>
          <t>2026-06-19 07:10:32</t>
        </is>
      </c>
      <c r="P4552" t="inlineStr">
        <is>
          <t>2026-06-19 07:10:32</t>
        </is>
      </c>
      <c r="Y4552" t="inlineStr">
        <is>
          <t>27608280719</t>
        </is>
      </c>
    </row>
    <row r="4553">
      <c r="A4553" t="inlineStr">
        <is>
          <t>14943946</t>
        </is>
      </c>
      <c r="B4553" t="inlineStr">
        <is>
          <t>99dedd67-6beb-4b77-8971-ee08c5df8111</t>
        </is>
      </c>
      <c r="D4553" t="inlineStr">
        <is>
          <t>30001087</t>
        </is>
      </c>
      <c r="E4553" t="inlineStr">
        <is>
          <t>ussd_funeral_leads_altitude_20260619</t>
        </is>
      </c>
      <c r="J4553" t="inlineStr">
        <is>
          <t>ADC</t>
        </is>
      </c>
      <c r="K4553" t="inlineStr">
        <is>
          <t>Auto Dial Disconnected</t>
        </is>
      </c>
      <c r="L4553" t="n">
        <v>2</v>
      </c>
      <c r="M4553" t="inlineStr">
        <is>
          <t>2026-06-22 15:01:12</t>
        </is>
      </c>
      <c r="N4553" t="inlineStr">
        <is>
          <t>system</t>
        </is>
      </c>
      <c r="O4553" t="inlineStr">
        <is>
          <t>2026-06-19 07:10:32</t>
        </is>
      </c>
      <c r="P4553" t="inlineStr">
        <is>
          <t>2026-06-19 07:10:32</t>
        </is>
      </c>
      <c r="Y4553" t="inlineStr">
        <is>
          <t>27762157405</t>
        </is>
      </c>
    </row>
    <row r="4554">
      <c r="A4554" t="inlineStr">
        <is>
          <t>14943947</t>
        </is>
      </c>
      <c r="B4554" t="inlineStr">
        <is>
          <t>ab67fa11-1e87-4f1e-b09c-89c596e4d7db</t>
        </is>
      </c>
      <c r="D4554" t="inlineStr">
        <is>
          <t>30001087</t>
        </is>
      </c>
      <c r="E4554" t="inlineStr">
        <is>
          <t>ussd_funeral_leads_altitude_20260619</t>
        </is>
      </c>
      <c r="J4554" t="inlineStr">
        <is>
          <t>NA</t>
        </is>
      </c>
      <c r="K4554" t="inlineStr">
        <is>
          <t>No Answer Autodial</t>
        </is>
      </c>
      <c r="L4554" t="n">
        <v>2</v>
      </c>
      <c r="M4554" t="inlineStr">
        <is>
          <t>2026-06-22 15:01:12</t>
        </is>
      </c>
      <c r="N4554" t="inlineStr">
        <is>
          <t>system</t>
        </is>
      </c>
      <c r="O4554" t="inlineStr">
        <is>
          <t>2026-06-19 07:10:32</t>
        </is>
      </c>
      <c r="P4554" t="inlineStr">
        <is>
          <t>2026-06-19 07:10:32</t>
        </is>
      </c>
      <c r="Y4554" t="inlineStr">
        <is>
          <t>27767384484</t>
        </is>
      </c>
    </row>
    <row r="4555">
      <c r="A4555" t="inlineStr">
        <is>
          <t>14943926</t>
        </is>
      </c>
      <c r="B4555" t="inlineStr">
        <is>
          <t>ef0212a2-52a8-4e18-9af7-79009116e49f</t>
        </is>
      </c>
      <c r="D4555" t="inlineStr">
        <is>
          <t>30001087</t>
        </is>
      </c>
      <c r="E4555" t="inlineStr">
        <is>
          <t>ussd_funeral_leads_altitude_20260619</t>
        </is>
      </c>
      <c r="J4555" t="inlineStr">
        <is>
          <t>AA</t>
        </is>
      </c>
      <c r="K4555" t="inlineStr">
        <is>
          <t>Answering Machine Autodial</t>
        </is>
      </c>
      <c r="L4555" t="n">
        <v>2</v>
      </c>
      <c r="M4555" t="inlineStr">
        <is>
          <t>2026-06-22 15:00:49</t>
        </is>
      </c>
      <c r="N4555" t="inlineStr">
        <is>
          <t>system</t>
        </is>
      </c>
      <c r="O4555" t="inlineStr">
        <is>
          <t>2026-06-19 07:10:32</t>
        </is>
      </c>
      <c r="P4555" t="inlineStr">
        <is>
          <t>2026-06-19 07:10:32</t>
        </is>
      </c>
      <c r="Y4555" t="inlineStr">
        <is>
          <t>27791427436</t>
        </is>
      </c>
    </row>
    <row r="4556">
      <c r="A4556" t="inlineStr">
        <is>
          <t>14943927</t>
        </is>
      </c>
      <c r="B4556" t="inlineStr">
        <is>
          <t>b513ae27-1515-4a0b-a50c-351e8bc8bf92</t>
        </is>
      </c>
      <c r="D4556" t="inlineStr">
        <is>
          <t>30001087</t>
        </is>
      </c>
      <c r="E4556" t="inlineStr">
        <is>
          <t>ussd_funeral_leads_altitude_20260619</t>
        </is>
      </c>
      <c r="J4556" t="inlineStr">
        <is>
          <t>AA</t>
        </is>
      </c>
      <c r="K4556" t="inlineStr">
        <is>
          <t>Answering Machine Autodial</t>
        </is>
      </c>
      <c r="L4556" t="n">
        <v>2</v>
      </c>
      <c r="M4556" t="inlineStr">
        <is>
          <t>2026-06-22 15:00:49</t>
        </is>
      </c>
      <c r="N4556" t="inlineStr">
        <is>
          <t>system</t>
        </is>
      </c>
      <c r="O4556" t="inlineStr">
        <is>
          <t>2026-06-19 07:10:32</t>
        </is>
      </c>
      <c r="P4556" t="inlineStr">
        <is>
          <t>2026-06-19 07:10:32</t>
        </is>
      </c>
      <c r="Y4556" t="inlineStr">
        <is>
          <t>27791896153</t>
        </is>
      </c>
    </row>
    <row r="4557">
      <c r="A4557" t="inlineStr">
        <is>
          <t>14943923</t>
        </is>
      </c>
      <c r="B4557" t="inlineStr">
        <is>
          <t>eea753dd-1eea-4211-bd66-8ac6a28f0148</t>
        </is>
      </c>
      <c r="D4557" t="inlineStr">
        <is>
          <t>30001087</t>
        </is>
      </c>
      <c r="E4557" t="inlineStr">
        <is>
          <t>ussd_funeral_leads_altitude_20260619</t>
        </is>
      </c>
      <c r="J4557" t="inlineStr">
        <is>
          <t>DROP</t>
        </is>
      </c>
      <c r="K4557" t="inlineStr">
        <is>
          <t>Dropped</t>
        </is>
      </c>
      <c r="L4557" t="n">
        <v>2</v>
      </c>
      <c r="M4557" t="inlineStr">
        <is>
          <t>2026-06-22 15:00:34</t>
        </is>
      </c>
      <c r="N4557" t="inlineStr">
        <is>
          <t>system</t>
        </is>
      </c>
      <c r="O4557" t="inlineStr">
        <is>
          <t>2026-06-19 07:10:32</t>
        </is>
      </c>
      <c r="P4557" t="inlineStr">
        <is>
          <t>2026-06-19 07:10:32</t>
        </is>
      </c>
      <c r="Y4557" t="inlineStr">
        <is>
          <t>27769598030</t>
        </is>
      </c>
    </row>
    <row r="4558">
      <c r="A4558" t="inlineStr">
        <is>
          <t>14943924</t>
        </is>
      </c>
      <c r="B4558" t="inlineStr">
        <is>
          <t>e9bf6cfd-84fa-4f44-b249-10833d243a2b</t>
        </is>
      </c>
      <c r="D4558" t="inlineStr">
        <is>
          <t>30001087</t>
        </is>
      </c>
      <c r="E4558" t="inlineStr">
        <is>
          <t>ussd_funeral_leads_altitude_20260619</t>
        </is>
      </c>
      <c r="J4558" t="inlineStr">
        <is>
          <t>AA</t>
        </is>
      </c>
      <c r="K4558" t="inlineStr">
        <is>
          <t>Answering Machine Autodial</t>
        </is>
      </c>
      <c r="L4558" t="n">
        <v>2</v>
      </c>
      <c r="M4558" t="inlineStr">
        <is>
          <t>2026-06-22 15:00:34</t>
        </is>
      </c>
      <c r="N4558" t="inlineStr">
        <is>
          <t>system</t>
        </is>
      </c>
      <c r="O4558" t="inlineStr">
        <is>
          <t>2026-06-19 07:10:32</t>
        </is>
      </c>
      <c r="P4558" t="inlineStr">
        <is>
          <t>2026-06-19 07:10:32</t>
        </is>
      </c>
      <c r="Y4558" t="inlineStr">
        <is>
          <t>27828654607</t>
        </is>
      </c>
    </row>
    <row r="4559">
      <c r="A4559" t="inlineStr">
        <is>
          <t>14943925</t>
        </is>
      </c>
      <c r="B4559" t="inlineStr">
        <is>
          <t>0fc2c256-b596-4c2c-b2a4-6bd4d6e219e0</t>
        </is>
      </c>
      <c r="D4559" t="inlineStr">
        <is>
          <t>30001087</t>
        </is>
      </c>
      <c r="E4559" t="inlineStr">
        <is>
          <t>ussd_funeral_leads_altitude_20260619</t>
        </is>
      </c>
      <c r="J4559" t="inlineStr">
        <is>
          <t>NA</t>
        </is>
      </c>
      <c r="K4559" t="inlineStr">
        <is>
          <t>No Answer Autodial</t>
        </is>
      </c>
      <c r="L4559" t="n">
        <v>2</v>
      </c>
      <c r="M4559" t="inlineStr">
        <is>
          <t>2026-06-22 15:00:34</t>
        </is>
      </c>
      <c r="N4559" t="inlineStr">
        <is>
          <t>system</t>
        </is>
      </c>
      <c r="O4559" t="inlineStr">
        <is>
          <t>2026-06-19 07:10:32</t>
        </is>
      </c>
      <c r="P4559" t="inlineStr">
        <is>
          <t>2026-06-19 07:10:32</t>
        </is>
      </c>
      <c r="Y4559" t="inlineStr">
        <is>
          <t>27761608211</t>
        </is>
      </c>
    </row>
    <row r="4560">
      <c r="A4560" t="inlineStr">
        <is>
          <t>14947520</t>
        </is>
      </c>
      <c r="B4560" t="inlineStr">
        <is>
          <t>869e6c3d-debd-4737-b9a1-0013ada90557</t>
        </is>
      </c>
      <c r="D4560" t="inlineStr">
        <is>
          <t>30001087</t>
        </is>
      </c>
      <c r="E4560" t="inlineStr">
        <is>
          <t>ussd_funeral_leads_altitude_20260619</t>
        </is>
      </c>
      <c r="J4560" t="inlineStr">
        <is>
          <t>CU</t>
        </is>
      </c>
      <c r="K4560" t="inlineStr">
        <is>
          <t>Client Hung Up</t>
        </is>
      </c>
      <c r="L4560" t="n">
        <v>6</v>
      </c>
      <c r="M4560" t="inlineStr">
        <is>
          <t>2026-06-22 15:00:11</t>
        </is>
      </c>
      <c r="N4560" t="inlineStr">
        <is>
          <t>Virginia Letsatsi</t>
        </is>
      </c>
      <c r="O4560" t="inlineStr">
        <is>
          <t>2026-06-19 07:10:32</t>
        </is>
      </c>
      <c r="P4560" t="inlineStr">
        <is>
          <t>2026-06-19 07:10:32</t>
        </is>
      </c>
      <c r="Y4560" t="inlineStr">
        <is>
          <t>27820854990</t>
        </is>
      </c>
    </row>
    <row r="4561">
      <c r="A4561" t="inlineStr">
        <is>
          <t>14943983</t>
        </is>
      </c>
      <c r="B4561" t="inlineStr">
        <is>
          <t>2722144b-4296-4887-a9bd-344340b3e425</t>
        </is>
      </c>
      <c r="D4561" t="inlineStr">
        <is>
          <t>30001087</t>
        </is>
      </c>
      <c r="E4561" t="inlineStr">
        <is>
          <t>ussd_funeral_leads_altitude_20260619</t>
        </is>
      </c>
      <c r="J4561" t="inlineStr">
        <is>
          <t>NA</t>
        </is>
      </c>
      <c r="K4561" t="inlineStr">
        <is>
          <t>No Answer Autodial</t>
        </is>
      </c>
      <c r="L4561" t="n">
        <v>2</v>
      </c>
      <c r="M4561" t="inlineStr">
        <is>
          <t>2026-06-22 15:00:10</t>
        </is>
      </c>
      <c r="N4561" t="inlineStr">
        <is>
          <t>system</t>
        </is>
      </c>
      <c r="O4561" t="inlineStr">
        <is>
          <t>2026-06-19 07:10:32</t>
        </is>
      </c>
      <c r="P4561" t="inlineStr">
        <is>
          <t>2026-06-19 07:10:32</t>
        </is>
      </c>
      <c r="Y4561" t="inlineStr">
        <is>
          <t>27761451948</t>
        </is>
      </c>
    </row>
    <row r="4562">
      <c r="A4562" t="inlineStr">
        <is>
          <t>14943980</t>
        </is>
      </c>
      <c r="B4562" t="inlineStr">
        <is>
          <t>0ef9a862-9359-4491-aa78-f9a00b1ab70a</t>
        </is>
      </c>
      <c r="D4562" t="inlineStr">
        <is>
          <t>30001087</t>
        </is>
      </c>
      <c r="E4562" t="inlineStr">
        <is>
          <t>ussd_funeral_leads_altitude_20260619</t>
        </is>
      </c>
      <c r="J4562" t="inlineStr">
        <is>
          <t>DROP</t>
        </is>
      </c>
      <c r="K4562" t="inlineStr">
        <is>
          <t>Dropped</t>
        </is>
      </c>
      <c r="L4562" t="n">
        <v>2</v>
      </c>
      <c r="M4562" t="inlineStr">
        <is>
          <t>2026-06-22 15:00:07</t>
        </is>
      </c>
      <c r="N4562" t="inlineStr">
        <is>
          <t>system</t>
        </is>
      </c>
      <c r="O4562" t="inlineStr">
        <is>
          <t>2026-06-19 07:10:32</t>
        </is>
      </c>
      <c r="P4562" t="inlineStr">
        <is>
          <t>2026-06-19 07:10:32</t>
        </is>
      </c>
      <c r="Y4562" t="inlineStr">
        <is>
          <t>27609271864</t>
        </is>
      </c>
    </row>
    <row r="4563">
      <c r="A4563" t="inlineStr">
        <is>
          <t>14943981</t>
        </is>
      </c>
      <c r="B4563" t="inlineStr">
        <is>
          <t>21806927-3e71-48f5-bc7d-e52ac6bf518c</t>
        </is>
      </c>
      <c r="D4563" t="inlineStr">
        <is>
          <t>30001087</t>
        </is>
      </c>
      <c r="E4563" t="inlineStr">
        <is>
          <t>ussd_funeral_leads_altitude_20260619</t>
        </is>
      </c>
      <c r="J4563" t="inlineStr">
        <is>
          <t>ADC</t>
        </is>
      </c>
      <c r="K4563" t="inlineStr">
        <is>
          <t>Auto Dial Disconnected</t>
        </is>
      </c>
      <c r="L4563" t="n">
        <v>2</v>
      </c>
      <c r="M4563" t="inlineStr">
        <is>
          <t>2026-06-22 15:00:07</t>
        </is>
      </c>
      <c r="N4563" t="inlineStr">
        <is>
          <t>system</t>
        </is>
      </c>
      <c r="O4563" t="inlineStr">
        <is>
          <t>2026-06-19 07:10:32</t>
        </is>
      </c>
      <c r="P4563" t="inlineStr">
        <is>
          <t>2026-06-19 07:10:32</t>
        </is>
      </c>
      <c r="Y4563" t="inlineStr">
        <is>
          <t>27714817873</t>
        </is>
      </c>
    </row>
    <row r="4564">
      <c r="A4564" t="inlineStr">
        <is>
          <t>14943982</t>
        </is>
      </c>
      <c r="B4564" t="inlineStr">
        <is>
          <t>2e76c920-62db-4e4d-b23d-6507bf83c778</t>
        </is>
      </c>
      <c r="D4564" t="inlineStr">
        <is>
          <t>30001087</t>
        </is>
      </c>
      <c r="E4564" t="inlineStr">
        <is>
          <t>ussd_funeral_leads_altitude_20260619</t>
        </is>
      </c>
      <c r="J4564" t="inlineStr">
        <is>
          <t>TDN</t>
        </is>
      </c>
      <c r="K4564" t="inlineStr">
        <is>
          <t>Temporary Disconnected Number</t>
        </is>
      </c>
      <c r="L4564" t="n">
        <v>2</v>
      </c>
      <c r="M4564" t="inlineStr">
        <is>
          <t>2026-06-22 15:00:07</t>
        </is>
      </c>
      <c r="N4564" t="inlineStr">
        <is>
          <t>system</t>
        </is>
      </c>
      <c r="O4564" t="inlineStr">
        <is>
          <t>2026-06-19 07:10:32</t>
        </is>
      </c>
      <c r="P4564" t="inlineStr">
        <is>
          <t>2026-06-19 07:10:32</t>
        </is>
      </c>
      <c r="Y4564" t="inlineStr">
        <is>
          <t>27647722202</t>
        </is>
      </c>
    </row>
    <row r="4565">
      <c r="A4565" t="inlineStr">
        <is>
          <t>14943979</t>
        </is>
      </c>
      <c r="B4565" t="inlineStr">
        <is>
          <t>c1593132-2624-47fe-8a14-bc60ab0ab8bf</t>
        </is>
      </c>
      <c r="D4565" t="inlineStr">
        <is>
          <t>30001087</t>
        </is>
      </c>
      <c r="E4565" t="inlineStr">
        <is>
          <t>ussd_funeral_leads_altitude_20260619</t>
        </is>
      </c>
      <c r="J4565" t="inlineStr">
        <is>
          <t>DROP</t>
        </is>
      </c>
      <c r="K4565" t="inlineStr">
        <is>
          <t>Dropped</t>
        </is>
      </c>
      <c r="L4565" t="n">
        <v>2</v>
      </c>
      <c r="M4565" t="inlineStr">
        <is>
          <t>2026-06-22 15:00:04</t>
        </is>
      </c>
      <c r="N4565" t="inlineStr">
        <is>
          <t>system</t>
        </is>
      </c>
      <c r="O4565" t="inlineStr">
        <is>
          <t>2026-06-19 07:10:32</t>
        </is>
      </c>
      <c r="P4565" t="inlineStr">
        <is>
          <t>2026-06-19 07:10:32</t>
        </is>
      </c>
      <c r="Y4565" t="inlineStr">
        <is>
          <t>27795918535</t>
        </is>
      </c>
    </row>
    <row r="4566">
      <c r="A4566" t="inlineStr">
        <is>
          <t>14943975</t>
        </is>
      </c>
      <c r="B4566" t="inlineStr">
        <is>
          <t>78ea00b1-7088-4df9-8505-8bb4e1299491</t>
        </is>
      </c>
      <c r="D4566" t="inlineStr">
        <is>
          <t>30001087</t>
        </is>
      </c>
      <c r="E4566" t="inlineStr">
        <is>
          <t>ussd_funeral_leads_altitude_20260619</t>
        </is>
      </c>
      <c r="J4566" t="inlineStr">
        <is>
          <t>AA</t>
        </is>
      </c>
      <c r="K4566" t="inlineStr">
        <is>
          <t>Answering Machine Autodial</t>
        </is>
      </c>
      <c r="L4566" t="n">
        <v>2</v>
      </c>
      <c r="M4566" t="inlineStr">
        <is>
          <t>2026-06-22 15:00:01</t>
        </is>
      </c>
      <c r="N4566" t="inlineStr">
        <is>
          <t>system</t>
        </is>
      </c>
      <c r="O4566" t="inlineStr">
        <is>
          <t>2026-06-19 07:10:32</t>
        </is>
      </c>
      <c r="P4566" t="inlineStr">
        <is>
          <t>2026-06-19 07:10:32</t>
        </is>
      </c>
      <c r="Y4566" t="inlineStr">
        <is>
          <t>27714567684</t>
        </is>
      </c>
    </row>
    <row r="4567">
      <c r="A4567" t="inlineStr">
        <is>
          <t>14900000</t>
        </is>
      </c>
      <c r="B4567" t="inlineStr">
        <is>
          <t>281e919c-56ef-42cf-8469-8aad89364da9</t>
        </is>
      </c>
      <c r="D4567" t="inlineStr">
        <is>
          <t>30001087</t>
        </is>
      </c>
      <c r="E4567" t="inlineStr">
        <is>
          <t>ussd_funeral_leads_altitude_20260619</t>
        </is>
      </c>
      <c r="J4567" t="inlineStr">
        <is>
          <t>AA</t>
        </is>
      </c>
      <c r="K4567" t="inlineStr">
        <is>
          <t>Answering Machine Autodial</t>
        </is>
      </c>
      <c r="L4567" t="n">
        <v>2</v>
      </c>
      <c r="M4567" t="inlineStr">
        <is>
          <t>2026-06-22 15:00:00</t>
        </is>
      </c>
      <c r="N4567" t="inlineStr">
        <is>
          <t>system</t>
        </is>
      </c>
      <c r="O4567" t="inlineStr">
        <is>
          <t>2026-06-19 07:10:32</t>
        </is>
      </c>
      <c r="P4567" t="inlineStr">
        <is>
          <t>2026-06-19 07:10:32</t>
        </is>
      </c>
      <c r="Y4567" t="inlineStr">
        <is>
          <t>27826154409</t>
        </is>
      </c>
    </row>
    <row r="4568">
      <c r="A4568" t="inlineStr">
        <is>
          <t>14943977</t>
        </is>
      </c>
      <c r="B4568" t="inlineStr">
        <is>
          <t>7ed06c90-7497-4c15-ad06-c1f85522ff44</t>
        </is>
      </c>
      <c r="D4568" t="inlineStr">
        <is>
          <t>30001087</t>
        </is>
      </c>
      <c r="E4568" t="inlineStr">
        <is>
          <t>ussd_funeral_leads_altitude_20260619</t>
        </is>
      </c>
      <c r="J4568" t="inlineStr">
        <is>
          <t>AA</t>
        </is>
      </c>
      <c r="K4568" t="inlineStr">
        <is>
          <t>Answering Machine Autodial</t>
        </is>
      </c>
      <c r="L4568" t="n">
        <v>2</v>
      </c>
      <c r="M4568" t="inlineStr">
        <is>
          <t>2026-06-22 15:00:00</t>
        </is>
      </c>
      <c r="N4568" t="inlineStr">
        <is>
          <t>system</t>
        </is>
      </c>
      <c r="O4568" t="inlineStr">
        <is>
          <t>2026-06-19 07:10:32</t>
        </is>
      </c>
      <c r="P4568" t="inlineStr">
        <is>
          <t>2026-06-19 07:10:32</t>
        </is>
      </c>
      <c r="Y4568" t="inlineStr">
        <is>
          <t>27607359457</t>
        </is>
      </c>
    </row>
    <row r="4569">
      <c r="A4569" t="inlineStr">
        <is>
          <t>14943978</t>
        </is>
      </c>
      <c r="B4569" t="inlineStr">
        <is>
          <t>2e8b1fb6-b7ed-45c8-a203-fd5a11a6f78d</t>
        </is>
      </c>
      <c r="D4569" t="inlineStr">
        <is>
          <t>30001087</t>
        </is>
      </c>
      <c r="E4569" t="inlineStr">
        <is>
          <t>ussd_funeral_leads_altitude_20260619</t>
        </is>
      </c>
      <c r="J4569" t="inlineStr">
        <is>
          <t>AA</t>
        </is>
      </c>
      <c r="K4569" t="inlineStr">
        <is>
          <t>Answering Machine Autodial</t>
        </is>
      </c>
      <c r="L4569" t="n">
        <v>2</v>
      </c>
      <c r="M4569" t="inlineStr">
        <is>
          <t>2026-06-22 15:00:00</t>
        </is>
      </c>
      <c r="N4569" t="inlineStr">
        <is>
          <t>system</t>
        </is>
      </c>
      <c r="O4569" t="inlineStr">
        <is>
          <t>2026-06-19 07:10:32</t>
        </is>
      </c>
      <c r="P4569" t="inlineStr">
        <is>
          <t>2026-06-19 07:10:32</t>
        </is>
      </c>
      <c r="Y4569" t="inlineStr">
        <is>
          <t>27729582381</t>
        </is>
      </c>
    </row>
    <row r="4570">
      <c r="A4570" t="inlineStr">
        <is>
          <t>14944109</t>
        </is>
      </c>
      <c r="B4570" t="inlineStr">
        <is>
          <t>b193c247-874e-42ab-b1fb-223260012695</t>
        </is>
      </c>
      <c r="D4570" t="inlineStr">
        <is>
          <t>30001087</t>
        </is>
      </c>
      <c r="E4570" t="inlineStr">
        <is>
          <t>ussd_funeral_leads_altitude_20260619</t>
        </is>
      </c>
      <c r="J4570" t="inlineStr">
        <is>
          <t>ADC</t>
        </is>
      </c>
      <c r="K4570" t="inlineStr">
        <is>
          <t>Auto Dial Disconnected</t>
        </is>
      </c>
      <c r="L4570" t="n">
        <v>2</v>
      </c>
      <c r="M4570" t="inlineStr">
        <is>
          <t>2026-06-22 14:59:06</t>
        </is>
      </c>
      <c r="N4570" t="inlineStr">
        <is>
          <t>system</t>
        </is>
      </c>
      <c r="O4570" t="inlineStr">
        <is>
          <t>2026-06-19 07:10:32</t>
        </is>
      </c>
      <c r="P4570" t="inlineStr">
        <is>
          <t>2026-06-19 07:10:32</t>
        </is>
      </c>
      <c r="Y4570" t="inlineStr">
        <is>
          <t>27713686801</t>
        </is>
      </c>
    </row>
    <row r="4571">
      <c r="A4571" t="inlineStr">
        <is>
          <t>14900000</t>
        </is>
      </c>
      <c r="B4571" t="inlineStr">
        <is>
          <t>6e416eca-af46-4da6-975c-9a5dea208193</t>
        </is>
      </c>
      <c r="D4571" t="inlineStr">
        <is>
          <t>30001087</t>
        </is>
      </c>
      <c r="E4571" t="inlineStr">
        <is>
          <t>ussd_funeral_leads_altitude_20260619</t>
        </is>
      </c>
      <c r="J4571" t="inlineStr">
        <is>
          <t>ADC</t>
        </is>
      </c>
      <c r="K4571" t="inlineStr">
        <is>
          <t>Auto Dial Disconnected</t>
        </is>
      </c>
      <c r="L4571" t="n">
        <v>2</v>
      </c>
      <c r="M4571" t="inlineStr">
        <is>
          <t>2026-06-22 14:58:56</t>
        </is>
      </c>
      <c r="N4571" t="inlineStr">
        <is>
          <t>system</t>
        </is>
      </c>
      <c r="O4571" t="inlineStr">
        <is>
          <t>2026-06-19 07:10:32</t>
        </is>
      </c>
      <c r="P4571" t="inlineStr">
        <is>
          <t>2026-06-19 07:10:32</t>
        </is>
      </c>
      <c r="Y4571" t="inlineStr">
        <is>
          <t>27792292010</t>
        </is>
      </c>
    </row>
    <row r="4572">
      <c r="A4572" t="inlineStr">
        <is>
          <t>14944106</t>
        </is>
      </c>
      <c r="B4572" t="inlineStr">
        <is>
          <t>68afb948-0835-4f0b-9061-54ea2632af49</t>
        </is>
      </c>
      <c r="D4572" t="inlineStr">
        <is>
          <t>30001087</t>
        </is>
      </c>
      <c r="E4572" t="inlineStr">
        <is>
          <t>ussd_funeral_leads_altitude_20260619</t>
        </is>
      </c>
      <c r="J4572" t="inlineStr">
        <is>
          <t>CU</t>
        </is>
      </c>
      <c r="K4572" t="inlineStr">
        <is>
          <t>Client Hung Up</t>
        </is>
      </c>
      <c r="L4572" t="n">
        <v>2</v>
      </c>
      <c r="M4572" t="inlineStr">
        <is>
          <t>2026-06-22 14:58:55</t>
        </is>
      </c>
      <c r="N4572" t="inlineStr">
        <is>
          <t>Virginia Letsatsi</t>
        </is>
      </c>
      <c r="O4572" t="inlineStr">
        <is>
          <t>2026-06-19 07:10:32</t>
        </is>
      </c>
      <c r="P4572" t="inlineStr">
        <is>
          <t>2026-06-19 07:10:32</t>
        </is>
      </c>
      <c r="Y4572" t="inlineStr">
        <is>
          <t>27826418653</t>
        </is>
      </c>
    </row>
    <row r="4573">
      <c r="A4573" t="inlineStr">
        <is>
          <t>14944104</t>
        </is>
      </c>
      <c r="B4573" t="inlineStr">
        <is>
          <t>5fb144aa-1928-46e5-9897-b5f1d1f0a317</t>
        </is>
      </c>
      <c r="D4573" t="inlineStr">
        <is>
          <t>30001087</t>
        </is>
      </c>
      <c r="E4573" t="inlineStr">
        <is>
          <t>ussd_funeral_leads_altitude_20260619</t>
        </is>
      </c>
      <c r="J4573" t="inlineStr">
        <is>
          <t>AA</t>
        </is>
      </c>
      <c r="K4573" t="inlineStr">
        <is>
          <t>Answering Machine Autodial</t>
        </is>
      </c>
      <c r="L4573" t="n">
        <v>2</v>
      </c>
      <c r="M4573" t="inlineStr">
        <is>
          <t>2026-06-22 14:58:54</t>
        </is>
      </c>
      <c r="N4573" t="inlineStr">
        <is>
          <t>system</t>
        </is>
      </c>
      <c r="O4573" t="inlineStr">
        <is>
          <t>2026-06-19 07:10:32</t>
        </is>
      </c>
      <c r="P4573" t="inlineStr">
        <is>
          <t>2026-06-19 07:10:32</t>
        </is>
      </c>
      <c r="Y4573" t="inlineStr">
        <is>
          <t>27793728197</t>
        </is>
      </c>
    </row>
    <row r="4574">
      <c r="A4574" t="inlineStr">
        <is>
          <t>14944105</t>
        </is>
      </c>
      <c r="B4574" t="inlineStr">
        <is>
          <t>1f05105a-7696-4859-b04f-810aa8971825</t>
        </is>
      </c>
      <c r="D4574" t="inlineStr">
        <is>
          <t>30001087</t>
        </is>
      </c>
      <c r="E4574" t="inlineStr">
        <is>
          <t>ussd_funeral_leads_altitude_20260619</t>
        </is>
      </c>
      <c r="J4574" t="inlineStr">
        <is>
          <t>ADC</t>
        </is>
      </c>
      <c r="K4574" t="inlineStr">
        <is>
          <t>Auto Dial Disconnected</t>
        </is>
      </c>
      <c r="L4574" t="n">
        <v>2</v>
      </c>
      <c r="M4574" t="inlineStr">
        <is>
          <t>2026-06-22 14:58:54</t>
        </is>
      </c>
      <c r="N4574" t="inlineStr">
        <is>
          <t>system</t>
        </is>
      </c>
      <c r="O4574" t="inlineStr">
        <is>
          <t>2026-06-19 07:10:32</t>
        </is>
      </c>
      <c r="P4574" t="inlineStr">
        <is>
          <t>2026-06-19 07:10:32</t>
        </is>
      </c>
      <c r="Y4574" t="inlineStr">
        <is>
          <t>27798622419</t>
        </is>
      </c>
    </row>
    <row r="4575">
      <c r="A4575" t="inlineStr">
        <is>
          <t>14944101</t>
        </is>
      </c>
      <c r="B4575" t="inlineStr">
        <is>
          <t>4cc849f5-c1bf-400c-93c0-f8811daad210</t>
        </is>
      </c>
      <c r="D4575" t="inlineStr">
        <is>
          <t>30001087</t>
        </is>
      </c>
      <c r="E4575" t="inlineStr">
        <is>
          <t>ussd_funeral_leads_altitude_20260619</t>
        </is>
      </c>
      <c r="J4575" t="inlineStr">
        <is>
          <t>AA</t>
        </is>
      </c>
      <c r="K4575" t="inlineStr">
        <is>
          <t>Answering Machine Autodial</t>
        </is>
      </c>
      <c r="L4575" t="n">
        <v>2</v>
      </c>
      <c r="M4575" t="inlineStr">
        <is>
          <t>2026-06-22 14:58:50</t>
        </is>
      </c>
      <c r="N4575" t="inlineStr">
        <is>
          <t>system</t>
        </is>
      </c>
      <c r="O4575" t="inlineStr">
        <is>
          <t>2026-06-19 07:10:32</t>
        </is>
      </c>
      <c r="P4575" t="inlineStr">
        <is>
          <t>2026-06-19 07:10:32</t>
        </is>
      </c>
      <c r="Y4575" t="inlineStr">
        <is>
          <t>27772857212</t>
        </is>
      </c>
    </row>
    <row r="4576">
      <c r="A4576" t="inlineStr">
        <is>
          <t>14944102</t>
        </is>
      </c>
      <c r="B4576" t="inlineStr">
        <is>
          <t>ac3e04cf-85b4-4cdf-aaba-8ca7a909787e</t>
        </is>
      </c>
      <c r="D4576" t="inlineStr">
        <is>
          <t>30001087</t>
        </is>
      </c>
      <c r="E4576" t="inlineStr">
        <is>
          <t>ussd_funeral_leads_altitude_20260619</t>
        </is>
      </c>
      <c r="J4576" t="inlineStr">
        <is>
          <t>AA</t>
        </is>
      </c>
      <c r="K4576" t="inlineStr">
        <is>
          <t>Answering Machine Autodial</t>
        </is>
      </c>
      <c r="L4576" t="n">
        <v>2</v>
      </c>
      <c r="M4576" t="inlineStr">
        <is>
          <t>2026-06-22 14:58:50</t>
        </is>
      </c>
      <c r="N4576" t="inlineStr">
        <is>
          <t>system</t>
        </is>
      </c>
      <c r="O4576" t="inlineStr">
        <is>
          <t>2026-06-19 07:10:32</t>
        </is>
      </c>
      <c r="P4576" t="inlineStr">
        <is>
          <t>2026-06-19 07:10:32</t>
        </is>
      </c>
      <c r="Y4576" t="inlineStr">
        <is>
          <t>27767255305</t>
        </is>
      </c>
    </row>
    <row r="4577">
      <c r="A4577" t="inlineStr">
        <is>
          <t>14944103</t>
        </is>
      </c>
      <c r="B4577" t="inlineStr">
        <is>
          <t>b752d179-e85a-4628-9fe3-6272447e8f32</t>
        </is>
      </c>
      <c r="D4577" t="inlineStr">
        <is>
          <t>30001087</t>
        </is>
      </c>
      <c r="E4577" t="inlineStr">
        <is>
          <t>ussd_funeral_leads_altitude_20260619</t>
        </is>
      </c>
      <c r="J4577" t="inlineStr">
        <is>
          <t>AE</t>
        </is>
      </c>
      <c r="K4577" t="inlineStr">
        <is>
          <t>Auto Engaged</t>
        </is>
      </c>
      <c r="L4577" t="n">
        <v>2</v>
      </c>
      <c r="M4577" t="inlineStr">
        <is>
          <t>2026-06-22 14:58:50</t>
        </is>
      </c>
      <c r="N4577" t="inlineStr">
        <is>
          <t>system</t>
        </is>
      </c>
      <c r="O4577" t="inlineStr">
        <is>
          <t>2026-06-19 07:10:32</t>
        </is>
      </c>
      <c r="P4577" t="inlineStr">
        <is>
          <t>2026-06-19 07:10:32</t>
        </is>
      </c>
      <c r="Y4577" t="inlineStr">
        <is>
          <t>27823250314</t>
        </is>
      </c>
    </row>
    <row r="4578">
      <c r="A4578" t="inlineStr">
        <is>
          <t>14944062</t>
        </is>
      </c>
      <c r="B4578" t="inlineStr">
        <is>
          <t>994a203c-34f3-48fd-b769-a705fe5aa2a9</t>
        </is>
      </c>
      <c r="D4578" t="inlineStr">
        <is>
          <t>30001087</t>
        </is>
      </c>
      <c r="E4578" t="inlineStr">
        <is>
          <t>ussd_funeral_leads_altitude_20260619</t>
        </is>
      </c>
      <c r="J4578" t="inlineStr">
        <is>
          <t>AA</t>
        </is>
      </c>
      <c r="K4578" t="inlineStr">
        <is>
          <t>Answering Machine Autodial</t>
        </is>
      </c>
      <c r="L4578" t="n">
        <v>2</v>
      </c>
      <c r="M4578" t="inlineStr">
        <is>
          <t>2026-06-22 14:58:25</t>
        </is>
      </c>
      <c r="N4578" t="inlineStr">
        <is>
          <t>system</t>
        </is>
      </c>
      <c r="O4578" t="inlineStr">
        <is>
          <t>2026-06-19 07:10:32</t>
        </is>
      </c>
      <c r="P4578" t="inlineStr">
        <is>
          <t>2026-06-19 07:10:32</t>
        </is>
      </c>
      <c r="Y4578" t="inlineStr">
        <is>
          <t>27660238908</t>
        </is>
      </c>
    </row>
    <row r="4579">
      <c r="A4579" t="inlineStr">
        <is>
          <t>14944058</t>
        </is>
      </c>
      <c r="B4579" t="inlineStr">
        <is>
          <t>fdffe15f-65cc-4669-b8c0-c0aaf6cb70c1</t>
        </is>
      </c>
      <c r="D4579" t="inlineStr">
        <is>
          <t>30001087</t>
        </is>
      </c>
      <c r="E4579" t="inlineStr">
        <is>
          <t>ussd_funeral_leads_altitude_20260619</t>
        </is>
      </c>
      <c r="J4579" t="inlineStr">
        <is>
          <t>AA</t>
        </is>
      </c>
      <c r="K4579" t="inlineStr">
        <is>
          <t>Answering Machine Autodial</t>
        </is>
      </c>
      <c r="L4579" t="n">
        <v>2</v>
      </c>
      <c r="M4579" t="inlineStr">
        <is>
          <t>2026-06-22 14:58:21</t>
        </is>
      </c>
      <c r="N4579" t="inlineStr">
        <is>
          <t>system</t>
        </is>
      </c>
      <c r="O4579" t="inlineStr">
        <is>
          <t>2026-06-19 07:10:32</t>
        </is>
      </c>
      <c r="P4579" t="inlineStr">
        <is>
          <t>2026-06-19 07:10:32</t>
        </is>
      </c>
      <c r="Y4579" t="inlineStr">
        <is>
          <t>27792944384</t>
        </is>
      </c>
    </row>
    <row r="4580">
      <c r="A4580" t="inlineStr">
        <is>
          <t>14944060</t>
        </is>
      </c>
      <c r="B4580" t="inlineStr">
        <is>
          <t>5f349ebc-e537-4ac1-9b40-2e6c61f484d9</t>
        </is>
      </c>
      <c r="D4580" t="inlineStr">
        <is>
          <t>30001087</t>
        </is>
      </c>
      <c r="E4580" t="inlineStr">
        <is>
          <t>ussd_funeral_leads_altitude_20260619</t>
        </is>
      </c>
      <c r="J4580" t="inlineStr">
        <is>
          <t>DROP</t>
        </is>
      </c>
      <c r="K4580" t="inlineStr">
        <is>
          <t>Dropped</t>
        </is>
      </c>
      <c r="L4580" t="n">
        <v>2</v>
      </c>
      <c r="M4580" t="inlineStr">
        <is>
          <t>2026-06-22 14:58:21</t>
        </is>
      </c>
      <c r="N4580" t="inlineStr">
        <is>
          <t>system</t>
        </is>
      </c>
      <c r="O4580" t="inlineStr">
        <is>
          <t>2026-06-19 07:10:32</t>
        </is>
      </c>
      <c r="P4580" t="inlineStr">
        <is>
          <t>2026-06-19 07:10:32</t>
        </is>
      </c>
      <c r="Y4580" t="inlineStr">
        <is>
          <t>27609508943</t>
        </is>
      </c>
    </row>
    <row r="4581">
      <c r="A4581" t="inlineStr">
        <is>
          <t>14944061</t>
        </is>
      </c>
      <c r="B4581" t="inlineStr">
        <is>
          <t>8d92c75c-acb7-4581-bcae-eff4f21771e2</t>
        </is>
      </c>
      <c r="D4581" t="inlineStr">
        <is>
          <t>30001087</t>
        </is>
      </c>
      <c r="E4581" t="inlineStr">
        <is>
          <t>ussd_funeral_leads_altitude_20260619</t>
        </is>
      </c>
      <c r="J4581" t="inlineStr">
        <is>
          <t>AA</t>
        </is>
      </c>
      <c r="K4581" t="inlineStr">
        <is>
          <t>Answering Machine Autodial</t>
        </is>
      </c>
      <c r="L4581" t="n">
        <v>2</v>
      </c>
      <c r="M4581" t="inlineStr">
        <is>
          <t>2026-06-22 14:58:21</t>
        </is>
      </c>
      <c r="N4581" t="inlineStr">
        <is>
          <t>system</t>
        </is>
      </c>
      <c r="O4581" t="inlineStr">
        <is>
          <t>2026-06-19 07:10:32</t>
        </is>
      </c>
      <c r="P4581" t="inlineStr">
        <is>
          <t>2026-06-19 07:10:32</t>
        </is>
      </c>
      <c r="Y4581" t="inlineStr">
        <is>
          <t>27798474520</t>
        </is>
      </c>
    </row>
    <row r="4582">
      <c r="A4582" t="inlineStr">
        <is>
          <t>14943613</t>
        </is>
      </c>
      <c r="B4582" t="inlineStr">
        <is>
          <t>2fd52a24-6e55-43ea-ba86-63e73a8f55e0</t>
        </is>
      </c>
      <c r="D4582" t="inlineStr">
        <is>
          <t>30001087</t>
        </is>
      </c>
      <c r="E4582" t="inlineStr">
        <is>
          <t>ussd_funeral_leads_altitude_20260619</t>
        </is>
      </c>
      <c r="J4582" t="inlineStr">
        <is>
          <t>TDN</t>
        </is>
      </c>
      <c r="K4582" t="inlineStr">
        <is>
          <t>Temporary Disconnected Number</t>
        </is>
      </c>
      <c r="L4582" t="n">
        <v>2</v>
      </c>
      <c r="M4582" t="inlineStr">
        <is>
          <t>2026-06-22 14:58:11</t>
        </is>
      </c>
      <c r="N4582" t="inlineStr">
        <is>
          <t>system</t>
        </is>
      </c>
      <c r="O4582" t="inlineStr">
        <is>
          <t>2026-06-19 07:10:32</t>
        </is>
      </c>
      <c r="P4582" t="inlineStr">
        <is>
          <t>2026-06-19 07:10:32</t>
        </is>
      </c>
      <c r="Y4582" t="inlineStr">
        <is>
          <t>27725361557</t>
        </is>
      </c>
    </row>
    <row r="4583">
      <c r="A4583" t="inlineStr">
        <is>
          <t>14943614</t>
        </is>
      </c>
      <c r="B4583" t="inlineStr">
        <is>
          <t>58908e03-9a04-40a6-9fb6-d87dbf07c3d5</t>
        </is>
      </c>
      <c r="D4583" t="inlineStr">
        <is>
          <t>30001087</t>
        </is>
      </c>
      <c r="E4583" t="inlineStr">
        <is>
          <t>ussd_funeral_leads_altitude_20260619</t>
        </is>
      </c>
      <c r="J4583" t="inlineStr">
        <is>
          <t>AA</t>
        </is>
      </c>
      <c r="K4583" t="inlineStr">
        <is>
          <t>Answering Machine Autodial</t>
        </is>
      </c>
      <c r="L4583" t="n">
        <v>2</v>
      </c>
      <c r="M4583" t="inlineStr">
        <is>
          <t>2026-06-22 14:58:11</t>
        </is>
      </c>
      <c r="N4583" t="inlineStr">
        <is>
          <t>system</t>
        </is>
      </c>
      <c r="O4583" t="inlineStr">
        <is>
          <t>2026-06-19 07:10:32</t>
        </is>
      </c>
      <c r="P4583" t="inlineStr">
        <is>
          <t>2026-06-19 07:10:32</t>
        </is>
      </c>
      <c r="Y4583" t="inlineStr">
        <is>
          <t>27796878244</t>
        </is>
      </c>
    </row>
    <row r="4584">
      <c r="A4584" t="inlineStr">
        <is>
          <t>14943611</t>
        </is>
      </c>
      <c r="B4584" t="inlineStr">
        <is>
          <t>6dbaf9cc-26e7-4106-ae9a-458e872fdad5</t>
        </is>
      </c>
      <c r="D4584" t="inlineStr">
        <is>
          <t>30001087</t>
        </is>
      </c>
      <c r="E4584" t="inlineStr">
        <is>
          <t>ussd_funeral_leads_altitude_20260619</t>
        </is>
      </c>
      <c r="J4584" t="inlineStr">
        <is>
          <t>NA</t>
        </is>
      </c>
      <c r="K4584" t="inlineStr">
        <is>
          <t>No Answer Autodial</t>
        </is>
      </c>
      <c r="L4584" t="n">
        <v>2</v>
      </c>
      <c r="M4584" t="inlineStr">
        <is>
          <t>2026-06-22 14:57:43</t>
        </is>
      </c>
      <c r="N4584" t="inlineStr">
        <is>
          <t>system</t>
        </is>
      </c>
      <c r="O4584" t="inlineStr">
        <is>
          <t>2026-06-19 07:10:32</t>
        </is>
      </c>
      <c r="P4584" t="inlineStr">
        <is>
          <t>2026-06-19 07:10:32</t>
        </is>
      </c>
      <c r="Y4584" t="inlineStr">
        <is>
          <t>27636944011</t>
        </is>
      </c>
    </row>
    <row r="4585">
      <c r="A4585" t="inlineStr">
        <is>
          <t>14943609</t>
        </is>
      </c>
      <c r="B4585" t="inlineStr">
        <is>
          <t>83d3ed87-f5df-4684-bf6e-cbff3c573d21</t>
        </is>
      </c>
      <c r="D4585" t="inlineStr">
        <is>
          <t>30001087</t>
        </is>
      </c>
      <c r="E4585" t="inlineStr">
        <is>
          <t>ussd_funeral_leads_altitude_20260619</t>
        </is>
      </c>
      <c r="J4585" t="inlineStr">
        <is>
          <t>AA</t>
        </is>
      </c>
      <c r="K4585" t="inlineStr">
        <is>
          <t>Answering Machine Autodial</t>
        </is>
      </c>
      <c r="L4585" t="n">
        <v>2</v>
      </c>
      <c r="M4585" t="inlineStr">
        <is>
          <t>2026-06-22 14:57:27</t>
        </is>
      </c>
      <c r="N4585" t="inlineStr">
        <is>
          <t>system</t>
        </is>
      </c>
      <c r="O4585" t="inlineStr">
        <is>
          <t>2026-06-19 07:10:32</t>
        </is>
      </c>
      <c r="P4585" t="inlineStr">
        <is>
          <t>2026-06-19 07:10:32</t>
        </is>
      </c>
      <c r="Y4585" t="inlineStr">
        <is>
          <t>27794541252</t>
        </is>
      </c>
    </row>
    <row r="4586">
      <c r="A4586" t="inlineStr">
        <is>
          <t>14943610</t>
        </is>
      </c>
      <c r="B4586" t="inlineStr">
        <is>
          <t>7ae049fd-3bc2-4146-8285-abbaf2cd92c4</t>
        </is>
      </c>
      <c r="D4586" t="inlineStr">
        <is>
          <t>30001087</t>
        </is>
      </c>
      <c r="E4586" t="inlineStr">
        <is>
          <t>ussd_funeral_leads_altitude_20260619</t>
        </is>
      </c>
      <c r="J4586" t="inlineStr">
        <is>
          <t>NA</t>
        </is>
      </c>
      <c r="K4586" t="inlineStr">
        <is>
          <t>No Answer Autodial</t>
        </is>
      </c>
      <c r="L4586" t="n">
        <v>2</v>
      </c>
      <c r="M4586" t="inlineStr">
        <is>
          <t>2026-06-22 14:57:27</t>
        </is>
      </c>
      <c r="N4586" t="inlineStr">
        <is>
          <t>system</t>
        </is>
      </c>
      <c r="O4586" t="inlineStr">
        <is>
          <t>2026-06-19 07:10:32</t>
        </is>
      </c>
      <c r="P4586" t="inlineStr">
        <is>
          <t>2026-06-19 07:10:32</t>
        </is>
      </c>
      <c r="Y4586" t="inlineStr">
        <is>
          <t>27769333178</t>
        </is>
      </c>
    </row>
    <row r="4587">
      <c r="A4587" t="inlineStr">
        <is>
          <t>14943608</t>
        </is>
      </c>
      <c r="B4587" t="inlineStr">
        <is>
          <t>651403aa-d0d5-4bc5-81e7-f71c326be06f</t>
        </is>
      </c>
      <c r="D4587" t="inlineStr">
        <is>
          <t>30001087</t>
        </is>
      </c>
      <c r="E4587" t="inlineStr">
        <is>
          <t>ussd_funeral_leads_altitude_20260619</t>
        </is>
      </c>
      <c r="J4587" t="inlineStr">
        <is>
          <t>ADC</t>
        </is>
      </c>
      <c r="K4587" t="inlineStr">
        <is>
          <t>Auto Dial Disconnected</t>
        </is>
      </c>
      <c r="L4587" t="n">
        <v>2</v>
      </c>
      <c r="M4587" t="inlineStr">
        <is>
          <t>2026-06-22 14:57:24</t>
        </is>
      </c>
      <c r="N4587" t="inlineStr">
        <is>
          <t>system</t>
        </is>
      </c>
      <c r="O4587" t="inlineStr">
        <is>
          <t>2026-06-19 07:10:32</t>
        </is>
      </c>
      <c r="P4587" t="inlineStr">
        <is>
          <t>2026-06-19 07:10:32</t>
        </is>
      </c>
      <c r="Y4587" t="inlineStr">
        <is>
          <t>27661803559</t>
        </is>
      </c>
    </row>
    <row r="4588">
      <c r="A4588" t="inlineStr">
        <is>
          <t>14943606</t>
        </is>
      </c>
      <c r="B4588" t="inlineStr">
        <is>
          <t>dcfe902d-e5d6-48dc-bb3a-970ffe7e272b</t>
        </is>
      </c>
      <c r="D4588" t="inlineStr">
        <is>
          <t>30001087</t>
        </is>
      </c>
      <c r="E4588" t="inlineStr">
        <is>
          <t>ussd_funeral_leads_altitude_20260619</t>
        </is>
      </c>
      <c r="J4588" t="inlineStr">
        <is>
          <t>AA</t>
        </is>
      </c>
      <c r="K4588" t="inlineStr">
        <is>
          <t>Answering Machine Autodial</t>
        </is>
      </c>
      <c r="L4588" t="n">
        <v>2</v>
      </c>
      <c r="M4588" t="inlineStr">
        <is>
          <t>2026-06-22 14:57:20</t>
        </is>
      </c>
      <c r="N4588" t="inlineStr">
        <is>
          <t>system</t>
        </is>
      </c>
      <c r="O4588" t="inlineStr">
        <is>
          <t>2026-06-19 07:10:32</t>
        </is>
      </c>
      <c r="P4588" t="inlineStr">
        <is>
          <t>2026-06-19 07:10:32</t>
        </is>
      </c>
      <c r="Y4588" t="inlineStr">
        <is>
          <t>27661017537</t>
        </is>
      </c>
    </row>
    <row r="4589">
      <c r="A4589" t="inlineStr">
        <is>
          <t>14943607</t>
        </is>
      </c>
      <c r="B4589" t="inlineStr">
        <is>
          <t>11c4b174-221e-4fad-ac69-a36c3e6014a9</t>
        </is>
      </c>
      <c r="D4589" t="inlineStr">
        <is>
          <t>30001087</t>
        </is>
      </c>
      <c r="E4589" t="inlineStr">
        <is>
          <t>ussd_funeral_leads_altitude_20260619</t>
        </is>
      </c>
      <c r="J4589" t="inlineStr">
        <is>
          <t>AA</t>
        </is>
      </c>
      <c r="K4589" t="inlineStr">
        <is>
          <t>Answering Machine Autodial</t>
        </is>
      </c>
      <c r="L4589" t="n">
        <v>2</v>
      </c>
      <c r="M4589" t="inlineStr">
        <is>
          <t>2026-06-22 14:57:20</t>
        </is>
      </c>
      <c r="N4589" t="inlineStr">
        <is>
          <t>system</t>
        </is>
      </c>
      <c r="O4589" t="inlineStr">
        <is>
          <t>2026-06-19 07:10:32</t>
        </is>
      </c>
      <c r="P4589" t="inlineStr">
        <is>
          <t>2026-06-19 07:10:32</t>
        </is>
      </c>
      <c r="Y4589" t="inlineStr">
        <is>
          <t>27663900929</t>
        </is>
      </c>
    </row>
    <row r="4590">
      <c r="A4590" t="inlineStr">
        <is>
          <t>14943605</t>
        </is>
      </c>
      <c r="B4590" t="inlineStr">
        <is>
          <t>aebdf5b4-1005-4f4a-bb2f-777dfb018ca3</t>
        </is>
      </c>
      <c r="D4590" t="inlineStr">
        <is>
          <t>30001087</t>
        </is>
      </c>
      <c r="E4590" t="inlineStr">
        <is>
          <t>ussd_funeral_leads_altitude_20260619</t>
        </is>
      </c>
      <c r="J4590" t="inlineStr">
        <is>
          <t>TDN</t>
        </is>
      </c>
      <c r="K4590" t="inlineStr">
        <is>
          <t>Temporary Disconnected Number</t>
        </is>
      </c>
      <c r="L4590" t="n">
        <v>2</v>
      </c>
      <c r="M4590" t="inlineStr">
        <is>
          <t>2026-06-22 14:57:19</t>
        </is>
      </c>
      <c r="N4590" t="inlineStr">
        <is>
          <t>system</t>
        </is>
      </c>
      <c r="O4590" t="inlineStr">
        <is>
          <t>2026-06-19 07:10:32</t>
        </is>
      </c>
      <c r="P4590" t="inlineStr">
        <is>
          <t>2026-06-19 07:10:32</t>
        </is>
      </c>
      <c r="Y4590" t="inlineStr">
        <is>
          <t>27827056548</t>
        </is>
      </c>
    </row>
    <row r="4591">
      <c r="A4591" t="inlineStr">
        <is>
          <t>14944100</t>
        </is>
      </c>
      <c r="B4591" t="inlineStr">
        <is>
          <t>afe53bb2-08f8-48e6-97ec-8c7da71efebc</t>
        </is>
      </c>
      <c r="D4591" t="inlineStr">
        <is>
          <t>30001087</t>
        </is>
      </c>
      <c r="E4591" t="inlineStr">
        <is>
          <t>ussd_funeral_leads_altitude_20260619</t>
        </is>
      </c>
      <c r="J4591" t="inlineStr">
        <is>
          <t>AA</t>
        </is>
      </c>
      <c r="K4591" t="inlineStr">
        <is>
          <t>Answering Machine Autodial</t>
        </is>
      </c>
      <c r="L4591" t="n">
        <v>2</v>
      </c>
      <c r="M4591" t="inlineStr">
        <is>
          <t>2026-06-22 14:57:15</t>
        </is>
      </c>
      <c r="N4591" t="inlineStr">
        <is>
          <t>system</t>
        </is>
      </c>
      <c r="O4591" t="inlineStr">
        <is>
          <t>2026-06-19 07:10:32</t>
        </is>
      </c>
      <c r="P4591" t="inlineStr">
        <is>
          <t>2026-06-19 07:10:32</t>
        </is>
      </c>
      <c r="Y4591" t="inlineStr">
        <is>
          <t>27792556823</t>
        </is>
      </c>
    </row>
    <row r="4592">
      <c r="A4592" t="inlineStr">
        <is>
          <t>14944098</t>
        </is>
      </c>
      <c r="B4592" t="inlineStr">
        <is>
          <t>ce894e01-b9bc-4579-8054-aa17347fc8b4</t>
        </is>
      </c>
      <c r="D4592" t="inlineStr">
        <is>
          <t>30001087</t>
        </is>
      </c>
      <c r="E4592" t="inlineStr">
        <is>
          <t>ussd_funeral_leads_altitude_20260619</t>
        </is>
      </c>
      <c r="J4592" t="inlineStr">
        <is>
          <t>AE</t>
        </is>
      </c>
      <c r="K4592" t="inlineStr">
        <is>
          <t>Auto Engaged</t>
        </is>
      </c>
      <c r="L4592" t="n">
        <v>2</v>
      </c>
      <c r="M4592" t="inlineStr">
        <is>
          <t>2026-06-22 14:57:14</t>
        </is>
      </c>
      <c r="N4592" t="inlineStr">
        <is>
          <t>system</t>
        </is>
      </c>
      <c r="O4592" t="inlineStr">
        <is>
          <t>2026-06-19 07:10:32</t>
        </is>
      </c>
      <c r="P4592" t="inlineStr">
        <is>
          <t>2026-06-19 07:10:32</t>
        </is>
      </c>
      <c r="Y4592" t="inlineStr">
        <is>
          <t>27636962186</t>
        </is>
      </c>
    </row>
    <row r="4593">
      <c r="A4593" t="inlineStr">
        <is>
          <t>14944097</t>
        </is>
      </c>
      <c r="B4593" t="inlineStr">
        <is>
          <t>65ed5a7d-94a5-4c55-8b8d-80be5f251b05</t>
        </is>
      </c>
      <c r="D4593" t="inlineStr">
        <is>
          <t>30001087</t>
        </is>
      </c>
      <c r="E4593" t="inlineStr">
        <is>
          <t>ussd_funeral_leads_altitude_20260619</t>
        </is>
      </c>
      <c r="J4593" t="inlineStr">
        <is>
          <t>NA</t>
        </is>
      </c>
      <c r="K4593" t="inlineStr">
        <is>
          <t>No Answer Autodial</t>
        </is>
      </c>
      <c r="L4593" t="n">
        <v>2</v>
      </c>
      <c r="M4593" t="inlineStr">
        <is>
          <t>2026-06-22 14:55:57</t>
        </is>
      </c>
      <c r="N4593" t="inlineStr">
        <is>
          <t>system</t>
        </is>
      </c>
      <c r="O4593" t="inlineStr">
        <is>
          <t>2026-06-19 07:10:32</t>
        </is>
      </c>
      <c r="P4593" t="inlineStr">
        <is>
          <t>2026-06-19 07:10:32</t>
        </is>
      </c>
      <c r="Y4593" t="inlineStr">
        <is>
          <t>27660138237</t>
        </is>
      </c>
    </row>
    <row r="4594">
      <c r="A4594" t="inlineStr">
        <is>
          <t>14944099</t>
        </is>
      </c>
      <c r="B4594" t="inlineStr">
        <is>
          <t>94fa32d8-ef9f-4d3d-a122-a223af3dce70</t>
        </is>
      </c>
      <c r="D4594" t="inlineStr">
        <is>
          <t>30001087</t>
        </is>
      </c>
      <c r="E4594" t="inlineStr">
        <is>
          <t>ussd_funeral_leads_altitude_20260619</t>
        </is>
      </c>
      <c r="J4594" t="inlineStr">
        <is>
          <t>NA</t>
        </is>
      </c>
      <c r="K4594" t="inlineStr">
        <is>
          <t>No Answer Autodial</t>
        </is>
      </c>
      <c r="L4594" t="n">
        <v>2</v>
      </c>
      <c r="M4594" t="inlineStr">
        <is>
          <t>2026-06-22 14:55:57</t>
        </is>
      </c>
      <c r="N4594" t="inlineStr">
        <is>
          <t>system</t>
        </is>
      </c>
      <c r="O4594" t="inlineStr">
        <is>
          <t>2026-06-19 07:10:32</t>
        </is>
      </c>
      <c r="P4594" t="inlineStr">
        <is>
          <t>2026-06-19 07:10:32</t>
        </is>
      </c>
      <c r="Y4594" t="inlineStr">
        <is>
          <t>27646614281</t>
        </is>
      </c>
    </row>
    <row r="4595">
      <c r="A4595" t="inlineStr">
        <is>
          <t>14943757</t>
        </is>
      </c>
      <c r="B4595" t="inlineStr">
        <is>
          <t>4e04bb85-ecc6-48f3-916c-63c79fe7912c</t>
        </is>
      </c>
      <c r="D4595" t="inlineStr">
        <is>
          <t>30001087</t>
        </is>
      </c>
      <c r="E4595" t="inlineStr">
        <is>
          <t>ussd_funeral_leads_altitude_20260619</t>
        </is>
      </c>
      <c r="J4595" t="inlineStr">
        <is>
          <t>DROP</t>
        </is>
      </c>
      <c r="K4595" t="inlineStr">
        <is>
          <t>Dropped</t>
        </is>
      </c>
      <c r="L4595" t="n">
        <v>2</v>
      </c>
      <c r="M4595" t="inlineStr">
        <is>
          <t>2026-06-22 14:52:09</t>
        </is>
      </c>
      <c r="N4595" t="inlineStr">
        <is>
          <t>system</t>
        </is>
      </c>
      <c r="O4595" t="inlineStr">
        <is>
          <t>2026-06-19 07:10:32</t>
        </is>
      </c>
      <c r="P4595" t="inlineStr">
        <is>
          <t>2026-06-19 07:10:32</t>
        </is>
      </c>
      <c r="Y4595" t="inlineStr">
        <is>
          <t>27609230284</t>
        </is>
      </c>
    </row>
    <row r="4596">
      <c r="A4596" t="inlineStr">
        <is>
          <t>14943702</t>
        </is>
      </c>
      <c r="B4596" t="inlineStr">
        <is>
          <t>729da04a-c1c2-411c-b8d8-f6a6dd81386c</t>
        </is>
      </c>
      <c r="D4596" t="inlineStr">
        <is>
          <t>30001087</t>
        </is>
      </c>
      <c r="E4596" t="inlineStr">
        <is>
          <t>ussd_funeral_leads_altitude_20260619</t>
        </is>
      </c>
      <c r="J4596" t="inlineStr">
        <is>
          <t>LANG</t>
        </is>
      </c>
      <c r="K4596" t="inlineStr">
        <is>
          <t>Language Barrier</t>
        </is>
      </c>
      <c r="L4596" t="n">
        <v>2</v>
      </c>
      <c r="M4596" t="inlineStr">
        <is>
          <t>2026-06-22 14:52:04</t>
        </is>
      </c>
      <c r="N4596" t="inlineStr">
        <is>
          <t>Lebohang Mabotja</t>
        </is>
      </c>
      <c r="O4596" t="inlineStr">
        <is>
          <t>2026-06-19 07:10:32</t>
        </is>
      </c>
      <c r="P4596" t="inlineStr">
        <is>
          <t>2026-06-19 07:10:32</t>
        </is>
      </c>
      <c r="Y4596" t="inlineStr">
        <is>
          <t>27797085556</t>
        </is>
      </c>
    </row>
    <row r="4597">
      <c r="A4597" t="inlineStr">
        <is>
          <t>14943703</t>
        </is>
      </c>
      <c r="B4597" t="inlineStr">
        <is>
          <t>01cce5a0-ce0e-45fb-bffb-4204e70f8d3d</t>
        </is>
      </c>
      <c r="D4597" t="inlineStr">
        <is>
          <t>30001087</t>
        </is>
      </c>
      <c r="E4597" t="inlineStr">
        <is>
          <t>ussd_funeral_leads_altitude_20260619</t>
        </is>
      </c>
      <c r="J4597" t="inlineStr">
        <is>
          <t>AA</t>
        </is>
      </c>
      <c r="K4597" t="inlineStr">
        <is>
          <t>Answering Machine Autodial</t>
        </is>
      </c>
      <c r="L4597" t="n">
        <v>2</v>
      </c>
      <c r="M4597" t="inlineStr">
        <is>
          <t>2026-06-22 14:52:04</t>
        </is>
      </c>
      <c r="N4597" t="inlineStr">
        <is>
          <t>system</t>
        </is>
      </c>
      <c r="O4597" t="inlineStr">
        <is>
          <t>2026-06-19 07:10:32</t>
        </is>
      </c>
      <c r="P4597" t="inlineStr">
        <is>
          <t>2026-06-19 07:10:32</t>
        </is>
      </c>
      <c r="Y4597" t="inlineStr">
        <is>
          <t>27790490518</t>
        </is>
      </c>
    </row>
    <row r="4598">
      <c r="A4598" t="inlineStr">
        <is>
          <t>14943704</t>
        </is>
      </c>
      <c r="B4598" t="inlineStr">
        <is>
          <t>096bb8c0-a2c1-49e7-a08e-419e5c640362</t>
        </is>
      </c>
      <c r="D4598" t="inlineStr">
        <is>
          <t>30001087</t>
        </is>
      </c>
      <c r="E4598" t="inlineStr">
        <is>
          <t>ussd_funeral_leads_altitude_20260619</t>
        </is>
      </c>
      <c r="J4598" t="inlineStr">
        <is>
          <t>AA</t>
        </is>
      </c>
      <c r="K4598" t="inlineStr">
        <is>
          <t>Answering Machine Autodial</t>
        </is>
      </c>
      <c r="L4598" t="n">
        <v>2</v>
      </c>
      <c r="M4598" t="inlineStr">
        <is>
          <t>2026-06-22 14:52:04</t>
        </is>
      </c>
      <c r="N4598" t="inlineStr">
        <is>
          <t>system</t>
        </is>
      </c>
      <c r="O4598" t="inlineStr">
        <is>
          <t>2026-06-19 07:10:32</t>
        </is>
      </c>
      <c r="P4598" t="inlineStr">
        <is>
          <t>2026-06-19 07:10:32</t>
        </is>
      </c>
      <c r="Y4598" t="inlineStr">
        <is>
          <t>27792268770</t>
        </is>
      </c>
    </row>
    <row r="4599">
      <c r="A4599" t="inlineStr">
        <is>
          <t>14943700</t>
        </is>
      </c>
      <c r="B4599" t="inlineStr">
        <is>
          <t>5205061c-e5e8-49d4-a7fe-2ab814ba457d</t>
        </is>
      </c>
      <c r="D4599" t="inlineStr">
        <is>
          <t>30001087</t>
        </is>
      </c>
      <c r="E4599" t="inlineStr">
        <is>
          <t>ussd_funeral_leads_altitude_20260619</t>
        </is>
      </c>
      <c r="J4599" t="inlineStr">
        <is>
          <t>AA</t>
        </is>
      </c>
      <c r="K4599" t="inlineStr">
        <is>
          <t>Answering Machine Autodial</t>
        </is>
      </c>
      <c r="L4599" t="n">
        <v>2</v>
      </c>
      <c r="M4599" t="inlineStr">
        <is>
          <t>2026-06-22 14:52:03</t>
        </is>
      </c>
      <c r="N4599" t="inlineStr">
        <is>
          <t>system</t>
        </is>
      </c>
      <c r="O4599" t="inlineStr">
        <is>
          <t>2026-06-19 07:10:32</t>
        </is>
      </c>
      <c r="P4599" t="inlineStr">
        <is>
          <t>2026-06-19 07:10:32</t>
        </is>
      </c>
      <c r="Y4599" t="inlineStr">
        <is>
          <t>27724919301</t>
        </is>
      </c>
    </row>
    <row r="4600">
      <c r="A4600" t="inlineStr">
        <is>
          <t>14943701</t>
        </is>
      </c>
      <c r="B4600" t="inlineStr">
        <is>
          <t>c261fc22-4e79-46f3-a1e8-389c9c99df50</t>
        </is>
      </c>
      <c r="D4600" t="inlineStr">
        <is>
          <t>30001087</t>
        </is>
      </c>
      <c r="E4600" t="inlineStr">
        <is>
          <t>ussd_funeral_leads_altitude_20260619</t>
        </is>
      </c>
      <c r="J4600" t="inlineStr">
        <is>
          <t>ADC</t>
        </is>
      </c>
      <c r="K4600" t="inlineStr">
        <is>
          <t>Auto Dial Disconnected</t>
        </is>
      </c>
      <c r="L4600" t="n">
        <v>2</v>
      </c>
      <c r="M4600" t="inlineStr">
        <is>
          <t>2026-06-22 14:52:03</t>
        </is>
      </c>
      <c r="N4600" t="inlineStr">
        <is>
          <t>system</t>
        </is>
      </c>
      <c r="O4600" t="inlineStr">
        <is>
          <t>2026-06-19 07:10:32</t>
        </is>
      </c>
      <c r="P4600" t="inlineStr">
        <is>
          <t>2026-06-19 07:10:32</t>
        </is>
      </c>
      <c r="Y4600" t="inlineStr">
        <is>
          <t>27649913260</t>
        </is>
      </c>
    </row>
    <row r="4601">
      <c r="A4601" t="inlineStr">
        <is>
          <t>14943679</t>
        </is>
      </c>
      <c r="B4601" t="inlineStr">
        <is>
          <t>bdab7583-cb02-488d-9df3-d2f2198549e8</t>
        </is>
      </c>
      <c r="D4601" t="inlineStr">
        <is>
          <t>30001087</t>
        </is>
      </c>
      <c r="E4601" t="inlineStr">
        <is>
          <t>ussd_funeral_leads_altitude_20260619</t>
        </is>
      </c>
      <c r="J4601" t="inlineStr">
        <is>
          <t>ADC</t>
        </is>
      </c>
      <c r="K4601" t="inlineStr">
        <is>
          <t>Auto Dial Disconnected</t>
        </is>
      </c>
      <c r="L4601" t="n">
        <v>2</v>
      </c>
      <c r="M4601" t="inlineStr">
        <is>
          <t>2026-06-22 14:51:20</t>
        </is>
      </c>
      <c r="N4601" t="inlineStr">
        <is>
          <t>system</t>
        </is>
      </c>
      <c r="O4601" t="inlineStr">
        <is>
          <t>2026-06-19 07:10:32</t>
        </is>
      </c>
      <c r="P4601" t="inlineStr">
        <is>
          <t>2026-06-19 07:10:32</t>
        </is>
      </c>
      <c r="Y4601" t="inlineStr">
        <is>
          <t>27663020867</t>
        </is>
      </c>
    </row>
    <row r="4602">
      <c r="A4602" t="inlineStr">
        <is>
          <t>14900000</t>
        </is>
      </c>
      <c r="B4602" t="inlineStr">
        <is>
          <t>e2370189-29cc-48df-9c88-059bc50e1659</t>
        </is>
      </c>
      <c r="D4602" t="inlineStr">
        <is>
          <t>30001087</t>
        </is>
      </c>
      <c r="E4602" t="inlineStr">
        <is>
          <t>ussd_funeral_leads_altitude_20260619</t>
        </is>
      </c>
      <c r="J4602" t="inlineStr">
        <is>
          <t>AA</t>
        </is>
      </c>
      <c r="K4602" t="inlineStr">
        <is>
          <t>Answering Machine Autodial</t>
        </is>
      </c>
      <c r="L4602" t="n">
        <v>2</v>
      </c>
      <c r="M4602" t="inlineStr">
        <is>
          <t>2026-06-22 14:51:20</t>
        </is>
      </c>
      <c r="N4602" t="inlineStr">
        <is>
          <t>system</t>
        </is>
      </c>
      <c r="O4602" t="inlineStr">
        <is>
          <t>2026-06-19 07:10:32</t>
        </is>
      </c>
      <c r="P4602" t="inlineStr">
        <is>
          <t>2026-06-19 07:10:32</t>
        </is>
      </c>
      <c r="Y4602" t="inlineStr">
        <is>
          <t>27797502424</t>
        </is>
      </c>
    </row>
    <row r="4603">
      <c r="A4603" t="inlineStr">
        <is>
          <t>14943678</t>
        </is>
      </c>
      <c r="B4603" t="inlineStr">
        <is>
          <t>fed128d3-86c2-4b20-8a47-5fe26a4fe831</t>
        </is>
      </c>
      <c r="D4603" t="inlineStr">
        <is>
          <t>30001087</t>
        </is>
      </c>
      <c r="E4603" t="inlineStr">
        <is>
          <t>ussd_funeral_leads_altitude_20260619</t>
        </is>
      </c>
      <c r="J4603" t="inlineStr">
        <is>
          <t>NA</t>
        </is>
      </c>
      <c r="K4603" t="inlineStr">
        <is>
          <t>No Answer Autodial</t>
        </is>
      </c>
      <c r="L4603" t="n">
        <v>2</v>
      </c>
      <c r="M4603" t="inlineStr">
        <is>
          <t>2026-06-22 14:51:18</t>
        </is>
      </c>
      <c r="N4603" t="inlineStr">
        <is>
          <t>system</t>
        </is>
      </c>
      <c r="O4603" t="inlineStr">
        <is>
          <t>2026-06-19 07:10:32</t>
        </is>
      </c>
      <c r="P4603" t="inlineStr">
        <is>
          <t>2026-06-19 07:10:32</t>
        </is>
      </c>
      <c r="Y4603" t="inlineStr">
        <is>
          <t>27637140509</t>
        </is>
      </c>
    </row>
    <row r="4604">
      <c r="A4604" t="inlineStr">
        <is>
          <t>14943676</t>
        </is>
      </c>
      <c r="B4604" t="inlineStr">
        <is>
          <t>50639368-2da5-44fb-a250-87903b95c043</t>
        </is>
      </c>
      <c r="D4604" t="inlineStr">
        <is>
          <t>30001087</t>
        </is>
      </c>
      <c r="E4604" t="inlineStr">
        <is>
          <t>ussd_funeral_leads_altitude_20260619</t>
        </is>
      </c>
      <c r="J4604" t="inlineStr">
        <is>
          <t>NA</t>
        </is>
      </c>
      <c r="K4604" t="inlineStr">
        <is>
          <t>No Answer Autodial</t>
        </is>
      </c>
      <c r="L4604" t="n">
        <v>2</v>
      </c>
      <c r="M4604" t="inlineStr">
        <is>
          <t>2026-06-22 14:51:15</t>
        </is>
      </c>
      <c r="N4604" t="inlineStr">
        <is>
          <t>system</t>
        </is>
      </c>
      <c r="O4604" t="inlineStr">
        <is>
          <t>2026-06-19 07:10:32</t>
        </is>
      </c>
      <c r="P4604" t="inlineStr">
        <is>
          <t>2026-06-19 07:10:32</t>
        </is>
      </c>
      <c r="Y4604" t="inlineStr">
        <is>
          <t>27637750180</t>
        </is>
      </c>
    </row>
    <row r="4605">
      <c r="A4605" t="inlineStr">
        <is>
          <t>14943675</t>
        </is>
      </c>
      <c r="B4605" t="inlineStr">
        <is>
          <t>74f18a39-bc27-4cd0-bbe5-a7a22de20de8</t>
        </is>
      </c>
      <c r="D4605" t="inlineStr">
        <is>
          <t>30001087</t>
        </is>
      </c>
      <c r="E4605" t="inlineStr">
        <is>
          <t>ussd_funeral_leads_altitude_20260619</t>
        </is>
      </c>
      <c r="J4605" t="inlineStr">
        <is>
          <t>NA</t>
        </is>
      </c>
      <c r="K4605" t="inlineStr">
        <is>
          <t>No Answer Autodial</t>
        </is>
      </c>
      <c r="L4605" t="n">
        <v>2</v>
      </c>
      <c r="M4605" t="inlineStr">
        <is>
          <t>2026-06-22 14:51:13</t>
        </is>
      </c>
      <c r="N4605" t="inlineStr">
        <is>
          <t>system</t>
        </is>
      </c>
      <c r="O4605" t="inlineStr">
        <is>
          <t>2026-06-19 07:10:32</t>
        </is>
      </c>
      <c r="P4605" t="inlineStr">
        <is>
          <t>2026-06-19 07:10:32</t>
        </is>
      </c>
      <c r="Y4605" t="inlineStr">
        <is>
          <t>27673646587</t>
        </is>
      </c>
    </row>
    <row r="4606">
      <c r="A4606" t="inlineStr">
        <is>
          <t>14943671</t>
        </is>
      </c>
      <c r="B4606" t="inlineStr">
        <is>
          <t>04d55696-5c8d-47d4-bbde-6750cc457495</t>
        </is>
      </c>
      <c r="D4606" t="inlineStr">
        <is>
          <t>30001087</t>
        </is>
      </c>
      <c r="E4606" t="inlineStr">
        <is>
          <t>ussd_funeral_leads_altitude_20260619</t>
        </is>
      </c>
      <c r="J4606" t="inlineStr">
        <is>
          <t>AA</t>
        </is>
      </c>
      <c r="K4606" t="inlineStr">
        <is>
          <t>Answering Machine Autodial</t>
        </is>
      </c>
      <c r="L4606" t="n">
        <v>2</v>
      </c>
      <c r="M4606" t="inlineStr">
        <is>
          <t>2026-06-22 14:51:12</t>
        </is>
      </c>
      <c r="N4606" t="inlineStr">
        <is>
          <t>system</t>
        </is>
      </c>
      <c r="O4606" t="inlineStr">
        <is>
          <t>2026-06-19 07:10:32</t>
        </is>
      </c>
      <c r="P4606" t="inlineStr">
        <is>
          <t>2026-06-19 07:10:32</t>
        </is>
      </c>
      <c r="Y4606" t="inlineStr">
        <is>
          <t>27763225676</t>
        </is>
      </c>
    </row>
    <row r="4607">
      <c r="A4607" t="inlineStr">
        <is>
          <t>14943673</t>
        </is>
      </c>
      <c r="B4607" t="inlineStr">
        <is>
          <t>2028ef5a-2c76-4a1b-a2c4-e7a294e5779b</t>
        </is>
      </c>
      <c r="D4607" t="inlineStr">
        <is>
          <t>30001087</t>
        </is>
      </c>
      <c r="E4607" t="inlineStr">
        <is>
          <t>ussd_funeral_leads_altitude_20260619</t>
        </is>
      </c>
      <c r="J4607" t="inlineStr">
        <is>
          <t>ADC</t>
        </is>
      </c>
      <c r="K4607" t="inlineStr">
        <is>
          <t>Auto Dial Disconnected</t>
        </is>
      </c>
      <c r="L4607" t="n">
        <v>2</v>
      </c>
      <c r="M4607" t="inlineStr">
        <is>
          <t>2026-06-22 14:51:12</t>
        </is>
      </c>
      <c r="N4607" t="inlineStr">
        <is>
          <t>system</t>
        </is>
      </c>
      <c r="O4607" t="inlineStr">
        <is>
          <t>2026-06-19 07:10:32</t>
        </is>
      </c>
      <c r="P4607" t="inlineStr">
        <is>
          <t>2026-06-19 07:10:32</t>
        </is>
      </c>
      <c r="Y4607" t="inlineStr">
        <is>
          <t>27764991007</t>
        </is>
      </c>
    </row>
    <row r="4608">
      <c r="A4608" t="inlineStr">
        <is>
          <t>14943667</t>
        </is>
      </c>
      <c r="B4608" t="inlineStr">
        <is>
          <t>2234bf1b-cd1e-4cb3-8773-2df9130fcd3b</t>
        </is>
      </c>
      <c r="D4608" t="inlineStr">
        <is>
          <t>30001087</t>
        </is>
      </c>
      <c r="E4608" t="inlineStr">
        <is>
          <t>ussd_funeral_leads_altitude_20260619</t>
        </is>
      </c>
      <c r="J4608" t="inlineStr">
        <is>
          <t>TDN</t>
        </is>
      </c>
      <c r="K4608" t="inlineStr">
        <is>
          <t>Temporary Disconnected Number</t>
        </is>
      </c>
      <c r="L4608" t="n">
        <v>2</v>
      </c>
      <c r="M4608" t="inlineStr">
        <is>
          <t>2026-06-22 14:51:09</t>
        </is>
      </c>
      <c r="N4608" t="inlineStr">
        <is>
          <t>system</t>
        </is>
      </c>
      <c r="O4608" t="inlineStr">
        <is>
          <t>2026-06-19 07:10:32</t>
        </is>
      </c>
      <c r="P4608" t="inlineStr">
        <is>
          <t>2026-06-19 07:10:32</t>
        </is>
      </c>
      <c r="Y4608" t="inlineStr">
        <is>
          <t>27765786046</t>
        </is>
      </c>
    </row>
    <row r="4609">
      <c r="A4609" t="inlineStr">
        <is>
          <t>14943665</t>
        </is>
      </c>
      <c r="B4609" t="inlineStr">
        <is>
          <t>e55d70cc-a0f4-4abc-9ac6-028910e8bf9e</t>
        </is>
      </c>
      <c r="D4609" t="inlineStr">
        <is>
          <t>30001087</t>
        </is>
      </c>
      <c r="E4609" t="inlineStr">
        <is>
          <t>ussd_funeral_leads_altitude_20260619</t>
        </is>
      </c>
      <c r="J4609" t="inlineStr">
        <is>
          <t>AA</t>
        </is>
      </c>
      <c r="K4609" t="inlineStr">
        <is>
          <t>Answering Machine Autodial</t>
        </is>
      </c>
      <c r="L4609" t="n">
        <v>2</v>
      </c>
      <c r="M4609" t="inlineStr">
        <is>
          <t>2026-06-22 14:51:07</t>
        </is>
      </c>
      <c r="N4609" t="inlineStr">
        <is>
          <t>system</t>
        </is>
      </c>
      <c r="O4609" t="inlineStr">
        <is>
          <t>2026-06-19 07:10:32</t>
        </is>
      </c>
      <c r="P4609" t="inlineStr">
        <is>
          <t>2026-06-19 07:10:32</t>
        </is>
      </c>
      <c r="Y4609" t="inlineStr">
        <is>
          <t>27773662743</t>
        </is>
      </c>
    </row>
    <row r="4610">
      <c r="A4610" t="inlineStr">
        <is>
          <t>14943660</t>
        </is>
      </c>
      <c r="B4610" t="inlineStr">
        <is>
          <t>f79f1700-4291-41f6-8d63-b7bb771bf1fd</t>
        </is>
      </c>
      <c r="D4610" t="inlineStr">
        <is>
          <t>30001087</t>
        </is>
      </c>
      <c r="E4610" t="inlineStr">
        <is>
          <t>ussd_funeral_leads_altitude_20260619</t>
        </is>
      </c>
      <c r="J4610" t="inlineStr">
        <is>
          <t>AA</t>
        </is>
      </c>
      <c r="K4610" t="inlineStr">
        <is>
          <t>Answering Machine Autodial</t>
        </is>
      </c>
      <c r="L4610" t="n">
        <v>2</v>
      </c>
      <c r="M4610" t="inlineStr">
        <is>
          <t>2026-06-22 14:51:06</t>
        </is>
      </c>
      <c r="N4610" t="inlineStr">
        <is>
          <t>system</t>
        </is>
      </c>
      <c r="O4610" t="inlineStr">
        <is>
          <t>2026-06-19 07:10:32</t>
        </is>
      </c>
      <c r="P4610" t="inlineStr">
        <is>
          <t>2026-06-19 07:10:32</t>
        </is>
      </c>
      <c r="Y4610" t="inlineStr">
        <is>
          <t>27768796150</t>
        </is>
      </c>
    </row>
    <row r="4611">
      <c r="A4611" t="inlineStr">
        <is>
          <t>14943661</t>
        </is>
      </c>
      <c r="B4611" t="inlineStr">
        <is>
          <t>5c3ba569-090c-44e3-8158-e58367d0428e</t>
        </is>
      </c>
      <c r="D4611" t="inlineStr">
        <is>
          <t>30001087</t>
        </is>
      </c>
      <c r="E4611" t="inlineStr">
        <is>
          <t>ussd_funeral_leads_altitude_20260619</t>
        </is>
      </c>
      <c r="J4611" t="inlineStr">
        <is>
          <t>AA</t>
        </is>
      </c>
      <c r="K4611" t="inlineStr">
        <is>
          <t>Answering Machine Autodial</t>
        </is>
      </c>
      <c r="L4611" t="n">
        <v>2</v>
      </c>
      <c r="M4611" t="inlineStr">
        <is>
          <t>2026-06-22 14:51:06</t>
        </is>
      </c>
      <c r="N4611" t="inlineStr">
        <is>
          <t>system</t>
        </is>
      </c>
      <c r="O4611" t="inlineStr">
        <is>
          <t>2026-06-19 07:10:32</t>
        </is>
      </c>
      <c r="P4611" t="inlineStr">
        <is>
          <t>2026-06-19 07:10:32</t>
        </is>
      </c>
      <c r="Y4611" t="inlineStr">
        <is>
          <t>27794074075</t>
        </is>
      </c>
    </row>
    <row r="4612">
      <c r="A4612" t="inlineStr">
        <is>
          <t>14943662</t>
        </is>
      </c>
      <c r="B4612" t="inlineStr">
        <is>
          <t>77c642e8-4b62-4906-a59d-e804ce8c8d25</t>
        </is>
      </c>
      <c r="D4612" t="inlineStr">
        <is>
          <t>30001087</t>
        </is>
      </c>
      <c r="E4612" t="inlineStr">
        <is>
          <t>ussd_funeral_leads_altitude_20260619</t>
        </is>
      </c>
      <c r="J4612" t="inlineStr">
        <is>
          <t>AA</t>
        </is>
      </c>
      <c r="K4612" t="inlineStr">
        <is>
          <t>Answering Machine Autodial</t>
        </is>
      </c>
      <c r="L4612" t="n">
        <v>2</v>
      </c>
      <c r="M4612" t="inlineStr">
        <is>
          <t>2026-06-22 14:51:06</t>
        </is>
      </c>
      <c r="N4612" t="inlineStr">
        <is>
          <t>system</t>
        </is>
      </c>
      <c r="O4612" t="inlineStr">
        <is>
          <t>2026-06-19 07:10:32</t>
        </is>
      </c>
      <c r="P4612" t="inlineStr">
        <is>
          <t>2026-06-19 07:10:32</t>
        </is>
      </c>
      <c r="Y4612" t="inlineStr">
        <is>
          <t>27729645908</t>
        </is>
      </c>
    </row>
    <row r="4613">
      <c r="A4613" t="inlineStr">
        <is>
          <t>14943663</t>
        </is>
      </c>
      <c r="B4613" t="inlineStr">
        <is>
          <t>62e13a28-18cb-4417-ae72-247135f738c4</t>
        </is>
      </c>
      <c r="D4613" t="inlineStr">
        <is>
          <t>30001087</t>
        </is>
      </c>
      <c r="E4613" t="inlineStr">
        <is>
          <t>ussd_funeral_leads_altitude_20260619</t>
        </is>
      </c>
      <c r="J4613" t="inlineStr">
        <is>
          <t>CU</t>
        </is>
      </c>
      <c r="K4613" t="inlineStr">
        <is>
          <t>Client Hung Up</t>
        </is>
      </c>
      <c r="L4613" t="n">
        <v>2</v>
      </c>
      <c r="M4613" t="inlineStr">
        <is>
          <t>2026-06-22 14:51:06</t>
        </is>
      </c>
      <c r="N4613" t="inlineStr">
        <is>
          <t>Lebohang Mabotja</t>
        </is>
      </c>
      <c r="O4613" t="inlineStr">
        <is>
          <t>2026-06-19 07:10:32</t>
        </is>
      </c>
      <c r="P4613" t="inlineStr">
        <is>
          <t>2026-06-19 07:10:32</t>
        </is>
      </c>
      <c r="Y4613" t="inlineStr">
        <is>
          <t>27729564389</t>
        </is>
      </c>
    </row>
    <row r="4614">
      <c r="A4614" t="inlineStr">
        <is>
          <t>14943664</t>
        </is>
      </c>
      <c r="B4614" t="inlineStr">
        <is>
          <t>607d5287-0619-4660-93c1-271f36ffc973</t>
        </is>
      </c>
      <c r="D4614" t="inlineStr">
        <is>
          <t>30001087</t>
        </is>
      </c>
      <c r="E4614" t="inlineStr">
        <is>
          <t>ussd_funeral_leads_altitude_20260619</t>
        </is>
      </c>
      <c r="J4614" t="inlineStr">
        <is>
          <t>DROP</t>
        </is>
      </c>
      <c r="K4614" t="inlineStr">
        <is>
          <t>Dropped</t>
        </is>
      </c>
      <c r="L4614" t="n">
        <v>2</v>
      </c>
      <c r="M4614" t="inlineStr">
        <is>
          <t>2026-06-22 14:51:06</t>
        </is>
      </c>
      <c r="N4614" t="inlineStr">
        <is>
          <t>system</t>
        </is>
      </c>
      <c r="O4614" t="inlineStr">
        <is>
          <t>2026-06-19 07:10:32</t>
        </is>
      </c>
      <c r="P4614" t="inlineStr">
        <is>
          <t>2026-06-19 07:10:32</t>
        </is>
      </c>
      <c r="Y4614" t="inlineStr">
        <is>
          <t>27725142184</t>
        </is>
      </c>
    </row>
    <row r="4615">
      <c r="A4615" t="inlineStr">
        <is>
          <t>14943666</t>
        </is>
      </c>
      <c r="B4615" t="inlineStr">
        <is>
          <t>59fde562-adcb-4836-bee9-ddb1c3aa9e3b</t>
        </is>
      </c>
      <c r="D4615" t="inlineStr">
        <is>
          <t>30001087</t>
        </is>
      </c>
      <c r="E4615" t="inlineStr">
        <is>
          <t>ussd_funeral_leads_altitude_20260619</t>
        </is>
      </c>
      <c r="J4615" t="inlineStr">
        <is>
          <t>AA</t>
        </is>
      </c>
      <c r="K4615" t="inlineStr">
        <is>
          <t>Answering Machine Autodial</t>
        </is>
      </c>
      <c r="L4615" t="n">
        <v>2</v>
      </c>
      <c r="M4615" t="inlineStr">
        <is>
          <t>2026-06-22 14:51:06</t>
        </is>
      </c>
      <c r="N4615" t="inlineStr">
        <is>
          <t>system</t>
        </is>
      </c>
      <c r="O4615" t="inlineStr">
        <is>
          <t>2026-06-19 07:10:32</t>
        </is>
      </c>
      <c r="P4615" t="inlineStr">
        <is>
          <t>2026-06-19 07:10:32</t>
        </is>
      </c>
      <c r="Y4615" t="inlineStr">
        <is>
          <t>27713420249</t>
        </is>
      </c>
    </row>
    <row r="4616">
      <c r="A4616" t="inlineStr">
        <is>
          <t>14943659</t>
        </is>
      </c>
      <c r="B4616" t="inlineStr">
        <is>
          <t>c9736ddd-ccdf-4094-942f-3d9d9b67f7ef</t>
        </is>
      </c>
      <c r="D4616" t="inlineStr">
        <is>
          <t>30001087</t>
        </is>
      </c>
      <c r="E4616" t="inlineStr">
        <is>
          <t>ussd_funeral_leads_altitude_20260619</t>
        </is>
      </c>
      <c r="J4616" t="inlineStr">
        <is>
          <t>ADC</t>
        </is>
      </c>
      <c r="K4616" t="inlineStr">
        <is>
          <t>Auto Dial Disconnected</t>
        </is>
      </c>
      <c r="L4616" t="n">
        <v>2</v>
      </c>
      <c r="M4616" t="inlineStr">
        <is>
          <t>2026-06-22 14:51:04</t>
        </is>
      </c>
      <c r="N4616" t="inlineStr">
        <is>
          <t>system</t>
        </is>
      </c>
      <c r="O4616" t="inlineStr">
        <is>
          <t>2026-06-19 07:10:32</t>
        </is>
      </c>
      <c r="P4616" t="inlineStr">
        <is>
          <t>2026-06-19 07:10:32</t>
        </is>
      </c>
      <c r="Y4616" t="inlineStr">
        <is>
          <t>27637578658</t>
        </is>
      </c>
    </row>
    <row r="4617">
      <c r="A4617" t="inlineStr">
        <is>
          <t>14944108</t>
        </is>
      </c>
      <c r="B4617" t="inlineStr">
        <is>
          <t>584dc350-cd4c-4dc9-9d22-1e51c896925d</t>
        </is>
      </c>
      <c r="D4617" t="inlineStr">
        <is>
          <t>30001087</t>
        </is>
      </c>
      <c r="E4617" t="inlineStr">
        <is>
          <t>ussd_funeral_leads_altitude_20260619</t>
        </is>
      </c>
      <c r="J4617" t="inlineStr">
        <is>
          <t>AA</t>
        </is>
      </c>
      <c r="K4617" t="inlineStr">
        <is>
          <t>Answering Machine Autodial</t>
        </is>
      </c>
      <c r="L4617" t="n">
        <v>2</v>
      </c>
      <c r="M4617" t="inlineStr">
        <is>
          <t>2026-06-22 14:51:00</t>
        </is>
      </c>
      <c r="N4617" t="inlineStr">
        <is>
          <t>system</t>
        </is>
      </c>
      <c r="O4617" t="inlineStr">
        <is>
          <t>2026-06-19 07:10:32</t>
        </is>
      </c>
      <c r="P4617" t="inlineStr">
        <is>
          <t>2026-06-19 07:10:32</t>
        </is>
      </c>
      <c r="Y4617" t="inlineStr">
        <is>
          <t>27767476324</t>
        </is>
      </c>
    </row>
    <row r="4618">
      <c r="A4618" t="inlineStr">
        <is>
          <t>14943670</t>
        </is>
      </c>
      <c r="B4618" t="inlineStr">
        <is>
          <t>d0dd6d65-8112-46c4-9cf3-1ea26913c11a</t>
        </is>
      </c>
      <c r="D4618" t="inlineStr">
        <is>
          <t>30001087</t>
        </is>
      </c>
      <c r="E4618" t="inlineStr">
        <is>
          <t>ussd_funeral_leads_altitude_20260619</t>
        </is>
      </c>
      <c r="J4618" t="inlineStr">
        <is>
          <t>AA</t>
        </is>
      </c>
      <c r="K4618" t="inlineStr">
        <is>
          <t>Answering Machine Autodial</t>
        </is>
      </c>
      <c r="L4618" t="n">
        <v>2</v>
      </c>
      <c r="M4618" t="inlineStr">
        <is>
          <t>2026-06-22 14:50:21</t>
        </is>
      </c>
      <c r="N4618" t="inlineStr">
        <is>
          <t>system</t>
        </is>
      </c>
      <c r="O4618" t="inlineStr">
        <is>
          <t>2026-06-19 07:10:32</t>
        </is>
      </c>
      <c r="P4618" t="inlineStr">
        <is>
          <t>2026-06-19 07:10:32</t>
        </is>
      </c>
      <c r="Y4618" t="inlineStr">
        <is>
          <t>27764025238</t>
        </is>
      </c>
    </row>
    <row r="4619">
      <c r="A4619" t="inlineStr">
        <is>
          <t>14943668</t>
        </is>
      </c>
      <c r="B4619" t="inlineStr">
        <is>
          <t>9317cb50-95be-4533-87bc-d7dd09ab0158</t>
        </is>
      </c>
      <c r="D4619" t="inlineStr">
        <is>
          <t>30001087</t>
        </is>
      </c>
      <c r="E4619" t="inlineStr">
        <is>
          <t>ussd_funeral_leads_altitude_20260619</t>
        </is>
      </c>
      <c r="J4619" t="inlineStr">
        <is>
          <t>ADC</t>
        </is>
      </c>
      <c r="K4619" t="inlineStr">
        <is>
          <t>Auto Dial Disconnected</t>
        </is>
      </c>
      <c r="L4619" t="n">
        <v>2</v>
      </c>
      <c r="M4619" t="inlineStr">
        <is>
          <t>2026-06-22 14:50:20</t>
        </is>
      </c>
      <c r="N4619" t="inlineStr">
        <is>
          <t>system</t>
        </is>
      </c>
      <c r="O4619" t="inlineStr">
        <is>
          <t>2026-06-19 07:10:32</t>
        </is>
      </c>
      <c r="P4619" t="inlineStr">
        <is>
          <t>2026-06-19 07:10:32</t>
        </is>
      </c>
      <c r="Y4619" t="inlineStr">
        <is>
          <t>27608069596</t>
        </is>
      </c>
    </row>
    <row r="4620">
      <c r="A4620" t="inlineStr">
        <is>
          <t>14943669</t>
        </is>
      </c>
      <c r="B4620" t="inlineStr">
        <is>
          <t>5de22bfb-6a1f-4968-b037-4951d0bef77f</t>
        </is>
      </c>
      <c r="D4620" t="inlineStr">
        <is>
          <t>30001087</t>
        </is>
      </c>
      <c r="E4620" t="inlineStr">
        <is>
          <t>ussd_funeral_leads_altitude_20260619</t>
        </is>
      </c>
      <c r="J4620" t="inlineStr">
        <is>
          <t>NA</t>
        </is>
      </c>
      <c r="K4620" t="inlineStr">
        <is>
          <t>No Answer Autodial</t>
        </is>
      </c>
      <c r="L4620" t="n">
        <v>2</v>
      </c>
      <c r="M4620" t="inlineStr">
        <is>
          <t>2026-06-22 14:50:20</t>
        </is>
      </c>
      <c r="N4620" t="inlineStr">
        <is>
          <t>system</t>
        </is>
      </c>
      <c r="O4620" t="inlineStr">
        <is>
          <t>2026-06-19 07:10:32</t>
        </is>
      </c>
      <c r="P4620" t="inlineStr">
        <is>
          <t>2026-06-19 07:10:32</t>
        </is>
      </c>
      <c r="Y4620" t="inlineStr">
        <is>
          <t>27791984143</t>
        </is>
      </c>
    </row>
    <row r="4621">
      <c r="A4621" t="inlineStr">
        <is>
          <t>14943730</t>
        </is>
      </c>
      <c r="B4621" t="inlineStr">
        <is>
          <t>d8037292-54b1-4e37-9f66-781f9620f940</t>
        </is>
      </c>
      <c r="D4621" t="inlineStr">
        <is>
          <t>30001087</t>
        </is>
      </c>
      <c r="E4621" t="inlineStr">
        <is>
          <t>ussd_funeral_leads_altitude_20260619</t>
        </is>
      </c>
      <c r="J4621" t="inlineStr">
        <is>
          <t>CU</t>
        </is>
      </c>
      <c r="K4621" t="inlineStr">
        <is>
          <t>Client Hung Up</t>
        </is>
      </c>
      <c r="L4621" t="n">
        <v>2</v>
      </c>
      <c r="M4621" t="inlineStr">
        <is>
          <t>2026-06-22 14:49:05</t>
        </is>
      </c>
      <c r="N4621" t="inlineStr">
        <is>
          <t>Gontse Monageng</t>
        </is>
      </c>
      <c r="O4621" t="inlineStr">
        <is>
          <t>2026-06-19 07:10:32</t>
        </is>
      </c>
      <c r="P4621" t="inlineStr">
        <is>
          <t>2026-06-19 07:10:32</t>
        </is>
      </c>
      <c r="Y4621" t="inlineStr">
        <is>
          <t>27794794717</t>
        </is>
      </c>
    </row>
    <row r="4622">
      <c r="A4622" t="inlineStr">
        <is>
          <t>14943728</t>
        </is>
      </c>
      <c r="B4622" t="inlineStr">
        <is>
          <t>ffcf18e9-83ae-4ca2-9e0e-f6538c41c540</t>
        </is>
      </c>
      <c r="D4622" t="inlineStr">
        <is>
          <t>30001087</t>
        </is>
      </c>
      <c r="E4622" t="inlineStr">
        <is>
          <t>ussd_funeral_leads_altitude_20260619</t>
        </is>
      </c>
      <c r="J4622" t="inlineStr">
        <is>
          <t>AA</t>
        </is>
      </c>
      <c r="K4622" t="inlineStr">
        <is>
          <t>Answering Machine Autodial</t>
        </is>
      </c>
      <c r="L4622" t="n">
        <v>2</v>
      </c>
      <c r="M4622" t="inlineStr">
        <is>
          <t>2026-06-22 14:49:04</t>
        </is>
      </c>
      <c r="N4622" t="inlineStr">
        <is>
          <t>system</t>
        </is>
      </c>
      <c r="O4622" t="inlineStr">
        <is>
          <t>2026-06-19 07:10:32</t>
        </is>
      </c>
      <c r="P4622" t="inlineStr">
        <is>
          <t>2026-06-19 07:10:32</t>
        </is>
      </c>
      <c r="Y4622" t="inlineStr">
        <is>
          <t>27768368113</t>
        </is>
      </c>
    </row>
    <row r="4623">
      <c r="A4623" t="inlineStr">
        <is>
          <t>14943708</t>
        </is>
      </c>
      <c r="B4623" t="inlineStr">
        <is>
          <t>de2597cf-652b-4e20-9b4e-7fedf8b4d99b</t>
        </is>
      </c>
      <c r="D4623" t="inlineStr">
        <is>
          <t>30001087</t>
        </is>
      </c>
      <c r="E4623" t="inlineStr">
        <is>
          <t>ussd_funeral_leads_altitude_20260619</t>
        </is>
      </c>
      <c r="J4623" t="inlineStr">
        <is>
          <t>NA</t>
        </is>
      </c>
      <c r="K4623" t="inlineStr">
        <is>
          <t>No Answer Autodial</t>
        </is>
      </c>
      <c r="L4623" t="n">
        <v>2</v>
      </c>
      <c r="M4623" t="inlineStr">
        <is>
          <t>2026-06-22 14:49:03</t>
        </is>
      </c>
      <c r="N4623" t="inlineStr">
        <is>
          <t>system</t>
        </is>
      </c>
      <c r="O4623" t="inlineStr">
        <is>
          <t>2026-06-19 07:10:32</t>
        </is>
      </c>
      <c r="P4623" t="inlineStr">
        <is>
          <t>2026-06-19 07:10:32</t>
        </is>
      </c>
      <c r="Y4623" t="inlineStr">
        <is>
          <t>27762504959</t>
        </is>
      </c>
    </row>
    <row r="4624">
      <c r="A4624" t="inlineStr">
        <is>
          <t>14943706</t>
        </is>
      </c>
      <c r="B4624" t="inlineStr">
        <is>
          <t>3a993371-b2b2-41ad-9576-9d216236c128</t>
        </is>
      </c>
      <c r="D4624" t="inlineStr">
        <is>
          <t>30001087</t>
        </is>
      </c>
      <c r="E4624" t="inlineStr">
        <is>
          <t>ussd_funeral_leads_altitude_20260619</t>
        </is>
      </c>
      <c r="J4624" t="inlineStr">
        <is>
          <t>NA</t>
        </is>
      </c>
      <c r="K4624" t="inlineStr">
        <is>
          <t>No Answer Autodial</t>
        </is>
      </c>
      <c r="L4624" t="n">
        <v>2</v>
      </c>
      <c r="M4624" t="inlineStr">
        <is>
          <t>2026-06-22 14:49:03</t>
        </is>
      </c>
      <c r="N4624" t="inlineStr">
        <is>
          <t>system</t>
        </is>
      </c>
      <c r="O4624" t="inlineStr">
        <is>
          <t>2026-06-19 07:10:32</t>
        </is>
      </c>
      <c r="P4624" t="inlineStr">
        <is>
          <t>2026-06-19 07:10:32</t>
        </is>
      </c>
      <c r="Y4624" t="inlineStr">
        <is>
          <t>27764383214</t>
        </is>
      </c>
    </row>
    <row r="4625">
      <c r="A4625" t="inlineStr">
        <is>
          <t>14943707</t>
        </is>
      </c>
      <c r="B4625" t="inlineStr">
        <is>
          <t>ca4c3cdd-79cc-4f0e-9893-a73ddc0c5c7a</t>
        </is>
      </c>
      <c r="D4625" t="inlineStr">
        <is>
          <t>30001087</t>
        </is>
      </c>
      <c r="E4625" t="inlineStr">
        <is>
          <t>ussd_funeral_leads_altitude_20260619</t>
        </is>
      </c>
      <c r="J4625" t="inlineStr">
        <is>
          <t>NA</t>
        </is>
      </c>
      <c r="K4625" t="inlineStr">
        <is>
          <t>No Answer Autodial</t>
        </is>
      </c>
      <c r="L4625" t="n">
        <v>2</v>
      </c>
      <c r="M4625" t="inlineStr">
        <is>
          <t>2026-06-22 14:49:03</t>
        </is>
      </c>
      <c r="N4625" t="inlineStr">
        <is>
          <t>system</t>
        </is>
      </c>
      <c r="O4625" t="inlineStr">
        <is>
          <t>2026-06-19 07:10:32</t>
        </is>
      </c>
      <c r="P4625" t="inlineStr">
        <is>
          <t>2026-06-19 07:10:32</t>
        </is>
      </c>
      <c r="Y4625" t="inlineStr">
        <is>
          <t>27797587437</t>
        </is>
      </c>
    </row>
    <row r="4626">
      <c r="A4626" t="inlineStr">
        <is>
          <t>14943751</t>
        </is>
      </c>
      <c r="B4626" t="inlineStr">
        <is>
          <t>0f6cad2a-769e-4432-a4fc-3264235a41da</t>
        </is>
      </c>
      <c r="D4626" t="inlineStr">
        <is>
          <t>30001087</t>
        </is>
      </c>
      <c r="E4626" t="inlineStr">
        <is>
          <t>ussd_funeral_leads_altitude_20260619</t>
        </is>
      </c>
      <c r="J4626" t="inlineStr">
        <is>
          <t>AF</t>
        </is>
      </c>
      <c r="K4626" t="inlineStr">
        <is>
          <t>Cannot Afford</t>
        </is>
      </c>
      <c r="L4626" t="n">
        <v>2</v>
      </c>
      <c r="M4626" t="inlineStr">
        <is>
          <t>2026-06-22 14:46:29</t>
        </is>
      </c>
      <c r="N4626" t="inlineStr">
        <is>
          <t>Vuyiswa Nxumalo</t>
        </is>
      </c>
      <c r="O4626" t="inlineStr">
        <is>
          <t>2026-06-19 07:10:32</t>
        </is>
      </c>
      <c r="P4626" t="inlineStr">
        <is>
          <t>2026-06-19 07:10:32</t>
        </is>
      </c>
      <c r="Y4626" t="inlineStr">
        <is>
          <t>27826687979</t>
        </is>
      </c>
    </row>
    <row r="4627">
      <c r="A4627" t="inlineStr">
        <is>
          <t>14945762</t>
        </is>
      </c>
      <c r="B4627" t="inlineStr">
        <is>
          <t>b336e927-6c06-4d17-96ef-f4e9bea20cfa</t>
        </is>
      </c>
      <c r="D4627" t="inlineStr">
        <is>
          <t>30001087</t>
        </is>
      </c>
      <c r="E4627" t="inlineStr">
        <is>
          <t>ussd_funeral_leads_altitude_20260619</t>
        </is>
      </c>
      <c r="H4627" t="inlineStr">
        <is>
          <t>27768441583</t>
        </is>
      </c>
      <c r="J4627" t="inlineStr">
        <is>
          <t>CB</t>
        </is>
      </c>
      <c r="K4627" t="inlineStr">
        <is>
          <t>Busy Tone</t>
        </is>
      </c>
      <c r="L4627" t="n">
        <v>3</v>
      </c>
      <c r="M4627" t="inlineStr">
        <is>
          <t>2026-06-22 14:45:11</t>
        </is>
      </c>
      <c r="N4627" t="inlineStr">
        <is>
          <t>Dimakatso Nkomo</t>
        </is>
      </c>
      <c r="O4627" t="inlineStr">
        <is>
          <t>2026-06-19 07:10:32</t>
        </is>
      </c>
      <c r="P4627" t="inlineStr">
        <is>
          <t>2026-06-19 07:10:32</t>
        </is>
      </c>
      <c r="Y4627" t="inlineStr">
        <is>
          <t>27768441583</t>
        </is>
      </c>
    </row>
    <row r="4628">
      <c r="A4628" t="inlineStr">
        <is>
          <t>14943917</t>
        </is>
      </c>
      <c r="B4628" t="inlineStr">
        <is>
          <t>6d8dd96d-269d-4c58-819b-2bacb358c1bf</t>
        </is>
      </c>
      <c r="D4628" t="inlineStr">
        <is>
          <t>30001087</t>
        </is>
      </c>
      <c r="E4628" t="inlineStr">
        <is>
          <t>ussd_funeral_leads_altitude_20260619</t>
        </is>
      </c>
      <c r="J4628" t="inlineStr">
        <is>
          <t>AA</t>
        </is>
      </c>
      <c r="K4628" t="inlineStr">
        <is>
          <t>Answering Machine Autodial</t>
        </is>
      </c>
      <c r="L4628" t="n">
        <v>2</v>
      </c>
      <c r="M4628" t="inlineStr">
        <is>
          <t>2026-06-22 14:35:15</t>
        </is>
      </c>
      <c r="N4628" t="inlineStr">
        <is>
          <t>system</t>
        </is>
      </c>
      <c r="O4628" t="inlineStr">
        <is>
          <t>2026-06-19 07:10:32</t>
        </is>
      </c>
      <c r="P4628" t="inlineStr">
        <is>
          <t>2026-06-19 07:10:32</t>
        </is>
      </c>
      <c r="Y4628" t="inlineStr">
        <is>
          <t>27648847056</t>
        </is>
      </c>
    </row>
    <row r="4629">
      <c r="A4629" t="inlineStr">
        <is>
          <t>14944464</t>
        </is>
      </c>
      <c r="B4629" t="inlineStr">
        <is>
          <t>f107290e-8fa9-4a0c-9389-e6b84d6580d3</t>
        </is>
      </c>
      <c r="D4629" t="inlineStr">
        <is>
          <t>30001087</t>
        </is>
      </c>
      <c r="E4629" t="inlineStr">
        <is>
          <t>ussd_funeral_leads_altitude_20260619</t>
        </is>
      </c>
      <c r="H4629" t="inlineStr">
        <is>
          <t>27774928670</t>
        </is>
      </c>
      <c r="J4629" t="inlineStr">
        <is>
          <t>NA</t>
        </is>
      </c>
      <c r="K4629" t="inlineStr">
        <is>
          <t>No Answer Autodial</t>
        </is>
      </c>
      <c r="L4629" t="n">
        <v>2</v>
      </c>
      <c r="M4629" t="inlineStr">
        <is>
          <t>2026-06-22 14:34:46</t>
        </is>
      </c>
      <c r="N4629" t="inlineStr">
        <is>
          <t>system</t>
        </is>
      </c>
      <c r="O4629" t="inlineStr">
        <is>
          <t>2026-06-19 07:10:32</t>
        </is>
      </c>
      <c r="P4629" t="inlineStr">
        <is>
          <t>2026-06-19 07:10:32</t>
        </is>
      </c>
      <c r="Y4629" t="inlineStr">
        <is>
          <t>27774928670</t>
        </is>
      </c>
    </row>
    <row r="4630">
      <c r="A4630" t="inlineStr">
        <is>
          <t>14944463</t>
        </is>
      </c>
      <c r="B4630" t="inlineStr">
        <is>
          <t>63ae88ef-9700-4ca5-bbd2-625c10f31725</t>
        </is>
      </c>
      <c r="D4630" t="inlineStr">
        <is>
          <t>30001087</t>
        </is>
      </c>
      <c r="E4630" t="inlineStr">
        <is>
          <t>ussd_funeral_leads_altitude_20260619</t>
        </is>
      </c>
      <c r="J4630" t="inlineStr">
        <is>
          <t>AA</t>
        </is>
      </c>
      <c r="K4630" t="inlineStr">
        <is>
          <t>Answering Machine Autodial</t>
        </is>
      </c>
      <c r="L4630" t="n">
        <v>2</v>
      </c>
      <c r="M4630" t="inlineStr">
        <is>
          <t>2026-06-22 14:34:43</t>
        </is>
      </c>
      <c r="N4630" t="inlineStr">
        <is>
          <t>system</t>
        </is>
      </c>
      <c r="O4630" t="inlineStr">
        <is>
          <t>2026-06-19 07:10:32</t>
        </is>
      </c>
      <c r="P4630" t="inlineStr">
        <is>
          <t>2026-06-19 07:10:32</t>
        </is>
      </c>
      <c r="Y4630" t="inlineStr">
        <is>
          <t>27647019226</t>
        </is>
      </c>
    </row>
    <row r="4631">
      <c r="A4631" t="inlineStr">
        <is>
          <t>14944461</t>
        </is>
      </c>
      <c r="B4631" t="inlineStr">
        <is>
          <t>d2bf6e15-0c67-4808-8fca-029f3b09fd25</t>
        </is>
      </c>
      <c r="D4631" t="inlineStr">
        <is>
          <t>30001087</t>
        </is>
      </c>
      <c r="E4631" t="inlineStr">
        <is>
          <t>ussd_funeral_leads_altitude_20260619</t>
        </is>
      </c>
      <c r="J4631" t="inlineStr">
        <is>
          <t>ADC</t>
        </is>
      </c>
      <c r="K4631" t="inlineStr">
        <is>
          <t>Auto Dial Disconnected</t>
        </is>
      </c>
      <c r="L4631" t="n">
        <v>2</v>
      </c>
      <c r="M4631" t="inlineStr">
        <is>
          <t>2026-06-22 14:34:41</t>
        </is>
      </c>
      <c r="N4631" t="inlineStr">
        <is>
          <t>system</t>
        </is>
      </c>
      <c r="O4631" t="inlineStr">
        <is>
          <t>2026-06-19 07:10:32</t>
        </is>
      </c>
      <c r="P4631" t="inlineStr">
        <is>
          <t>2026-06-19 07:10:32</t>
        </is>
      </c>
      <c r="Y4631" t="inlineStr">
        <is>
          <t>27712037330</t>
        </is>
      </c>
    </row>
    <row r="4632">
      <c r="A4632" t="inlineStr">
        <is>
          <t>14944462</t>
        </is>
      </c>
      <c r="B4632" t="inlineStr">
        <is>
          <t>04844fcd-497c-45f5-bab4-080a1bf9a178</t>
        </is>
      </c>
      <c r="D4632" t="inlineStr">
        <is>
          <t>30001087</t>
        </is>
      </c>
      <c r="E4632" t="inlineStr">
        <is>
          <t>ussd_funeral_leads_altitude_20260619</t>
        </is>
      </c>
      <c r="J4632" t="inlineStr">
        <is>
          <t>TDN</t>
        </is>
      </c>
      <c r="K4632" t="inlineStr">
        <is>
          <t>Temporary Disconnected Number</t>
        </is>
      </c>
      <c r="L4632" t="n">
        <v>2</v>
      </c>
      <c r="M4632" t="inlineStr">
        <is>
          <t>2026-06-22 14:34:41</t>
        </is>
      </c>
      <c r="N4632" t="inlineStr">
        <is>
          <t>system</t>
        </is>
      </c>
      <c r="O4632" t="inlineStr">
        <is>
          <t>2026-06-19 07:10:32</t>
        </is>
      </c>
      <c r="P4632" t="inlineStr">
        <is>
          <t>2026-06-19 07:10:32</t>
        </is>
      </c>
      <c r="Y4632" t="inlineStr">
        <is>
          <t>27795588518</t>
        </is>
      </c>
    </row>
    <row r="4633">
      <c r="A4633" t="inlineStr">
        <is>
          <t>14943914</t>
        </is>
      </c>
      <c r="B4633" t="inlineStr">
        <is>
          <t>f57e1c4e-3442-4e50-834a-10e9bb2cbfe8</t>
        </is>
      </c>
      <c r="D4633" t="inlineStr">
        <is>
          <t>30001087</t>
        </is>
      </c>
      <c r="E4633" t="inlineStr">
        <is>
          <t>ussd_funeral_leads_altitude_20260619</t>
        </is>
      </c>
      <c r="J4633" t="inlineStr">
        <is>
          <t>NA</t>
        </is>
      </c>
      <c r="K4633" t="inlineStr">
        <is>
          <t>No Answer Autodial</t>
        </is>
      </c>
      <c r="L4633" t="n">
        <v>2</v>
      </c>
      <c r="M4633" t="inlineStr">
        <is>
          <t>2026-06-22 14:34:15</t>
        </is>
      </c>
      <c r="N4633" t="inlineStr">
        <is>
          <t>system</t>
        </is>
      </c>
      <c r="O4633" t="inlineStr">
        <is>
          <t>2026-06-19 07:10:32</t>
        </is>
      </c>
      <c r="P4633" t="inlineStr">
        <is>
          <t>2026-06-19 07:10:32</t>
        </is>
      </c>
      <c r="Y4633" t="inlineStr">
        <is>
          <t>27762915438</t>
        </is>
      </c>
    </row>
    <row r="4634">
      <c r="A4634" t="inlineStr">
        <is>
          <t>14943915</t>
        </is>
      </c>
      <c r="B4634" t="inlineStr">
        <is>
          <t>575b6430-0b27-4fad-bec0-77feab4386cb</t>
        </is>
      </c>
      <c r="D4634" t="inlineStr">
        <is>
          <t>30001087</t>
        </is>
      </c>
      <c r="E4634" t="inlineStr">
        <is>
          <t>ussd_funeral_leads_altitude_20260619</t>
        </is>
      </c>
      <c r="J4634" t="inlineStr">
        <is>
          <t>NA</t>
        </is>
      </c>
      <c r="K4634" t="inlineStr">
        <is>
          <t>No Answer Autodial</t>
        </is>
      </c>
      <c r="L4634" t="n">
        <v>2</v>
      </c>
      <c r="M4634" t="inlineStr">
        <is>
          <t>2026-06-22 14:34:15</t>
        </is>
      </c>
      <c r="N4634" t="inlineStr">
        <is>
          <t>system</t>
        </is>
      </c>
      <c r="O4634" t="inlineStr">
        <is>
          <t>2026-06-19 07:10:32</t>
        </is>
      </c>
      <c r="P4634" t="inlineStr">
        <is>
          <t>2026-06-19 07:10:32</t>
        </is>
      </c>
      <c r="Y4634" t="inlineStr">
        <is>
          <t>27818722429</t>
        </is>
      </c>
    </row>
    <row r="4635">
      <c r="A4635" t="inlineStr">
        <is>
          <t>14943913</t>
        </is>
      </c>
      <c r="B4635" t="inlineStr">
        <is>
          <t>5d89ab16-aba1-4860-b5a8-6b31fcecbb89</t>
        </is>
      </c>
      <c r="D4635" t="inlineStr">
        <is>
          <t>30001087</t>
        </is>
      </c>
      <c r="E4635" t="inlineStr">
        <is>
          <t>ussd_funeral_leads_altitude_20260619</t>
        </is>
      </c>
      <c r="J4635" t="inlineStr">
        <is>
          <t>ADC</t>
        </is>
      </c>
      <c r="K4635" t="inlineStr">
        <is>
          <t>Auto Dial Disconnected</t>
        </is>
      </c>
      <c r="L4635" t="n">
        <v>2</v>
      </c>
      <c r="M4635" t="inlineStr">
        <is>
          <t>2026-06-22 14:34:13</t>
        </is>
      </c>
      <c r="N4635" t="inlineStr">
        <is>
          <t>system</t>
        </is>
      </c>
      <c r="O4635" t="inlineStr">
        <is>
          <t>2026-06-19 07:10:32</t>
        </is>
      </c>
      <c r="P4635" t="inlineStr">
        <is>
          <t>2026-06-19 07:10:32</t>
        </is>
      </c>
      <c r="Y4635" t="inlineStr">
        <is>
          <t>27722896851</t>
        </is>
      </c>
    </row>
    <row r="4636">
      <c r="A4636" t="inlineStr">
        <is>
          <t>14943912</t>
        </is>
      </c>
      <c r="B4636" t="inlineStr">
        <is>
          <t>85d32cde-79c9-43dd-a623-282537012932</t>
        </is>
      </c>
      <c r="D4636" t="inlineStr">
        <is>
          <t>30001087</t>
        </is>
      </c>
      <c r="E4636" t="inlineStr">
        <is>
          <t>ussd_funeral_leads_altitude_20260619</t>
        </is>
      </c>
      <c r="J4636" t="inlineStr">
        <is>
          <t>AA</t>
        </is>
      </c>
      <c r="K4636" t="inlineStr">
        <is>
          <t>Answering Machine Autodial</t>
        </is>
      </c>
      <c r="L4636" t="n">
        <v>2</v>
      </c>
      <c r="M4636" t="inlineStr">
        <is>
          <t>2026-06-22 14:34:08</t>
        </is>
      </c>
      <c r="N4636" t="inlineStr">
        <is>
          <t>system</t>
        </is>
      </c>
      <c r="O4636" t="inlineStr">
        <is>
          <t>2026-06-19 07:10:32</t>
        </is>
      </c>
      <c r="P4636" t="inlineStr">
        <is>
          <t>2026-06-19 07:10:32</t>
        </is>
      </c>
      <c r="Y4636" t="inlineStr">
        <is>
          <t>27711517468</t>
        </is>
      </c>
    </row>
    <row r="4637">
      <c r="A4637" t="inlineStr">
        <is>
          <t>14943911</t>
        </is>
      </c>
      <c r="B4637" t="inlineStr">
        <is>
          <t>5fd164f3-99c3-425b-9cf8-4157645a7d38</t>
        </is>
      </c>
      <c r="D4637" t="inlineStr">
        <is>
          <t>30001087</t>
        </is>
      </c>
      <c r="E4637" t="inlineStr">
        <is>
          <t>ussd_funeral_leads_altitude_20260619</t>
        </is>
      </c>
      <c r="J4637" t="inlineStr">
        <is>
          <t>AA</t>
        </is>
      </c>
      <c r="K4637" t="inlineStr">
        <is>
          <t>Answering Machine Autodial</t>
        </is>
      </c>
      <c r="L4637" t="n">
        <v>2</v>
      </c>
      <c r="M4637" t="inlineStr">
        <is>
          <t>2026-06-22 14:34:04</t>
        </is>
      </c>
      <c r="N4637" t="inlineStr">
        <is>
          <t>system</t>
        </is>
      </c>
      <c r="O4637" t="inlineStr">
        <is>
          <t>2026-06-19 07:10:32</t>
        </is>
      </c>
      <c r="P4637" t="inlineStr">
        <is>
          <t>2026-06-19 07:10:32</t>
        </is>
      </c>
      <c r="Y4637" t="inlineStr">
        <is>
          <t>27673515714</t>
        </is>
      </c>
    </row>
    <row r="4638">
      <c r="A4638" t="inlineStr">
        <is>
          <t>14944466</t>
        </is>
      </c>
      <c r="B4638" t="inlineStr">
        <is>
          <t>174141f1-59dc-4098-bc23-0e2facde2171</t>
        </is>
      </c>
      <c r="D4638" t="inlineStr">
        <is>
          <t>30001087</t>
        </is>
      </c>
      <c r="E4638" t="inlineStr">
        <is>
          <t>ussd_funeral_leads_altitude_20260619</t>
        </is>
      </c>
      <c r="J4638" t="inlineStr">
        <is>
          <t>NA</t>
        </is>
      </c>
      <c r="K4638" t="inlineStr">
        <is>
          <t>No Answer Autodial</t>
        </is>
      </c>
      <c r="L4638" t="n">
        <v>2</v>
      </c>
      <c r="M4638" t="inlineStr">
        <is>
          <t>2026-06-22 14:33:56</t>
        </is>
      </c>
      <c r="N4638" t="inlineStr">
        <is>
          <t>system</t>
        </is>
      </c>
      <c r="O4638" t="inlineStr">
        <is>
          <t>2026-06-19 07:10:32</t>
        </is>
      </c>
      <c r="P4638" t="inlineStr">
        <is>
          <t>2026-06-19 07:10:32</t>
        </is>
      </c>
      <c r="Y4638" t="inlineStr">
        <is>
          <t>27772761644</t>
        </is>
      </c>
    </row>
    <row r="4639">
      <c r="A4639" t="inlineStr">
        <is>
          <t>14944468</t>
        </is>
      </c>
      <c r="B4639" t="inlineStr">
        <is>
          <t>83b2f649-ef70-41c5-bfb7-bb9d43595f80</t>
        </is>
      </c>
      <c r="D4639" t="inlineStr">
        <is>
          <t>30001087</t>
        </is>
      </c>
      <c r="E4639" t="inlineStr">
        <is>
          <t>ussd_funeral_leads_altitude_20260619</t>
        </is>
      </c>
      <c r="J4639" t="inlineStr">
        <is>
          <t>CU</t>
        </is>
      </c>
      <c r="K4639" t="inlineStr">
        <is>
          <t>Client Hung Up</t>
        </is>
      </c>
      <c r="L4639" t="n">
        <v>2</v>
      </c>
      <c r="M4639" t="inlineStr">
        <is>
          <t>2026-06-22 14:33:56</t>
        </is>
      </c>
      <c r="N4639" t="inlineStr">
        <is>
          <t>Lebohang Mabotja</t>
        </is>
      </c>
      <c r="O4639" t="inlineStr">
        <is>
          <t>2026-06-19 07:10:32</t>
        </is>
      </c>
      <c r="P4639" t="inlineStr">
        <is>
          <t>2026-06-19 07:10:32</t>
        </is>
      </c>
      <c r="Y4639" t="inlineStr">
        <is>
          <t>27646814349</t>
        </is>
      </c>
    </row>
    <row r="4640">
      <c r="A4640" t="inlineStr">
        <is>
          <t>14943919</t>
        </is>
      </c>
      <c r="B4640" t="inlineStr">
        <is>
          <t>c14a1425-8c12-4fd6-9a5f-04fcc82243d6</t>
        </is>
      </c>
      <c r="D4640" t="inlineStr">
        <is>
          <t>30001087</t>
        </is>
      </c>
      <c r="E4640" t="inlineStr">
        <is>
          <t>ussd_funeral_leads_altitude_20260619</t>
        </is>
      </c>
      <c r="J4640" t="inlineStr">
        <is>
          <t>AA</t>
        </is>
      </c>
      <c r="K4640" t="inlineStr">
        <is>
          <t>Answering Machine Autodial</t>
        </is>
      </c>
      <c r="L4640" t="n">
        <v>2</v>
      </c>
      <c r="M4640" t="inlineStr">
        <is>
          <t>2026-06-22 14:33:19</t>
        </is>
      </c>
      <c r="N4640" t="inlineStr">
        <is>
          <t>system</t>
        </is>
      </c>
      <c r="O4640" t="inlineStr">
        <is>
          <t>2026-06-19 07:10:32</t>
        </is>
      </c>
      <c r="P4640" t="inlineStr">
        <is>
          <t>2026-06-19 07:10:32</t>
        </is>
      </c>
      <c r="Y4640" t="inlineStr">
        <is>
          <t>27818783168</t>
        </is>
      </c>
    </row>
    <row r="4641">
      <c r="A4641" t="inlineStr">
        <is>
          <t>14943921</t>
        </is>
      </c>
      <c r="B4641" t="inlineStr">
        <is>
          <t>c5df59c4-b1db-451a-888b-5787bb1baff2</t>
        </is>
      </c>
      <c r="D4641" t="inlineStr">
        <is>
          <t>30001087</t>
        </is>
      </c>
      <c r="E4641" t="inlineStr">
        <is>
          <t>ussd_funeral_leads_altitude_20260619</t>
        </is>
      </c>
      <c r="J4641" t="inlineStr">
        <is>
          <t>NA</t>
        </is>
      </c>
      <c r="K4641" t="inlineStr">
        <is>
          <t>No Answer Autodial</t>
        </is>
      </c>
      <c r="L4641" t="n">
        <v>2</v>
      </c>
      <c r="M4641" t="inlineStr">
        <is>
          <t>2026-06-22 14:33:19</t>
        </is>
      </c>
      <c r="N4641" t="inlineStr">
        <is>
          <t>system</t>
        </is>
      </c>
      <c r="O4641" t="inlineStr">
        <is>
          <t>2026-06-19 07:10:32</t>
        </is>
      </c>
      <c r="P4641" t="inlineStr">
        <is>
          <t>2026-06-19 07:10:32</t>
        </is>
      </c>
      <c r="Y4641" t="inlineStr">
        <is>
          <t>27720610825</t>
        </is>
      </c>
    </row>
    <row r="4642">
      <c r="A4642" t="inlineStr">
        <is>
          <t>14944470</t>
        </is>
      </c>
      <c r="B4642" t="inlineStr">
        <is>
          <t>3c08973a-ccc2-4d85-9c50-6ea0d36aae4f</t>
        </is>
      </c>
      <c r="D4642" t="inlineStr">
        <is>
          <t>30001087</t>
        </is>
      </c>
      <c r="E4642" t="inlineStr">
        <is>
          <t>ussd_funeral_leads_altitude_20260619</t>
        </is>
      </c>
      <c r="J4642" t="inlineStr">
        <is>
          <t>AA</t>
        </is>
      </c>
      <c r="K4642" t="inlineStr">
        <is>
          <t>Answering Machine Autodial</t>
        </is>
      </c>
      <c r="L4642" t="n">
        <v>2</v>
      </c>
      <c r="M4642" t="inlineStr">
        <is>
          <t>2026-06-22 14:33:03</t>
        </is>
      </c>
      <c r="N4642" t="inlineStr">
        <is>
          <t>system</t>
        </is>
      </c>
      <c r="O4642" t="inlineStr">
        <is>
          <t>2026-06-19 07:10:32</t>
        </is>
      </c>
      <c r="P4642" t="inlineStr">
        <is>
          <t>2026-06-19 07:10:32</t>
        </is>
      </c>
      <c r="Y4642" t="inlineStr">
        <is>
          <t>27772815621</t>
        </is>
      </c>
    </row>
    <row r="4643">
      <c r="A4643" t="inlineStr">
        <is>
          <t>14944051</t>
        </is>
      </c>
      <c r="B4643" t="inlineStr">
        <is>
          <t>4e5ca478-40b6-49f0-b738-a5c31a491772</t>
        </is>
      </c>
      <c r="D4643" t="inlineStr">
        <is>
          <t>30001087</t>
        </is>
      </c>
      <c r="E4643" t="inlineStr">
        <is>
          <t>ussd_funeral_leads_altitude_20260619</t>
        </is>
      </c>
      <c r="J4643" t="inlineStr">
        <is>
          <t>AA</t>
        </is>
      </c>
      <c r="K4643" t="inlineStr">
        <is>
          <t>Answering Machine Autodial</t>
        </is>
      </c>
      <c r="L4643" t="n">
        <v>2</v>
      </c>
      <c r="M4643" t="inlineStr">
        <is>
          <t>2026-06-22 14:31:16</t>
        </is>
      </c>
      <c r="N4643" t="inlineStr">
        <is>
          <t>system</t>
        </is>
      </c>
      <c r="O4643" t="inlineStr">
        <is>
          <t>2026-06-19 07:10:32</t>
        </is>
      </c>
      <c r="P4643" t="inlineStr">
        <is>
          <t>2026-06-19 07:10:32</t>
        </is>
      </c>
      <c r="Y4643" t="inlineStr">
        <is>
          <t>27818738800</t>
        </is>
      </c>
    </row>
    <row r="4644">
      <c r="A4644" t="inlineStr">
        <is>
          <t>14944050</t>
        </is>
      </c>
      <c r="B4644" t="inlineStr">
        <is>
          <t>3cb973f4-9611-4ea6-97ce-55befa51f805</t>
        </is>
      </c>
      <c r="D4644" t="inlineStr">
        <is>
          <t>30001087</t>
        </is>
      </c>
      <c r="E4644" t="inlineStr">
        <is>
          <t>ussd_funeral_leads_altitude_20260619</t>
        </is>
      </c>
      <c r="J4644" t="inlineStr">
        <is>
          <t>NA</t>
        </is>
      </c>
      <c r="K4644" t="inlineStr">
        <is>
          <t>No Answer Autodial</t>
        </is>
      </c>
      <c r="L4644" t="n">
        <v>2</v>
      </c>
      <c r="M4644" t="inlineStr">
        <is>
          <t>2026-06-22 14:31:15</t>
        </is>
      </c>
      <c r="N4644" t="inlineStr">
        <is>
          <t>system</t>
        </is>
      </c>
      <c r="O4644" t="inlineStr">
        <is>
          <t>2026-06-19 07:10:32</t>
        </is>
      </c>
      <c r="P4644" t="inlineStr">
        <is>
          <t>2026-06-19 07:10:32</t>
        </is>
      </c>
      <c r="Y4644" t="inlineStr">
        <is>
          <t>27712745254</t>
        </is>
      </c>
    </row>
    <row r="4645">
      <c r="A4645" t="inlineStr">
        <is>
          <t>14944049</t>
        </is>
      </c>
      <c r="B4645" t="inlineStr">
        <is>
          <t>fae9e612-b2c5-40d3-9b5c-611ccc521e65</t>
        </is>
      </c>
      <c r="D4645" t="inlineStr">
        <is>
          <t>30001087</t>
        </is>
      </c>
      <c r="E4645" t="inlineStr">
        <is>
          <t>ussd_funeral_leads_altitude_20260619</t>
        </is>
      </c>
      <c r="J4645" t="inlineStr">
        <is>
          <t>ADC</t>
        </is>
      </c>
      <c r="K4645" t="inlineStr">
        <is>
          <t>Auto Dial Disconnected</t>
        </is>
      </c>
      <c r="L4645" t="n">
        <v>2</v>
      </c>
      <c r="M4645" t="inlineStr">
        <is>
          <t>2026-06-22 14:31:12</t>
        </is>
      </c>
      <c r="N4645" t="inlineStr">
        <is>
          <t>system</t>
        </is>
      </c>
      <c r="O4645" t="inlineStr">
        <is>
          <t>2026-06-19 07:10:32</t>
        </is>
      </c>
      <c r="P4645" t="inlineStr">
        <is>
          <t>2026-06-19 07:10:32</t>
        </is>
      </c>
      <c r="Y4645" t="inlineStr">
        <is>
          <t>27724939697</t>
        </is>
      </c>
    </row>
    <row r="4646">
      <c r="A4646" t="inlineStr">
        <is>
          <t>14944048</t>
        </is>
      </c>
      <c r="B4646" t="inlineStr">
        <is>
          <t>1258b119-7eab-405a-8665-7088d3274ac3</t>
        </is>
      </c>
      <c r="D4646" t="inlineStr">
        <is>
          <t>30001087</t>
        </is>
      </c>
      <c r="E4646" t="inlineStr">
        <is>
          <t>ussd_funeral_leads_altitude_20260619</t>
        </is>
      </c>
      <c r="J4646" t="inlineStr">
        <is>
          <t>ADC</t>
        </is>
      </c>
      <c r="K4646" t="inlineStr">
        <is>
          <t>Auto Dial Disconnected</t>
        </is>
      </c>
      <c r="L4646" t="n">
        <v>2</v>
      </c>
      <c r="M4646" t="inlineStr">
        <is>
          <t>2026-06-22 14:31:11</t>
        </is>
      </c>
      <c r="N4646" t="inlineStr">
        <is>
          <t>system</t>
        </is>
      </c>
      <c r="O4646" t="inlineStr">
        <is>
          <t>2026-06-19 07:10:32</t>
        </is>
      </c>
      <c r="P4646" t="inlineStr">
        <is>
          <t>2026-06-19 07:10:32</t>
        </is>
      </c>
      <c r="Y4646" t="inlineStr">
        <is>
          <t>27772560232</t>
        </is>
      </c>
    </row>
    <row r="4647">
      <c r="A4647" t="inlineStr">
        <is>
          <t>14900000</t>
        </is>
      </c>
      <c r="B4647" t="inlineStr">
        <is>
          <t>12e83727-7efc-4a2f-ae57-e3ddde76d618</t>
        </is>
      </c>
      <c r="D4647" t="inlineStr">
        <is>
          <t>30001087</t>
        </is>
      </c>
      <c r="E4647" t="inlineStr">
        <is>
          <t>ussd_funeral_leads_altitude_20260619</t>
        </is>
      </c>
      <c r="J4647" t="inlineStr">
        <is>
          <t>AA</t>
        </is>
      </c>
      <c r="K4647" t="inlineStr">
        <is>
          <t>Answering Machine Autodial</t>
        </is>
      </c>
      <c r="L4647" t="n">
        <v>2</v>
      </c>
      <c r="M4647" t="inlineStr">
        <is>
          <t>2026-06-22 14:31:07</t>
        </is>
      </c>
      <c r="N4647" t="inlineStr">
        <is>
          <t>system</t>
        </is>
      </c>
      <c r="O4647" t="inlineStr">
        <is>
          <t>2026-06-19 07:10:32</t>
        </is>
      </c>
      <c r="P4647" t="inlineStr">
        <is>
          <t>2026-06-19 07:10:32</t>
        </is>
      </c>
      <c r="Y4647" t="inlineStr">
        <is>
          <t>27711467757</t>
        </is>
      </c>
    </row>
    <row r="4648">
      <c r="A4648" t="inlineStr">
        <is>
          <t>14944046</t>
        </is>
      </c>
      <c r="B4648" t="inlineStr">
        <is>
          <t>00f93fc6-8b43-43e0-9d1e-c3e53345ee47</t>
        </is>
      </c>
      <c r="D4648" t="inlineStr">
        <is>
          <t>30001087</t>
        </is>
      </c>
      <c r="E4648" t="inlineStr">
        <is>
          <t>ussd_funeral_leads_altitude_20260619</t>
        </is>
      </c>
      <c r="J4648" t="inlineStr">
        <is>
          <t>ADC</t>
        </is>
      </c>
      <c r="K4648" t="inlineStr">
        <is>
          <t>Auto Dial Disconnected</t>
        </is>
      </c>
      <c r="L4648" t="n">
        <v>2</v>
      </c>
      <c r="M4648" t="inlineStr">
        <is>
          <t>2026-06-22 14:31:06</t>
        </is>
      </c>
      <c r="N4648" t="inlineStr">
        <is>
          <t>system</t>
        </is>
      </c>
      <c r="O4648" t="inlineStr">
        <is>
          <t>2026-06-19 07:10:32</t>
        </is>
      </c>
      <c r="P4648" t="inlineStr">
        <is>
          <t>2026-06-19 07:10:32</t>
        </is>
      </c>
      <c r="Y4648" t="inlineStr">
        <is>
          <t>27660192023</t>
        </is>
      </c>
    </row>
    <row r="4649">
      <c r="A4649" t="inlineStr">
        <is>
          <t>14944003</t>
        </is>
      </c>
      <c r="B4649" t="inlineStr">
        <is>
          <t>5f89bcf0-6467-40c9-85b7-291f925b5e80</t>
        </is>
      </c>
      <c r="D4649" t="inlineStr">
        <is>
          <t>30001087</t>
        </is>
      </c>
      <c r="E4649" t="inlineStr">
        <is>
          <t>ussd_funeral_leads_altitude_20260619</t>
        </is>
      </c>
      <c r="J4649" t="inlineStr">
        <is>
          <t>ADC</t>
        </is>
      </c>
      <c r="K4649" t="inlineStr">
        <is>
          <t>Auto Dial Disconnected</t>
        </is>
      </c>
      <c r="L4649" t="n">
        <v>2</v>
      </c>
      <c r="M4649" t="inlineStr">
        <is>
          <t>2026-06-22 14:31:04</t>
        </is>
      </c>
      <c r="N4649" t="inlineStr">
        <is>
          <t>system</t>
        </is>
      </c>
      <c r="O4649" t="inlineStr">
        <is>
          <t>2026-06-19 07:10:32</t>
        </is>
      </c>
      <c r="P4649" t="inlineStr">
        <is>
          <t>2026-06-19 07:10:32</t>
        </is>
      </c>
      <c r="Y4649" t="inlineStr">
        <is>
          <t>27673838718</t>
        </is>
      </c>
    </row>
    <row r="4650">
      <c r="A4650" t="inlineStr">
        <is>
          <t>14900000</t>
        </is>
      </c>
      <c r="B4650" t="inlineStr">
        <is>
          <t>6e147573-228e-4e6c-907c-bafe75209739</t>
        </is>
      </c>
      <c r="D4650" t="inlineStr">
        <is>
          <t>30001087</t>
        </is>
      </c>
      <c r="E4650" t="inlineStr">
        <is>
          <t>ussd_funeral_leads_altitude_20260619</t>
        </is>
      </c>
      <c r="J4650" t="inlineStr">
        <is>
          <t>NA</t>
        </is>
      </c>
      <c r="K4650" t="inlineStr">
        <is>
          <t>No Answer Autodial</t>
        </is>
      </c>
      <c r="L4650" t="n">
        <v>2</v>
      </c>
      <c r="M4650" t="inlineStr">
        <is>
          <t>2026-06-22 14:31:04</t>
        </is>
      </c>
      <c r="N4650" t="inlineStr">
        <is>
          <t>system</t>
        </is>
      </c>
      <c r="O4650" t="inlineStr">
        <is>
          <t>2026-06-19 07:10:32</t>
        </is>
      </c>
      <c r="P4650" t="inlineStr">
        <is>
          <t>2026-06-19 07:10:32</t>
        </is>
      </c>
      <c r="Y4650" t="inlineStr">
        <is>
          <t>27820802754</t>
        </is>
      </c>
    </row>
    <row r="4651">
      <c r="A4651" t="inlineStr">
        <is>
          <t>14944045</t>
        </is>
      </c>
      <c r="B4651" t="inlineStr">
        <is>
          <t>25e55bdc-2c89-42b7-9185-b7d9e1a1b874</t>
        </is>
      </c>
      <c r="D4651" t="inlineStr">
        <is>
          <t>30001087</t>
        </is>
      </c>
      <c r="E4651" t="inlineStr">
        <is>
          <t>ussd_funeral_leads_altitude_20260619</t>
        </is>
      </c>
      <c r="J4651" t="inlineStr">
        <is>
          <t>AA</t>
        </is>
      </c>
      <c r="K4651" t="inlineStr">
        <is>
          <t>Answering Machine Autodial</t>
        </is>
      </c>
      <c r="L4651" t="n">
        <v>2</v>
      </c>
      <c r="M4651" t="inlineStr">
        <is>
          <t>2026-06-22 14:31:04</t>
        </is>
      </c>
      <c r="N4651" t="inlineStr">
        <is>
          <t>system</t>
        </is>
      </c>
      <c r="O4651" t="inlineStr">
        <is>
          <t>2026-06-19 07:10:32</t>
        </is>
      </c>
      <c r="P4651" t="inlineStr">
        <is>
          <t>2026-06-19 07:10:32</t>
        </is>
      </c>
      <c r="Y4651" t="inlineStr">
        <is>
          <t>27713569773</t>
        </is>
      </c>
    </row>
    <row r="4652">
      <c r="A4652" t="inlineStr">
        <is>
          <t>14943998</t>
        </is>
      </c>
      <c r="B4652" t="inlineStr">
        <is>
          <t>233a4110-ac08-4c3f-818f-aacd92003631</t>
        </is>
      </c>
      <c r="D4652" t="inlineStr">
        <is>
          <t>30001087</t>
        </is>
      </c>
      <c r="E4652" t="inlineStr">
        <is>
          <t>ussd_funeral_leads_altitude_20260619</t>
        </is>
      </c>
      <c r="J4652" t="inlineStr">
        <is>
          <t>ADC</t>
        </is>
      </c>
      <c r="K4652" t="inlineStr">
        <is>
          <t>Auto Dial Disconnected</t>
        </is>
      </c>
      <c r="L4652" t="n">
        <v>2</v>
      </c>
      <c r="M4652" t="inlineStr">
        <is>
          <t>2026-06-22 14:31:03</t>
        </is>
      </c>
      <c r="N4652" t="inlineStr">
        <is>
          <t>system</t>
        </is>
      </c>
      <c r="O4652" t="inlineStr">
        <is>
          <t>2026-06-19 07:10:32</t>
        </is>
      </c>
      <c r="P4652" t="inlineStr">
        <is>
          <t>2026-06-19 07:10:32</t>
        </is>
      </c>
      <c r="Y4652" t="inlineStr">
        <is>
          <t>27664289152</t>
        </is>
      </c>
    </row>
    <row r="4653">
      <c r="A4653" t="inlineStr">
        <is>
          <t>14943999</t>
        </is>
      </c>
      <c r="B4653" t="inlineStr">
        <is>
          <t>5c122e25-c9e7-46fd-8e10-3706a93982d1</t>
        </is>
      </c>
      <c r="D4653" t="inlineStr">
        <is>
          <t>30001087</t>
        </is>
      </c>
      <c r="E4653" t="inlineStr">
        <is>
          <t>ussd_funeral_leads_altitude_20260619</t>
        </is>
      </c>
      <c r="J4653" t="inlineStr">
        <is>
          <t>LANG</t>
        </is>
      </c>
      <c r="K4653" t="inlineStr">
        <is>
          <t>Language Barrier</t>
        </is>
      </c>
      <c r="L4653" t="n">
        <v>2</v>
      </c>
      <c r="M4653" t="inlineStr">
        <is>
          <t>2026-06-22 14:31:03</t>
        </is>
      </c>
      <c r="N4653" t="inlineStr">
        <is>
          <t>Bongiwe Precious Cele</t>
        </is>
      </c>
      <c r="O4653" t="inlineStr">
        <is>
          <t>2026-06-19 07:10:32</t>
        </is>
      </c>
      <c r="P4653" t="inlineStr">
        <is>
          <t>2026-06-19 07:10:32</t>
        </is>
      </c>
      <c r="Y4653" t="inlineStr">
        <is>
          <t>27790454909</t>
        </is>
      </c>
    </row>
    <row r="4654">
      <c r="A4654" t="inlineStr">
        <is>
          <t>14944002</t>
        </is>
      </c>
      <c r="B4654" t="inlineStr">
        <is>
          <t>84b3246f-ccce-4e2f-82ce-af25641db69a</t>
        </is>
      </c>
      <c r="D4654" t="inlineStr">
        <is>
          <t>30001087</t>
        </is>
      </c>
      <c r="E4654" t="inlineStr">
        <is>
          <t>ussd_funeral_leads_altitude_20260619</t>
        </is>
      </c>
      <c r="J4654" t="inlineStr">
        <is>
          <t>AA</t>
        </is>
      </c>
      <c r="K4654" t="inlineStr">
        <is>
          <t>Answering Machine Autodial</t>
        </is>
      </c>
      <c r="L4654" t="n">
        <v>2</v>
      </c>
      <c r="M4654" t="inlineStr">
        <is>
          <t>2026-06-22 14:31:03</t>
        </is>
      </c>
      <c r="N4654" t="inlineStr">
        <is>
          <t>system</t>
        </is>
      </c>
      <c r="O4654" t="inlineStr">
        <is>
          <t>2026-06-19 07:10:32</t>
        </is>
      </c>
      <c r="P4654" t="inlineStr">
        <is>
          <t>2026-06-19 07:10:32</t>
        </is>
      </c>
      <c r="Y4654" t="inlineStr">
        <is>
          <t>27763677920</t>
        </is>
      </c>
    </row>
    <row r="4655">
      <c r="A4655" t="inlineStr">
        <is>
          <t>14944039</t>
        </is>
      </c>
      <c r="B4655" t="inlineStr">
        <is>
          <t>901fbb52-62dd-4fe4-97dd-d6beeb55a76e</t>
        </is>
      </c>
      <c r="D4655" t="inlineStr">
        <is>
          <t>30001087</t>
        </is>
      </c>
      <c r="E4655" t="inlineStr">
        <is>
          <t>ussd_funeral_leads_altitude_20260619</t>
        </is>
      </c>
      <c r="J4655" t="inlineStr">
        <is>
          <t>CU</t>
        </is>
      </c>
      <c r="K4655" t="inlineStr">
        <is>
          <t>Client Hung Up</t>
        </is>
      </c>
      <c r="L4655" t="n">
        <v>2</v>
      </c>
      <c r="M4655" t="inlineStr">
        <is>
          <t>2026-06-22 14:31:03</t>
        </is>
      </c>
      <c r="N4655" t="inlineStr">
        <is>
          <t>Goitsimang Mogwasa</t>
        </is>
      </c>
      <c r="O4655" t="inlineStr">
        <is>
          <t>2026-06-19 07:10:32</t>
        </is>
      </c>
      <c r="P4655" t="inlineStr">
        <is>
          <t>2026-06-19 07:10:32</t>
        </is>
      </c>
      <c r="Y4655" t="inlineStr">
        <is>
          <t>27724876890</t>
        </is>
      </c>
    </row>
    <row r="4656">
      <c r="A4656" t="inlineStr">
        <is>
          <t>14944040</t>
        </is>
      </c>
      <c r="B4656" t="inlineStr">
        <is>
          <t>34de0e97-af96-44d5-ad8f-e13ea3e3dee0</t>
        </is>
      </c>
      <c r="D4656" t="inlineStr">
        <is>
          <t>30001087</t>
        </is>
      </c>
      <c r="E4656" t="inlineStr">
        <is>
          <t>ussd_funeral_leads_altitude_20260619</t>
        </is>
      </c>
      <c r="J4656" t="inlineStr">
        <is>
          <t>AA</t>
        </is>
      </c>
      <c r="K4656" t="inlineStr">
        <is>
          <t>Answering Machine Autodial</t>
        </is>
      </c>
      <c r="L4656" t="n">
        <v>2</v>
      </c>
      <c r="M4656" t="inlineStr">
        <is>
          <t>2026-06-22 14:31:03</t>
        </is>
      </c>
      <c r="N4656" t="inlineStr">
        <is>
          <t>system</t>
        </is>
      </c>
      <c r="O4656" t="inlineStr">
        <is>
          <t>2026-06-19 07:10:32</t>
        </is>
      </c>
      <c r="P4656" t="inlineStr">
        <is>
          <t>2026-06-19 07:10:32</t>
        </is>
      </c>
      <c r="Y4656" t="inlineStr">
        <is>
          <t>27796784945</t>
        </is>
      </c>
    </row>
    <row r="4657">
      <c r="A4657" t="inlineStr">
        <is>
          <t>14944041</t>
        </is>
      </c>
      <c r="B4657" t="inlineStr">
        <is>
          <t>b2a948b3-3dfb-4604-83ce-f6931e4c87c7</t>
        </is>
      </c>
      <c r="D4657" t="inlineStr">
        <is>
          <t>30001087</t>
        </is>
      </c>
      <c r="E4657" t="inlineStr">
        <is>
          <t>ussd_funeral_leads_altitude_20260619</t>
        </is>
      </c>
      <c r="J4657" t="inlineStr">
        <is>
          <t>AA</t>
        </is>
      </c>
      <c r="K4657" t="inlineStr">
        <is>
          <t>Answering Machine Autodial</t>
        </is>
      </c>
      <c r="L4657" t="n">
        <v>2</v>
      </c>
      <c r="M4657" t="inlineStr">
        <is>
          <t>2026-06-22 14:31:03</t>
        </is>
      </c>
      <c r="N4657" t="inlineStr">
        <is>
          <t>system</t>
        </is>
      </c>
      <c r="O4657" t="inlineStr">
        <is>
          <t>2026-06-19 07:10:32</t>
        </is>
      </c>
      <c r="P4657" t="inlineStr">
        <is>
          <t>2026-06-19 07:10:32</t>
        </is>
      </c>
      <c r="Y4657" t="inlineStr">
        <is>
          <t>27608201163</t>
        </is>
      </c>
    </row>
    <row r="4658">
      <c r="A4658" t="inlineStr">
        <is>
          <t>14944042</t>
        </is>
      </c>
      <c r="B4658" t="inlineStr">
        <is>
          <t>11f1b125-60e6-467a-83f1-802c2dd39e86</t>
        </is>
      </c>
      <c r="D4658" t="inlineStr">
        <is>
          <t>30001087</t>
        </is>
      </c>
      <c r="E4658" t="inlineStr">
        <is>
          <t>ussd_funeral_leads_altitude_20260619</t>
        </is>
      </c>
      <c r="J4658" t="inlineStr">
        <is>
          <t>AA</t>
        </is>
      </c>
      <c r="K4658" t="inlineStr">
        <is>
          <t>Answering Machine Autodial</t>
        </is>
      </c>
      <c r="L4658" t="n">
        <v>2</v>
      </c>
      <c r="M4658" t="inlineStr">
        <is>
          <t>2026-06-22 14:31:03</t>
        </is>
      </c>
      <c r="N4658" t="inlineStr">
        <is>
          <t>system</t>
        </is>
      </c>
      <c r="O4658" t="inlineStr">
        <is>
          <t>2026-06-19 07:10:32</t>
        </is>
      </c>
      <c r="P4658" t="inlineStr">
        <is>
          <t>2026-06-19 07:10:32</t>
        </is>
      </c>
      <c r="Y4658" t="inlineStr">
        <is>
          <t>27823718936</t>
        </is>
      </c>
    </row>
    <row r="4659">
      <c r="A4659" t="inlineStr">
        <is>
          <t>14900000</t>
        </is>
      </c>
      <c r="B4659" t="inlineStr">
        <is>
          <t>e2575e90-5146-4378-bf52-dad7f5783a02</t>
        </is>
      </c>
      <c r="D4659" t="inlineStr">
        <is>
          <t>30001087</t>
        </is>
      </c>
      <c r="E4659" t="inlineStr">
        <is>
          <t>ussd_funeral_leads_altitude_20260619</t>
        </is>
      </c>
      <c r="J4659" t="inlineStr">
        <is>
          <t>NA</t>
        </is>
      </c>
      <c r="K4659" t="inlineStr">
        <is>
          <t>No Answer Autodial</t>
        </is>
      </c>
      <c r="L4659" t="n">
        <v>2</v>
      </c>
      <c r="M4659" t="inlineStr">
        <is>
          <t>2026-06-22 14:31:03</t>
        </is>
      </c>
      <c r="N4659" t="inlineStr">
        <is>
          <t>system</t>
        </is>
      </c>
      <c r="O4659" t="inlineStr">
        <is>
          <t>2026-06-19 07:10:32</t>
        </is>
      </c>
      <c r="P4659" t="inlineStr">
        <is>
          <t>2026-06-19 07:10:32</t>
        </is>
      </c>
      <c r="Y4659" t="inlineStr">
        <is>
          <t>27649233138</t>
        </is>
      </c>
    </row>
    <row r="4660">
      <c r="A4660" t="inlineStr">
        <is>
          <t>14944004</t>
        </is>
      </c>
      <c r="B4660" t="inlineStr">
        <is>
          <t>386b02b8-7092-4382-b133-5954fae0dc9c</t>
        </is>
      </c>
      <c r="D4660" t="inlineStr">
        <is>
          <t>30001087</t>
        </is>
      </c>
      <c r="E4660" t="inlineStr">
        <is>
          <t>ussd_funeral_leads_altitude_20260619</t>
        </is>
      </c>
      <c r="J4660" t="inlineStr">
        <is>
          <t>NA</t>
        </is>
      </c>
      <c r="K4660" t="inlineStr">
        <is>
          <t>No Answer Autodial</t>
        </is>
      </c>
      <c r="L4660" t="n">
        <v>2</v>
      </c>
      <c r="M4660" t="inlineStr">
        <is>
          <t>2026-06-22 14:31:02</t>
        </is>
      </c>
      <c r="N4660" t="inlineStr">
        <is>
          <t>system</t>
        </is>
      </c>
      <c r="O4660" t="inlineStr">
        <is>
          <t>2026-06-19 07:10:32</t>
        </is>
      </c>
      <c r="P4660" t="inlineStr">
        <is>
          <t>2026-06-19 07:10:32</t>
        </is>
      </c>
      <c r="Y4660" t="inlineStr">
        <is>
          <t>27792159594</t>
        </is>
      </c>
    </row>
    <row r="4661">
      <c r="A4661" t="inlineStr">
        <is>
          <t>14943997</t>
        </is>
      </c>
      <c r="B4661" t="inlineStr">
        <is>
          <t>9474b18c-6728-4291-b515-9fd1ba94d818</t>
        </is>
      </c>
      <c r="D4661" t="inlineStr">
        <is>
          <t>30001087</t>
        </is>
      </c>
      <c r="E4661" t="inlineStr">
        <is>
          <t>ussd_funeral_leads_altitude_20260619</t>
        </is>
      </c>
      <c r="J4661" t="inlineStr">
        <is>
          <t>AA</t>
        </is>
      </c>
      <c r="K4661" t="inlineStr">
        <is>
          <t>Answering Machine Autodial</t>
        </is>
      </c>
      <c r="L4661" t="n">
        <v>2</v>
      </c>
      <c r="M4661" t="inlineStr">
        <is>
          <t>2026-06-22 14:31:01</t>
        </is>
      </c>
      <c r="N4661" t="inlineStr">
        <is>
          <t>system</t>
        </is>
      </c>
      <c r="O4661" t="inlineStr">
        <is>
          <t>2026-06-19 07:10:32</t>
        </is>
      </c>
      <c r="P4661" t="inlineStr">
        <is>
          <t>2026-06-19 07:10:32</t>
        </is>
      </c>
      <c r="Y4661" t="inlineStr">
        <is>
          <t>27723334045</t>
        </is>
      </c>
    </row>
    <row r="4662">
      <c r="A4662" t="inlineStr">
        <is>
          <t>14943996</t>
        </is>
      </c>
      <c r="B4662" t="inlineStr">
        <is>
          <t>b9546f58-695d-4ecd-b248-3bd66984ab35</t>
        </is>
      </c>
      <c r="D4662" t="inlineStr">
        <is>
          <t>30001087</t>
        </is>
      </c>
      <c r="E4662" t="inlineStr">
        <is>
          <t>ussd_funeral_leads_altitude_20260619</t>
        </is>
      </c>
      <c r="J4662" t="inlineStr">
        <is>
          <t>AA</t>
        </is>
      </c>
      <c r="K4662" t="inlineStr">
        <is>
          <t>Answering Machine Autodial</t>
        </is>
      </c>
      <c r="L4662" t="n">
        <v>2</v>
      </c>
      <c r="M4662" t="inlineStr">
        <is>
          <t>2026-06-22 14:30:58</t>
        </is>
      </c>
      <c r="N4662" t="inlineStr">
        <is>
          <t>system</t>
        </is>
      </c>
      <c r="O4662" t="inlineStr">
        <is>
          <t>2026-06-19 07:10:32</t>
        </is>
      </c>
      <c r="P4662" t="inlineStr">
        <is>
          <t>2026-06-19 07:10:32</t>
        </is>
      </c>
      <c r="Y4662" t="inlineStr">
        <is>
          <t>27712874129</t>
        </is>
      </c>
    </row>
    <row r="4663">
      <c r="A4663" t="inlineStr">
        <is>
          <t>14943993</t>
        </is>
      </c>
      <c r="B4663" t="inlineStr">
        <is>
          <t>948ddbe9-6c0c-43d6-a23b-a9fc9cf5c60a</t>
        </is>
      </c>
      <c r="D4663" t="inlineStr">
        <is>
          <t>30001087</t>
        </is>
      </c>
      <c r="E4663" t="inlineStr">
        <is>
          <t>ussd_funeral_leads_altitude_20260619</t>
        </is>
      </c>
      <c r="J4663" t="inlineStr">
        <is>
          <t>AA</t>
        </is>
      </c>
      <c r="K4663" t="inlineStr">
        <is>
          <t>Answering Machine Autodial</t>
        </is>
      </c>
      <c r="L4663" t="n">
        <v>2</v>
      </c>
      <c r="M4663" t="inlineStr">
        <is>
          <t>2026-06-22 14:30:56</t>
        </is>
      </c>
      <c r="N4663" t="inlineStr">
        <is>
          <t>system</t>
        </is>
      </c>
      <c r="O4663" t="inlineStr">
        <is>
          <t>2026-06-19 07:10:32</t>
        </is>
      </c>
      <c r="P4663" t="inlineStr">
        <is>
          <t>2026-06-19 07:10:32</t>
        </is>
      </c>
      <c r="Y4663" t="inlineStr">
        <is>
          <t>27714356373</t>
        </is>
      </c>
    </row>
    <row r="4664">
      <c r="A4664" t="inlineStr">
        <is>
          <t>14943994</t>
        </is>
      </c>
      <c r="B4664" t="inlineStr">
        <is>
          <t>c8cd06de-5087-4375-9d45-f89012e1db34</t>
        </is>
      </c>
      <c r="D4664" t="inlineStr">
        <is>
          <t>30001087</t>
        </is>
      </c>
      <c r="E4664" t="inlineStr">
        <is>
          <t>ussd_funeral_leads_altitude_20260619</t>
        </is>
      </c>
      <c r="J4664" t="inlineStr">
        <is>
          <t>NA</t>
        </is>
      </c>
      <c r="K4664" t="inlineStr">
        <is>
          <t>No Answer Autodial</t>
        </is>
      </c>
      <c r="L4664" t="n">
        <v>2</v>
      </c>
      <c r="M4664" t="inlineStr">
        <is>
          <t>2026-06-22 14:30:56</t>
        </is>
      </c>
      <c r="N4664" t="inlineStr">
        <is>
          <t>system</t>
        </is>
      </c>
      <c r="O4664" t="inlineStr">
        <is>
          <t>2026-06-19 07:10:32</t>
        </is>
      </c>
      <c r="P4664" t="inlineStr">
        <is>
          <t>2026-06-19 07:10:32</t>
        </is>
      </c>
      <c r="Y4664" t="inlineStr">
        <is>
          <t>27647389134</t>
        </is>
      </c>
    </row>
    <row r="4665">
      <c r="A4665" t="inlineStr">
        <is>
          <t>14943995</t>
        </is>
      </c>
      <c r="B4665" t="inlineStr">
        <is>
          <t>f7888bfd-e19f-4ad1-b80e-d5b3282df2c8</t>
        </is>
      </c>
      <c r="D4665" t="inlineStr">
        <is>
          <t>30001087</t>
        </is>
      </c>
      <c r="E4665" t="inlineStr">
        <is>
          <t>ussd_funeral_leads_altitude_20260619</t>
        </is>
      </c>
      <c r="J4665" t="inlineStr">
        <is>
          <t>AA</t>
        </is>
      </c>
      <c r="K4665" t="inlineStr">
        <is>
          <t>Answering Machine Autodial</t>
        </is>
      </c>
      <c r="L4665" t="n">
        <v>2</v>
      </c>
      <c r="M4665" t="inlineStr">
        <is>
          <t>2026-06-22 14:30:56</t>
        </is>
      </c>
      <c r="N4665" t="inlineStr">
        <is>
          <t>system</t>
        </is>
      </c>
      <c r="O4665" t="inlineStr">
        <is>
          <t>2026-06-19 07:10:32</t>
        </is>
      </c>
      <c r="P4665" t="inlineStr">
        <is>
          <t>2026-06-19 07:10:32</t>
        </is>
      </c>
      <c r="Y4665" t="inlineStr">
        <is>
          <t>27606028005</t>
        </is>
      </c>
    </row>
    <row r="4666">
      <c r="A4666" t="inlineStr">
        <is>
          <t>14943991</t>
        </is>
      </c>
      <c r="B4666" t="inlineStr">
        <is>
          <t>6c14085f-c313-40f0-80c1-1931e76bc07d</t>
        </is>
      </c>
      <c r="D4666" t="inlineStr">
        <is>
          <t>30001087</t>
        </is>
      </c>
      <c r="E4666" t="inlineStr">
        <is>
          <t>ussd_funeral_leads_altitude_20260619</t>
        </is>
      </c>
      <c r="J4666" t="inlineStr">
        <is>
          <t>AA</t>
        </is>
      </c>
      <c r="K4666" t="inlineStr">
        <is>
          <t>Answering Machine Autodial</t>
        </is>
      </c>
      <c r="L4666" t="n">
        <v>2</v>
      </c>
      <c r="M4666" t="inlineStr">
        <is>
          <t>2026-06-22 14:30:55</t>
        </is>
      </c>
      <c r="N4666" t="inlineStr">
        <is>
          <t>system</t>
        </is>
      </c>
      <c r="O4666" t="inlineStr">
        <is>
          <t>2026-06-19 07:10:32</t>
        </is>
      </c>
      <c r="P4666" t="inlineStr">
        <is>
          <t>2026-06-19 07:10:32</t>
        </is>
      </c>
      <c r="Y4666" t="inlineStr">
        <is>
          <t>27818845719</t>
        </is>
      </c>
    </row>
    <row r="4667">
      <c r="A4667" t="inlineStr">
        <is>
          <t>14943992</t>
        </is>
      </c>
      <c r="B4667" t="inlineStr">
        <is>
          <t>eedf8c1f-709f-4aeb-a9a2-0667d9c2048f</t>
        </is>
      </c>
      <c r="D4667" t="inlineStr">
        <is>
          <t>30001087</t>
        </is>
      </c>
      <c r="E4667" t="inlineStr">
        <is>
          <t>ussd_funeral_leads_altitude_20260619</t>
        </is>
      </c>
      <c r="J4667" t="inlineStr">
        <is>
          <t>AA</t>
        </is>
      </c>
      <c r="K4667" t="inlineStr">
        <is>
          <t>Answering Machine Autodial</t>
        </is>
      </c>
      <c r="L4667" t="n">
        <v>2</v>
      </c>
      <c r="M4667" t="inlineStr">
        <is>
          <t>2026-06-22 14:30:55</t>
        </is>
      </c>
      <c r="N4667" t="inlineStr">
        <is>
          <t>system</t>
        </is>
      </c>
      <c r="O4667" t="inlineStr">
        <is>
          <t>2026-06-19 07:10:32</t>
        </is>
      </c>
      <c r="P4667" t="inlineStr">
        <is>
          <t>2026-06-19 07:10:32</t>
        </is>
      </c>
      <c r="Y4667" t="inlineStr">
        <is>
          <t>27606336126</t>
        </is>
      </c>
    </row>
    <row r="4668">
      <c r="A4668" t="inlineStr">
        <is>
          <t>14943990</t>
        </is>
      </c>
      <c r="B4668" t="inlineStr">
        <is>
          <t>3309b820-1701-401f-9dad-05d1015b96e9</t>
        </is>
      </c>
      <c r="D4668" t="inlineStr">
        <is>
          <t>30001087</t>
        </is>
      </c>
      <c r="E4668" t="inlineStr">
        <is>
          <t>ussd_funeral_leads_altitude_20260619</t>
        </is>
      </c>
      <c r="J4668" t="inlineStr">
        <is>
          <t>CU</t>
        </is>
      </c>
      <c r="K4668" t="inlineStr">
        <is>
          <t>Client Hung Up</t>
        </is>
      </c>
      <c r="L4668" t="n">
        <v>2</v>
      </c>
      <c r="M4668" t="inlineStr">
        <is>
          <t>2026-06-22 14:30:53</t>
        </is>
      </c>
      <c r="N4668" t="inlineStr">
        <is>
          <t>Vuyiswa Nxumalo</t>
        </is>
      </c>
      <c r="O4668" t="inlineStr">
        <is>
          <t>2026-06-19 07:10:32</t>
        </is>
      </c>
      <c r="P4668" t="inlineStr">
        <is>
          <t>2026-06-19 07:10:32</t>
        </is>
      </c>
      <c r="Y4668" t="inlineStr">
        <is>
          <t>27760264153</t>
        </is>
      </c>
    </row>
    <row r="4669">
      <c r="A4669" t="inlineStr">
        <is>
          <t>14944120</t>
        </is>
      </c>
      <c r="B4669" t="inlineStr">
        <is>
          <t>2a3dc8fa-ff93-4bb2-b7f3-7437064d1297</t>
        </is>
      </c>
      <c r="D4669" t="inlineStr">
        <is>
          <t>30001087</t>
        </is>
      </c>
      <c r="E4669" t="inlineStr">
        <is>
          <t>ussd_funeral_leads_altitude_20260619</t>
        </is>
      </c>
      <c r="H4669" t="inlineStr">
        <is>
          <t>27826589438</t>
        </is>
      </c>
      <c r="J4669" t="inlineStr">
        <is>
          <t>CU</t>
        </is>
      </c>
      <c r="K4669" t="inlineStr">
        <is>
          <t>Client Hung Up</t>
        </is>
      </c>
      <c r="L4669" t="n">
        <v>3</v>
      </c>
      <c r="M4669" t="inlineStr">
        <is>
          <t>2026-06-22 14:29:54</t>
        </is>
      </c>
      <c r="N4669" t="inlineStr">
        <is>
          <t>Vuyiswa Nxumalo</t>
        </is>
      </c>
      <c r="O4669" t="inlineStr">
        <is>
          <t>2026-06-19 07:10:32</t>
        </is>
      </c>
      <c r="P4669" t="inlineStr">
        <is>
          <t>2026-06-19 07:10:32</t>
        </is>
      </c>
      <c r="Y4669" t="inlineStr">
        <is>
          <t>27826589438</t>
        </is>
      </c>
    </row>
    <row r="4670">
      <c r="A4670" t="inlineStr">
        <is>
          <t>14944954</t>
        </is>
      </c>
      <c r="B4670" t="inlineStr">
        <is>
          <t>6ef0f005-693b-431b-9137-63e8f87881c9</t>
        </is>
      </c>
      <c r="D4670" t="inlineStr">
        <is>
          <t>30001087</t>
        </is>
      </c>
      <c r="E4670" t="inlineStr">
        <is>
          <t>ussd_funeral_leads_altitude_20260619</t>
        </is>
      </c>
      <c r="J4670" t="inlineStr">
        <is>
          <t>CU</t>
        </is>
      </c>
      <c r="K4670" t="inlineStr">
        <is>
          <t>Client Hung Up</t>
        </is>
      </c>
      <c r="L4670" t="n">
        <v>4</v>
      </c>
      <c r="M4670" t="inlineStr">
        <is>
          <t>2026-06-22 14:29:36</t>
        </is>
      </c>
      <c r="N4670" t="inlineStr">
        <is>
          <t>Bongiwe Precious Cele</t>
        </is>
      </c>
      <c r="O4670" t="inlineStr">
        <is>
          <t>2026-06-19 07:10:32</t>
        </is>
      </c>
      <c r="P4670" t="inlineStr">
        <is>
          <t>2026-06-19 07:10:32</t>
        </is>
      </c>
      <c r="Y4670" t="inlineStr">
        <is>
          <t>27662228670</t>
        </is>
      </c>
    </row>
    <row r="4671">
      <c r="A4671" t="inlineStr">
        <is>
          <t>14944250</t>
        </is>
      </c>
      <c r="B4671" t="inlineStr">
        <is>
          <t>fde4c196-613c-4938-9188-ed5f3f9a2c49</t>
        </is>
      </c>
      <c r="D4671" t="inlineStr">
        <is>
          <t>30001087</t>
        </is>
      </c>
      <c r="E4671" t="inlineStr">
        <is>
          <t>ussd_funeral_leads_altitude_20260619</t>
        </is>
      </c>
      <c r="J4671" t="inlineStr">
        <is>
          <t>AA</t>
        </is>
      </c>
      <c r="K4671" t="inlineStr">
        <is>
          <t>Answering Machine Autodial</t>
        </is>
      </c>
      <c r="L4671" t="n">
        <v>2</v>
      </c>
      <c r="M4671" t="inlineStr">
        <is>
          <t>2026-06-22 14:29:01</t>
        </is>
      </c>
      <c r="N4671" t="inlineStr">
        <is>
          <t>system</t>
        </is>
      </c>
      <c r="O4671" t="inlineStr">
        <is>
          <t>2026-06-19 07:10:32</t>
        </is>
      </c>
      <c r="P4671" t="inlineStr">
        <is>
          <t>2026-06-19 07:10:32</t>
        </is>
      </c>
      <c r="Y4671" t="inlineStr">
        <is>
          <t>27796402122</t>
        </is>
      </c>
    </row>
    <row r="4672">
      <c r="A4672" t="inlineStr">
        <is>
          <t>14944249</t>
        </is>
      </c>
      <c r="B4672" t="inlineStr">
        <is>
          <t>449a29e2-04a7-4068-850a-9b71b3ff646c</t>
        </is>
      </c>
      <c r="D4672" t="inlineStr">
        <is>
          <t>30001087</t>
        </is>
      </c>
      <c r="E4672" t="inlineStr">
        <is>
          <t>ussd_funeral_leads_altitude_20260619</t>
        </is>
      </c>
      <c r="J4672" t="inlineStr">
        <is>
          <t>AA</t>
        </is>
      </c>
      <c r="K4672" t="inlineStr">
        <is>
          <t>Answering Machine Autodial</t>
        </is>
      </c>
      <c r="L4672" t="n">
        <v>2</v>
      </c>
      <c r="M4672" t="inlineStr">
        <is>
          <t>2026-06-22 14:28:14</t>
        </is>
      </c>
      <c r="N4672" t="inlineStr">
        <is>
          <t>system</t>
        </is>
      </c>
      <c r="O4672" t="inlineStr">
        <is>
          <t>2026-06-19 07:10:32</t>
        </is>
      </c>
      <c r="P4672" t="inlineStr">
        <is>
          <t>2026-06-19 07:10:32</t>
        </is>
      </c>
      <c r="Y4672" t="inlineStr">
        <is>
          <t>27608929265</t>
        </is>
      </c>
    </row>
    <row r="4673">
      <c r="A4673" t="inlineStr">
        <is>
          <t>14944247</t>
        </is>
      </c>
      <c r="B4673" t="inlineStr">
        <is>
          <t>80f0a8d3-fc34-4d73-bb61-166d276f428d</t>
        </is>
      </c>
      <c r="D4673" t="inlineStr">
        <is>
          <t>30001087</t>
        </is>
      </c>
      <c r="E4673" t="inlineStr">
        <is>
          <t>ussd_funeral_leads_altitude_20260619</t>
        </is>
      </c>
      <c r="J4673" t="inlineStr">
        <is>
          <t>AA</t>
        </is>
      </c>
      <c r="K4673" t="inlineStr">
        <is>
          <t>Answering Machine Autodial</t>
        </is>
      </c>
      <c r="L4673" t="n">
        <v>2</v>
      </c>
      <c r="M4673" t="inlineStr">
        <is>
          <t>2026-06-22 14:28:12</t>
        </is>
      </c>
      <c r="N4673" t="inlineStr">
        <is>
          <t>system</t>
        </is>
      </c>
      <c r="O4673" t="inlineStr">
        <is>
          <t>2026-06-19 07:10:32</t>
        </is>
      </c>
      <c r="P4673" t="inlineStr">
        <is>
          <t>2026-06-19 07:10:32</t>
        </is>
      </c>
      <c r="Y4673" t="inlineStr">
        <is>
          <t>27713540471</t>
        </is>
      </c>
    </row>
    <row r="4674">
      <c r="A4674" t="inlineStr">
        <is>
          <t>14944248</t>
        </is>
      </c>
      <c r="B4674" t="inlineStr">
        <is>
          <t>d91d96df-46a8-43f2-8907-09500576e1ce</t>
        </is>
      </c>
      <c r="D4674" t="inlineStr">
        <is>
          <t>30001087</t>
        </is>
      </c>
      <c r="E4674" t="inlineStr">
        <is>
          <t>ussd_funeral_leads_altitude_20260619</t>
        </is>
      </c>
      <c r="J4674" t="inlineStr">
        <is>
          <t>AA</t>
        </is>
      </c>
      <c r="K4674" t="inlineStr">
        <is>
          <t>Answering Machine Autodial</t>
        </is>
      </c>
      <c r="L4674" t="n">
        <v>2</v>
      </c>
      <c r="M4674" t="inlineStr">
        <is>
          <t>2026-06-22 14:28:12</t>
        </is>
      </c>
      <c r="N4674" t="inlineStr">
        <is>
          <t>system</t>
        </is>
      </c>
      <c r="O4674" t="inlineStr">
        <is>
          <t>2026-06-19 07:10:32</t>
        </is>
      </c>
      <c r="P4674" t="inlineStr">
        <is>
          <t>2026-06-19 07:10:32</t>
        </is>
      </c>
      <c r="Y4674" t="inlineStr">
        <is>
          <t>27607562101</t>
        </is>
      </c>
    </row>
    <row r="4675">
      <c r="A4675" t="inlineStr">
        <is>
          <t>14944166</t>
        </is>
      </c>
      <c r="B4675" t="inlineStr">
        <is>
          <t>437c0e7c-9ad9-4bcf-8590-386084e76f92</t>
        </is>
      </c>
      <c r="D4675" t="inlineStr">
        <is>
          <t>30001087</t>
        </is>
      </c>
      <c r="E4675" t="inlineStr">
        <is>
          <t>ussd_funeral_leads_altitude_20260619</t>
        </is>
      </c>
      <c r="J4675" t="inlineStr">
        <is>
          <t>NA</t>
        </is>
      </c>
      <c r="K4675" t="inlineStr">
        <is>
          <t>No Answer Autodial</t>
        </is>
      </c>
      <c r="L4675" t="n">
        <v>2</v>
      </c>
      <c r="M4675" t="inlineStr">
        <is>
          <t>2026-06-22 14:28:02</t>
        </is>
      </c>
      <c r="N4675" t="inlineStr">
        <is>
          <t>system</t>
        </is>
      </c>
      <c r="O4675" t="inlineStr">
        <is>
          <t>2026-06-19 07:10:32</t>
        </is>
      </c>
      <c r="P4675" t="inlineStr">
        <is>
          <t>2026-06-19 07:10:32</t>
        </is>
      </c>
      <c r="Y4675" t="inlineStr">
        <is>
          <t>27820873283</t>
        </is>
      </c>
    </row>
    <row r="4676">
      <c r="A4676" t="inlineStr">
        <is>
          <t>14944165</t>
        </is>
      </c>
      <c r="B4676" t="inlineStr">
        <is>
          <t>1980cdad-d61e-4086-af57-7f6e8bd956c6</t>
        </is>
      </c>
      <c r="D4676" t="inlineStr">
        <is>
          <t>30001087</t>
        </is>
      </c>
      <c r="E4676" t="inlineStr">
        <is>
          <t>ussd_funeral_leads_altitude_20260619</t>
        </is>
      </c>
      <c r="J4676" t="inlineStr">
        <is>
          <t>AA</t>
        </is>
      </c>
      <c r="K4676" t="inlineStr">
        <is>
          <t>Answering Machine Autodial</t>
        </is>
      </c>
      <c r="L4676" t="n">
        <v>2</v>
      </c>
      <c r="M4676" t="inlineStr">
        <is>
          <t>2026-06-22 14:27:58</t>
        </is>
      </c>
      <c r="N4676" t="inlineStr">
        <is>
          <t>system</t>
        </is>
      </c>
      <c r="O4676" t="inlineStr">
        <is>
          <t>2026-06-19 07:10:32</t>
        </is>
      </c>
      <c r="P4676" t="inlineStr">
        <is>
          <t>2026-06-19 07:10:32</t>
        </is>
      </c>
      <c r="Y4676" t="inlineStr">
        <is>
          <t>27609274273</t>
        </is>
      </c>
    </row>
    <row r="4677">
      <c r="A4677" t="inlineStr">
        <is>
          <t>14944163</t>
        </is>
      </c>
      <c r="B4677" t="inlineStr">
        <is>
          <t>aa1bd380-6b6c-4d64-bb3c-993082633695</t>
        </is>
      </c>
      <c r="D4677" t="inlineStr">
        <is>
          <t>30001087</t>
        </is>
      </c>
      <c r="E4677" t="inlineStr">
        <is>
          <t>ussd_funeral_leads_altitude_20260619</t>
        </is>
      </c>
      <c r="J4677" t="inlineStr">
        <is>
          <t>AA</t>
        </is>
      </c>
      <c r="K4677" t="inlineStr">
        <is>
          <t>Answering Machine Autodial</t>
        </is>
      </c>
      <c r="L4677" t="n">
        <v>2</v>
      </c>
      <c r="M4677" t="inlineStr">
        <is>
          <t>2026-06-22 14:27:57</t>
        </is>
      </c>
      <c r="N4677" t="inlineStr">
        <is>
          <t>system</t>
        </is>
      </c>
      <c r="O4677" t="inlineStr">
        <is>
          <t>2026-06-19 07:10:32</t>
        </is>
      </c>
      <c r="P4677" t="inlineStr">
        <is>
          <t>2026-06-19 07:10:32</t>
        </is>
      </c>
      <c r="Y4677" t="inlineStr">
        <is>
          <t>27712929081</t>
        </is>
      </c>
    </row>
    <row r="4678">
      <c r="A4678" t="inlineStr">
        <is>
          <t>14944164</t>
        </is>
      </c>
      <c r="B4678" t="inlineStr">
        <is>
          <t>e55de7d0-41b9-4f1c-868b-65601f2c318a</t>
        </is>
      </c>
      <c r="D4678" t="inlineStr">
        <is>
          <t>30001087</t>
        </is>
      </c>
      <c r="E4678" t="inlineStr">
        <is>
          <t>ussd_funeral_leads_altitude_20260619</t>
        </is>
      </c>
      <c r="J4678" t="inlineStr">
        <is>
          <t>AE</t>
        </is>
      </c>
      <c r="K4678" t="inlineStr">
        <is>
          <t>Auto Engaged</t>
        </is>
      </c>
      <c r="L4678" t="n">
        <v>2</v>
      </c>
      <c r="M4678" t="inlineStr">
        <is>
          <t>2026-06-22 14:27:57</t>
        </is>
      </c>
      <c r="N4678" t="inlineStr">
        <is>
          <t>system</t>
        </is>
      </c>
      <c r="O4678" t="inlineStr">
        <is>
          <t>2026-06-19 07:10:32</t>
        </is>
      </c>
      <c r="P4678" t="inlineStr">
        <is>
          <t>2026-06-19 07:10:32</t>
        </is>
      </c>
      <c r="Y4678" t="inlineStr">
        <is>
          <t>27720571386</t>
        </is>
      </c>
    </row>
    <row r="4679">
      <c r="A4679" t="inlineStr">
        <is>
          <t>14944159</t>
        </is>
      </c>
      <c r="B4679" t="inlineStr">
        <is>
          <t>609dcc95-7b40-4843-8119-3496c948baee</t>
        </is>
      </c>
      <c r="D4679" t="inlineStr">
        <is>
          <t>30001087</t>
        </is>
      </c>
      <c r="E4679" t="inlineStr">
        <is>
          <t>ussd_funeral_leads_altitude_20260619</t>
        </is>
      </c>
      <c r="J4679" t="inlineStr">
        <is>
          <t>AA</t>
        </is>
      </c>
      <c r="K4679" t="inlineStr">
        <is>
          <t>Answering Machine Autodial</t>
        </is>
      </c>
      <c r="L4679" t="n">
        <v>2</v>
      </c>
      <c r="M4679" t="inlineStr">
        <is>
          <t>2026-06-22 14:27:56</t>
        </is>
      </c>
      <c r="N4679" t="inlineStr">
        <is>
          <t>system</t>
        </is>
      </c>
      <c r="O4679" t="inlineStr">
        <is>
          <t>2026-06-19 07:10:32</t>
        </is>
      </c>
      <c r="P4679" t="inlineStr">
        <is>
          <t>2026-06-19 07:10:32</t>
        </is>
      </c>
      <c r="Y4679" t="inlineStr">
        <is>
          <t>27792165365</t>
        </is>
      </c>
    </row>
    <row r="4680">
      <c r="A4680" t="inlineStr">
        <is>
          <t>14944160</t>
        </is>
      </c>
      <c r="B4680" t="inlineStr">
        <is>
          <t>64df0adf-a98e-4842-95e5-280dd1c53fdd</t>
        </is>
      </c>
      <c r="D4680" t="inlineStr">
        <is>
          <t>30001087</t>
        </is>
      </c>
      <c r="E4680" t="inlineStr">
        <is>
          <t>ussd_funeral_leads_altitude_20260619</t>
        </is>
      </c>
      <c r="J4680" t="inlineStr">
        <is>
          <t>NI</t>
        </is>
      </c>
      <c r="K4680" t="inlineStr">
        <is>
          <t>Not Interested</t>
        </is>
      </c>
      <c r="L4680" t="n">
        <v>2</v>
      </c>
      <c r="M4680" t="inlineStr">
        <is>
          <t>2026-06-22 14:27:56</t>
        </is>
      </c>
      <c r="N4680" t="inlineStr">
        <is>
          <t>Gontse Monageng</t>
        </is>
      </c>
      <c r="O4680" t="inlineStr">
        <is>
          <t>2026-06-19 07:10:32</t>
        </is>
      </c>
      <c r="P4680" t="inlineStr">
        <is>
          <t>2026-06-19 07:10:32</t>
        </is>
      </c>
      <c r="Y4680" t="inlineStr">
        <is>
          <t>27764886541</t>
        </is>
      </c>
    </row>
    <row r="4681">
      <c r="A4681" t="inlineStr">
        <is>
          <t>14944162</t>
        </is>
      </c>
      <c r="B4681" t="inlineStr">
        <is>
          <t>0707c72c-294c-463c-871c-44c40bf5a1a5</t>
        </is>
      </c>
      <c r="D4681" t="inlineStr">
        <is>
          <t>30001087</t>
        </is>
      </c>
      <c r="E4681" t="inlineStr">
        <is>
          <t>ussd_funeral_leads_altitude_20260619</t>
        </is>
      </c>
      <c r="J4681" t="inlineStr">
        <is>
          <t>AA</t>
        </is>
      </c>
      <c r="K4681" t="inlineStr">
        <is>
          <t>Answering Machine Autodial</t>
        </is>
      </c>
      <c r="L4681" t="n">
        <v>2</v>
      </c>
      <c r="M4681" t="inlineStr">
        <is>
          <t>2026-06-22 14:27:56</t>
        </is>
      </c>
      <c r="N4681" t="inlineStr">
        <is>
          <t>system</t>
        </is>
      </c>
      <c r="O4681" t="inlineStr">
        <is>
          <t>2026-06-19 07:10:32</t>
        </is>
      </c>
      <c r="P4681" t="inlineStr">
        <is>
          <t>2026-06-19 07:10:32</t>
        </is>
      </c>
      <c r="Y4681" t="inlineStr">
        <is>
          <t>27637940243</t>
        </is>
      </c>
    </row>
    <row r="4682">
      <c r="A4682" t="inlineStr">
        <is>
          <t>14944158</t>
        </is>
      </c>
      <c r="B4682" t="inlineStr">
        <is>
          <t>56469f10-876c-4ca0-a6b0-ad4f71628c79</t>
        </is>
      </c>
      <c r="D4682" t="inlineStr">
        <is>
          <t>30001087</t>
        </is>
      </c>
      <c r="E4682" t="inlineStr">
        <is>
          <t>ussd_funeral_leads_altitude_20260619</t>
        </is>
      </c>
      <c r="J4682" t="inlineStr">
        <is>
          <t>AA</t>
        </is>
      </c>
      <c r="K4682" t="inlineStr">
        <is>
          <t>Answering Machine Autodial</t>
        </is>
      </c>
      <c r="L4682" t="n">
        <v>2</v>
      </c>
      <c r="M4682" t="inlineStr">
        <is>
          <t>2026-06-22 14:27:55</t>
        </is>
      </c>
      <c r="N4682" t="inlineStr">
        <is>
          <t>system</t>
        </is>
      </c>
      <c r="O4682" t="inlineStr">
        <is>
          <t>2026-06-19 07:10:32</t>
        </is>
      </c>
      <c r="P4682" t="inlineStr">
        <is>
          <t>2026-06-19 07:10:32</t>
        </is>
      </c>
      <c r="Y4682" t="inlineStr">
        <is>
          <t>27715273733</t>
        </is>
      </c>
    </row>
    <row r="4683">
      <c r="A4683" t="inlineStr">
        <is>
          <t>14944113</t>
        </is>
      </c>
      <c r="B4683" t="inlineStr">
        <is>
          <t>99300da5-bafc-4fdc-ace5-0be58a854434</t>
        </is>
      </c>
      <c r="D4683" t="inlineStr">
        <is>
          <t>30001087</t>
        </is>
      </c>
      <c r="E4683" t="inlineStr">
        <is>
          <t>ussd_funeral_leads_altitude_20260619</t>
        </is>
      </c>
      <c r="J4683" t="inlineStr">
        <is>
          <t>ADC</t>
        </is>
      </c>
      <c r="K4683" t="inlineStr">
        <is>
          <t>Auto Dial Disconnected</t>
        </is>
      </c>
      <c r="L4683" t="n">
        <v>2</v>
      </c>
      <c r="M4683" t="inlineStr">
        <is>
          <t>2026-06-22 14:27:54</t>
        </is>
      </c>
      <c r="N4683" t="inlineStr">
        <is>
          <t>system</t>
        </is>
      </c>
      <c r="O4683" t="inlineStr">
        <is>
          <t>2026-06-19 07:10:32</t>
        </is>
      </c>
      <c r="P4683" t="inlineStr">
        <is>
          <t>2026-06-19 07:10:32</t>
        </is>
      </c>
      <c r="Y4683" t="inlineStr">
        <is>
          <t>27729846859</t>
        </is>
      </c>
    </row>
    <row r="4684">
      <c r="A4684" t="inlineStr">
        <is>
          <t>14944245</t>
        </is>
      </c>
      <c r="B4684" t="inlineStr">
        <is>
          <t>049215d5-d42f-4e85-a59e-7317309802b4</t>
        </is>
      </c>
      <c r="D4684" t="inlineStr">
        <is>
          <t>30001087</t>
        </is>
      </c>
      <c r="E4684" t="inlineStr">
        <is>
          <t>ussd_funeral_leads_altitude_20260619</t>
        </is>
      </c>
      <c r="J4684" t="inlineStr">
        <is>
          <t>AA</t>
        </is>
      </c>
      <c r="K4684" t="inlineStr">
        <is>
          <t>Answering Machine Autodial</t>
        </is>
      </c>
      <c r="L4684" t="n">
        <v>2</v>
      </c>
      <c r="M4684" t="inlineStr">
        <is>
          <t>2026-06-22 14:27:19</t>
        </is>
      </c>
      <c r="N4684" t="inlineStr">
        <is>
          <t>system</t>
        </is>
      </c>
      <c r="O4684" t="inlineStr">
        <is>
          <t>2026-06-19 07:10:32</t>
        </is>
      </c>
      <c r="P4684" t="inlineStr">
        <is>
          <t>2026-06-19 07:10:32</t>
        </is>
      </c>
      <c r="Y4684" t="inlineStr">
        <is>
          <t>27716491993</t>
        </is>
      </c>
    </row>
    <row r="4685">
      <c r="A4685" t="inlineStr">
        <is>
          <t>14944246</t>
        </is>
      </c>
      <c r="B4685" t="inlineStr">
        <is>
          <t>ccbcebf9-6516-417a-9eb7-56e52af07ec8</t>
        </is>
      </c>
      <c r="D4685" t="inlineStr">
        <is>
          <t>30001087</t>
        </is>
      </c>
      <c r="E4685" t="inlineStr">
        <is>
          <t>ussd_funeral_leads_altitude_20260619</t>
        </is>
      </c>
      <c r="J4685" t="inlineStr">
        <is>
          <t>ADC</t>
        </is>
      </c>
      <c r="K4685" t="inlineStr">
        <is>
          <t>Auto Dial Disconnected</t>
        </is>
      </c>
      <c r="L4685" t="n">
        <v>2</v>
      </c>
      <c r="M4685" t="inlineStr">
        <is>
          <t>2026-06-22 14:27:19</t>
        </is>
      </c>
      <c r="N4685" t="inlineStr">
        <is>
          <t>system</t>
        </is>
      </c>
      <c r="O4685" t="inlineStr">
        <is>
          <t>2026-06-19 07:10:32</t>
        </is>
      </c>
      <c r="P4685" t="inlineStr">
        <is>
          <t>2026-06-19 07:10:32</t>
        </is>
      </c>
      <c r="Y4685" t="inlineStr">
        <is>
          <t>27774642410</t>
        </is>
      </c>
    </row>
    <row r="4686">
      <c r="A4686" t="inlineStr">
        <is>
          <t>14943949</t>
        </is>
      </c>
      <c r="B4686" t="inlineStr">
        <is>
          <t>d6f6fbe0-c3d5-4564-988c-364a1a2d3cba</t>
        </is>
      </c>
      <c r="D4686" t="inlineStr">
        <is>
          <t>30001087</t>
        </is>
      </c>
      <c r="E4686" t="inlineStr">
        <is>
          <t>ussd_funeral_leads_altitude_20260619</t>
        </is>
      </c>
      <c r="J4686" t="inlineStr">
        <is>
          <t>BLQ</t>
        </is>
      </c>
      <c r="K4686" t="inlineStr">
        <is>
          <t>Bad Line Quality</t>
        </is>
      </c>
      <c r="L4686" t="n">
        <v>3</v>
      </c>
      <c r="M4686" t="inlineStr">
        <is>
          <t>2026-06-22 14:27:15</t>
        </is>
      </c>
      <c r="N4686" t="inlineStr">
        <is>
          <t>Goitsimang Mogwasa</t>
        </is>
      </c>
      <c r="O4686" t="inlineStr">
        <is>
          <t>2026-06-19 07:10:32</t>
        </is>
      </c>
      <c r="P4686" t="inlineStr">
        <is>
          <t>2026-06-19 07:10:32</t>
        </is>
      </c>
      <c r="Y4686" t="inlineStr">
        <is>
          <t>27799391412</t>
        </is>
      </c>
    </row>
    <row r="4687">
      <c r="A4687" t="inlineStr">
        <is>
          <t>14944243</t>
        </is>
      </c>
      <c r="B4687" t="inlineStr">
        <is>
          <t>99b0c6b6-4d01-4e66-b2f8-c1381cf52d5c</t>
        </is>
      </c>
      <c r="D4687" t="inlineStr">
        <is>
          <t>30001087</t>
        </is>
      </c>
      <c r="E4687" t="inlineStr">
        <is>
          <t>ussd_funeral_leads_altitude_20260619</t>
        </is>
      </c>
      <c r="J4687" t="inlineStr">
        <is>
          <t>AA</t>
        </is>
      </c>
      <c r="K4687" t="inlineStr">
        <is>
          <t>Answering Machine Autodial</t>
        </is>
      </c>
      <c r="L4687" t="n">
        <v>2</v>
      </c>
      <c r="M4687" t="inlineStr">
        <is>
          <t>2026-06-22 14:27:14</t>
        </is>
      </c>
      <c r="N4687" t="inlineStr">
        <is>
          <t>system</t>
        </is>
      </c>
      <c r="O4687" t="inlineStr">
        <is>
          <t>2026-06-19 07:10:32</t>
        </is>
      </c>
      <c r="P4687" t="inlineStr">
        <is>
          <t>2026-06-19 07:10:32</t>
        </is>
      </c>
      <c r="Y4687" t="inlineStr">
        <is>
          <t>27799378352</t>
        </is>
      </c>
    </row>
    <row r="4688">
      <c r="A4688" t="inlineStr">
        <is>
          <t>14944244</t>
        </is>
      </c>
      <c r="B4688" t="inlineStr">
        <is>
          <t>309db8d8-5827-456c-aff9-591122da4756</t>
        </is>
      </c>
      <c r="D4688" t="inlineStr">
        <is>
          <t>30001087</t>
        </is>
      </c>
      <c r="E4688" t="inlineStr">
        <is>
          <t>ussd_funeral_leads_altitude_20260619</t>
        </is>
      </c>
      <c r="J4688" t="inlineStr">
        <is>
          <t>A</t>
        </is>
      </c>
      <c r="K4688" t="inlineStr">
        <is>
          <t>Answering Machine</t>
        </is>
      </c>
      <c r="L4688" t="n">
        <v>2</v>
      </c>
      <c r="M4688" t="inlineStr">
        <is>
          <t>2026-06-22 14:27:14</t>
        </is>
      </c>
      <c r="N4688" t="inlineStr">
        <is>
          <t>Dimakatso Nkomo</t>
        </is>
      </c>
      <c r="O4688" t="inlineStr">
        <is>
          <t>2026-06-19 07:10:32</t>
        </is>
      </c>
      <c r="P4688" t="inlineStr">
        <is>
          <t>2026-06-19 07:10:32</t>
        </is>
      </c>
      <c r="Y4688" t="inlineStr">
        <is>
          <t>27790980732</t>
        </is>
      </c>
    </row>
    <row r="4689">
      <c r="A4689" t="inlineStr">
        <is>
          <t>14944242</t>
        </is>
      </c>
      <c r="B4689" t="inlineStr">
        <is>
          <t>5f6abf8a-147d-4f48-a6c8-7bb34ad4e0cb</t>
        </is>
      </c>
      <c r="D4689" t="inlineStr">
        <is>
          <t>30001087</t>
        </is>
      </c>
      <c r="E4689" t="inlineStr">
        <is>
          <t>ussd_funeral_leads_altitude_20260619</t>
        </is>
      </c>
      <c r="J4689" t="inlineStr">
        <is>
          <t>AA</t>
        </is>
      </c>
      <c r="K4689" t="inlineStr">
        <is>
          <t>Answering Machine Autodial</t>
        </is>
      </c>
      <c r="L4689" t="n">
        <v>2</v>
      </c>
      <c r="M4689" t="inlineStr">
        <is>
          <t>2026-06-22 14:27:09</t>
        </is>
      </c>
      <c r="N4689" t="inlineStr">
        <is>
          <t>system</t>
        </is>
      </c>
      <c r="O4689" t="inlineStr">
        <is>
          <t>2026-06-19 07:10:32</t>
        </is>
      </c>
      <c r="P4689" t="inlineStr">
        <is>
          <t>2026-06-19 07:10:32</t>
        </is>
      </c>
      <c r="Y4689" t="inlineStr">
        <is>
          <t>27716579826</t>
        </is>
      </c>
    </row>
    <row r="4690">
      <c r="A4690" t="inlineStr">
        <is>
          <t>14944241</t>
        </is>
      </c>
      <c r="B4690" t="inlineStr">
        <is>
          <t>160ffcec-c520-4c75-b9a3-0f53308f6a8a</t>
        </is>
      </c>
      <c r="D4690" t="inlineStr">
        <is>
          <t>30001087</t>
        </is>
      </c>
      <c r="E4690" t="inlineStr">
        <is>
          <t>ussd_funeral_leads_altitude_20260619</t>
        </is>
      </c>
      <c r="J4690" t="inlineStr">
        <is>
          <t>ADC</t>
        </is>
      </c>
      <c r="K4690" t="inlineStr">
        <is>
          <t>Auto Dial Disconnected</t>
        </is>
      </c>
      <c r="L4690" t="n">
        <v>2</v>
      </c>
      <c r="M4690" t="inlineStr">
        <is>
          <t>2026-06-22 14:27:08</t>
        </is>
      </c>
      <c r="N4690" t="inlineStr">
        <is>
          <t>system</t>
        </is>
      </c>
      <c r="O4690" t="inlineStr">
        <is>
          <t>2026-06-19 07:10:32</t>
        </is>
      </c>
      <c r="P4690" t="inlineStr">
        <is>
          <t>2026-06-19 07:10:32</t>
        </is>
      </c>
      <c r="Y4690" t="inlineStr">
        <is>
          <t>27663537596</t>
        </is>
      </c>
    </row>
    <row r="4691">
      <c r="A4691" t="inlineStr">
        <is>
          <t>14944240</t>
        </is>
      </c>
      <c r="B4691" t="inlineStr">
        <is>
          <t>6720c5b6-8d99-483d-b6f3-1d6dec439460</t>
        </is>
      </c>
      <c r="D4691" t="inlineStr">
        <is>
          <t>30001087</t>
        </is>
      </c>
      <c r="E4691" t="inlineStr">
        <is>
          <t>ussd_funeral_leads_altitude_20260619</t>
        </is>
      </c>
      <c r="J4691" t="inlineStr">
        <is>
          <t>AA</t>
        </is>
      </c>
      <c r="K4691" t="inlineStr">
        <is>
          <t>Answering Machine Autodial</t>
        </is>
      </c>
      <c r="L4691" t="n">
        <v>2</v>
      </c>
      <c r="M4691" t="inlineStr">
        <is>
          <t>2026-06-22 14:26:53</t>
        </is>
      </c>
      <c r="N4691" t="inlineStr">
        <is>
          <t>system</t>
        </is>
      </c>
      <c r="O4691" t="inlineStr">
        <is>
          <t>2026-06-19 07:10:32</t>
        </is>
      </c>
      <c r="P4691" t="inlineStr">
        <is>
          <t>2026-06-19 07:10:32</t>
        </is>
      </c>
      <c r="Y4691" t="inlineStr">
        <is>
          <t>27773890745</t>
        </is>
      </c>
    </row>
    <row r="4692">
      <c r="A4692" t="inlineStr">
        <is>
          <t>14944239</t>
        </is>
      </c>
      <c r="B4692" t="inlineStr">
        <is>
          <t>f7b64243-0942-4343-8252-bcdb6af7cd51</t>
        </is>
      </c>
      <c r="D4692" t="inlineStr">
        <is>
          <t>30001087</t>
        </is>
      </c>
      <c r="E4692" t="inlineStr">
        <is>
          <t>ussd_funeral_leads_altitude_20260619</t>
        </is>
      </c>
      <c r="J4692" t="inlineStr">
        <is>
          <t>AA</t>
        </is>
      </c>
      <c r="K4692" t="inlineStr">
        <is>
          <t>Answering Machine Autodial</t>
        </is>
      </c>
      <c r="L4692" t="n">
        <v>2</v>
      </c>
      <c r="M4692" t="inlineStr">
        <is>
          <t>2026-06-22 14:26:52</t>
        </is>
      </c>
      <c r="N4692" t="inlineStr">
        <is>
          <t>system</t>
        </is>
      </c>
      <c r="O4692" t="inlineStr">
        <is>
          <t>2026-06-19 07:10:32</t>
        </is>
      </c>
      <c r="P4692" t="inlineStr">
        <is>
          <t>2026-06-19 07:10:32</t>
        </is>
      </c>
      <c r="Y4692" t="inlineStr">
        <is>
          <t>27648210113</t>
        </is>
      </c>
    </row>
    <row r="4693">
      <c r="A4693" t="inlineStr">
        <is>
          <t>14944237</t>
        </is>
      </c>
      <c r="B4693" t="inlineStr">
        <is>
          <t>5f0e5b26-a9e9-4205-a815-196fc2f26a9f</t>
        </is>
      </c>
      <c r="D4693" t="inlineStr">
        <is>
          <t>30001087</t>
        </is>
      </c>
      <c r="E4693" t="inlineStr">
        <is>
          <t>ussd_funeral_leads_altitude_20260619</t>
        </is>
      </c>
      <c r="J4693" t="inlineStr">
        <is>
          <t>AA</t>
        </is>
      </c>
      <c r="K4693" t="inlineStr">
        <is>
          <t>Answering Machine Autodial</t>
        </is>
      </c>
      <c r="L4693" t="n">
        <v>2</v>
      </c>
      <c r="M4693" t="inlineStr">
        <is>
          <t>2026-06-22 14:26:48</t>
        </is>
      </c>
      <c r="N4693" t="inlineStr">
        <is>
          <t>system</t>
        </is>
      </c>
      <c r="O4693" t="inlineStr">
        <is>
          <t>2026-06-19 07:10:32</t>
        </is>
      </c>
      <c r="P4693" t="inlineStr">
        <is>
          <t>2026-06-19 07:10:32</t>
        </is>
      </c>
      <c r="Y4693" t="inlineStr">
        <is>
          <t>27695411555</t>
        </is>
      </c>
    </row>
    <row r="4694">
      <c r="A4694" t="inlineStr">
        <is>
          <t>14944190</t>
        </is>
      </c>
      <c r="B4694" t="inlineStr">
        <is>
          <t>db445667-09b8-4aa2-b171-09f7140796b0</t>
        </is>
      </c>
      <c r="D4694" t="inlineStr">
        <is>
          <t>30001087</t>
        </is>
      </c>
      <c r="E4694" t="inlineStr">
        <is>
          <t>ussd_funeral_leads_altitude_20260619</t>
        </is>
      </c>
      <c r="J4694" t="inlineStr">
        <is>
          <t>AA</t>
        </is>
      </c>
      <c r="K4694" t="inlineStr">
        <is>
          <t>Answering Machine Autodial</t>
        </is>
      </c>
      <c r="L4694" t="n">
        <v>2</v>
      </c>
      <c r="M4694" t="inlineStr">
        <is>
          <t>2026-06-22 14:26:39</t>
        </is>
      </c>
      <c r="N4694" t="inlineStr">
        <is>
          <t>system</t>
        </is>
      </c>
      <c r="O4694" t="inlineStr">
        <is>
          <t>2026-06-19 07:10:32</t>
        </is>
      </c>
      <c r="P4694" t="inlineStr">
        <is>
          <t>2026-06-19 07:10:32</t>
        </is>
      </c>
      <c r="Y4694" t="inlineStr">
        <is>
          <t>27725669601</t>
        </is>
      </c>
    </row>
    <row r="4695">
      <c r="A4695" t="inlineStr">
        <is>
          <t>14944191</t>
        </is>
      </c>
      <c r="B4695" t="inlineStr">
        <is>
          <t>453d3128-6af8-49ef-8803-637a77f4a10f</t>
        </is>
      </c>
      <c r="D4695" t="inlineStr">
        <is>
          <t>30001087</t>
        </is>
      </c>
      <c r="E4695" t="inlineStr">
        <is>
          <t>ussd_funeral_leads_altitude_20260619</t>
        </is>
      </c>
      <c r="J4695" t="inlineStr">
        <is>
          <t>TDN</t>
        </is>
      </c>
      <c r="K4695" t="inlineStr">
        <is>
          <t>Temporary Disconnected Number</t>
        </is>
      </c>
      <c r="L4695" t="n">
        <v>2</v>
      </c>
      <c r="M4695" t="inlineStr">
        <is>
          <t>2026-06-22 14:26:39</t>
        </is>
      </c>
      <c r="N4695" t="inlineStr">
        <is>
          <t>system</t>
        </is>
      </c>
      <c r="O4695" t="inlineStr">
        <is>
          <t>2026-06-19 07:10:32</t>
        </is>
      </c>
      <c r="P4695" t="inlineStr">
        <is>
          <t>2026-06-19 07:10:32</t>
        </is>
      </c>
      <c r="Y4695" t="inlineStr">
        <is>
          <t>27765073620</t>
        </is>
      </c>
    </row>
    <row r="4696">
      <c r="A4696" t="inlineStr">
        <is>
          <t>14944193</t>
        </is>
      </c>
      <c r="B4696" t="inlineStr">
        <is>
          <t>76d0eecb-65e7-43c3-992f-2e529985d192</t>
        </is>
      </c>
      <c r="D4696" t="inlineStr">
        <is>
          <t>30001087</t>
        </is>
      </c>
      <c r="E4696" t="inlineStr">
        <is>
          <t>ussd_funeral_leads_altitude_20260619</t>
        </is>
      </c>
      <c r="J4696" t="inlineStr">
        <is>
          <t>CU</t>
        </is>
      </c>
      <c r="K4696" t="inlineStr">
        <is>
          <t>Client Hung Up</t>
        </is>
      </c>
      <c r="L4696" t="n">
        <v>2</v>
      </c>
      <c r="M4696" t="inlineStr">
        <is>
          <t>2026-06-22 14:26:39</t>
        </is>
      </c>
      <c r="N4696" t="inlineStr">
        <is>
          <t>Lebohang Mabotja</t>
        </is>
      </c>
      <c r="O4696" t="inlineStr">
        <is>
          <t>2026-06-19 07:10:32</t>
        </is>
      </c>
      <c r="P4696" t="inlineStr">
        <is>
          <t>2026-06-19 07:10:32</t>
        </is>
      </c>
      <c r="Y4696" t="inlineStr">
        <is>
          <t>27818737836</t>
        </is>
      </c>
    </row>
    <row r="4697">
      <c r="A4697" t="inlineStr">
        <is>
          <t>14944194</t>
        </is>
      </c>
      <c r="B4697" t="inlineStr">
        <is>
          <t>14550fe4-3535-47c1-8f73-df790757a1f9</t>
        </is>
      </c>
      <c r="D4697" t="inlineStr">
        <is>
          <t>30001087</t>
        </is>
      </c>
      <c r="E4697" t="inlineStr">
        <is>
          <t>ussd_funeral_leads_altitude_20260619</t>
        </is>
      </c>
      <c r="J4697" t="inlineStr">
        <is>
          <t>NA</t>
        </is>
      </c>
      <c r="K4697" t="inlineStr">
        <is>
          <t>No Answer Autodial</t>
        </is>
      </c>
      <c r="L4697" t="n">
        <v>2</v>
      </c>
      <c r="M4697" t="inlineStr">
        <is>
          <t>2026-06-22 14:26:39</t>
        </is>
      </c>
      <c r="N4697" t="inlineStr">
        <is>
          <t>system</t>
        </is>
      </c>
      <c r="O4697" t="inlineStr">
        <is>
          <t>2026-06-19 07:10:32</t>
        </is>
      </c>
      <c r="P4697" t="inlineStr">
        <is>
          <t>2026-06-19 07:10:32</t>
        </is>
      </c>
      <c r="Y4697" t="inlineStr">
        <is>
          <t>27767682128</t>
        </is>
      </c>
    </row>
    <row r="4698">
      <c r="A4698" t="inlineStr">
        <is>
          <t>14944192</t>
        </is>
      </c>
      <c r="B4698" t="inlineStr">
        <is>
          <t>ad80a6b0-3b3a-459d-885d-a38adcd529b1</t>
        </is>
      </c>
      <c r="D4698" t="inlineStr">
        <is>
          <t>30001087</t>
        </is>
      </c>
      <c r="E4698" t="inlineStr">
        <is>
          <t>ussd_funeral_leads_altitude_20260619</t>
        </is>
      </c>
      <c r="J4698" t="inlineStr">
        <is>
          <t>AA</t>
        </is>
      </c>
      <c r="K4698" t="inlineStr">
        <is>
          <t>Answering Machine Autodial</t>
        </is>
      </c>
      <c r="L4698" t="n">
        <v>2</v>
      </c>
      <c r="M4698" t="inlineStr">
        <is>
          <t>2026-06-22 14:26:38</t>
        </is>
      </c>
      <c r="N4698" t="inlineStr">
        <is>
          <t>system</t>
        </is>
      </c>
      <c r="O4698" t="inlineStr">
        <is>
          <t>2026-06-19 07:10:32</t>
        </is>
      </c>
      <c r="P4698" t="inlineStr">
        <is>
          <t>2026-06-19 07:10:32</t>
        </is>
      </c>
      <c r="Y4698" t="inlineStr">
        <is>
          <t>27797014813</t>
        </is>
      </c>
    </row>
    <row r="4699">
      <c r="A4699" t="inlineStr">
        <is>
          <t>14944189</t>
        </is>
      </c>
      <c r="B4699" t="inlineStr">
        <is>
          <t>569836fa-1d96-4377-83a3-084858ab025a</t>
        </is>
      </c>
      <c r="D4699" t="inlineStr">
        <is>
          <t>30001087</t>
        </is>
      </c>
      <c r="E4699" t="inlineStr">
        <is>
          <t>ussd_funeral_leads_altitude_20260619</t>
        </is>
      </c>
      <c r="J4699" t="inlineStr">
        <is>
          <t>AA</t>
        </is>
      </c>
      <c r="K4699" t="inlineStr">
        <is>
          <t>Answering Machine Autodial</t>
        </is>
      </c>
      <c r="L4699" t="n">
        <v>2</v>
      </c>
      <c r="M4699" t="inlineStr">
        <is>
          <t>2026-06-22 14:26:36</t>
        </is>
      </c>
      <c r="N4699" t="inlineStr">
        <is>
          <t>system</t>
        </is>
      </c>
      <c r="O4699" t="inlineStr">
        <is>
          <t>2026-06-19 07:10:32</t>
        </is>
      </c>
      <c r="P4699" t="inlineStr">
        <is>
          <t>2026-06-19 07:10:32</t>
        </is>
      </c>
      <c r="Y4699" t="inlineStr">
        <is>
          <t>27773633510</t>
        </is>
      </c>
    </row>
    <row r="4700">
      <c r="A4700" t="inlineStr">
        <is>
          <t>14944187</t>
        </is>
      </c>
      <c r="B4700" t="inlineStr">
        <is>
          <t>2f2fa5a4-8dc7-4c3c-8f09-d63024f3b1ea</t>
        </is>
      </c>
      <c r="D4700" t="inlineStr">
        <is>
          <t>30001087</t>
        </is>
      </c>
      <c r="E4700" t="inlineStr">
        <is>
          <t>ussd_funeral_leads_altitude_20260619</t>
        </is>
      </c>
      <c r="J4700" t="inlineStr">
        <is>
          <t>ADC</t>
        </is>
      </c>
      <c r="K4700" t="inlineStr">
        <is>
          <t>Auto Dial Disconnected</t>
        </is>
      </c>
      <c r="L4700" t="n">
        <v>2</v>
      </c>
      <c r="M4700" t="inlineStr">
        <is>
          <t>2026-06-22 14:26:35</t>
        </is>
      </c>
      <c r="N4700" t="inlineStr">
        <is>
          <t>system</t>
        </is>
      </c>
      <c r="O4700" t="inlineStr">
        <is>
          <t>2026-06-19 07:10:32</t>
        </is>
      </c>
      <c r="P4700" t="inlineStr">
        <is>
          <t>2026-06-19 07:10:32</t>
        </is>
      </c>
      <c r="Y4700" t="inlineStr">
        <is>
          <t>27649121303</t>
        </is>
      </c>
    </row>
    <row r="4701">
      <c r="A4701" t="inlineStr">
        <is>
          <t>14944188</t>
        </is>
      </c>
      <c r="B4701" t="inlineStr">
        <is>
          <t>a77bb700-de90-492b-b9c5-0350c0ae9ed6</t>
        </is>
      </c>
      <c r="D4701" t="inlineStr">
        <is>
          <t>30001087</t>
        </is>
      </c>
      <c r="E4701" t="inlineStr">
        <is>
          <t>ussd_funeral_leads_altitude_20260619</t>
        </is>
      </c>
      <c r="J4701" t="inlineStr">
        <is>
          <t>AA</t>
        </is>
      </c>
      <c r="K4701" t="inlineStr">
        <is>
          <t>Answering Machine Autodial</t>
        </is>
      </c>
      <c r="L4701" t="n">
        <v>2</v>
      </c>
      <c r="M4701" t="inlineStr">
        <is>
          <t>2026-06-22 14:26:35</t>
        </is>
      </c>
      <c r="N4701" t="inlineStr">
        <is>
          <t>system</t>
        </is>
      </c>
      <c r="O4701" t="inlineStr">
        <is>
          <t>2026-06-19 07:10:32</t>
        </is>
      </c>
      <c r="P4701" t="inlineStr">
        <is>
          <t>2026-06-19 07:10:32</t>
        </is>
      </c>
      <c r="Y4701" t="inlineStr">
        <is>
          <t>27763219368</t>
        </is>
      </c>
    </row>
    <row r="4702">
      <c r="A4702" t="inlineStr">
        <is>
          <t>14944186</t>
        </is>
      </c>
      <c r="B4702" t="inlineStr">
        <is>
          <t>9cfa5629-1deb-4049-b546-91fb507c4201</t>
        </is>
      </c>
      <c r="D4702" t="inlineStr">
        <is>
          <t>30001087</t>
        </is>
      </c>
      <c r="E4702" t="inlineStr">
        <is>
          <t>ussd_funeral_leads_altitude_20260619</t>
        </is>
      </c>
      <c r="J4702" t="inlineStr">
        <is>
          <t>AA</t>
        </is>
      </c>
      <c r="K4702" t="inlineStr">
        <is>
          <t>Answering Machine Autodial</t>
        </is>
      </c>
      <c r="L4702" t="n">
        <v>2</v>
      </c>
      <c r="M4702" t="inlineStr">
        <is>
          <t>2026-06-22 14:26:33</t>
        </is>
      </c>
      <c r="N4702" t="inlineStr">
        <is>
          <t>system</t>
        </is>
      </c>
      <c r="O4702" t="inlineStr">
        <is>
          <t>2026-06-19 07:10:32</t>
        </is>
      </c>
      <c r="P4702" t="inlineStr">
        <is>
          <t>2026-06-19 07:10:32</t>
        </is>
      </c>
      <c r="Y4702" t="inlineStr">
        <is>
          <t>27721729721</t>
        </is>
      </c>
    </row>
    <row r="4703">
      <c r="A4703" t="inlineStr">
        <is>
          <t>14944185</t>
        </is>
      </c>
      <c r="B4703" t="inlineStr">
        <is>
          <t>e195d572-75a4-4629-9b95-a0acab8584e7</t>
        </is>
      </c>
      <c r="D4703" t="inlineStr">
        <is>
          <t>30001087</t>
        </is>
      </c>
      <c r="E4703" t="inlineStr">
        <is>
          <t>ussd_funeral_leads_altitude_20260619</t>
        </is>
      </c>
      <c r="J4703" t="inlineStr">
        <is>
          <t>AA</t>
        </is>
      </c>
      <c r="K4703" t="inlineStr">
        <is>
          <t>Answering Machine Autodial</t>
        </is>
      </c>
      <c r="L4703" t="n">
        <v>2</v>
      </c>
      <c r="M4703" t="inlineStr">
        <is>
          <t>2026-06-22 14:26:31</t>
        </is>
      </c>
      <c r="N4703" t="inlineStr">
        <is>
          <t>system</t>
        </is>
      </c>
      <c r="O4703" t="inlineStr">
        <is>
          <t>2026-06-19 07:10:32</t>
        </is>
      </c>
      <c r="P4703" t="inlineStr">
        <is>
          <t>2026-06-19 07:10:32</t>
        </is>
      </c>
      <c r="Y4703" t="inlineStr">
        <is>
          <t>27768152954</t>
        </is>
      </c>
    </row>
    <row r="4704">
      <c r="A4704" t="inlineStr">
        <is>
          <t>14944267</t>
        </is>
      </c>
      <c r="B4704" t="inlineStr">
        <is>
          <t>accffe27-ae84-4d2e-b093-c27bd8d36fe0</t>
        </is>
      </c>
      <c r="D4704" t="inlineStr">
        <is>
          <t>30001087</t>
        </is>
      </c>
      <c r="E4704" t="inlineStr">
        <is>
          <t>ussd_funeral_leads_altitude_20260619</t>
        </is>
      </c>
      <c r="J4704" t="inlineStr">
        <is>
          <t>AA</t>
        </is>
      </c>
      <c r="K4704" t="inlineStr">
        <is>
          <t>Answering Machine Autodial</t>
        </is>
      </c>
      <c r="L4704" t="n">
        <v>2</v>
      </c>
      <c r="M4704" t="inlineStr">
        <is>
          <t>2026-06-22 14:25:18</t>
        </is>
      </c>
      <c r="N4704" t="inlineStr">
        <is>
          <t>system</t>
        </is>
      </c>
      <c r="O4704" t="inlineStr">
        <is>
          <t>2026-06-19 07:10:32</t>
        </is>
      </c>
      <c r="P4704" t="inlineStr">
        <is>
          <t>2026-06-19 07:10:32</t>
        </is>
      </c>
      <c r="Y4704" t="inlineStr">
        <is>
          <t>27637091510</t>
        </is>
      </c>
    </row>
    <row r="4705">
      <c r="A4705" t="inlineStr">
        <is>
          <t>14944268</t>
        </is>
      </c>
      <c r="B4705" t="inlineStr">
        <is>
          <t>23e71a64-f01f-4b82-ae00-5178f746bbce</t>
        </is>
      </c>
      <c r="D4705" t="inlineStr">
        <is>
          <t>30001087</t>
        </is>
      </c>
      <c r="E4705" t="inlineStr">
        <is>
          <t>ussd_funeral_leads_altitude_20260619</t>
        </is>
      </c>
      <c r="J4705" t="inlineStr">
        <is>
          <t>DROP</t>
        </is>
      </c>
      <c r="K4705" t="inlineStr">
        <is>
          <t>Dropped</t>
        </is>
      </c>
      <c r="L4705" t="n">
        <v>2</v>
      </c>
      <c r="M4705" t="inlineStr">
        <is>
          <t>2026-06-22 14:25:18</t>
        </is>
      </c>
      <c r="N4705" t="inlineStr">
        <is>
          <t>system</t>
        </is>
      </c>
      <c r="O4705" t="inlineStr">
        <is>
          <t>2026-06-19 07:10:32</t>
        </is>
      </c>
      <c r="P4705" t="inlineStr">
        <is>
          <t>2026-06-19 07:10:32</t>
        </is>
      </c>
      <c r="Y4705" t="inlineStr">
        <is>
          <t>27762606627</t>
        </is>
      </c>
    </row>
    <row r="4706">
      <c r="A4706" t="inlineStr">
        <is>
          <t>14900000</t>
        </is>
      </c>
      <c r="B4706" t="inlineStr">
        <is>
          <t>3e22405c-1988-45f4-a038-d1506b743723</t>
        </is>
      </c>
      <c r="D4706" t="inlineStr">
        <is>
          <t>30001087</t>
        </is>
      </c>
      <c r="E4706" t="inlineStr">
        <is>
          <t>ussd_funeral_leads_altitude_20260619</t>
        </is>
      </c>
      <c r="J4706" t="inlineStr">
        <is>
          <t>DROP</t>
        </is>
      </c>
      <c r="K4706" t="inlineStr">
        <is>
          <t>Dropped</t>
        </is>
      </c>
      <c r="L4706" t="n">
        <v>2</v>
      </c>
      <c r="M4706" t="inlineStr">
        <is>
          <t>2026-06-22 14:25:15</t>
        </is>
      </c>
      <c r="N4706" t="inlineStr">
        <is>
          <t>system</t>
        </is>
      </c>
      <c r="O4706" t="inlineStr">
        <is>
          <t>2026-06-19 07:10:32</t>
        </is>
      </c>
      <c r="P4706" t="inlineStr">
        <is>
          <t>2026-06-19 07:10:32</t>
        </is>
      </c>
      <c r="Y4706" t="inlineStr">
        <is>
          <t>27766422717</t>
        </is>
      </c>
    </row>
    <row r="4707">
      <c r="A4707" t="inlineStr">
        <is>
          <t>14944265</t>
        </is>
      </c>
      <c r="B4707" t="inlineStr">
        <is>
          <t>d53e0141-d481-448f-a808-9bdab38a47b7</t>
        </is>
      </c>
      <c r="D4707" t="inlineStr">
        <is>
          <t>30001087</t>
        </is>
      </c>
      <c r="E4707" t="inlineStr">
        <is>
          <t>ussd_funeral_leads_altitude_20260619</t>
        </is>
      </c>
      <c r="J4707" t="inlineStr">
        <is>
          <t>ADC</t>
        </is>
      </c>
      <c r="K4707" t="inlineStr">
        <is>
          <t>Auto Dial Disconnected</t>
        </is>
      </c>
      <c r="L4707" t="n">
        <v>2</v>
      </c>
      <c r="M4707" t="inlineStr">
        <is>
          <t>2026-06-22 14:25:15</t>
        </is>
      </c>
      <c r="N4707" t="inlineStr">
        <is>
          <t>system</t>
        </is>
      </c>
      <c r="O4707" t="inlineStr">
        <is>
          <t>2026-06-19 07:10:32</t>
        </is>
      </c>
      <c r="P4707" t="inlineStr">
        <is>
          <t>2026-06-19 07:10:32</t>
        </is>
      </c>
      <c r="Y4707" t="inlineStr">
        <is>
          <t>27767235200</t>
        </is>
      </c>
    </row>
    <row r="4708">
      <c r="A4708" t="inlineStr">
        <is>
          <t>14944266</t>
        </is>
      </c>
      <c r="B4708" t="inlineStr">
        <is>
          <t>2ec0f0d2-2266-4649-820c-093391f81534</t>
        </is>
      </c>
      <c r="D4708" t="inlineStr">
        <is>
          <t>30001087</t>
        </is>
      </c>
      <c r="E4708" t="inlineStr">
        <is>
          <t>ussd_funeral_leads_altitude_20260619</t>
        </is>
      </c>
      <c r="J4708" t="inlineStr">
        <is>
          <t>NA</t>
        </is>
      </c>
      <c r="K4708" t="inlineStr">
        <is>
          <t>No Answer Autodial</t>
        </is>
      </c>
      <c r="L4708" t="n">
        <v>2</v>
      </c>
      <c r="M4708" t="inlineStr">
        <is>
          <t>2026-06-22 14:25:15</t>
        </is>
      </c>
      <c r="N4708" t="inlineStr">
        <is>
          <t>system</t>
        </is>
      </c>
      <c r="O4708" t="inlineStr">
        <is>
          <t>2026-06-19 07:10:32</t>
        </is>
      </c>
      <c r="P4708" t="inlineStr">
        <is>
          <t>2026-06-19 07:10:32</t>
        </is>
      </c>
      <c r="Y4708" t="inlineStr">
        <is>
          <t>27797844078</t>
        </is>
      </c>
    </row>
    <row r="4709">
      <c r="A4709" t="inlineStr">
        <is>
          <t>14944262</t>
        </is>
      </c>
      <c r="B4709" t="inlineStr">
        <is>
          <t>9fd37d8e-516e-43b0-8d81-3d089c96b73f</t>
        </is>
      </c>
      <c r="D4709" t="inlineStr">
        <is>
          <t>30001087</t>
        </is>
      </c>
      <c r="E4709" t="inlineStr">
        <is>
          <t>ussd_funeral_leads_altitude_20260619</t>
        </is>
      </c>
      <c r="J4709" t="inlineStr">
        <is>
          <t>ADC</t>
        </is>
      </c>
      <c r="K4709" t="inlineStr">
        <is>
          <t>Auto Dial Disconnected</t>
        </is>
      </c>
      <c r="L4709" t="n">
        <v>2</v>
      </c>
      <c r="M4709" t="inlineStr">
        <is>
          <t>2026-06-22 14:25:14</t>
        </is>
      </c>
      <c r="N4709" t="inlineStr">
        <is>
          <t>system</t>
        </is>
      </c>
      <c r="O4709" t="inlineStr">
        <is>
          <t>2026-06-19 07:10:32</t>
        </is>
      </c>
      <c r="P4709" t="inlineStr">
        <is>
          <t>2026-06-19 07:10:32</t>
        </is>
      </c>
      <c r="Y4709" t="inlineStr">
        <is>
          <t>27824282502</t>
        </is>
      </c>
    </row>
    <row r="4710">
      <c r="A4710" t="inlineStr">
        <is>
          <t>14900000</t>
        </is>
      </c>
      <c r="B4710" t="inlineStr">
        <is>
          <t>1894e905-3a0c-43c4-9bf8-62f05c398a14</t>
        </is>
      </c>
      <c r="D4710" t="inlineStr">
        <is>
          <t>30001087</t>
        </is>
      </c>
      <c r="E4710" t="inlineStr">
        <is>
          <t>ussd_funeral_leads_altitude_20260619</t>
        </is>
      </c>
      <c r="J4710" t="inlineStr">
        <is>
          <t>NA</t>
        </is>
      </c>
      <c r="K4710" t="inlineStr">
        <is>
          <t>No Answer Autodial</t>
        </is>
      </c>
      <c r="L4710" t="n">
        <v>2</v>
      </c>
      <c r="M4710" t="inlineStr">
        <is>
          <t>2026-06-22 14:25:12</t>
        </is>
      </c>
      <c r="N4710" t="inlineStr">
        <is>
          <t>system</t>
        </is>
      </c>
      <c r="O4710" t="inlineStr">
        <is>
          <t>2026-06-19 07:10:32</t>
        </is>
      </c>
      <c r="P4710" t="inlineStr">
        <is>
          <t>2026-06-19 07:10:32</t>
        </is>
      </c>
      <c r="Y4710" t="inlineStr">
        <is>
          <t>27675608165</t>
        </is>
      </c>
    </row>
    <row r="4711">
      <c r="A4711" t="inlineStr">
        <is>
          <t>14944260</t>
        </is>
      </c>
      <c r="B4711" t="inlineStr">
        <is>
          <t>b69587eb-9516-4794-a30c-fc10e3032d14</t>
        </is>
      </c>
      <c r="D4711" t="inlineStr">
        <is>
          <t>30001087</t>
        </is>
      </c>
      <c r="E4711" t="inlineStr">
        <is>
          <t>ussd_funeral_leads_altitude_20260619</t>
        </is>
      </c>
      <c r="J4711" t="inlineStr">
        <is>
          <t>AA</t>
        </is>
      </c>
      <c r="K4711" t="inlineStr">
        <is>
          <t>Answering Machine Autodial</t>
        </is>
      </c>
      <c r="L4711" t="n">
        <v>2</v>
      </c>
      <c r="M4711" t="inlineStr">
        <is>
          <t>2026-06-22 14:25:11</t>
        </is>
      </c>
      <c r="N4711" t="inlineStr">
        <is>
          <t>system</t>
        </is>
      </c>
      <c r="O4711" t="inlineStr">
        <is>
          <t>2026-06-19 07:10:32</t>
        </is>
      </c>
      <c r="P4711" t="inlineStr">
        <is>
          <t>2026-06-19 07:10:32</t>
        </is>
      </c>
      <c r="Y4711" t="inlineStr">
        <is>
          <t>27722604981</t>
        </is>
      </c>
    </row>
    <row r="4712">
      <c r="A4712" t="inlineStr">
        <is>
          <t>14944261</t>
        </is>
      </c>
      <c r="B4712" t="inlineStr">
        <is>
          <t>0885a0ce-e29d-45e0-821f-988eb65cf531</t>
        </is>
      </c>
      <c r="D4712" t="inlineStr">
        <is>
          <t>30001087</t>
        </is>
      </c>
      <c r="E4712" t="inlineStr">
        <is>
          <t>ussd_funeral_leads_altitude_20260619</t>
        </is>
      </c>
      <c r="J4712" t="inlineStr">
        <is>
          <t>AA</t>
        </is>
      </c>
      <c r="K4712" t="inlineStr">
        <is>
          <t>Answering Machine Autodial</t>
        </is>
      </c>
      <c r="L4712" t="n">
        <v>2</v>
      </c>
      <c r="M4712" t="inlineStr">
        <is>
          <t>2026-06-22 14:25:11</t>
        </is>
      </c>
      <c r="N4712" t="inlineStr">
        <is>
          <t>system</t>
        </is>
      </c>
      <c r="O4712" t="inlineStr">
        <is>
          <t>2026-06-19 07:10:32</t>
        </is>
      </c>
      <c r="P4712" t="inlineStr">
        <is>
          <t>2026-06-19 07:10:32</t>
        </is>
      </c>
      <c r="Y4712" t="inlineStr">
        <is>
          <t>27722820276</t>
        </is>
      </c>
    </row>
    <row r="4713">
      <c r="A4713" t="inlineStr">
        <is>
          <t>14944255</t>
        </is>
      </c>
      <c r="B4713" t="inlineStr">
        <is>
          <t>829e6d88-e53b-4000-9bf6-36837e3d383f</t>
        </is>
      </c>
      <c r="D4713" t="inlineStr">
        <is>
          <t>30001087</t>
        </is>
      </c>
      <c r="E4713" t="inlineStr">
        <is>
          <t>ussd_funeral_leads_altitude_20260619</t>
        </is>
      </c>
      <c r="J4713" t="inlineStr">
        <is>
          <t>AA</t>
        </is>
      </c>
      <c r="K4713" t="inlineStr">
        <is>
          <t>Answering Machine Autodial</t>
        </is>
      </c>
      <c r="L4713" t="n">
        <v>2</v>
      </c>
      <c r="M4713" t="inlineStr">
        <is>
          <t>2026-06-22 14:25:08</t>
        </is>
      </c>
      <c r="N4713" t="inlineStr">
        <is>
          <t>system</t>
        </is>
      </c>
      <c r="O4713" t="inlineStr">
        <is>
          <t>2026-06-19 07:10:32</t>
        </is>
      </c>
      <c r="P4713" t="inlineStr">
        <is>
          <t>2026-06-19 07:10:32</t>
        </is>
      </c>
      <c r="Y4713" t="inlineStr">
        <is>
          <t>27818443202</t>
        </is>
      </c>
    </row>
    <row r="4714">
      <c r="A4714" t="inlineStr">
        <is>
          <t>14944256</t>
        </is>
      </c>
      <c r="B4714" t="inlineStr">
        <is>
          <t>f5639b19-f2e8-4bb9-8062-5ae3a66b8a0a</t>
        </is>
      </c>
      <c r="D4714" t="inlineStr">
        <is>
          <t>30001087</t>
        </is>
      </c>
      <c r="E4714" t="inlineStr">
        <is>
          <t>ussd_funeral_leads_altitude_20260619</t>
        </is>
      </c>
      <c r="J4714" t="inlineStr">
        <is>
          <t>AF</t>
        </is>
      </c>
      <c r="K4714" t="inlineStr">
        <is>
          <t>Cannot Afford</t>
        </is>
      </c>
      <c r="L4714" t="n">
        <v>2</v>
      </c>
      <c r="M4714" t="inlineStr">
        <is>
          <t>2026-06-22 14:25:08</t>
        </is>
      </c>
      <c r="N4714" t="inlineStr">
        <is>
          <t>Dimakatso Nkomo</t>
        </is>
      </c>
      <c r="O4714" t="inlineStr">
        <is>
          <t>2026-06-19 07:10:32</t>
        </is>
      </c>
      <c r="P4714" t="inlineStr">
        <is>
          <t>2026-06-19 07:10:32</t>
        </is>
      </c>
      <c r="Y4714" t="inlineStr">
        <is>
          <t>27791531045</t>
        </is>
      </c>
    </row>
    <row r="4715">
      <c r="A4715" t="inlineStr">
        <is>
          <t>14944257</t>
        </is>
      </c>
      <c r="B4715" t="inlineStr">
        <is>
          <t>d31d4570-9338-4e3b-9a6a-6048765be241</t>
        </is>
      </c>
      <c r="D4715" t="inlineStr">
        <is>
          <t>30001087</t>
        </is>
      </c>
      <c r="E4715" t="inlineStr">
        <is>
          <t>ussd_funeral_leads_altitude_20260619</t>
        </is>
      </c>
      <c r="J4715" t="inlineStr">
        <is>
          <t>AA</t>
        </is>
      </c>
      <c r="K4715" t="inlineStr">
        <is>
          <t>Answering Machine Autodial</t>
        </is>
      </c>
      <c r="L4715" t="n">
        <v>2</v>
      </c>
      <c r="M4715" t="inlineStr">
        <is>
          <t>2026-06-22 14:25:08</t>
        </is>
      </c>
      <c r="N4715" t="inlineStr">
        <is>
          <t>system</t>
        </is>
      </c>
      <c r="O4715" t="inlineStr">
        <is>
          <t>2026-06-19 07:10:32</t>
        </is>
      </c>
      <c r="P4715" t="inlineStr">
        <is>
          <t>2026-06-19 07:10:32</t>
        </is>
      </c>
      <c r="Y4715" t="inlineStr">
        <is>
          <t>27648393612</t>
        </is>
      </c>
    </row>
    <row r="4716">
      <c r="A4716" t="inlineStr">
        <is>
          <t>14944258</t>
        </is>
      </c>
      <c r="B4716" t="inlineStr">
        <is>
          <t>fc081177-f441-4e94-8e8f-8ae1c011c4bd</t>
        </is>
      </c>
      <c r="D4716" t="inlineStr">
        <is>
          <t>30001087</t>
        </is>
      </c>
      <c r="E4716" t="inlineStr">
        <is>
          <t>ussd_funeral_leads_altitude_20260619</t>
        </is>
      </c>
      <c r="J4716" t="inlineStr">
        <is>
          <t>ADC</t>
        </is>
      </c>
      <c r="K4716" t="inlineStr">
        <is>
          <t>Auto Dial Disconnected</t>
        </is>
      </c>
      <c r="L4716" t="n">
        <v>2</v>
      </c>
      <c r="M4716" t="inlineStr">
        <is>
          <t>2026-06-22 14:25:08</t>
        </is>
      </c>
      <c r="N4716" t="inlineStr">
        <is>
          <t>system</t>
        </is>
      </c>
      <c r="O4716" t="inlineStr">
        <is>
          <t>2026-06-19 07:10:32</t>
        </is>
      </c>
      <c r="P4716" t="inlineStr">
        <is>
          <t>2026-06-19 07:10:32</t>
        </is>
      </c>
      <c r="Y4716" t="inlineStr">
        <is>
          <t>27720527301</t>
        </is>
      </c>
    </row>
    <row r="4717">
      <c r="A4717" t="inlineStr">
        <is>
          <t>14944259</t>
        </is>
      </c>
      <c r="B4717" t="inlineStr">
        <is>
          <t>feab6fb3-dd19-4840-a826-aeb7a906a6a5</t>
        </is>
      </c>
      <c r="D4717" t="inlineStr">
        <is>
          <t>30001087</t>
        </is>
      </c>
      <c r="E4717" t="inlineStr">
        <is>
          <t>ussd_funeral_leads_altitude_20260619</t>
        </is>
      </c>
      <c r="J4717" t="inlineStr">
        <is>
          <t>AA</t>
        </is>
      </c>
      <c r="K4717" t="inlineStr">
        <is>
          <t>Answering Machine Autodial</t>
        </is>
      </c>
      <c r="L4717" t="n">
        <v>2</v>
      </c>
      <c r="M4717" t="inlineStr">
        <is>
          <t>2026-06-22 14:25:08</t>
        </is>
      </c>
      <c r="N4717" t="inlineStr">
        <is>
          <t>system</t>
        </is>
      </c>
      <c r="O4717" t="inlineStr">
        <is>
          <t>2026-06-19 07:10:32</t>
        </is>
      </c>
      <c r="P4717" t="inlineStr">
        <is>
          <t>2026-06-19 07:10:32</t>
        </is>
      </c>
      <c r="Y4717" t="inlineStr">
        <is>
          <t>27715688833</t>
        </is>
      </c>
    </row>
    <row r="4718">
      <c r="A4718" t="inlineStr">
        <is>
          <t>14944253</t>
        </is>
      </c>
      <c r="B4718" t="inlineStr">
        <is>
          <t>8248dbd5-cc21-4395-a7da-c65ebb534b07</t>
        </is>
      </c>
      <c r="D4718" t="inlineStr">
        <is>
          <t>30001087</t>
        </is>
      </c>
      <c r="E4718" t="inlineStr">
        <is>
          <t>ussd_funeral_leads_altitude_20260619</t>
        </is>
      </c>
      <c r="J4718" t="inlineStr">
        <is>
          <t>DROP</t>
        </is>
      </c>
      <c r="K4718" t="inlineStr">
        <is>
          <t>Dropped</t>
        </is>
      </c>
      <c r="L4718" t="n">
        <v>2</v>
      </c>
      <c r="M4718" t="inlineStr">
        <is>
          <t>2026-06-22 14:25:07</t>
        </is>
      </c>
      <c r="N4718" t="inlineStr">
        <is>
          <t>system</t>
        </is>
      </c>
      <c r="O4718" t="inlineStr">
        <is>
          <t>2026-06-19 07:10:32</t>
        </is>
      </c>
      <c r="P4718" t="inlineStr">
        <is>
          <t>2026-06-19 07:10:32</t>
        </is>
      </c>
      <c r="Y4718" t="inlineStr">
        <is>
          <t>27826470999</t>
        </is>
      </c>
    </row>
    <row r="4719">
      <c r="A4719" t="inlineStr">
        <is>
          <t>14944254</t>
        </is>
      </c>
      <c r="B4719" t="inlineStr">
        <is>
          <t>021de145-e10b-4aa3-a6ea-2589218088e0</t>
        </is>
      </c>
      <c r="D4719" t="inlineStr">
        <is>
          <t>30001087</t>
        </is>
      </c>
      <c r="E4719" t="inlineStr">
        <is>
          <t>ussd_funeral_leads_altitude_20260619</t>
        </is>
      </c>
      <c r="J4719" t="inlineStr">
        <is>
          <t>DROP</t>
        </is>
      </c>
      <c r="K4719" t="inlineStr">
        <is>
          <t>Dropped</t>
        </is>
      </c>
      <c r="L4719" t="n">
        <v>2</v>
      </c>
      <c r="M4719" t="inlineStr">
        <is>
          <t>2026-06-22 14:25:07</t>
        </is>
      </c>
      <c r="N4719" t="inlineStr">
        <is>
          <t>system</t>
        </is>
      </c>
      <c r="O4719" t="inlineStr">
        <is>
          <t>2026-06-19 07:10:32</t>
        </is>
      </c>
      <c r="P4719" t="inlineStr">
        <is>
          <t>2026-06-19 07:10:32</t>
        </is>
      </c>
      <c r="Y4719" t="inlineStr">
        <is>
          <t>27791687477</t>
        </is>
      </c>
    </row>
    <row r="4720">
      <c r="A4720" t="inlineStr">
        <is>
          <t>14944251</t>
        </is>
      </c>
      <c r="B4720" t="inlineStr">
        <is>
          <t>8b573655-792c-4a34-9ad8-479a7c6ab73d</t>
        </is>
      </c>
      <c r="D4720" t="inlineStr">
        <is>
          <t>30001087</t>
        </is>
      </c>
      <c r="E4720" t="inlineStr">
        <is>
          <t>ussd_funeral_leads_altitude_20260619</t>
        </is>
      </c>
      <c r="J4720" t="inlineStr">
        <is>
          <t>AA</t>
        </is>
      </c>
      <c r="K4720" t="inlineStr">
        <is>
          <t>Answering Machine Autodial</t>
        </is>
      </c>
      <c r="L4720" t="n">
        <v>2</v>
      </c>
      <c r="M4720" t="inlineStr">
        <is>
          <t>2026-06-22 14:25:06</t>
        </is>
      </c>
      <c r="N4720" t="inlineStr">
        <is>
          <t>system</t>
        </is>
      </c>
      <c r="O4720" t="inlineStr">
        <is>
          <t>2026-06-19 07:10:32</t>
        </is>
      </c>
      <c r="P4720" t="inlineStr">
        <is>
          <t>2026-06-19 07:10:32</t>
        </is>
      </c>
      <c r="Y4720" t="inlineStr">
        <is>
          <t>27791647418</t>
        </is>
      </c>
    </row>
    <row r="4721">
      <c r="A4721" t="inlineStr">
        <is>
          <t>14944252</t>
        </is>
      </c>
      <c r="B4721" t="inlineStr">
        <is>
          <t>f02ed6e8-f29b-4371-b468-bdff359dbbc9</t>
        </is>
      </c>
      <c r="D4721" t="inlineStr">
        <is>
          <t>30001087</t>
        </is>
      </c>
      <c r="E4721" t="inlineStr">
        <is>
          <t>ussd_funeral_leads_altitude_20260619</t>
        </is>
      </c>
      <c r="H4721" t="inlineStr">
        <is>
          <t>27637337496</t>
        </is>
      </c>
      <c r="J4721" t="inlineStr">
        <is>
          <t>CU</t>
        </is>
      </c>
      <c r="K4721" t="inlineStr">
        <is>
          <t>Client Hung Up</t>
        </is>
      </c>
      <c r="L4721" t="n">
        <v>2</v>
      </c>
      <c r="M4721" t="inlineStr">
        <is>
          <t>2026-06-22 14:25:06</t>
        </is>
      </c>
      <c r="N4721" t="inlineStr">
        <is>
          <t>Lebohang Mabotja</t>
        </is>
      </c>
      <c r="O4721" t="inlineStr">
        <is>
          <t>2026-06-19 07:10:32</t>
        </is>
      </c>
      <c r="P4721" t="inlineStr">
        <is>
          <t>2026-06-19 07:10:32</t>
        </is>
      </c>
      <c r="Y4721" t="inlineStr">
        <is>
          <t>27637337496</t>
        </is>
      </c>
    </row>
    <row r="4722">
      <c r="A4722" t="inlineStr">
        <is>
          <t>14944494</t>
        </is>
      </c>
      <c r="B4722" t="inlineStr">
        <is>
          <t>edc07549-bca2-436e-9ae5-7fbb5f061ee5</t>
        </is>
      </c>
      <c r="D4722" t="inlineStr">
        <is>
          <t>30001087</t>
        </is>
      </c>
      <c r="E4722" t="inlineStr">
        <is>
          <t>ussd_funeral_leads_altitude_20260619</t>
        </is>
      </c>
      <c r="J4722" t="inlineStr">
        <is>
          <t>NI</t>
        </is>
      </c>
      <c r="K4722" t="inlineStr">
        <is>
          <t>Not Interested</t>
        </is>
      </c>
      <c r="L4722" t="n">
        <v>2</v>
      </c>
      <c r="M4722" t="inlineStr">
        <is>
          <t>2026-06-22 14:25:06</t>
        </is>
      </c>
      <c r="N4722" t="inlineStr">
        <is>
          <t>Gontse Monageng</t>
        </is>
      </c>
      <c r="O4722" t="inlineStr">
        <is>
          <t>2026-06-19 07:10:32</t>
        </is>
      </c>
      <c r="P4722" t="inlineStr">
        <is>
          <t>2026-06-19 07:10:32</t>
        </is>
      </c>
      <c r="Y4722" t="inlineStr">
        <is>
          <t>27764884710</t>
        </is>
      </c>
    </row>
    <row r="4723">
      <c r="A4723" t="inlineStr">
        <is>
          <t>14944365</t>
        </is>
      </c>
      <c r="B4723" t="inlineStr">
        <is>
          <t>b9c92fb0-3128-429d-a2a1-12fb9b9f6a38</t>
        </is>
      </c>
      <c r="D4723" t="inlineStr">
        <is>
          <t>30001087</t>
        </is>
      </c>
      <c r="E4723" t="inlineStr">
        <is>
          <t>ussd_funeral_leads_altitude_20260619</t>
        </is>
      </c>
      <c r="J4723" t="inlineStr">
        <is>
          <t>AA</t>
        </is>
      </c>
      <c r="K4723" t="inlineStr">
        <is>
          <t>Answering Machine Autodial</t>
        </is>
      </c>
      <c r="L4723" t="n">
        <v>2</v>
      </c>
      <c r="M4723" t="inlineStr">
        <is>
          <t>2026-06-22 14:21:01</t>
        </is>
      </c>
      <c r="N4723" t="inlineStr">
        <is>
          <t>system</t>
        </is>
      </c>
      <c r="O4723" t="inlineStr">
        <is>
          <t>2026-06-19 07:10:32</t>
        </is>
      </c>
      <c r="P4723" t="inlineStr">
        <is>
          <t>2026-06-19 07:10:32</t>
        </is>
      </c>
      <c r="Y4723" t="inlineStr">
        <is>
          <t>27729903821</t>
        </is>
      </c>
    </row>
    <row r="4724">
      <c r="A4724" t="inlineStr">
        <is>
          <t>14944363</t>
        </is>
      </c>
      <c r="B4724" t="inlineStr">
        <is>
          <t>9cbfa764-8291-4ff6-ac65-c99184f076a3</t>
        </is>
      </c>
      <c r="D4724" t="inlineStr">
        <is>
          <t>30001087</t>
        </is>
      </c>
      <c r="E4724" t="inlineStr">
        <is>
          <t>ussd_funeral_leads_altitude_20260619</t>
        </is>
      </c>
      <c r="J4724" t="inlineStr">
        <is>
          <t>NA</t>
        </is>
      </c>
      <c r="K4724" t="inlineStr">
        <is>
          <t>No Answer Autodial</t>
        </is>
      </c>
      <c r="L4724" t="n">
        <v>2</v>
      </c>
      <c r="M4724" t="inlineStr">
        <is>
          <t>2026-06-22 14:21:00</t>
        </is>
      </c>
      <c r="N4724" t="inlineStr">
        <is>
          <t>system</t>
        </is>
      </c>
      <c r="O4724" t="inlineStr">
        <is>
          <t>2026-06-19 07:10:32</t>
        </is>
      </c>
      <c r="P4724" t="inlineStr">
        <is>
          <t>2026-06-19 07:10:32</t>
        </is>
      </c>
      <c r="Y4724" t="inlineStr">
        <is>
          <t>27661235678</t>
        </is>
      </c>
    </row>
    <row r="4725">
      <c r="A4725" t="inlineStr">
        <is>
          <t>14944361</t>
        </is>
      </c>
      <c r="B4725" t="inlineStr">
        <is>
          <t>234c690f-4fca-4604-aba5-f409b6198f6e</t>
        </is>
      </c>
      <c r="D4725" t="inlineStr">
        <is>
          <t>30001087</t>
        </is>
      </c>
      <c r="E4725" t="inlineStr">
        <is>
          <t>ussd_funeral_leads_altitude_20260619</t>
        </is>
      </c>
      <c r="J4725" t="inlineStr">
        <is>
          <t>LANG</t>
        </is>
      </c>
      <c r="K4725" t="inlineStr">
        <is>
          <t>Language Barrier</t>
        </is>
      </c>
      <c r="L4725" t="n">
        <v>2</v>
      </c>
      <c r="M4725" t="inlineStr">
        <is>
          <t>2026-06-22 14:20:59</t>
        </is>
      </c>
      <c r="N4725" t="inlineStr">
        <is>
          <t>Goitsimang Mogwasa</t>
        </is>
      </c>
      <c r="O4725" t="inlineStr">
        <is>
          <t>2026-06-19 07:10:32</t>
        </is>
      </c>
      <c r="P4725" t="inlineStr">
        <is>
          <t>2026-06-19 07:10:32</t>
        </is>
      </c>
      <c r="Y4725" t="inlineStr">
        <is>
          <t>27798506908</t>
        </is>
      </c>
    </row>
    <row r="4726">
      <c r="A4726" t="inlineStr">
        <is>
          <t>14944362</t>
        </is>
      </c>
      <c r="B4726" t="inlineStr">
        <is>
          <t>bb486434-a279-4b35-99e1-d0c7783c2a2c</t>
        </is>
      </c>
      <c r="D4726" t="inlineStr">
        <is>
          <t>30001087</t>
        </is>
      </c>
      <c r="E4726" t="inlineStr">
        <is>
          <t>ussd_funeral_leads_altitude_20260619</t>
        </is>
      </c>
      <c r="J4726" t="inlineStr">
        <is>
          <t>NA</t>
        </is>
      </c>
      <c r="K4726" t="inlineStr">
        <is>
          <t>No Answer Autodial</t>
        </is>
      </c>
      <c r="L4726" t="n">
        <v>2</v>
      </c>
      <c r="M4726" t="inlineStr">
        <is>
          <t>2026-06-22 14:20:59</t>
        </is>
      </c>
      <c r="N4726" t="inlineStr">
        <is>
          <t>system</t>
        </is>
      </c>
      <c r="O4726" t="inlineStr">
        <is>
          <t>2026-06-19 07:10:32</t>
        </is>
      </c>
      <c r="P4726" t="inlineStr">
        <is>
          <t>2026-06-19 07:10:32</t>
        </is>
      </c>
      <c r="Y4726" t="inlineStr">
        <is>
          <t>27727878212</t>
        </is>
      </c>
    </row>
    <row r="4727">
      <c r="A4727" t="inlineStr">
        <is>
          <t>14944358</t>
        </is>
      </c>
      <c r="B4727" t="inlineStr">
        <is>
          <t>3843f98b-a860-4cf1-8139-0e6ff8e98d90</t>
        </is>
      </c>
      <c r="D4727" t="inlineStr">
        <is>
          <t>30001087</t>
        </is>
      </c>
      <c r="E4727" t="inlineStr">
        <is>
          <t>ussd_funeral_leads_altitude_20260619</t>
        </is>
      </c>
      <c r="J4727" t="inlineStr">
        <is>
          <t>AA</t>
        </is>
      </c>
      <c r="K4727" t="inlineStr">
        <is>
          <t>Answering Machine Autodial</t>
        </is>
      </c>
      <c r="L4727" t="n">
        <v>2</v>
      </c>
      <c r="M4727" t="inlineStr">
        <is>
          <t>2026-06-22 14:20:29</t>
        </is>
      </c>
      <c r="N4727" t="inlineStr">
        <is>
          <t>system</t>
        </is>
      </c>
      <c r="O4727" t="inlineStr">
        <is>
          <t>2026-06-19 07:10:32</t>
        </is>
      </c>
      <c r="P4727" t="inlineStr">
        <is>
          <t>2026-06-19 07:10:32</t>
        </is>
      </c>
      <c r="Y4727" t="inlineStr">
        <is>
          <t>27792350672</t>
        </is>
      </c>
    </row>
    <row r="4728">
      <c r="A4728" t="inlineStr">
        <is>
          <t>14944359</t>
        </is>
      </c>
      <c r="B4728" t="inlineStr">
        <is>
          <t>cf8adc42-7e48-4d31-9e45-a7f1111e4123</t>
        </is>
      </c>
      <c r="D4728" t="inlineStr">
        <is>
          <t>30001087</t>
        </is>
      </c>
      <c r="E4728" t="inlineStr">
        <is>
          <t>ussd_funeral_leads_altitude_20260619</t>
        </is>
      </c>
      <c r="J4728" t="inlineStr">
        <is>
          <t>NA</t>
        </is>
      </c>
      <c r="K4728" t="inlineStr">
        <is>
          <t>No Answer Autodial</t>
        </is>
      </c>
      <c r="L4728" t="n">
        <v>2</v>
      </c>
      <c r="M4728" t="inlineStr">
        <is>
          <t>2026-06-22 14:20:29</t>
        </is>
      </c>
      <c r="N4728" t="inlineStr">
        <is>
          <t>system</t>
        </is>
      </c>
      <c r="O4728" t="inlineStr">
        <is>
          <t>2026-06-19 07:10:32</t>
        </is>
      </c>
      <c r="P4728" t="inlineStr">
        <is>
          <t>2026-06-19 07:10:32</t>
        </is>
      </c>
      <c r="Y4728" t="inlineStr">
        <is>
          <t>27766175599</t>
        </is>
      </c>
    </row>
    <row r="4729">
      <c r="A4729" t="inlineStr">
        <is>
          <t>14944360</t>
        </is>
      </c>
      <c r="B4729" t="inlineStr">
        <is>
          <t>5cb95ff0-cfb5-4789-bfcb-755d0c97a73d</t>
        </is>
      </c>
      <c r="D4729" t="inlineStr">
        <is>
          <t>30001087</t>
        </is>
      </c>
      <c r="E4729" t="inlineStr">
        <is>
          <t>ussd_funeral_leads_altitude_20260619</t>
        </is>
      </c>
      <c r="J4729" t="inlineStr">
        <is>
          <t>DROP</t>
        </is>
      </c>
      <c r="K4729" t="inlineStr">
        <is>
          <t>Dropped</t>
        </is>
      </c>
      <c r="L4729" t="n">
        <v>2</v>
      </c>
      <c r="M4729" t="inlineStr">
        <is>
          <t>2026-06-22 14:20:29</t>
        </is>
      </c>
      <c r="N4729" t="inlineStr">
        <is>
          <t>system</t>
        </is>
      </c>
      <c r="O4729" t="inlineStr">
        <is>
          <t>2026-06-19 07:10:32</t>
        </is>
      </c>
      <c r="P4729" t="inlineStr">
        <is>
          <t>2026-06-19 07:10:32</t>
        </is>
      </c>
      <c r="Y4729" t="inlineStr">
        <is>
          <t>27763913240</t>
        </is>
      </c>
    </row>
    <row r="4730">
      <c r="A4730" t="inlineStr">
        <is>
          <t>14944356</t>
        </is>
      </c>
      <c r="B4730" t="inlineStr">
        <is>
          <t>da5d1a08-0a7e-4980-b43b-57598d73de0e</t>
        </is>
      </c>
      <c r="D4730" t="inlineStr">
        <is>
          <t>30001087</t>
        </is>
      </c>
      <c r="E4730" t="inlineStr">
        <is>
          <t>ussd_funeral_leads_altitude_20260619</t>
        </is>
      </c>
      <c r="J4730" t="inlineStr">
        <is>
          <t>AA</t>
        </is>
      </c>
      <c r="K4730" t="inlineStr">
        <is>
          <t>Answering Machine Autodial</t>
        </is>
      </c>
      <c r="L4730" t="n">
        <v>2</v>
      </c>
      <c r="M4730" t="inlineStr">
        <is>
          <t>2026-06-22 14:20:23</t>
        </is>
      </c>
      <c r="N4730" t="inlineStr">
        <is>
          <t>system</t>
        </is>
      </c>
      <c r="O4730" t="inlineStr">
        <is>
          <t>2026-06-19 07:10:32</t>
        </is>
      </c>
      <c r="P4730" t="inlineStr">
        <is>
          <t>2026-06-19 07:10:32</t>
        </is>
      </c>
      <c r="Y4730" t="inlineStr">
        <is>
          <t>27818351491</t>
        </is>
      </c>
    </row>
    <row r="4731">
      <c r="A4731" t="inlineStr">
        <is>
          <t>14944357</t>
        </is>
      </c>
      <c r="B4731" t="inlineStr">
        <is>
          <t>dc2396c6-6e66-4c43-b8e9-52b1233838cb</t>
        </is>
      </c>
      <c r="D4731" t="inlineStr">
        <is>
          <t>30001087</t>
        </is>
      </c>
      <c r="E4731" t="inlineStr">
        <is>
          <t>ussd_funeral_leads_altitude_20260619</t>
        </is>
      </c>
      <c r="J4731" t="inlineStr">
        <is>
          <t>NA</t>
        </is>
      </c>
      <c r="K4731" t="inlineStr">
        <is>
          <t>No Answer Autodial</t>
        </is>
      </c>
      <c r="L4731" t="n">
        <v>2</v>
      </c>
      <c r="M4731" t="inlineStr">
        <is>
          <t>2026-06-22 14:20:23</t>
        </is>
      </c>
      <c r="N4731" t="inlineStr">
        <is>
          <t>system</t>
        </is>
      </c>
      <c r="O4731" t="inlineStr">
        <is>
          <t>2026-06-19 07:10:32</t>
        </is>
      </c>
      <c r="P4731" t="inlineStr">
        <is>
          <t>2026-06-19 07:10:32</t>
        </is>
      </c>
      <c r="Y4731" t="inlineStr">
        <is>
          <t>27609671025</t>
        </is>
      </c>
    </row>
    <row r="4732">
      <c r="A4732" t="inlineStr">
        <is>
          <t>14943574</t>
        </is>
      </c>
      <c r="B4732" t="inlineStr">
        <is>
          <t>41d0c8fc-cdcc-418a-a8b6-ebe1bc51fd40</t>
        </is>
      </c>
      <c r="D4732" t="inlineStr">
        <is>
          <t>30001087</t>
        </is>
      </c>
      <c r="E4732" t="inlineStr">
        <is>
          <t>ussd_funeral_leads_altitude_20260619</t>
        </is>
      </c>
      <c r="J4732" t="inlineStr">
        <is>
          <t>A</t>
        </is>
      </c>
      <c r="K4732" t="inlineStr">
        <is>
          <t>Answering Machine</t>
        </is>
      </c>
      <c r="L4732" t="n">
        <v>3</v>
      </c>
      <c r="M4732" t="inlineStr">
        <is>
          <t>2026-06-22 14:19:41</t>
        </is>
      </c>
      <c r="N4732" t="inlineStr">
        <is>
          <t>Goitsimang Mogwasa</t>
        </is>
      </c>
      <c r="O4732" t="inlineStr">
        <is>
          <t>2026-06-19 07:10:32</t>
        </is>
      </c>
      <c r="P4732" t="inlineStr">
        <is>
          <t>2026-06-19 07:10:32</t>
        </is>
      </c>
      <c r="Y4732" t="inlineStr">
        <is>
          <t>27711175250</t>
        </is>
      </c>
    </row>
    <row r="4733">
      <c r="A4733" t="inlineStr">
        <is>
          <t>14947000</t>
        </is>
      </c>
      <c r="B4733" t="inlineStr">
        <is>
          <t>f42bf1cd-6526-43dd-b561-a34a22b7665b</t>
        </is>
      </c>
      <c r="D4733" t="inlineStr">
        <is>
          <t>30001087</t>
        </is>
      </c>
      <c r="E4733" t="inlineStr">
        <is>
          <t>ussd_funeral_leads_altitude_20260619</t>
        </is>
      </c>
      <c r="J4733" t="inlineStr">
        <is>
          <t>A</t>
        </is>
      </c>
      <c r="K4733" t="inlineStr">
        <is>
          <t>Answering Machine</t>
        </is>
      </c>
      <c r="L4733" t="n">
        <v>3</v>
      </c>
      <c r="M4733" t="inlineStr">
        <is>
          <t>2026-06-22 14:17:02</t>
        </is>
      </c>
      <c r="N4733" t="inlineStr">
        <is>
          <t>Lebohang Mabotja</t>
        </is>
      </c>
      <c r="O4733" t="inlineStr">
        <is>
          <t>2026-06-19 07:10:32</t>
        </is>
      </c>
      <c r="P4733" t="inlineStr">
        <is>
          <t>2026-06-19 07:10:32</t>
        </is>
      </c>
      <c r="Y4733" t="inlineStr">
        <is>
          <t>27761509920</t>
        </is>
      </c>
    </row>
    <row r="4734">
      <c r="A4734" t="inlineStr">
        <is>
          <t>14944636</t>
        </is>
      </c>
      <c r="B4734" t="inlineStr">
        <is>
          <t>763c38a5-2682-4938-8b91-2a4b5fa685af</t>
        </is>
      </c>
      <c r="D4734" t="inlineStr">
        <is>
          <t>30001087</t>
        </is>
      </c>
      <c r="E4734" t="inlineStr">
        <is>
          <t>ussd_funeral_leads_altitude_20260619</t>
        </is>
      </c>
      <c r="J4734" t="inlineStr">
        <is>
          <t>A</t>
        </is>
      </c>
      <c r="K4734" t="inlineStr">
        <is>
          <t>Answering Machine</t>
        </is>
      </c>
      <c r="L4734" t="n">
        <v>3</v>
      </c>
      <c r="M4734" t="inlineStr">
        <is>
          <t>2026-06-22 14:15:07</t>
        </is>
      </c>
      <c r="N4734" t="inlineStr">
        <is>
          <t>Virginia Letsatsi</t>
        </is>
      </c>
      <c r="O4734" t="inlineStr">
        <is>
          <t>2026-06-19 07:10:32</t>
        </is>
      </c>
      <c r="P4734" t="inlineStr">
        <is>
          <t>2026-06-19 07:10:32</t>
        </is>
      </c>
      <c r="Y4734" t="inlineStr">
        <is>
          <t>27722996624</t>
        </is>
      </c>
    </row>
    <row r="4735">
      <c r="A4735" t="inlineStr">
        <is>
          <t>14944604</t>
        </is>
      </c>
      <c r="B4735" t="inlineStr">
        <is>
          <t>4e8ab7d6-7aff-4cc3-9b0d-b99ae7ac9f6d</t>
        </is>
      </c>
      <c r="D4735" t="inlineStr">
        <is>
          <t>30001087</t>
        </is>
      </c>
      <c r="E4735" t="inlineStr">
        <is>
          <t>ussd_funeral_leads_altitude_20260619</t>
        </is>
      </c>
      <c r="J4735" t="inlineStr">
        <is>
          <t>AA</t>
        </is>
      </c>
      <c r="K4735" t="inlineStr">
        <is>
          <t>Answering Machine Autodial</t>
        </is>
      </c>
      <c r="L4735" t="n">
        <v>2</v>
      </c>
      <c r="M4735" t="inlineStr">
        <is>
          <t>2026-06-22 14:15:04</t>
        </is>
      </c>
      <c r="N4735" t="inlineStr">
        <is>
          <t>system</t>
        </is>
      </c>
      <c r="O4735" t="inlineStr">
        <is>
          <t>2026-06-19 07:10:32</t>
        </is>
      </c>
      <c r="P4735" t="inlineStr">
        <is>
          <t>2026-06-19 07:10:32</t>
        </is>
      </c>
      <c r="Y4735" t="inlineStr">
        <is>
          <t>27822927014</t>
        </is>
      </c>
    </row>
    <row r="4736">
      <c r="A4736" t="inlineStr">
        <is>
          <t>14944600</t>
        </is>
      </c>
      <c r="B4736" t="inlineStr">
        <is>
          <t>7acbfb05-ab37-4e92-b302-1a33e9eab718</t>
        </is>
      </c>
      <c r="D4736" t="inlineStr">
        <is>
          <t>30001087</t>
        </is>
      </c>
      <c r="E4736" t="inlineStr">
        <is>
          <t>ussd_funeral_leads_altitude_20260619</t>
        </is>
      </c>
      <c r="J4736" t="inlineStr">
        <is>
          <t>AA</t>
        </is>
      </c>
      <c r="K4736" t="inlineStr">
        <is>
          <t>Answering Machine Autodial</t>
        </is>
      </c>
      <c r="L4736" t="n">
        <v>2</v>
      </c>
      <c r="M4736" t="inlineStr">
        <is>
          <t>2026-06-22 14:11:17</t>
        </is>
      </c>
      <c r="N4736" t="inlineStr">
        <is>
          <t>system</t>
        </is>
      </c>
      <c r="O4736" t="inlineStr">
        <is>
          <t>2026-06-19 07:10:32</t>
        </is>
      </c>
      <c r="P4736" t="inlineStr">
        <is>
          <t>2026-06-19 07:10:32</t>
        </is>
      </c>
      <c r="Y4736" t="inlineStr">
        <is>
          <t>27711262068</t>
        </is>
      </c>
    </row>
    <row r="4737">
      <c r="A4737" t="inlineStr">
        <is>
          <t>14944601</t>
        </is>
      </c>
      <c r="B4737" t="inlineStr">
        <is>
          <t>cd51b923-eab9-4fa1-af7f-339fb67dd01a</t>
        </is>
      </c>
      <c r="D4737" t="inlineStr">
        <is>
          <t>30001087</t>
        </is>
      </c>
      <c r="E4737" t="inlineStr">
        <is>
          <t>ussd_funeral_leads_altitude_20260619</t>
        </is>
      </c>
      <c r="J4737" t="inlineStr">
        <is>
          <t>CU</t>
        </is>
      </c>
      <c r="K4737" t="inlineStr">
        <is>
          <t>Client Hung Up</t>
        </is>
      </c>
      <c r="L4737" t="n">
        <v>2</v>
      </c>
      <c r="M4737" t="inlineStr">
        <is>
          <t>2026-06-22 14:11:17</t>
        </is>
      </c>
      <c r="N4737" t="inlineStr">
        <is>
          <t>Vuyiswa Nxumalo</t>
        </is>
      </c>
      <c r="O4737" t="inlineStr">
        <is>
          <t>2026-06-19 07:10:32</t>
        </is>
      </c>
      <c r="P4737" t="inlineStr">
        <is>
          <t>2026-06-19 07:10:32</t>
        </is>
      </c>
      <c r="Y4737" t="inlineStr">
        <is>
          <t>27793825350</t>
        </is>
      </c>
    </row>
    <row r="4738">
      <c r="A4738" t="inlineStr">
        <is>
          <t>14944597</t>
        </is>
      </c>
      <c r="B4738" t="inlineStr">
        <is>
          <t>556ea7f4-e651-4f10-a683-f388a69197b9</t>
        </is>
      </c>
      <c r="D4738" t="inlineStr">
        <is>
          <t>30001087</t>
        </is>
      </c>
      <c r="E4738" t="inlineStr">
        <is>
          <t>ussd_funeral_leads_altitude_20260619</t>
        </is>
      </c>
      <c r="J4738" t="inlineStr">
        <is>
          <t>AA</t>
        </is>
      </c>
      <c r="K4738" t="inlineStr">
        <is>
          <t>Answering Machine Autodial</t>
        </is>
      </c>
      <c r="L4738" t="n">
        <v>2</v>
      </c>
      <c r="M4738" t="inlineStr">
        <is>
          <t>2026-06-22 14:11:11</t>
        </is>
      </c>
      <c r="N4738" t="inlineStr">
        <is>
          <t>system</t>
        </is>
      </c>
      <c r="O4738" t="inlineStr">
        <is>
          <t>2026-06-19 07:10:32</t>
        </is>
      </c>
      <c r="P4738" t="inlineStr">
        <is>
          <t>2026-06-19 07:10:32</t>
        </is>
      </c>
      <c r="Y4738" t="inlineStr">
        <is>
          <t>27791089818</t>
        </is>
      </c>
    </row>
    <row r="4739">
      <c r="A4739" t="inlineStr">
        <is>
          <t>14944598</t>
        </is>
      </c>
      <c r="B4739" t="inlineStr">
        <is>
          <t>0f58671c-b903-41c7-b10a-ca8a545768d1</t>
        </is>
      </c>
      <c r="D4739" t="inlineStr">
        <is>
          <t>30001087</t>
        </is>
      </c>
      <c r="E4739" t="inlineStr">
        <is>
          <t>ussd_funeral_leads_altitude_20260619</t>
        </is>
      </c>
      <c r="J4739" t="inlineStr">
        <is>
          <t>AA</t>
        </is>
      </c>
      <c r="K4739" t="inlineStr">
        <is>
          <t>Answering Machine Autodial</t>
        </is>
      </c>
      <c r="L4739" t="n">
        <v>2</v>
      </c>
      <c r="M4739" t="inlineStr">
        <is>
          <t>2026-06-22 14:11:11</t>
        </is>
      </c>
      <c r="N4739" t="inlineStr">
        <is>
          <t>system</t>
        </is>
      </c>
      <c r="O4739" t="inlineStr">
        <is>
          <t>2026-06-19 07:10:32</t>
        </is>
      </c>
      <c r="P4739" t="inlineStr">
        <is>
          <t>2026-06-19 07:10:32</t>
        </is>
      </c>
      <c r="Y4739" t="inlineStr">
        <is>
          <t>27792658177</t>
        </is>
      </c>
    </row>
    <row r="4740">
      <c r="A4740" t="inlineStr">
        <is>
          <t>14944595</t>
        </is>
      </c>
      <c r="B4740" t="inlineStr">
        <is>
          <t>ee28c52a-bfb7-401c-8c3b-46869eab4122</t>
        </is>
      </c>
      <c r="D4740" t="inlineStr">
        <is>
          <t>30001087</t>
        </is>
      </c>
      <c r="E4740" t="inlineStr">
        <is>
          <t>ussd_funeral_leads_altitude_20260619</t>
        </is>
      </c>
      <c r="J4740" t="inlineStr">
        <is>
          <t>AA</t>
        </is>
      </c>
      <c r="K4740" t="inlineStr">
        <is>
          <t>Answering Machine Autodial</t>
        </is>
      </c>
      <c r="L4740" t="n">
        <v>2</v>
      </c>
      <c r="M4740" t="inlineStr">
        <is>
          <t>2026-06-22 14:11:10</t>
        </is>
      </c>
      <c r="N4740" t="inlineStr">
        <is>
          <t>system</t>
        </is>
      </c>
      <c r="O4740" t="inlineStr">
        <is>
          <t>2026-06-19 07:10:32</t>
        </is>
      </c>
      <c r="P4740" t="inlineStr">
        <is>
          <t>2026-06-19 07:10:32</t>
        </is>
      </c>
      <c r="Y4740" t="inlineStr">
        <is>
          <t>27767448181</t>
        </is>
      </c>
    </row>
    <row r="4741">
      <c r="A4741" t="inlineStr">
        <is>
          <t>14944596</t>
        </is>
      </c>
      <c r="B4741" t="inlineStr">
        <is>
          <t>6745c9dd-2d7e-4e6a-8d3a-84a528060fe1</t>
        </is>
      </c>
      <c r="D4741" t="inlineStr">
        <is>
          <t>30001087</t>
        </is>
      </c>
      <c r="E4741" t="inlineStr">
        <is>
          <t>ussd_funeral_leads_altitude_20260619</t>
        </is>
      </c>
      <c r="J4741" t="inlineStr">
        <is>
          <t>TDN</t>
        </is>
      </c>
      <c r="K4741" t="inlineStr">
        <is>
          <t>Temporary Disconnected Number</t>
        </is>
      </c>
      <c r="L4741" t="n">
        <v>2</v>
      </c>
      <c r="M4741" t="inlineStr">
        <is>
          <t>2026-06-22 14:11:10</t>
        </is>
      </c>
      <c r="N4741" t="inlineStr">
        <is>
          <t>system</t>
        </is>
      </c>
      <c r="O4741" t="inlineStr">
        <is>
          <t>2026-06-19 07:10:32</t>
        </is>
      </c>
      <c r="P4741" t="inlineStr">
        <is>
          <t>2026-06-19 07:10:32</t>
        </is>
      </c>
      <c r="Y4741" t="inlineStr">
        <is>
          <t>27764624203</t>
        </is>
      </c>
    </row>
    <row r="4742">
      <c r="A4742" t="inlineStr">
        <is>
          <t>14944599</t>
        </is>
      </c>
      <c r="B4742" t="inlineStr">
        <is>
          <t>dbdba037-6cce-4158-b54e-e34348511eb4</t>
        </is>
      </c>
      <c r="D4742" t="inlineStr">
        <is>
          <t>30001087</t>
        </is>
      </c>
      <c r="E4742" t="inlineStr">
        <is>
          <t>ussd_funeral_leads_altitude_20260619</t>
        </is>
      </c>
      <c r="J4742" t="inlineStr">
        <is>
          <t>ADC</t>
        </is>
      </c>
      <c r="K4742" t="inlineStr">
        <is>
          <t>Auto Dial Disconnected</t>
        </is>
      </c>
      <c r="L4742" t="n">
        <v>2</v>
      </c>
      <c r="M4742" t="inlineStr">
        <is>
          <t>2026-06-22 14:11:10</t>
        </is>
      </c>
      <c r="N4742" t="inlineStr">
        <is>
          <t>system</t>
        </is>
      </c>
      <c r="O4742" t="inlineStr">
        <is>
          <t>2026-06-19 07:10:32</t>
        </is>
      </c>
      <c r="P4742" t="inlineStr">
        <is>
          <t>2026-06-19 07:10:32</t>
        </is>
      </c>
      <c r="Y4742" t="inlineStr">
        <is>
          <t>27790923201</t>
        </is>
      </c>
    </row>
    <row r="4743">
      <c r="A4743" t="inlineStr">
        <is>
          <t>14944594</t>
        </is>
      </c>
      <c r="B4743" t="inlineStr">
        <is>
          <t>44927216-ded1-4b1a-877f-4c7b4fa02d45</t>
        </is>
      </c>
      <c r="D4743" t="inlineStr">
        <is>
          <t>30001087</t>
        </is>
      </c>
      <c r="E4743" t="inlineStr">
        <is>
          <t>ussd_funeral_leads_altitude_20260619</t>
        </is>
      </c>
      <c r="J4743" t="inlineStr">
        <is>
          <t>AA</t>
        </is>
      </c>
      <c r="K4743" t="inlineStr">
        <is>
          <t>Answering Machine Autodial</t>
        </is>
      </c>
      <c r="L4743" t="n">
        <v>2</v>
      </c>
      <c r="M4743" t="inlineStr">
        <is>
          <t>2026-06-22 14:10:54</t>
        </is>
      </c>
      <c r="N4743" t="inlineStr">
        <is>
          <t>system</t>
        </is>
      </c>
      <c r="O4743" t="inlineStr">
        <is>
          <t>2026-06-19 07:10:32</t>
        </is>
      </c>
      <c r="P4743" t="inlineStr">
        <is>
          <t>2026-06-19 07:10:32</t>
        </is>
      </c>
      <c r="Y4743" t="inlineStr">
        <is>
          <t>27675503705</t>
        </is>
      </c>
    </row>
    <row r="4744">
      <c r="A4744" t="inlineStr">
        <is>
          <t>14947796</t>
        </is>
      </c>
      <c r="B4744" t="inlineStr">
        <is>
          <t>86b3adc9-1c30-4e4f-b16b-400641265c38</t>
        </is>
      </c>
      <c r="D4744" t="inlineStr">
        <is>
          <t>30001087</t>
        </is>
      </c>
      <c r="E4744" t="inlineStr">
        <is>
          <t>ussd_funeral_leads_altitude_20260619</t>
        </is>
      </c>
      <c r="J4744" t="inlineStr">
        <is>
          <t>ADC</t>
        </is>
      </c>
      <c r="K4744" t="inlineStr">
        <is>
          <t>Auto Dial Disconnected</t>
        </is>
      </c>
      <c r="L4744" t="n">
        <v>2</v>
      </c>
      <c r="M4744" t="inlineStr">
        <is>
          <t>2026-06-22 14:06:56</t>
        </is>
      </c>
      <c r="N4744" t="inlineStr">
        <is>
          <t>system</t>
        </is>
      </c>
      <c r="O4744" t="inlineStr">
        <is>
          <t>2026-06-19 07:10:32</t>
        </is>
      </c>
      <c r="P4744" t="inlineStr">
        <is>
          <t>2026-06-19 07:10:32</t>
        </is>
      </c>
      <c r="Y4744" t="inlineStr">
        <is>
          <t>27725516857</t>
        </is>
      </c>
    </row>
    <row r="4745">
      <c r="A4745" t="inlineStr">
        <is>
          <t>14947797</t>
        </is>
      </c>
      <c r="B4745" t="inlineStr">
        <is>
          <t>68db5343-00fe-4198-b236-fb9407346020</t>
        </is>
      </c>
      <c r="D4745" t="inlineStr">
        <is>
          <t>30001087</t>
        </is>
      </c>
      <c r="E4745" t="inlineStr">
        <is>
          <t>ussd_funeral_leads_altitude_20260619</t>
        </is>
      </c>
      <c r="J4745" t="inlineStr">
        <is>
          <t>CU</t>
        </is>
      </c>
      <c r="K4745" t="inlineStr">
        <is>
          <t>Client Hung Up</t>
        </is>
      </c>
      <c r="L4745" t="n">
        <v>2</v>
      </c>
      <c r="M4745" t="inlineStr">
        <is>
          <t>2026-06-22 14:06:53</t>
        </is>
      </c>
      <c r="N4745" t="inlineStr">
        <is>
          <t>Gontse Monageng</t>
        </is>
      </c>
      <c r="O4745" t="inlineStr">
        <is>
          <t>2026-06-19 07:10:32</t>
        </is>
      </c>
      <c r="P4745" t="inlineStr">
        <is>
          <t>2026-06-19 07:10:32</t>
        </is>
      </c>
      <c r="Y4745" t="inlineStr">
        <is>
          <t>27661814346</t>
        </is>
      </c>
    </row>
    <row r="4746">
      <c r="A4746" t="inlineStr">
        <is>
          <t>14947798</t>
        </is>
      </c>
      <c r="B4746" t="inlineStr">
        <is>
          <t>7a0b9eaa-0b69-49a6-9e45-b202c190a00a</t>
        </is>
      </c>
      <c r="D4746" t="inlineStr">
        <is>
          <t>30001087</t>
        </is>
      </c>
      <c r="E4746" t="inlineStr">
        <is>
          <t>ussd_funeral_leads_altitude_20260619</t>
        </is>
      </c>
      <c r="J4746" t="inlineStr">
        <is>
          <t>ADC</t>
        </is>
      </c>
      <c r="K4746" t="inlineStr">
        <is>
          <t>Auto Dial Disconnected</t>
        </is>
      </c>
      <c r="L4746" t="n">
        <v>2</v>
      </c>
      <c r="M4746" t="inlineStr">
        <is>
          <t>2026-06-22 14:06:51</t>
        </is>
      </c>
      <c r="N4746" t="inlineStr">
        <is>
          <t>system</t>
        </is>
      </c>
      <c r="O4746" t="inlineStr">
        <is>
          <t>2026-06-19 07:10:32</t>
        </is>
      </c>
      <c r="P4746" t="inlineStr">
        <is>
          <t>2026-06-19 07:10:32</t>
        </is>
      </c>
      <c r="Y4746" t="inlineStr">
        <is>
          <t>27664184082</t>
        </is>
      </c>
    </row>
    <row r="4747">
      <c r="A4747" t="inlineStr">
        <is>
          <t>14947799</t>
        </is>
      </c>
      <c r="B4747" t="inlineStr">
        <is>
          <t>49510e89-dd28-463d-8037-f9bb436bb771</t>
        </is>
      </c>
      <c r="D4747" t="inlineStr">
        <is>
          <t>30001087</t>
        </is>
      </c>
      <c r="E4747" t="inlineStr">
        <is>
          <t>ussd_funeral_leads_altitude_20260619</t>
        </is>
      </c>
      <c r="J4747" t="inlineStr">
        <is>
          <t>TDN</t>
        </is>
      </c>
      <c r="K4747" t="inlineStr">
        <is>
          <t>Temporary Disconnected Number</t>
        </is>
      </c>
      <c r="L4747" t="n">
        <v>2</v>
      </c>
      <c r="M4747" t="inlineStr">
        <is>
          <t>2026-06-22 14:06:51</t>
        </is>
      </c>
      <c r="N4747" t="inlineStr">
        <is>
          <t>system</t>
        </is>
      </c>
      <c r="O4747" t="inlineStr">
        <is>
          <t>2026-06-19 07:10:32</t>
        </is>
      </c>
      <c r="P4747" t="inlineStr">
        <is>
          <t>2026-06-19 07:10:32</t>
        </is>
      </c>
      <c r="Y4747" t="inlineStr">
        <is>
          <t>27649237475</t>
        </is>
      </c>
    </row>
    <row r="4748">
      <c r="A4748" t="inlineStr">
        <is>
          <t>14947801</t>
        </is>
      </c>
      <c r="B4748" t="inlineStr">
        <is>
          <t>c27f5671-3f6d-48b0-8bc4-553e9f8c1373</t>
        </is>
      </c>
      <c r="D4748" t="inlineStr">
        <is>
          <t>30001087</t>
        </is>
      </c>
      <c r="E4748" t="inlineStr">
        <is>
          <t>ussd_funeral_leads_altitude_20260619</t>
        </is>
      </c>
      <c r="J4748" t="inlineStr">
        <is>
          <t>AA</t>
        </is>
      </c>
      <c r="K4748" t="inlineStr">
        <is>
          <t>Answering Machine Autodial</t>
        </is>
      </c>
      <c r="L4748" t="n">
        <v>2</v>
      </c>
      <c r="M4748" t="inlineStr">
        <is>
          <t>2026-06-22 14:06:50</t>
        </is>
      </c>
      <c r="N4748" t="inlineStr">
        <is>
          <t>system</t>
        </is>
      </c>
      <c r="O4748" t="inlineStr">
        <is>
          <t>2026-06-19 07:10:32</t>
        </is>
      </c>
      <c r="P4748" t="inlineStr">
        <is>
          <t>2026-06-19 07:10:32</t>
        </is>
      </c>
      <c r="Y4748" t="inlineStr">
        <is>
          <t>27762239566</t>
        </is>
      </c>
    </row>
    <row r="4749">
      <c r="A4749" t="inlineStr">
        <is>
          <t>14947802</t>
        </is>
      </c>
      <c r="B4749" t="inlineStr">
        <is>
          <t>c344510d-4fa7-4717-af0d-24a9cdd552a4</t>
        </is>
      </c>
      <c r="D4749" t="inlineStr">
        <is>
          <t>30001087</t>
        </is>
      </c>
      <c r="E4749" t="inlineStr">
        <is>
          <t>ussd_funeral_leads_altitude_20260619</t>
        </is>
      </c>
      <c r="J4749" t="inlineStr">
        <is>
          <t>ADC</t>
        </is>
      </c>
      <c r="K4749" t="inlineStr">
        <is>
          <t>Auto Dial Disconnected</t>
        </is>
      </c>
      <c r="L4749" t="n">
        <v>2</v>
      </c>
      <c r="M4749" t="inlineStr">
        <is>
          <t>2026-06-22 14:06:50</t>
        </is>
      </c>
      <c r="N4749" t="inlineStr">
        <is>
          <t>system</t>
        </is>
      </c>
      <c r="O4749" t="inlineStr">
        <is>
          <t>2026-06-19 07:10:32</t>
        </is>
      </c>
      <c r="P4749" t="inlineStr">
        <is>
          <t>2026-06-19 07:10:32</t>
        </is>
      </c>
      <c r="Y4749" t="inlineStr">
        <is>
          <t>27661190584</t>
        </is>
      </c>
    </row>
    <row r="4750">
      <c r="A4750" t="inlineStr">
        <is>
          <t>14947803</t>
        </is>
      </c>
      <c r="B4750" t="inlineStr">
        <is>
          <t>c688a21c-a379-4df4-96f4-7db3eb72fb8f</t>
        </is>
      </c>
      <c r="D4750" t="inlineStr">
        <is>
          <t>30001087</t>
        </is>
      </c>
      <c r="E4750" t="inlineStr">
        <is>
          <t>ussd_funeral_leads_altitude_20260619</t>
        </is>
      </c>
      <c r="J4750" t="inlineStr">
        <is>
          <t>AA</t>
        </is>
      </c>
      <c r="K4750" t="inlineStr">
        <is>
          <t>Answering Machine Autodial</t>
        </is>
      </c>
      <c r="L4750" t="n">
        <v>2</v>
      </c>
      <c r="M4750" t="inlineStr">
        <is>
          <t>2026-06-22 14:06:50</t>
        </is>
      </c>
      <c r="N4750" t="inlineStr">
        <is>
          <t>system</t>
        </is>
      </c>
      <c r="O4750" t="inlineStr">
        <is>
          <t>2026-06-19 07:10:32</t>
        </is>
      </c>
      <c r="P4750" t="inlineStr">
        <is>
          <t>2026-06-19 07:10:32</t>
        </is>
      </c>
      <c r="Y4750" t="inlineStr">
        <is>
          <t>27825344033</t>
        </is>
      </c>
    </row>
    <row r="4751">
      <c r="A4751" t="inlineStr">
        <is>
          <t>14947804</t>
        </is>
      </c>
      <c r="B4751" t="inlineStr">
        <is>
          <t>1d9f96c7-b7d7-4257-9cf4-20cfc05300c8</t>
        </is>
      </c>
      <c r="D4751" t="inlineStr">
        <is>
          <t>30001087</t>
        </is>
      </c>
      <c r="E4751" t="inlineStr">
        <is>
          <t>ussd_funeral_leads_altitude_20260619</t>
        </is>
      </c>
      <c r="J4751" t="inlineStr">
        <is>
          <t>NA</t>
        </is>
      </c>
      <c r="K4751" t="inlineStr">
        <is>
          <t>No Answer Autodial</t>
        </is>
      </c>
      <c r="L4751" t="n">
        <v>2</v>
      </c>
      <c r="M4751" t="inlineStr">
        <is>
          <t>2026-06-22 14:06:50</t>
        </is>
      </c>
      <c r="N4751" t="inlineStr">
        <is>
          <t>system</t>
        </is>
      </c>
      <c r="O4751" t="inlineStr">
        <is>
          <t>2026-06-19 07:10:32</t>
        </is>
      </c>
      <c r="P4751" t="inlineStr">
        <is>
          <t>2026-06-19 07:10:32</t>
        </is>
      </c>
      <c r="Y4751" t="inlineStr">
        <is>
          <t>27608761176</t>
        </is>
      </c>
    </row>
    <row r="4752">
      <c r="A4752" t="inlineStr">
        <is>
          <t>14947805</t>
        </is>
      </c>
      <c r="B4752" t="inlineStr">
        <is>
          <t>1338bd88-1efe-47f6-917d-469718590207</t>
        </is>
      </c>
      <c r="D4752" t="inlineStr">
        <is>
          <t>30001087</t>
        </is>
      </c>
      <c r="E4752" t="inlineStr">
        <is>
          <t>ussd_funeral_leads_altitude_20260619</t>
        </is>
      </c>
      <c r="J4752" t="inlineStr">
        <is>
          <t>NA</t>
        </is>
      </c>
      <c r="K4752" t="inlineStr">
        <is>
          <t>No Answer Autodial</t>
        </is>
      </c>
      <c r="L4752" t="n">
        <v>2</v>
      </c>
      <c r="M4752" t="inlineStr">
        <is>
          <t>2026-06-22 14:06:49</t>
        </is>
      </c>
      <c r="N4752" t="inlineStr">
        <is>
          <t>system</t>
        </is>
      </c>
      <c r="O4752" t="inlineStr">
        <is>
          <t>2026-06-19 07:10:32</t>
        </is>
      </c>
      <c r="P4752" t="inlineStr">
        <is>
          <t>2026-06-19 07:10:32</t>
        </is>
      </c>
      <c r="Y4752" t="inlineStr">
        <is>
          <t>27720309595</t>
        </is>
      </c>
    </row>
    <row r="4753">
      <c r="A4753" t="inlineStr">
        <is>
          <t>14947806</t>
        </is>
      </c>
      <c r="B4753" t="inlineStr">
        <is>
          <t>9ed8f4b6-e4a2-4dd1-ac91-0315485fb690</t>
        </is>
      </c>
      <c r="D4753" t="inlineStr">
        <is>
          <t>30001087</t>
        </is>
      </c>
      <c r="E4753" t="inlineStr">
        <is>
          <t>ussd_funeral_leads_altitude_20260619</t>
        </is>
      </c>
      <c r="J4753" t="inlineStr">
        <is>
          <t>AA</t>
        </is>
      </c>
      <c r="K4753" t="inlineStr">
        <is>
          <t>Answering Machine Autodial</t>
        </is>
      </c>
      <c r="L4753" t="n">
        <v>2</v>
      </c>
      <c r="M4753" t="inlineStr">
        <is>
          <t>2026-06-22 14:06:48</t>
        </is>
      </c>
      <c r="N4753" t="inlineStr">
        <is>
          <t>system</t>
        </is>
      </c>
      <c r="O4753" t="inlineStr">
        <is>
          <t>2026-06-19 07:10:32</t>
        </is>
      </c>
      <c r="P4753" t="inlineStr">
        <is>
          <t>2026-06-19 07:10:32</t>
        </is>
      </c>
      <c r="Y4753" t="inlineStr">
        <is>
          <t>27768921050</t>
        </is>
      </c>
    </row>
    <row r="4754">
      <c r="A4754" t="inlineStr">
        <is>
          <t>14947807</t>
        </is>
      </c>
      <c r="B4754" t="inlineStr">
        <is>
          <t>42cc2572-1a53-4432-a321-381e91c22dd2</t>
        </is>
      </c>
      <c r="D4754" t="inlineStr">
        <is>
          <t>30001087</t>
        </is>
      </c>
      <c r="E4754" t="inlineStr">
        <is>
          <t>ussd_funeral_leads_altitude_20260619</t>
        </is>
      </c>
      <c r="J4754" t="inlineStr">
        <is>
          <t>ADC</t>
        </is>
      </c>
      <c r="K4754" t="inlineStr">
        <is>
          <t>Auto Dial Disconnected</t>
        </is>
      </c>
      <c r="L4754" t="n">
        <v>2</v>
      </c>
      <c r="M4754" t="inlineStr">
        <is>
          <t>2026-06-22 14:06:40</t>
        </is>
      </c>
      <c r="N4754" t="inlineStr">
        <is>
          <t>system</t>
        </is>
      </c>
      <c r="O4754" t="inlineStr">
        <is>
          <t>2026-06-19 07:10:32</t>
        </is>
      </c>
      <c r="P4754" t="inlineStr">
        <is>
          <t>2026-06-19 07:10:32</t>
        </is>
      </c>
      <c r="Y4754" t="inlineStr">
        <is>
          <t>27793929114</t>
        </is>
      </c>
    </row>
    <row r="4755">
      <c r="A4755" t="inlineStr">
        <is>
          <t>14947808</t>
        </is>
      </c>
      <c r="B4755" t="inlineStr">
        <is>
          <t>81e5b381-e692-484c-8c33-9cbbfc867d5e</t>
        </is>
      </c>
      <c r="D4755" t="inlineStr">
        <is>
          <t>30001087</t>
        </is>
      </c>
      <c r="E4755" t="inlineStr">
        <is>
          <t>ussd_funeral_leads_altitude_20260619</t>
        </is>
      </c>
      <c r="J4755" t="inlineStr">
        <is>
          <t>CUA</t>
        </is>
      </c>
      <c r="K4755" t="inlineStr">
        <is>
          <t>Client Underage</t>
        </is>
      </c>
      <c r="L4755" t="n">
        <v>2</v>
      </c>
      <c r="M4755" t="inlineStr">
        <is>
          <t>2026-06-22 14:06:35</t>
        </is>
      </c>
      <c r="N4755" t="inlineStr">
        <is>
          <t>Virginia Letsatsi</t>
        </is>
      </c>
      <c r="O4755" t="inlineStr">
        <is>
          <t>2026-06-19 07:10:32</t>
        </is>
      </c>
      <c r="P4755" t="inlineStr">
        <is>
          <t>2026-06-19 07:10:32</t>
        </is>
      </c>
      <c r="Y4755" t="inlineStr">
        <is>
          <t>27609395483</t>
        </is>
      </c>
    </row>
    <row r="4756">
      <c r="A4756" t="inlineStr">
        <is>
          <t>14947809</t>
        </is>
      </c>
      <c r="B4756" t="inlineStr">
        <is>
          <t>d596e460-2763-4397-a3e0-db4de56dd622</t>
        </is>
      </c>
      <c r="D4756" t="inlineStr">
        <is>
          <t>30001087</t>
        </is>
      </c>
      <c r="E4756" t="inlineStr">
        <is>
          <t>ussd_funeral_leads_altitude_20260619</t>
        </is>
      </c>
      <c r="J4756" t="inlineStr">
        <is>
          <t>AA</t>
        </is>
      </c>
      <c r="K4756" t="inlineStr">
        <is>
          <t>Answering Machine Autodial</t>
        </is>
      </c>
      <c r="L4756" t="n">
        <v>2</v>
      </c>
      <c r="M4756" t="inlineStr">
        <is>
          <t>2026-06-22 14:06:34</t>
        </is>
      </c>
      <c r="N4756" t="inlineStr">
        <is>
          <t>system</t>
        </is>
      </c>
      <c r="O4756" t="inlineStr">
        <is>
          <t>2026-06-19 07:10:32</t>
        </is>
      </c>
      <c r="P4756" t="inlineStr">
        <is>
          <t>2026-06-19 07:10:32</t>
        </is>
      </c>
      <c r="Y4756" t="inlineStr">
        <is>
          <t>27766955149</t>
        </is>
      </c>
    </row>
    <row r="4757">
      <c r="A4757" t="inlineStr">
        <is>
          <t>14947289</t>
        </is>
      </c>
      <c r="B4757" t="inlineStr">
        <is>
          <t>c2819237-fd31-4ada-83e1-cf307d324707</t>
        </is>
      </c>
      <c r="D4757" t="inlineStr">
        <is>
          <t>30001087</t>
        </is>
      </c>
      <c r="E4757" t="inlineStr">
        <is>
          <t>ussd_funeral_leads_altitude_20260619</t>
        </is>
      </c>
      <c r="J4757" t="inlineStr">
        <is>
          <t>AF</t>
        </is>
      </c>
      <c r="K4757" t="inlineStr">
        <is>
          <t>Cannot Afford</t>
        </is>
      </c>
      <c r="L4757" t="n">
        <v>2</v>
      </c>
      <c r="M4757" t="inlineStr">
        <is>
          <t>2026-06-22 14:06:33</t>
        </is>
      </c>
      <c r="N4757" t="inlineStr">
        <is>
          <t>Dimakatso Nkomo</t>
        </is>
      </c>
      <c r="O4757" t="inlineStr">
        <is>
          <t>2026-06-19 07:10:32</t>
        </is>
      </c>
      <c r="P4757" t="inlineStr">
        <is>
          <t>2026-06-19 07:10:32</t>
        </is>
      </c>
      <c r="Y4757" t="inlineStr">
        <is>
          <t>27721394255</t>
        </is>
      </c>
    </row>
    <row r="4758">
      <c r="A4758" t="inlineStr">
        <is>
          <t>14947810</t>
        </is>
      </c>
      <c r="B4758" t="inlineStr">
        <is>
          <t>378694b9-896d-4730-a5a5-ebead82ac308</t>
        </is>
      </c>
      <c r="D4758" t="inlineStr">
        <is>
          <t>30001087</t>
        </is>
      </c>
      <c r="E4758" t="inlineStr">
        <is>
          <t>ussd_funeral_leads_altitude_20260619</t>
        </is>
      </c>
      <c r="J4758" t="inlineStr">
        <is>
          <t>ADC</t>
        </is>
      </c>
      <c r="K4758" t="inlineStr">
        <is>
          <t>Auto Dial Disconnected</t>
        </is>
      </c>
      <c r="L4758" t="n">
        <v>2</v>
      </c>
      <c r="M4758" t="inlineStr">
        <is>
          <t>2026-06-22 14:06:33</t>
        </is>
      </c>
      <c r="N4758" t="inlineStr">
        <is>
          <t>system</t>
        </is>
      </c>
      <c r="O4758" t="inlineStr">
        <is>
          <t>2026-06-19 07:10:32</t>
        </is>
      </c>
      <c r="P4758" t="inlineStr">
        <is>
          <t>2026-06-19 07:10:32</t>
        </is>
      </c>
      <c r="Y4758" t="inlineStr">
        <is>
          <t>27609697047</t>
        </is>
      </c>
    </row>
    <row r="4759">
      <c r="A4759" t="inlineStr">
        <is>
          <t>14947811</t>
        </is>
      </c>
      <c r="B4759" t="inlineStr">
        <is>
          <t>5e8f1534-6091-4284-a116-7ed3f784e620</t>
        </is>
      </c>
      <c r="D4759" t="inlineStr">
        <is>
          <t>30001087</t>
        </is>
      </c>
      <c r="E4759" t="inlineStr">
        <is>
          <t>ussd_funeral_leads_altitude_20260619</t>
        </is>
      </c>
      <c r="J4759" t="inlineStr">
        <is>
          <t>AA</t>
        </is>
      </c>
      <c r="K4759" t="inlineStr">
        <is>
          <t>Answering Machine Autodial</t>
        </is>
      </c>
      <c r="L4759" t="n">
        <v>2</v>
      </c>
      <c r="M4759" t="inlineStr">
        <is>
          <t>2026-06-22 14:06:33</t>
        </is>
      </c>
      <c r="N4759" t="inlineStr">
        <is>
          <t>system</t>
        </is>
      </c>
      <c r="O4759" t="inlineStr">
        <is>
          <t>2026-06-19 07:10:32</t>
        </is>
      </c>
      <c r="P4759" t="inlineStr">
        <is>
          <t>2026-06-19 07:10:32</t>
        </is>
      </c>
      <c r="Y4759" t="inlineStr">
        <is>
          <t>27665483851</t>
        </is>
      </c>
    </row>
    <row r="4760">
      <c r="A4760" t="inlineStr">
        <is>
          <t>14947812</t>
        </is>
      </c>
      <c r="B4760" t="inlineStr">
        <is>
          <t>ac7dd72b-b182-403d-9f5d-6ceee484a0ed</t>
        </is>
      </c>
      <c r="D4760" t="inlineStr">
        <is>
          <t>30001087</t>
        </is>
      </c>
      <c r="E4760" t="inlineStr">
        <is>
          <t>ussd_funeral_leads_altitude_20260619</t>
        </is>
      </c>
      <c r="J4760" t="inlineStr">
        <is>
          <t>AA</t>
        </is>
      </c>
      <c r="K4760" t="inlineStr">
        <is>
          <t>Answering Machine Autodial</t>
        </is>
      </c>
      <c r="L4760" t="n">
        <v>2</v>
      </c>
      <c r="M4760" t="inlineStr">
        <is>
          <t>2026-06-22 14:06:10</t>
        </is>
      </c>
      <c r="N4760" t="inlineStr">
        <is>
          <t>system</t>
        </is>
      </c>
      <c r="O4760" t="inlineStr">
        <is>
          <t>2026-06-19 07:10:32</t>
        </is>
      </c>
      <c r="P4760" t="inlineStr">
        <is>
          <t>2026-06-19 07:10:32</t>
        </is>
      </c>
      <c r="Y4760" t="inlineStr">
        <is>
          <t>27828342227</t>
        </is>
      </c>
    </row>
    <row r="4761">
      <c r="A4761" t="inlineStr">
        <is>
          <t>14947813</t>
        </is>
      </c>
      <c r="B4761" t="inlineStr">
        <is>
          <t>0b960508-085d-4992-9ab7-842ecaf9e5cf</t>
        </is>
      </c>
      <c r="D4761" t="inlineStr">
        <is>
          <t>30001087</t>
        </is>
      </c>
      <c r="E4761" t="inlineStr">
        <is>
          <t>ussd_funeral_leads_altitude_20260619</t>
        </is>
      </c>
      <c r="J4761" t="inlineStr">
        <is>
          <t>AA</t>
        </is>
      </c>
      <c r="K4761" t="inlineStr">
        <is>
          <t>Answering Machine Autodial</t>
        </is>
      </c>
      <c r="L4761" t="n">
        <v>2</v>
      </c>
      <c r="M4761" t="inlineStr">
        <is>
          <t>2026-06-22 14:06:10</t>
        </is>
      </c>
      <c r="N4761" t="inlineStr">
        <is>
          <t>system</t>
        </is>
      </c>
      <c r="O4761" t="inlineStr">
        <is>
          <t>2026-06-19 07:10:32</t>
        </is>
      </c>
      <c r="P4761" t="inlineStr">
        <is>
          <t>2026-06-19 07:10:32</t>
        </is>
      </c>
      <c r="Y4761" t="inlineStr">
        <is>
          <t>27761559173</t>
        </is>
      </c>
    </row>
    <row r="4762">
      <c r="A4762" t="inlineStr">
        <is>
          <t>14947814</t>
        </is>
      </c>
      <c r="B4762" t="inlineStr">
        <is>
          <t>e4c76aff-58a2-4082-a9a0-1afc9313c2e9</t>
        </is>
      </c>
      <c r="D4762" t="inlineStr">
        <is>
          <t>30001087</t>
        </is>
      </c>
      <c r="E4762" t="inlineStr">
        <is>
          <t>ussd_funeral_leads_altitude_20260619</t>
        </is>
      </c>
      <c r="J4762" t="inlineStr">
        <is>
          <t>AA</t>
        </is>
      </c>
      <c r="K4762" t="inlineStr">
        <is>
          <t>Answering Machine Autodial</t>
        </is>
      </c>
      <c r="L4762" t="n">
        <v>2</v>
      </c>
      <c r="M4762" t="inlineStr">
        <is>
          <t>2026-06-22 14:06:06</t>
        </is>
      </c>
      <c r="N4762" t="inlineStr">
        <is>
          <t>system</t>
        </is>
      </c>
      <c r="O4762" t="inlineStr">
        <is>
          <t>2026-06-19 07:10:32</t>
        </is>
      </c>
      <c r="P4762" t="inlineStr">
        <is>
          <t>2026-06-19 07:10:32</t>
        </is>
      </c>
      <c r="Y4762" t="inlineStr">
        <is>
          <t>27713098716</t>
        </is>
      </c>
    </row>
    <row r="4763">
      <c r="A4763" t="inlineStr">
        <is>
          <t>14900000</t>
        </is>
      </c>
      <c r="B4763" t="inlineStr">
        <is>
          <t>3e383f5e-9437-41cb-808a-e59c07238635</t>
        </is>
      </c>
      <c r="D4763" t="inlineStr">
        <is>
          <t>30001087</t>
        </is>
      </c>
      <c r="E4763" t="inlineStr">
        <is>
          <t>ussd_funeral_leads_altitude_20260619</t>
        </is>
      </c>
      <c r="J4763" t="inlineStr">
        <is>
          <t>AA</t>
        </is>
      </c>
      <c r="K4763" t="inlineStr">
        <is>
          <t>Answering Machine Autodial</t>
        </is>
      </c>
      <c r="L4763" t="n">
        <v>2</v>
      </c>
      <c r="M4763" t="inlineStr">
        <is>
          <t>2026-06-22 14:06:03</t>
        </is>
      </c>
      <c r="N4763" t="inlineStr">
        <is>
          <t>system</t>
        </is>
      </c>
      <c r="O4763" t="inlineStr">
        <is>
          <t>2026-06-19 07:10:32</t>
        </is>
      </c>
      <c r="P4763" t="inlineStr">
        <is>
          <t>2026-06-19 07:10:32</t>
        </is>
      </c>
      <c r="Y4763" t="inlineStr">
        <is>
          <t>27660402163</t>
        </is>
      </c>
    </row>
    <row r="4764">
      <c r="A4764" t="inlineStr">
        <is>
          <t>14947818</t>
        </is>
      </c>
      <c r="B4764" t="inlineStr">
        <is>
          <t>264ddc48-7799-43a4-b88d-d069337d5c9e</t>
        </is>
      </c>
      <c r="D4764" t="inlineStr">
        <is>
          <t>30001087</t>
        </is>
      </c>
      <c r="E4764" t="inlineStr">
        <is>
          <t>ussd_funeral_leads_altitude_20260619</t>
        </is>
      </c>
      <c r="J4764" t="inlineStr">
        <is>
          <t>AA</t>
        </is>
      </c>
      <c r="K4764" t="inlineStr">
        <is>
          <t>Answering Machine Autodial</t>
        </is>
      </c>
      <c r="L4764" t="n">
        <v>2</v>
      </c>
      <c r="M4764" t="inlineStr">
        <is>
          <t>2026-06-22 14:06:01</t>
        </is>
      </c>
      <c r="N4764" t="inlineStr">
        <is>
          <t>system</t>
        </is>
      </c>
      <c r="O4764" t="inlineStr">
        <is>
          <t>2026-06-19 07:10:32</t>
        </is>
      </c>
      <c r="P4764" t="inlineStr">
        <is>
          <t>2026-06-19 07:10:32</t>
        </is>
      </c>
      <c r="Y4764" t="inlineStr">
        <is>
          <t>27673382541</t>
        </is>
      </c>
    </row>
    <row r="4765">
      <c r="A4765" t="inlineStr">
        <is>
          <t>14947819</t>
        </is>
      </c>
      <c r="B4765" t="inlineStr">
        <is>
          <t>d58be50e-1291-4d8f-95ab-809bfa4702a0</t>
        </is>
      </c>
      <c r="D4765" t="inlineStr">
        <is>
          <t>30001087</t>
        </is>
      </c>
      <c r="E4765" t="inlineStr">
        <is>
          <t>ussd_funeral_leads_altitude_20260619</t>
        </is>
      </c>
      <c r="J4765" t="inlineStr">
        <is>
          <t>AA</t>
        </is>
      </c>
      <c r="K4765" t="inlineStr">
        <is>
          <t>Answering Machine Autodial</t>
        </is>
      </c>
      <c r="L4765" t="n">
        <v>2</v>
      </c>
      <c r="M4765" t="inlineStr">
        <is>
          <t>2026-06-22 14:06:01</t>
        </is>
      </c>
      <c r="N4765" t="inlineStr">
        <is>
          <t>system</t>
        </is>
      </c>
      <c r="O4765" t="inlineStr">
        <is>
          <t>2026-06-19 07:10:32</t>
        </is>
      </c>
      <c r="P4765" t="inlineStr">
        <is>
          <t>2026-06-19 07:10:32</t>
        </is>
      </c>
      <c r="Y4765" t="inlineStr">
        <is>
          <t>27769173436</t>
        </is>
      </c>
    </row>
    <row r="4766">
      <c r="A4766" t="inlineStr">
        <is>
          <t>14947816</t>
        </is>
      </c>
      <c r="B4766" t="inlineStr">
        <is>
          <t>b97baae2-1331-4601-a32c-482520f677d1</t>
        </is>
      </c>
      <c r="D4766" t="inlineStr">
        <is>
          <t>30001087</t>
        </is>
      </c>
      <c r="E4766" t="inlineStr">
        <is>
          <t>ussd_funeral_leads_altitude_20260619</t>
        </is>
      </c>
      <c r="J4766" t="inlineStr">
        <is>
          <t>ADC</t>
        </is>
      </c>
      <c r="K4766" t="inlineStr">
        <is>
          <t>Auto Dial Disconnected</t>
        </is>
      </c>
      <c r="L4766" t="n">
        <v>2</v>
      </c>
      <c r="M4766" t="inlineStr">
        <is>
          <t>2026-06-22 14:06:00</t>
        </is>
      </c>
      <c r="N4766" t="inlineStr">
        <is>
          <t>system</t>
        </is>
      </c>
      <c r="O4766" t="inlineStr">
        <is>
          <t>2026-06-19 07:10:32</t>
        </is>
      </c>
      <c r="P4766" t="inlineStr">
        <is>
          <t>2026-06-19 07:10:32</t>
        </is>
      </c>
      <c r="Y4766" t="inlineStr">
        <is>
          <t>27826739803</t>
        </is>
      </c>
    </row>
    <row r="4767">
      <c r="A4767" t="inlineStr">
        <is>
          <t>14947817</t>
        </is>
      </c>
      <c r="B4767" t="inlineStr">
        <is>
          <t>f3117aac-dc07-4094-a7cd-bccf1c834a74</t>
        </is>
      </c>
      <c r="D4767" t="inlineStr">
        <is>
          <t>30001087</t>
        </is>
      </c>
      <c r="E4767" t="inlineStr">
        <is>
          <t>ussd_funeral_leads_altitude_20260619</t>
        </is>
      </c>
      <c r="J4767" t="inlineStr">
        <is>
          <t>AA</t>
        </is>
      </c>
      <c r="K4767" t="inlineStr">
        <is>
          <t>Answering Machine Autodial</t>
        </is>
      </c>
      <c r="L4767" t="n">
        <v>2</v>
      </c>
      <c r="M4767" t="inlineStr">
        <is>
          <t>2026-06-22 14:06:00</t>
        </is>
      </c>
      <c r="N4767" t="inlineStr">
        <is>
          <t>system</t>
        </is>
      </c>
      <c r="O4767" t="inlineStr">
        <is>
          <t>2026-06-19 07:10:32</t>
        </is>
      </c>
      <c r="P4767" t="inlineStr">
        <is>
          <t>2026-06-19 07:10:32</t>
        </is>
      </c>
      <c r="Y4767" t="inlineStr">
        <is>
          <t>27674923307</t>
        </is>
      </c>
    </row>
    <row r="4768">
      <c r="A4768" t="inlineStr">
        <is>
          <t>14947821</t>
        </is>
      </c>
      <c r="B4768" t="inlineStr">
        <is>
          <t>ee563124-f93f-4848-92f1-d181c45b1210</t>
        </is>
      </c>
      <c r="D4768" t="inlineStr">
        <is>
          <t>30001087</t>
        </is>
      </c>
      <c r="E4768" t="inlineStr">
        <is>
          <t>ussd_funeral_leads_altitude_20260619</t>
        </is>
      </c>
      <c r="J4768" t="inlineStr">
        <is>
          <t>AE</t>
        </is>
      </c>
      <c r="K4768" t="inlineStr">
        <is>
          <t>Auto Engaged</t>
        </is>
      </c>
      <c r="L4768" t="n">
        <v>2</v>
      </c>
      <c r="M4768" t="inlineStr">
        <is>
          <t>2026-06-22 14:06:00</t>
        </is>
      </c>
      <c r="N4768" t="inlineStr">
        <is>
          <t>system</t>
        </is>
      </c>
      <c r="O4768" t="inlineStr">
        <is>
          <t>2026-06-19 07:10:32</t>
        </is>
      </c>
      <c r="P4768" t="inlineStr">
        <is>
          <t>2026-06-19 07:10:32</t>
        </is>
      </c>
      <c r="Y4768" t="inlineStr">
        <is>
          <t>27715018210</t>
        </is>
      </c>
    </row>
    <row r="4769">
      <c r="A4769" t="inlineStr">
        <is>
          <t>14947822</t>
        </is>
      </c>
      <c r="B4769" t="inlineStr">
        <is>
          <t>16f9e39f-e340-417d-871f-496b5070f4b9</t>
        </is>
      </c>
      <c r="D4769" t="inlineStr">
        <is>
          <t>30001087</t>
        </is>
      </c>
      <c r="E4769" t="inlineStr">
        <is>
          <t>ussd_funeral_leads_altitude_20260619</t>
        </is>
      </c>
      <c r="J4769" t="inlineStr">
        <is>
          <t>NA</t>
        </is>
      </c>
      <c r="K4769" t="inlineStr">
        <is>
          <t>No Answer Autodial</t>
        </is>
      </c>
      <c r="L4769" t="n">
        <v>2</v>
      </c>
      <c r="M4769" t="inlineStr">
        <is>
          <t>2026-06-22 14:05:56</t>
        </is>
      </c>
      <c r="N4769" t="inlineStr">
        <is>
          <t>system</t>
        </is>
      </c>
      <c r="O4769" t="inlineStr">
        <is>
          <t>2026-06-19 07:10:32</t>
        </is>
      </c>
      <c r="P4769" t="inlineStr">
        <is>
          <t>2026-06-19 07:10:32</t>
        </is>
      </c>
      <c r="Y4769" t="inlineStr">
        <is>
          <t>27764055856</t>
        </is>
      </c>
    </row>
    <row r="4770">
      <c r="A4770" t="inlineStr">
        <is>
          <t>14947823</t>
        </is>
      </c>
      <c r="B4770" t="inlineStr">
        <is>
          <t>f72dd076-fb46-4d28-ae0e-9a2b1a4f0def</t>
        </is>
      </c>
      <c r="D4770" t="inlineStr">
        <is>
          <t>30001087</t>
        </is>
      </c>
      <c r="E4770" t="inlineStr">
        <is>
          <t>ussd_funeral_leads_altitude_20260619</t>
        </is>
      </c>
      <c r="J4770" t="inlineStr">
        <is>
          <t>TDN</t>
        </is>
      </c>
      <c r="K4770" t="inlineStr">
        <is>
          <t>Temporary Disconnected Number</t>
        </is>
      </c>
      <c r="L4770" t="n">
        <v>2</v>
      </c>
      <c r="M4770" t="inlineStr">
        <is>
          <t>2026-06-22 14:05:55</t>
        </is>
      </c>
      <c r="N4770" t="inlineStr">
        <is>
          <t>system</t>
        </is>
      </c>
      <c r="O4770" t="inlineStr">
        <is>
          <t>2026-06-19 07:10:32</t>
        </is>
      </c>
      <c r="P4770" t="inlineStr">
        <is>
          <t>2026-06-19 07:10:32</t>
        </is>
      </c>
      <c r="Y4770" t="inlineStr">
        <is>
          <t>27711500055</t>
        </is>
      </c>
    </row>
    <row r="4771">
      <c r="A4771" t="inlineStr">
        <is>
          <t>14947824</t>
        </is>
      </c>
      <c r="B4771" t="inlineStr">
        <is>
          <t>789df0b2-ac74-4c28-9988-07369a5a959f</t>
        </is>
      </c>
      <c r="D4771" t="inlineStr">
        <is>
          <t>30001087</t>
        </is>
      </c>
      <c r="E4771" t="inlineStr">
        <is>
          <t>ussd_funeral_leads_altitude_20260619</t>
        </is>
      </c>
      <c r="J4771" t="inlineStr">
        <is>
          <t>AA</t>
        </is>
      </c>
      <c r="K4771" t="inlineStr">
        <is>
          <t>Answering Machine Autodial</t>
        </is>
      </c>
      <c r="L4771" t="n">
        <v>2</v>
      </c>
      <c r="M4771" t="inlineStr">
        <is>
          <t>2026-06-22 14:05:55</t>
        </is>
      </c>
      <c r="N4771" t="inlineStr">
        <is>
          <t>system</t>
        </is>
      </c>
      <c r="O4771" t="inlineStr">
        <is>
          <t>2026-06-19 07:10:32</t>
        </is>
      </c>
      <c r="P4771" t="inlineStr">
        <is>
          <t>2026-06-19 07:10:32</t>
        </is>
      </c>
      <c r="Y4771" t="inlineStr">
        <is>
          <t>27764267829</t>
        </is>
      </c>
    </row>
    <row r="4772">
      <c r="A4772" t="inlineStr">
        <is>
          <t>14947825</t>
        </is>
      </c>
      <c r="B4772" t="inlineStr">
        <is>
          <t>a724947d-2e5e-43ce-9947-1adc8f492a5b</t>
        </is>
      </c>
      <c r="D4772" t="inlineStr">
        <is>
          <t>30001087</t>
        </is>
      </c>
      <c r="E4772" t="inlineStr">
        <is>
          <t>ussd_funeral_leads_altitude_20260619</t>
        </is>
      </c>
      <c r="J4772" t="inlineStr">
        <is>
          <t>AA</t>
        </is>
      </c>
      <c r="K4772" t="inlineStr">
        <is>
          <t>Answering Machine Autodial</t>
        </is>
      </c>
      <c r="L4772" t="n">
        <v>2</v>
      </c>
      <c r="M4772" t="inlineStr">
        <is>
          <t>2026-06-22 14:05:54</t>
        </is>
      </c>
      <c r="N4772" t="inlineStr">
        <is>
          <t>system</t>
        </is>
      </c>
      <c r="O4772" t="inlineStr">
        <is>
          <t>2026-06-19 07:10:32</t>
        </is>
      </c>
      <c r="P4772" t="inlineStr">
        <is>
          <t>2026-06-19 07:10:32</t>
        </is>
      </c>
      <c r="Y4772" t="inlineStr">
        <is>
          <t>27725551200</t>
        </is>
      </c>
    </row>
    <row r="4773">
      <c r="A4773" t="inlineStr">
        <is>
          <t>14947826</t>
        </is>
      </c>
      <c r="B4773" t="inlineStr">
        <is>
          <t>5e106a60-9fa0-43a2-aa86-4fb97e66ee9d</t>
        </is>
      </c>
      <c r="D4773" t="inlineStr">
        <is>
          <t>30001087</t>
        </is>
      </c>
      <c r="E4773" t="inlineStr">
        <is>
          <t>ussd_funeral_leads_altitude_20260619</t>
        </is>
      </c>
      <c r="J4773" t="inlineStr">
        <is>
          <t>AA</t>
        </is>
      </c>
      <c r="K4773" t="inlineStr">
        <is>
          <t>Answering Machine Autodial</t>
        </is>
      </c>
      <c r="L4773" t="n">
        <v>2</v>
      </c>
      <c r="M4773" t="inlineStr">
        <is>
          <t>2026-06-22 14:05:54</t>
        </is>
      </c>
      <c r="N4773" t="inlineStr">
        <is>
          <t>system</t>
        </is>
      </c>
      <c r="O4773" t="inlineStr">
        <is>
          <t>2026-06-19 07:10:32</t>
        </is>
      </c>
      <c r="P4773" t="inlineStr">
        <is>
          <t>2026-06-19 07:10:32</t>
        </is>
      </c>
      <c r="Y4773" t="inlineStr">
        <is>
          <t>27648556070</t>
        </is>
      </c>
    </row>
    <row r="4774">
      <c r="A4774" t="inlineStr">
        <is>
          <t>14947827</t>
        </is>
      </c>
      <c r="B4774" t="inlineStr">
        <is>
          <t>d70d2726-1157-47e2-a850-fe50e8239a75</t>
        </is>
      </c>
      <c r="D4774" t="inlineStr">
        <is>
          <t>30001087</t>
        </is>
      </c>
      <c r="E4774" t="inlineStr">
        <is>
          <t>ussd_funeral_leads_altitude_20260619</t>
        </is>
      </c>
      <c r="J4774" t="inlineStr">
        <is>
          <t>NA</t>
        </is>
      </c>
      <c r="K4774" t="inlineStr">
        <is>
          <t>No Answer Autodial</t>
        </is>
      </c>
      <c r="L4774" t="n">
        <v>2</v>
      </c>
      <c r="M4774" t="inlineStr">
        <is>
          <t>2026-06-22 14:05:54</t>
        </is>
      </c>
      <c r="N4774" t="inlineStr">
        <is>
          <t>system</t>
        </is>
      </c>
      <c r="O4774" t="inlineStr">
        <is>
          <t>2026-06-19 07:10:32</t>
        </is>
      </c>
      <c r="P4774" t="inlineStr">
        <is>
          <t>2026-06-19 07:10:32</t>
        </is>
      </c>
      <c r="Y4774" t="inlineStr">
        <is>
          <t>27824379533</t>
        </is>
      </c>
    </row>
    <row r="4775">
      <c r="A4775" t="inlineStr">
        <is>
          <t>14947828</t>
        </is>
      </c>
      <c r="B4775" t="inlineStr">
        <is>
          <t>19d2ba39-1b33-4d6b-b42c-1115379a609a</t>
        </is>
      </c>
      <c r="D4775" t="inlineStr">
        <is>
          <t>30001087</t>
        </is>
      </c>
      <c r="E4775" t="inlineStr">
        <is>
          <t>ussd_funeral_leads_altitude_20260619</t>
        </is>
      </c>
      <c r="J4775" t="inlineStr">
        <is>
          <t>AA</t>
        </is>
      </c>
      <c r="K4775" t="inlineStr">
        <is>
          <t>Answering Machine Autodial</t>
        </is>
      </c>
      <c r="L4775" t="n">
        <v>2</v>
      </c>
      <c r="M4775" t="inlineStr">
        <is>
          <t>2026-06-22 14:05:54</t>
        </is>
      </c>
      <c r="N4775" t="inlineStr">
        <is>
          <t>system</t>
        </is>
      </c>
      <c r="O4775" t="inlineStr">
        <is>
          <t>2026-06-19 07:10:32</t>
        </is>
      </c>
      <c r="P4775" t="inlineStr">
        <is>
          <t>2026-06-19 07:10:32</t>
        </is>
      </c>
      <c r="Y4775" t="inlineStr">
        <is>
          <t>27637026090</t>
        </is>
      </c>
    </row>
    <row r="4776">
      <c r="A4776" t="inlineStr">
        <is>
          <t>14947835</t>
        </is>
      </c>
      <c r="B4776" t="inlineStr">
        <is>
          <t>b6eda5ee-7a64-4fc7-abde-7a21744a4f6c</t>
        </is>
      </c>
      <c r="D4776" t="inlineStr">
        <is>
          <t>30001087</t>
        </is>
      </c>
      <c r="E4776" t="inlineStr">
        <is>
          <t>ussd_funeral_leads_altitude_20260619</t>
        </is>
      </c>
      <c r="J4776" t="inlineStr">
        <is>
          <t>AF</t>
        </is>
      </c>
      <c r="K4776" t="inlineStr">
        <is>
          <t>Cannot Afford</t>
        </is>
      </c>
      <c r="L4776" t="n">
        <v>2</v>
      </c>
      <c r="M4776" t="inlineStr">
        <is>
          <t>2026-06-22 14:05:53</t>
        </is>
      </c>
      <c r="N4776" t="inlineStr">
        <is>
          <t>Vuyiswa Nxumalo</t>
        </is>
      </c>
      <c r="O4776" t="inlineStr">
        <is>
          <t>2026-06-19 07:10:32</t>
        </is>
      </c>
      <c r="P4776" t="inlineStr">
        <is>
          <t>2026-06-19 07:10:32</t>
        </is>
      </c>
      <c r="Y4776" t="inlineStr">
        <is>
          <t>27636821267</t>
        </is>
      </c>
    </row>
    <row r="4777">
      <c r="A4777" t="inlineStr">
        <is>
          <t>14947836</t>
        </is>
      </c>
      <c r="B4777" t="inlineStr">
        <is>
          <t>699037d0-104f-4b61-8b09-4f8f40921b29</t>
        </is>
      </c>
      <c r="D4777" t="inlineStr">
        <is>
          <t>30001087</t>
        </is>
      </c>
      <c r="E4777" t="inlineStr">
        <is>
          <t>ussd_funeral_leads_altitude_20260619</t>
        </is>
      </c>
      <c r="J4777" t="inlineStr">
        <is>
          <t>TDN</t>
        </is>
      </c>
      <c r="K4777" t="inlineStr">
        <is>
          <t>Temporary Disconnected Number</t>
        </is>
      </c>
      <c r="L4777" t="n">
        <v>2</v>
      </c>
      <c r="M4777" t="inlineStr">
        <is>
          <t>2026-06-22 14:05:52</t>
        </is>
      </c>
      <c r="N4777" t="inlineStr">
        <is>
          <t>system</t>
        </is>
      </c>
      <c r="O4777" t="inlineStr">
        <is>
          <t>2026-06-19 07:10:32</t>
        </is>
      </c>
      <c r="P4777" t="inlineStr">
        <is>
          <t>2026-06-19 07:10:32</t>
        </is>
      </c>
      <c r="Y4777" t="inlineStr">
        <is>
          <t>27725361148</t>
        </is>
      </c>
    </row>
    <row r="4778">
      <c r="A4778" t="inlineStr">
        <is>
          <t>14947839</t>
        </is>
      </c>
      <c r="B4778" t="inlineStr">
        <is>
          <t>2bd81e4f-cae3-4c7c-8949-8fa64735a377</t>
        </is>
      </c>
      <c r="D4778" t="inlineStr">
        <is>
          <t>30001087</t>
        </is>
      </c>
      <c r="E4778" t="inlineStr">
        <is>
          <t>ussd_funeral_leads_altitude_20260619</t>
        </is>
      </c>
      <c r="J4778" t="inlineStr">
        <is>
          <t>AA</t>
        </is>
      </c>
      <c r="K4778" t="inlineStr">
        <is>
          <t>Answering Machine Autodial</t>
        </is>
      </c>
      <c r="L4778" t="n">
        <v>2</v>
      </c>
      <c r="M4778" t="inlineStr">
        <is>
          <t>2026-06-22 14:05:52</t>
        </is>
      </c>
      <c r="N4778" t="inlineStr">
        <is>
          <t>system</t>
        </is>
      </c>
      <c r="O4778" t="inlineStr">
        <is>
          <t>2026-06-19 07:10:32</t>
        </is>
      </c>
      <c r="P4778" t="inlineStr">
        <is>
          <t>2026-06-19 07:10:32</t>
        </is>
      </c>
      <c r="Y4778" t="inlineStr">
        <is>
          <t>27723576623</t>
        </is>
      </c>
    </row>
    <row r="4779">
      <c r="A4779" t="inlineStr">
        <is>
          <t>14947840</t>
        </is>
      </c>
      <c r="B4779" t="inlineStr">
        <is>
          <t>f42b9b8b-aae6-4df5-aec0-d500c4a13102</t>
        </is>
      </c>
      <c r="D4779" t="inlineStr">
        <is>
          <t>30001087</t>
        </is>
      </c>
      <c r="E4779" t="inlineStr">
        <is>
          <t>ussd_funeral_leads_altitude_20260619</t>
        </is>
      </c>
      <c r="J4779" t="inlineStr">
        <is>
          <t>NA</t>
        </is>
      </c>
      <c r="K4779" t="inlineStr">
        <is>
          <t>No Answer Autodial</t>
        </is>
      </c>
      <c r="L4779" t="n">
        <v>2</v>
      </c>
      <c r="M4779" t="inlineStr">
        <is>
          <t>2026-06-22 14:05:51</t>
        </is>
      </c>
      <c r="N4779" t="inlineStr">
        <is>
          <t>system</t>
        </is>
      </c>
      <c r="O4779" t="inlineStr">
        <is>
          <t>2026-06-19 07:10:32</t>
        </is>
      </c>
      <c r="P4779" t="inlineStr">
        <is>
          <t>2026-06-19 07:10:32</t>
        </is>
      </c>
      <c r="Y4779" t="inlineStr">
        <is>
          <t>27825624625</t>
        </is>
      </c>
    </row>
    <row r="4780">
      <c r="A4780" t="inlineStr">
        <is>
          <t>14947841</t>
        </is>
      </c>
      <c r="B4780" t="inlineStr">
        <is>
          <t>0c35607e-5652-4bcc-978c-d372600f23cf</t>
        </is>
      </c>
      <c r="D4780" t="inlineStr">
        <is>
          <t>30001087</t>
        </is>
      </c>
      <c r="E4780" t="inlineStr">
        <is>
          <t>ussd_funeral_leads_altitude_20260619</t>
        </is>
      </c>
      <c r="J4780" t="inlineStr">
        <is>
          <t>NA</t>
        </is>
      </c>
      <c r="K4780" t="inlineStr">
        <is>
          <t>No Answer Autodial</t>
        </is>
      </c>
      <c r="L4780" t="n">
        <v>2</v>
      </c>
      <c r="M4780" t="inlineStr">
        <is>
          <t>2026-06-22 14:05:48</t>
        </is>
      </c>
      <c r="N4780" t="inlineStr">
        <is>
          <t>system</t>
        </is>
      </c>
      <c r="O4780" t="inlineStr">
        <is>
          <t>2026-06-19 07:10:32</t>
        </is>
      </c>
      <c r="P4780" t="inlineStr">
        <is>
          <t>2026-06-19 07:10:32</t>
        </is>
      </c>
      <c r="Y4780" t="inlineStr">
        <is>
          <t>27799883447</t>
        </is>
      </c>
    </row>
    <row r="4781">
      <c r="A4781" t="inlineStr">
        <is>
          <t>14947842</t>
        </is>
      </c>
      <c r="B4781" t="inlineStr">
        <is>
          <t>f521056f-2a5d-436f-a1c2-569d7fea1bcd</t>
        </is>
      </c>
      <c r="D4781" t="inlineStr">
        <is>
          <t>30001087</t>
        </is>
      </c>
      <c r="E4781" t="inlineStr">
        <is>
          <t>ussd_funeral_leads_altitude_20260619</t>
        </is>
      </c>
      <c r="J4781" t="inlineStr">
        <is>
          <t>AA</t>
        </is>
      </c>
      <c r="K4781" t="inlineStr">
        <is>
          <t>Answering Machine Autodial</t>
        </is>
      </c>
      <c r="L4781" t="n">
        <v>2</v>
      </c>
      <c r="M4781" t="inlineStr">
        <is>
          <t>2026-06-22 14:05:48</t>
        </is>
      </c>
      <c r="N4781" t="inlineStr">
        <is>
          <t>system</t>
        </is>
      </c>
      <c r="O4781" t="inlineStr">
        <is>
          <t>2026-06-19 07:10:32</t>
        </is>
      </c>
      <c r="P4781" t="inlineStr">
        <is>
          <t>2026-06-19 07:10:32</t>
        </is>
      </c>
      <c r="Y4781" t="inlineStr">
        <is>
          <t>27826932245</t>
        </is>
      </c>
    </row>
    <row r="4782">
      <c r="A4782" t="inlineStr">
        <is>
          <t>14947843</t>
        </is>
      </c>
      <c r="B4782" t="inlineStr">
        <is>
          <t>a5aa3988-70bb-4e25-9ba1-1b7da296dc81</t>
        </is>
      </c>
      <c r="D4782" t="inlineStr">
        <is>
          <t>30001087</t>
        </is>
      </c>
      <c r="E4782" t="inlineStr">
        <is>
          <t>ussd_funeral_leads_altitude_20260619</t>
        </is>
      </c>
      <c r="J4782" t="inlineStr">
        <is>
          <t>CU</t>
        </is>
      </c>
      <c r="K4782" t="inlineStr">
        <is>
          <t>Client Hung Up</t>
        </is>
      </c>
      <c r="L4782" t="n">
        <v>2</v>
      </c>
      <c r="M4782" t="inlineStr">
        <is>
          <t>2026-06-22 14:05:48</t>
        </is>
      </c>
      <c r="N4782" t="inlineStr">
        <is>
          <t>Lebohang Mabotja</t>
        </is>
      </c>
      <c r="O4782" t="inlineStr">
        <is>
          <t>2026-06-19 07:10:32</t>
        </is>
      </c>
      <c r="P4782" t="inlineStr">
        <is>
          <t>2026-06-19 07:10:32</t>
        </is>
      </c>
      <c r="Y4782" t="inlineStr">
        <is>
          <t>27673399271</t>
        </is>
      </c>
    </row>
    <row r="4783">
      <c r="A4783" t="inlineStr">
        <is>
          <t>14947844</t>
        </is>
      </c>
      <c r="B4783" t="inlineStr">
        <is>
          <t>79615b14-8e4e-4e2c-aca8-8fafa20c008a</t>
        </is>
      </c>
      <c r="D4783" t="inlineStr">
        <is>
          <t>30001087</t>
        </is>
      </c>
      <c r="E4783" t="inlineStr">
        <is>
          <t>ussd_funeral_leads_altitude_20260619</t>
        </is>
      </c>
      <c r="J4783" t="inlineStr">
        <is>
          <t>TDN</t>
        </is>
      </c>
      <c r="K4783" t="inlineStr">
        <is>
          <t>Temporary Disconnected Number</t>
        </is>
      </c>
      <c r="L4783" t="n">
        <v>2</v>
      </c>
      <c r="M4783" t="inlineStr">
        <is>
          <t>2026-06-22 14:05:40</t>
        </is>
      </c>
      <c r="N4783" t="inlineStr">
        <is>
          <t>system</t>
        </is>
      </c>
      <c r="O4783" t="inlineStr">
        <is>
          <t>2026-06-19 07:10:32</t>
        </is>
      </c>
      <c r="P4783" t="inlineStr">
        <is>
          <t>2026-06-19 07:10:32</t>
        </is>
      </c>
      <c r="Y4783" t="inlineStr">
        <is>
          <t>27794726250</t>
        </is>
      </c>
    </row>
    <row r="4784">
      <c r="A4784" t="inlineStr">
        <is>
          <t>14947319</t>
        </is>
      </c>
      <c r="B4784" t="inlineStr">
        <is>
          <t>feaec2a7-879c-43ba-b41a-c71495574325</t>
        </is>
      </c>
      <c r="D4784" t="inlineStr">
        <is>
          <t>30001087</t>
        </is>
      </c>
      <c r="E4784" t="inlineStr">
        <is>
          <t>ussd_funeral_leads_altitude_20260619</t>
        </is>
      </c>
      <c r="J4784" t="inlineStr">
        <is>
          <t>AA</t>
        </is>
      </c>
      <c r="K4784" t="inlineStr">
        <is>
          <t>Answering Machine Autodial</t>
        </is>
      </c>
      <c r="L4784" t="n">
        <v>2</v>
      </c>
      <c r="M4784" t="inlineStr">
        <is>
          <t>2026-06-22 14:05:39</t>
        </is>
      </c>
      <c r="N4784" t="inlineStr">
        <is>
          <t>system</t>
        </is>
      </c>
      <c r="O4784" t="inlineStr">
        <is>
          <t>2026-06-19 07:10:32</t>
        </is>
      </c>
      <c r="P4784" t="inlineStr">
        <is>
          <t>2026-06-19 07:10:32</t>
        </is>
      </c>
      <c r="Y4784" t="inlineStr">
        <is>
          <t>27766859505</t>
        </is>
      </c>
    </row>
    <row r="4785">
      <c r="A4785" t="inlineStr">
        <is>
          <t>14947845</t>
        </is>
      </c>
      <c r="B4785" t="inlineStr">
        <is>
          <t>52357427-9bc0-41c3-9bec-fde9ba873759</t>
        </is>
      </c>
      <c r="D4785" t="inlineStr">
        <is>
          <t>30001087</t>
        </is>
      </c>
      <c r="E4785" t="inlineStr">
        <is>
          <t>ussd_funeral_leads_altitude_20260619</t>
        </is>
      </c>
      <c r="J4785" t="inlineStr">
        <is>
          <t>AE</t>
        </is>
      </c>
      <c r="K4785" t="inlineStr">
        <is>
          <t>Auto Engaged</t>
        </is>
      </c>
      <c r="L4785" t="n">
        <v>2</v>
      </c>
      <c r="M4785" t="inlineStr">
        <is>
          <t>2026-06-22 14:05:16</t>
        </is>
      </c>
      <c r="N4785" t="inlineStr">
        <is>
          <t>system</t>
        </is>
      </c>
      <c r="O4785" t="inlineStr">
        <is>
          <t>2026-06-19 07:10:32</t>
        </is>
      </c>
      <c r="P4785" t="inlineStr">
        <is>
          <t>2026-06-19 07:10:32</t>
        </is>
      </c>
      <c r="Y4785" t="inlineStr">
        <is>
          <t>27673534377</t>
        </is>
      </c>
    </row>
    <row r="4786">
      <c r="A4786" t="inlineStr">
        <is>
          <t>14947846</t>
        </is>
      </c>
      <c r="B4786" t="inlineStr">
        <is>
          <t>7caed7a8-880f-4e23-a1e5-4c22e15ab659</t>
        </is>
      </c>
      <c r="D4786" t="inlineStr">
        <is>
          <t>30001087</t>
        </is>
      </c>
      <c r="E4786" t="inlineStr">
        <is>
          <t>ussd_funeral_leads_altitude_20260619</t>
        </is>
      </c>
      <c r="J4786" t="inlineStr">
        <is>
          <t>AA</t>
        </is>
      </c>
      <c r="K4786" t="inlineStr">
        <is>
          <t>Answering Machine Autodial</t>
        </is>
      </c>
      <c r="L4786" t="n">
        <v>2</v>
      </c>
      <c r="M4786" t="inlineStr">
        <is>
          <t>2026-06-22 14:05:16</t>
        </is>
      </c>
      <c r="N4786" t="inlineStr">
        <is>
          <t>system</t>
        </is>
      </c>
      <c r="O4786" t="inlineStr">
        <is>
          <t>2026-06-19 07:10:32</t>
        </is>
      </c>
      <c r="P4786" t="inlineStr">
        <is>
          <t>2026-06-19 07:10:32</t>
        </is>
      </c>
      <c r="Y4786" t="inlineStr">
        <is>
          <t>27636698313</t>
        </is>
      </c>
    </row>
    <row r="4787">
      <c r="A4787" t="inlineStr">
        <is>
          <t>14947847</t>
        </is>
      </c>
      <c r="B4787" t="inlineStr">
        <is>
          <t>84549d38-1b27-4c13-8a31-5b6fd41cc8ab</t>
        </is>
      </c>
      <c r="D4787" t="inlineStr">
        <is>
          <t>30001087</t>
        </is>
      </c>
      <c r="E4787" t="inlineStr">
        <is>
          <t>ussd_funeral_leads_altitude_20260619</t>
        </is>
      </c>
      <c r="J4787" t="inlineStr">
        <is>
          <t>AA</t>
        </is>
      </c>
      <c r="K4787" t="inlineStr">
        <is>
          <t>Answering Machine Autodial</t>
        </is>
      </c>
      <c r="L4787" t="n">
        <v>2</v>
      </c>
      <c r="M4787" t="inlineStr">
        <is>
          <t>2026-06-22 14:05:15</t>
        </is>
      </c>
      <c r="N4787" t="inlineStr">
        <is>
          <t>system</t>
        </is>
      </c>
      <c r="O4787" t="inlineStr">
        <is>
          <t>2026-06-19 07:10:32</t>
        </is>
      </c>
      <c r="P4787" t="inlineStr">
        <is>
          <t>2026-06-19 07:10:32</t>
        </is>
      </c>
      <c r="Y4787" t="inlineStr">
        <is>
          <t>27711144780</t>
        </is>
      </c>
    </row>
    <row r="4788">
      <c r="A4788" t="inlineStr">
        <is>
          <t>14947338</t>
        </is>
      </c>
      <c r="B4788" t="inlineStr">
        <is>
          <t>084bb8f2-b104-474a-b94a-4aacebc0d0ad</t>
        </is>
      </c>
      <c r="D4788" t="inlineStr">
        <is>
          <t>30001087</t>
        </is>
      </c>
      <c r="E4788" t="inlineStr">
        <is>
          <t>ussd_funeral_leads_altitude_20260619</t>
        </is>
      </c>
      <c r="J4788" t="inlineStr">
        <is>
          <t>AA</t>
        </is>
      </c>
      <c r="K4788" t="inlineStr">
        <is>
          <t>Answering Machine Autodial</t>
        </is>
      </c>
      <c r="L4788" t="n">
        <v>2</v>
      </c>
      <c r="M4788" t="inlineStr">
        <is>
          <t>2026-06-22 14:04:33</t>
        </is>
      </c>
      <c r="N4788" t="inlineStr">
        <is>
          <t>system</t>
        </is>
      </c>
      <c r="O4788" t="inlineStr">
        <is>
          <t>2026-06-19 07:10:32</t>
        </is>
      </c>
      <c r="P4788" t="inlineStr">
        <is>
          <t>2026-06-19 07:10:32</t>
        </is>
      </c>
      <c r="Y4788" t="inlineStr">
        <is>
          <t>27646733134</t>
        </is>
      </c>
    </row>
    <row r="4789">
      <c r="A4789" t="inlineStr">
        <is>
          <t>14947882</t>
        </is>
      </c>
      <c r="B4789" t="inlineStr">
        <is>
          <t>710ab447-93bc-4922-b975-0557d885378d</t>
        </is>
      </c>
      <c r="D4789" t="inlineStr">
        <is>
          <t>30001087</t>
        </is>
      </c>
      <c r="E4789" t="inlineStr">
        <is>
          <t>ussd_funeral_leads_altitude_20260619</t>
        </is>
      </c>
      <c r="J4789" t="inlineStr">
        <is>
          <t>CBACK</t>
        </is>
      </c>
      <c r="K4789" t="inlineStr">
        <is>
          <t>Callback</t>
        </is>
      </c>
      <c r="L4789" t="n">
        <v>2</v>
      </c>
      <c r="M4789" t="inlineStr">
        <is>
          <t>2026-06-22 14:03:42</t>
        </is>
      </c>
      <c r="N4789" t="inlineStr">
        <is>
          <t>Gontse Monageng</t>
        </is>
      </c>
      <c r="O4789" t="inlineStr">
        <is>
          <t>2026-06-19 07:10:32</t>
        </is>
      </c>
      <c r="P4789" t="inlineStr">
        <is>
          <t>2026-06-19 07:10:32</t>
        </is>
      </c>
      <c r="Y4789" t="inlineStr">
        <is>
          <t>27797956579</t>
        </is>
      </c>
    </row>
    <row r="4790">
      <c r="A4790" t="inlineStr">
        <is>
          <t>14947363</t>
        </is>
      </c>
      <c r="B4790" t="inlineStr">
        <is>
          <t>78d5b0c4-d26b-4bc4-95ca-6ef1dc8723f3</t>
        </is>
      </c>
      <c r="D4790" t="inlineStr">
        <is>
          <t>30001087</t>
        </is>
      </c>
      <c r="E4790" t="inlineStr">
        <is>
          <t>ussd_funeral_leads_altitude_20260619</t>
        </is>
      </c>
      <c r="J4790" t="inlineStr">
        <is>
          <t>AA</t>
        </is>
      </c>
      <c r="K4790" t="inlineStr">
        <is>
          <t>Answering Machine Autodial</t>
        </is>
      </c>
      <c r="L4790" t="n">
        <v>2</v>
      </c>
      <c r="M4790" t="inlineStr">
        <is>
          <t>2026-06-22 14:03:32</t>
        </is>
      </c>
      <c r="N4790" t="inlineStr">
        <is>
          <t>system</t>
        </is>
      </c>
      <c r="O4790" t="inlineStr">
        <is>
          <t>2026-06-19 07:10:32</t>
        </is>
      </c>
      <c r="P4790" t="inlineStr">
        <is>
          <t>2026-06-19 07:10:32</t>
        </is>
      </c>
      <c r="Y4790" t="inlineStr">
        <is>
          <t>27765261156</t>
        </is>
      </c>
    </row>
    <row r="4791">
      <c r="A4791" t="inlineStr">
        <is>
          <t>14948066</t>
        </is>
      </c>
      <c r="B4791" t="inlineStr">
        <is>
          <t>66a41848-3aee-4ccf-8218-d3c2d4562d51</t>
        </is>
      </c>
      <c r="D4791" t="inlineStr">
        <is>
          <t>30001087</t>
        </is>
      </c>
      <c r="E4791" t="inlineStr">
        <is>
          <t>ussd_funeral_leads_altitude_20260619</t>
        </is>
      </c>
      <c r="J4791" t="inlineStr">
        <is>
          <t>CUA</t>
        </is>
      </c>
      <c r="K4791" t="inlineStr">
        <is>
          <t>Client Underage</t>
        </is>
      </c>
      <c r="L4791" t="n">
        <v>2</v>
      </c>
      <c r="M4791" t="inlineStr">
        <is>
          <t>2026-06-22 14:02:17</t>
        </is>
      </c>
      <c r="N4791" t="inlineStr">
        <is>
          <t>Vuyiswa Nxumalo</t>
        </is>
      </c>
      <c r="O4791" t="inlineStr">
        <is>
          <t>2026-06-19 07:10:32</t>
        </is>
      </c>
      <c r="P4791" t="inlineStr">
        <is>
          <t>2026-06-19 07:10:32</t>
        </is>
      </c>
      <c r="Y4791" t="inlineStr">
        <is>
          <t>27606499010</t>
        </is>
      </c>
    </row>
    <row r="4792">
      <c r="A4792" t="inlineStr">
        <is>
          <t>14948117</t>
        </is>
      </c>
      <c r="B4792" t="inlineStr">
        <is>
          <t>7ab45e1b-210e-4fae-8472-6470a9e079b4</t>
        </is>
      </c>
      <c r="D4792" t="inlineStr">
        <is>
          <t>30001087</t>
        </is>
      </c>
      <c r="E4792" t="inlineStr">
        <is>
          <t>ussd_funeral_leads_altitude_20260619</t>
        </is>
      </c>
      <c r="J4792" t="inlineStr">
        <is>
          <t>ADC</t>
        </is>
      </c>
      <c r="K4792" t="inlineStr">
        <is>
          <t>Auto Dial Disconnected</t>
        </is>
      </c>
      <c r="L4792" t="n">
        <v>2</v>
      </c>
      <c r="M4792" t="inlineStr">
        <is>
          <t>2026-06-22 14:02:08</t>
        </is>
      </c>
      <c r="N4792" t="inlineStr">
        <is>
          <t>system</t>
        </is>
      </c>
      <c r="O4792" t="inlineStr">
        <is>
          <t>2026-06-19 07:10:32</t>
        </is>
      </c>
      <c r="P4792" t="inlineStr">
        <is>
          <t>2026-06-19 07:10:32</t>
        </is>
      </c>
      <c r="Y4792" t="inlineStr">
        <is>
          <t>27766483571</t>
        </is>
      </c>
    </row>
    <row r="4793">
      <c r="A4793" t="inlineStr">
        <is>
          <t>14948118</t>
        </is>
      </c>
      <c r="B4793" t="inlineStr">
        <is>
          <t>80f5e2cd-9bbd-4273-b33f-9e86fecd6cb1</t>
        </is>
      </c>
      <c r="D4793" t="inlineStr">
        <is>
          <t>30001087</t>
        </is>
      </c>
      <c r="E4793" t="inlineStr">
        <is>
          <t>ussd_funeral_leads_altitude_20260619</t>
        </is>
      </c>
      <c r="J4793" t="inlineStr">
        <is>
          <t>AA</t>
        </is>
      </c>
      <c r="K4793" t="inlineStr">
        <is>
          <t>Answering Machine Autodial</t>
        </is>
      </c>
      <c r="L4793" t="n">
        <v>2</v>
      </c>
      <c r="M4793" t="inlineStr">
        <is>
          <t>2026-06-22 14:02:06</t>
        </is>
      </c>
      <c r="N4793" t="inlineStr">
        <is>
          <t>system</t>
        </is>
      </c>
      <c r="O4793" t="inlineStr">
        <is>
          <t>2026-06-19 07:10:32</t>
        </is>
      </c>
      <c r="P4793" t="inlineStr">
        <is>
          <t>2026-06-19 07:10:32</t>
        </is>
      </c>
      <c r="Y4793" t="inlineStr">
        <is>
          <t>27646179298</t>
        </is>
      </c>
    </row>
    <row r="4794">
      <c r="A4794" t="inlineStr">
        <is>
          <t>14948119</t>
        </is>
      </c>
      <c r="B4794" t="inlineStr">
        <is>
          <t>352824cc-c257-4de7-b517-3e280ad5adcd</t>
        </is>
      </c>
      <c r="D4794" t="inlineStr">
        <is>
          <t>30001087</t>
        </is>
      </c>
      <c r="E4794" t="inlineStr">
        <is>
          <t>ussd_funeral_leads_altitude_20260619</t>
        </is>
      </c>
      <c r="J4794" t="inlineStr">
        <is>
          <t>AA</t>
        </is>
      </c>
      <c r="K4794" t="inlineStr">
        <is>
          <t>Answering Machine Autodial</t>
        </is>
      </c>
      <c r="L4794" t="n">
        <v>2</v>
      </c>
      <c r="M4794" t="inlineStr">
        <is>
          <t>2026-06-22 14:02:04</t>
        </is>
      </c>
      <c r="N4794" t="inlineStr">
        <is>
          <t>system</t>
        </is>
      </c>
      <c r="O4794" t="inlineStr">
        <is>
          <t>2026-06-19 07:10:32</t>
        </is>
      </c>
      <c r="P4794" t="inlineStr">
        <is>
          <t>2026-06-19 07:10:32</t>
        </is>
      </c>
      <c r="Y4794" t="inlineStr">
        <is>
          <t>27772497703</t>
        </is>
      </c>
    </row>
    <row r="4795">
      <c r="A4795" t="inlineStr">
        <is>
          <t>14948120</t>
        </is>
      </c>
      <c r="B4795" t="inlineStr">
        <is>
          <t>7e0d22ab-a69a-41f1-9538-4a2e74dda820</t>
        </is>
      </c>
      <c r="D4795" t="inlineStr">
        <is>
          <t>30001087</t>
        </is>
      </c>
      <c r="E4795" t="inlineStr">
        <is>
          <t>ussd_funeral_leads_altitude_20260619</t>
        </is>
      </c>
      <c r="J4795" t="inlineStr">
        <is>
          <t>CU</t>
        </is>
      </c>
      <c r="K4795" t="inlineStr">
        <is>
          <t>Client Hung Up</t>
        </is>
      </c>
      <c r="L4795" t="n">
        <v>2</v>
      </c>
      <c r="M4795" t="inlineStr">
        <is>
          <t>2026-06-22 14:02:04</t>
        </is>
      </c>
      <c r="N4795" t="inlineStr">
        <is>
          <t>Dimakatso Nkomo</t>
        </is>
      </c>
      <c r="O4795" t="inlineStr">
        <is>
          <t>2026-06-19 07:10:32</t>
        </is>
      </c>
      <c r="P4795" t="inlineStr">
        <is>
          <t>2026-06-19 07:10:32</t>
        </is>
      </c>
      <c r="Y4795" t="inlineStr">
        <is>
          <t>27663378923</t>
        </is>
      </c>
    </row>
    <row r="4796">
      <c r="A4796" t="inlineStr">
        <is>
          <t>14948121</t>
        </is>
      </c>
      <c r="B4796" t="inlineStr">
        <is>
          <t>dc4dc9c1-5cac-49c2-bff9-941fbf02d449</t>
        </is>
      </c>
      <c r="D4796" t="inlineStr">
        <is>
          <t>30001087</t>
        </is>
      </c>
      <c r="E4796" t="inlineStr">
        <is>
          <t>ussd_funeral_leads_altitude_20260619</t>
        </is>
      </c>
      <c r="J4796" t="inlineStr">
        <is>
          <t>AA</t>
        </is>
      </c>
      <c r="K4796" t="inlineStr">
        <is>
          <t>Answering Machine Autodial</t>
        </is>
      </c>
      <c r="L4796" t="n">
        <v>2</v>
      </c>
      <c r="M4796" t="inlineStr">
        <is>
          <t>2026-06-22 14:00:12</t>
        </is>
      </c>
      <c r="N4796" t="inlineStr">
        <is>
          <t>system</t>
        </is>
      </c>
      <c r="O4796" t="inlineStr">
        <is>
          <t>2026-06-19 07:10:32</t>
        </is>
      </c>
      <c r="P4796" t="inlineStr">
        <is>
          <t>2026-06-19 07:10:32</t>
        </is>
      </c>
      <c r="Y4796" t="inlineStr">
        <is>
          <t>27792304431</t>
        </is>
      </c>
    </row>
    <row r="4797">
      <c r="A4797" t="inlineStr">
        <is>
          <t>14948124</t>
        </is>
      </c>
      <c r="B4797" t="inlineStr">
        <is>
          <t>93d4eeb7-a1d6-4fc6-8cfb-662449ab3757</t>
        </is>
      </c>
      <c r="D4797" t="inlineStr">
        <is>
          <t>30001087</t>
        </is>
      </c>
      <c r="E4797" t="inlineStr">
        <is>
          <t>ussd_funeral_leads_altitude_20260619</t>
        </is>
      </c>
      <c r="J4797" t="inlineStr">
        <is>
          <t>DROP</t>
        </is>
      </c>
      <c r="K4797" t="inlineStr">
        <is>
          <t>Dropped</t>
        </is>
      </c>
      <c r="L4797" t="n">
        <v>2</v>
      </c>
      <c r="M4797" t="inlineStr">
        <is>
          <t>2026-06-22 14:00:08</t>
        </is>
      </c>
      <c r="N4797" t="inlineStr">
        <is>
          <t>system</t>
        </is>
      </c>
      <c r="O4797" t="inlineStr">
        <is>
          <t>2026-06-19 07:10:32</t>
        </is>
      </c>
      <c r="P4797" t="inlineStr">
        <is>
          <t>2026-06-19 07:10:32</t>
        </is>
      </c>
      <c r="Y4797" t="inlineStr">
        <is>
          <t>27728746040</t>
        </is>
      </c>
    </row>
    <row r="4798">
      <c r="A4798" t="inlineStr">
        <is>
          <t>14947981</t>
        </is>
      </c>
      <c r="B4798" t="inlineStr">
        <is>
          <t>09bfac80-8677-4e94-b5cb-13855910ea83</t>
        </is>
      </c>
      <c r="D4798" t="inlineStr">
        <is>
          <t>30001087</t>
        </is>
      </c>
      <c r="E4798" t="inlineStr">
        <is>
          <t>ussd_funeral_leads_altitude_20260619</t>
        </is>
      </c>
      <c r="J4798" t="inlineStr">
        <is>
          <t>AF</t>
        </is>
      </c>
      <c r="K4798" t="inlineStr">
        <is>
          <t>Cannot Afford</t>
        </is>
      </c>
      <c r="L4798" t="n">
        <v>2</v>
      </c>
      <c r="M4798" t="inlineStr">
        <is>
          <t>2026-06-22 13:56:13</t>
        </is>
      </c>
      <c r="N4798" t="inlineStr">
        <is>
          <t>Gontse Monageng</t>
        </is>
      </c>
      <c r="O4798" t="inlineStr">
        <is>
          <t>2026-06-19 07:10:32</t>
        </is>
      </c>
      <c r="P4798" t="inlineStr">
        <is>
          <t>2026-06-19 07:10:32</t>
        </is>
      </c>
      <c r="Y4798" t="inlineStr">
        <is>
          <t>27826382241</t>
        </is>
      </c>
    </row>
    <row r="4799">
      <c r="A4799" t="inlineStr">
        <is>
          <t>14947453</t>
        </is>
      </c>
      <c r="B4799" t="inlineStr">
        <is>
          <t>713b7c30-47d8-413d-8ccc-c8973e78bdc1</t>
        </is>
      </c>
      <c r="D4799" t="inlineStr">
        <is>
          <t>30001087</t>
        </is>
      </c>
      <c r="E4799" t="inlineStr">
        <is>
          <t>ussd_funeral_leads_altitude_20260619</t>
        </is>
      </c>
      <c r="J4799" t="inlineStr">
        <is>
          <t>AA</t>
        </is>
      </c>
      <c r="K4799" t="inlineStr">
        <is>
          <t>Answering Machine Autodial</t>
        </is>
      </c>
      <c r="L4799" t="n">
        <v>2</v>
      </c>
      <c r="M4799" t="inlineStr">
        <is>
          <t>2026-06-22 13:55:33</t>
        </is>
      </c>
      <c r="N4799" t="inlineStr">
        <is>
          <t>system</t>
        </is>
      </c>
      <c r="O4799" t="inlineStr">
        <is>
          <t>2026-06-19 07:10:32</t>
        </is>
      </c>
      <c r="P4799" t="inlineStr">
        <is>
          <t>2026-06-19 07:10:32</t>
        </is>
      </c>
      <c r="Y4799" t="inlineStr">
        <is>
          <t>27725500939</t>
        </is>
      </c>
    </row>
    <row r="4800">
      <c r="A4800" t="inlineStr">
        <is>
          <t>14948036</t>
        </is>
      </c>
      <c r="B4800" t="inlineStr">
        <is>
          <t>1cf5a119-8314-4904-b4e7-b0959a20329d</t>
        </is>
      </c>
      <c r="D4800" t="inlineStr">
        <is>
          <t>30001087</t>
        </is>
      </c>
      <c r="E4800" t="inlineStr">
        <is>
          <t>ussd_funeral_leads_altitude_20260619</t>
        </is>
      </c>
      <c r="J4800" t="inlineStr">
        <is>
          <t>NI</t>
        </is>
      </c>
      <c r="K4800" t="inlineStr">
        <is>
          <t>Not Interested</t>
        </is>
      </c>
      <c r="L4800" t="n">
        <v>2</v>
      </c>
      <c r="M4800" t="inlineStr">
        <is>
          <t>2026-06-22 13:55:20</t>
        </is>
      </c>
      <c r="N4800" t="inlineStr">
        <is>
          <t>Goitsimang Mogwasa</t>
        </is>
      </c>
      <c r="O4800" t="inlineStr">
        <is>
          <t>2026-06-19 07:10:32</t>
        </is>
      </c>
      <c r="P4800" t="inlineStr">
        <is>
          <t>2026-06-19 07:10:32</t>
        </is>
      </c>
      <c r="Y4800" t="inlineStr">
        <is>
          <t>27792769930</t>
        </is>
      </c>
    </row>
    <row r="4801">
      <c r="A4801" t="inlineStr">
        <is>
          <t>14947576</t>
        </is>
      </c>
      <c r="B4801" t="inlineStr">
        <is>
          <t>0485137b-c7a1-48c4-9295-6f6d3ca4bc31</t>
        </is>
      </c>
      <c r="D4801" t="inlineStr">
        <is>
          <t>30001087</t>
        </is>
      </c>
      <c r="E4801" t="inlineStr">
        <is>
          <t>ussd_funeral_leads_altitude_20260619</t>
        </is>
      </c>
      <c r="J4801" t="inlineStr">
        <is>
          <t>TDN</t>
        </is>
      </c>
      <c r="K4801" t="inlineStr">
        <is>
          <t>Temporary Disconnected Number</t>
        </is>
      </c>
      <c r="L4801" t="n">
        <v>2</v>
      </c>
      <c r="M4801" t="inlineStr">
        <is>
          <t>2026-06-22 13:54:10</t>
        </is>
      </c>
      <c r="N4801" t="inlineStr">
        <is>
          <t>system</t>
        </is>
      </c>
      <c r="O4801" t="inlineStr">
        <is>
          <t>2026-06-19 07:10:32</t>
        </is>
      </c>
      <c r="P4801" t="inlineStr">
        <is>
          <t>2026-06-19 07:10:32</t>
        </is>
      </c>
      <c r="Y4801" t="inlineStr">
        <is>
          <t>27649300636</t>
        </is>
      </c>
    </row>
    <row r="4802">
      <c r="A4802" t="inlineStr">
        <is>
          <t>14947592</t>
        </is>
      </c>
      <c r="B4802" t="inlineStr">
        <is>
          <t>c955b821-7a02-48a4-a4e1-5031072e35b1</t>
        </is>
      </c>
      <c r="D4802" t="inlineStr">
        <is>
          <t>30001087</t>
        </is>
      </c>
      <c r="E4802" t="inlineStr">
        <is>
          <t>ussd_funeral_leads_altitude_20260619</t>
        </is>
      </c>
      <c r="J4802" t="inlineStr">
        <is>
          <t>ADC</t>
        </is>
      </c>
      <c r="K4802" t="inlineStr">
        <is>
          <t>Auto Dial Disconnected</t>
        </is>
      </c>
      <c r="L4802" t="n">
        <v>2</v>
      </c>
      <c r="M4802" t="inlineStr">
        <is>
          <t>2026-06-22 13:53:43</t>
        </is>
      </c>
      <c r="N4802" t="inlineStr">
        <is>
          <t>system</t>
        </is>
      </c>
      <c r="O4802" t="inlineStr">
        <is>
          <t>2026-06-19 07:10:32</t>
        </is>
      </c>
      <c r="P4802" t="inlineStr">
        <is>
          <t>2026-06-19 07:10:32</t>
        </is>
      </c>
      <c r="Y4802" t="inlineStr">
        <is>
          <t>27799403642</t>
        </is>
      </c>
    </row>
    <row r="4803">
      <c r="A4803" t="inlineStr">
        <is>
          <t>14947830</t>
        </is>
      </c>
      <c r="B4803" t="inlineStr">
        <is>
          <t>420570c7-80bb-4d09-8b2f-4536a6659aa2</t>
        </is>
      </c>
      <c r="D4803" t="inlineStr">
        <is>
          <t>30001087</t>
        </is>
      </c>
      <c r="E4803" t="inlineStr">
        <is>
          <t>ussd_funeral_leads_altitude_20260619</t>
        </is>
      </c>
      <c r="J4803" t="inlineStr">
        <is>
          <t>AA</t>
        </is>
      </c>
      <c r="K4803" t="inlineStr">
        <is>
          <t>Answering Machine Autodial</t>
        </is>
      </c>
      <c r="L4803" t="n">
        <v>2</v>
      </c>
      <c r="M4803" t="inlineStr">
        <is>
          <t>2026-06-22 13:49:18</t>
        </is>
      </c>
      <c r="N4803" t="inlineStr">
        <is>
          <t>system</t>
        </is>
      </c>
      <c r="O4803" t="inlineStr">
        <is>
          <t>2026-06-19 07:10:32</t>
        </is>
      </c>
      <c r="P4803" t="inlineStr">
        <is>
          <t>2026-06-19 07:10:32</t>
        </is>
      </c>
      <c r="Y4803" t="inlineStr">
        <is>
          <t>27761559346</t>
        </is>
      </c>
    </row>
    <row r="4804">
      <c r="A4804" t="inlineStr">
        <is>
          <t>14947831</t>
        </is>
      </c>
      <c r="B4804" t="inlineStr">
        <is>
          <t>7464bbef-b5c8-43f7-aba9-a88fd7ae8f23</t>
        </is>
      </c>
      <c r="D4804" t="inlineStr">
        <is>
          <t>30001087</t>
        </is>
      </c>
      <c r="E4804" t="inlineStr">
        <is>
          <t>ussd_funeral_leads_altitude_20260619</t>
        </is>
      </c>
      <c r="J4804" t="inlineStr">
        <is>
          <t>ADC</t>
        </is>
      </c>
      <c r="K4804" t="inlineStr">
        <is>
          <t>Auto Dial Disconnected</t>
        </is>
      </c>
      <c r="L4804" t="n">
        <v>2</v>
      </c>
      <c r="M4804" t="inlineStr">
        <is>
          <t>2026-06-22 13:49:18</t>
        </is>
      </c>
      <c r="N4804" t="inlineStr">
        <is>
          <t>system</t>
        </is>
      </c>
      <c r="O4804" t="inlineStr">
        <is>
          <t>2026-06-19 07:10:32</t>
        </is>
      </c>
      <c r="P4804" t="inlineStr">
        <is>
          <t>2026-06-19 07:10:32</t>
        </is>
      </c>
      <c r="Y4804" t="inlineStr">
        <is>
          <t>27724636597</t>
        </is>
      </c>
    </row>
    <row r="4805">
      <c r="A4805" t="inlineStr">
        <is>
          <t>14947832</t>
        </is>
      </c>
      <c r="B4805" t="inlineStr">
        <is>
          <t>f788eb9b-0a7d-444e-b268-38184d31761e</t>
        </is>
      </c>
      <c r="D4805" t="inlineStr">
        <is>
          <t>30001087</t>
        </is>
      </c>
      <c r="E4805" t="inlineStr">
        <is>
          <t>ussd_funeral_leads_altitude_20260619</t>
        </is>
      </c>
      <c r="J4805" t="inlineStr">
        <is>
          <t>TDN</t>
        </is>
      </c>
      <c r="K4805" t="inlineStr">
        <is>
          <t>Temporary Disconnected Number</t>
        </is>
      </c>
      <c r="L4805" t="n">
        <v>2</v>
      </c>
      <c r="M4805" t="inlineStr">
        <is>
          <t>2026-06-22 13:49:18</t>
        </is>
      </c>
      <c r="N4805" t="inlineStr">
        <is>
          <t>system</t>
        </is>
      </c>
      <c r="O4805" t="inlineStr">
        <is>
          <t>2026-06-19 07:10:32</t>
        </is>
      </c>
      <c r="P4805" t="inlineStr">
        <is>
          <t>2026-06-19 07:10:32</t>
        </is>
      </c>
      <c r="Y4805" t="inlineStr">
        <is>
          <t>27769104660</t>
        </is>
      </c>
    </row>
    <row r="4806">
      <c r="A4806" t="inlineStr">
        <is>
          <t>14947833</t>
        </is>
      </c>
      <c r="B4806" t="inlineStr">
        <is>
          <t>447bcc53-cd0e-4974-a38d-3b07d804e43a</t>
        </is>
      </c>
      <c r="D4806" t="inlineStr">
        <is>
          <t>30001087</t>
        </is>
      </c>
      <c r="E4806" t="inlineStr">
        <is>
          <t>ussd_funeral_leads_altitude_20260619</t>
        </is>
      </c>
      <c r="J4806" t="inlineStr">
        <is>
          <t>AA</t>
        </is>
      </c>
      <c r="K4806" t="inlineStr">
        <is>
          <t>Answering Machine Autodial</t>
        </is>
      </c>
      <c r="L4806" t="n">
        <v>2</v>
      </c>
      <c r="M4806" t="inlineStr">
        <is>
          <t>2026-06-22 13:49:18</t>
        </is>
      </c>
      <c r="N4806" t="inlineStr">
        <is>
          <t>system</t>
        </is>
      </c>
      <c r="O4806" t="inlineStr">
        <is>
          <t>2026-06-19 07:10:32</t>
        </is>
      </c>
      <c r="P4806" t="inlineStr">
        <is>
          <t>2026-06-19 07:10:32</t>
        </is>
      </c>
      <c r="Y4806" t="inlineStr">
        <is>
          <t>27648828625</t>
        </is>
      </c>
    </row>
    <row r="4807">
      <c r="A4807" t="inlineStr">
        <is>
          <t>14947834</t>
        </is>
      </c>
      <c r="B4807" t="inlineStr">
        <is>
          <t>a38e3048-7788-4f0b-a42a-bf59a5e8b64d</t>
        </is>
      </c>
      <c r="D4807" t="inlineStr">
        <is>
          <t>30001087</t>
        </is>
      </c>
      <c r="E4807" t="inlineStr">
        <is>
          <t>ussd_funeral_leads_altitude_20260619</t>
        </is>
      </c>
      <c r="J4807" t="inlineStr">
        <is>
          <t>AA</t>
        </is>
      </c>
      <c r="K4807" t="inlineStr">
        <is>
          <t>Answering Machine Autodial</t>
        </is>
      </c>
      <c r="L4807" t="n">
        <v>2</v>
      </c>
      <c r="M4807" t="inlineStr">
        <is>
          <t>2026-06-22 13:49:18</t>
        </is>
      </c>
      <c r="N4807" t="inlineStr">
        <is>
          <t>system</t>
        </is>
      </c>
      <c r="O4807" t="inlineStr">
        <is>
          <t>2026-06-19 07:10:32</t>
        </is>
      </c>
      <c r="P4807" t="inlineStr">
        <is>
          <t>2026-06-19 07:10:32</t>
        </is>
      </c>
      <c r="Y4807" t="inlineStr">
        <is>
          <t>27728214617</t>
        </is>
      </c>
    </row>
    <row r="4808">
      <c r="A4808" t="inlineStr">
        <is>
          <t>14947753</t>
        </is>
      </c>
      <c r="B4808" t="inlineStr">
        <is>
          <t>55fefbb4-48d2-4c9b-b65b-b1707e5817bf</t>
        </is>
      </c>
      <c r="D4808" t="inlineStr">
        <is>
          <t>30001087</t>
        </is>
      </c>
      <c r="E4808" t="inlineStr">
        <is>
          <t>ussd_funeral_leads_altitude_20260619</t>
        </is>
      </c>
      <c r="J4808" t="inlineStr">
        <is>
          <t>AA</t>
        </is>
      </c>
      <c r="K4808" t="inlineStr">
        <is>
          <t>Answering Machine Autodial</t>
        </is>
      </c>
      <c r="L4808" t="n">
        <v>2</v>
      </c>
      <c r="M4808" t="inlineStr">
        <is>
          <t>2026-06-22 13:45:09</t>
        </is>
      </c>
      <c r="N4808" t="inlineStr">
        <is>
          <t>system</t>
        </is>
      </c>
      <c r="O4808" t="inlineStr">
        <is>
          <t>2026-06-19 07:10:32</t>
        </is>
      </c>
      <c r="P4808" t="inlineStr">
        <is>
          <t>2026-06-19 07:10:32</t>
        </is>
      </c>
      <c r="Y4808" t="inlineStr">
        <is>
          <t>27722435106</t>
        </is>
      </c>
    </row>
    <row r="4809">
      <c r="A4809" t="inlineStr">
        <is>
          <t>14947755</t>
        </is>
      </c>
      <c r="B4809" t="inlineStr">
        <is>
          <t>ef8b3313-a475-48ab-9d47-ad4696889516</t>
        </is>
      </c>
      <c r="D4809" t="inlineStr">
        <is>
          <t>30001087</t>
        </is>
      </c>
      <c r="E4809" t="inlineStr">
        <is>
          <t>ussd_funeral_leads_altitude_20260619</t>
        </is>
      </c>
      <c r="J4809" t="inlineStr">
        <is>
          <t>ADC</t>
        </is>
      </c>
      <c r="K4809" t="inlineStr">
        <is>
          <t>Auto Dial Disconnected</t>
        </is>
      </c>
      <c r="L4809" t="n">
        <v>2</v>
      </c>
      <c r="M4809" t="inlineStr">
        <is>
          <t>2026-06-22 13:45:07</t>
        </is>
      </c>
      <c r="N4809" t="inlineStr">
        <is>
          <t>system</t>
        </is>
      </c>
      <c r="O4809" t="inlineStr">
        <is>
          <t>2026-06-19 07:10:32</t>
        </is>
      </c>
      <c r="P4809" t="inlineStr">
        <is>
          <t>2026-06-19 07:10:32</t>
        </is>
      </c>
      <c r="Y4809" t="inlineStr">
        <is>
          <t>27763587691</t>
        </is>
      </c>
    </row>
    <row r="4810">
      <c r="A4810" t="inlineStr">
        <is>
          <t>14947754</t>
        </is>
      </c>
      <c r="B4810" t="inlineStr">
        <is>
          <t>1dc630b3-38e2-4d99-9a0e-b87f66cf03a6</t>
        </is>
      </c>
      <c r="D4810" t="inlineStr">
        <is>
          <t>30001087</t>
        </is>
      </c>
      <c r="E4810" t="inlineStr">
        <is>
          <t>ussd_funeral_leads_altitude_20260619</t>
        </is>
      </c>
      <c r="J4810" t="inlineStr">
        <is>
          <t>ADC</t>
        </is>
      </c>
      <c r="K4810" t="inlineStr">
        <is>
          <t>Auto Dial Disconnected</t>
        </is>
      </c>
      <c r="L4810" t="n">
        <v>2</v>
      </c>
      <c r="M4810" t="inlineStr">
        <is>
          <t>2026-06-22 13:45:06</t>
        </is>
      </c>
      <c r="N4810" t="inlineStr">
        <is>
          <t>system</t>
        </is>
      </c>
      <c r="O4810" t="inlineStr">
        <is>
          <t>2026-06-19 07:10:32</t>
        </is>
      </c>
      <c r="P4810" t="inlineStr">
        <is>
          <t>2026-06-19 07:10:32</t>
        </is>
      </c>
      <c r="Y4810" t="inlineStr">
        <is>
          <t>27647047914</t>
        </is>
      </c>
    </row>
    <row r="4811">
      <c r="A4811" t="inlineStr">
        <is>
          <t>14947756</t>
        </is>
      </c>
      <c r="B4811" t="inlineStr">
        <is>
          <t>fcda050c-ff8a-4590-8cc3-1ef0702ac3a3</t>
        </is>
      </c>
      <c r="D4811" t="inlineStr">
        <is>
          <t>30001087</t>
        </is>
      </c>
      <c r="E4811" t="inlineStr">
        <is>
          <t>ussd_funeral_leads_altitude_20260619</t>
        </is>
      </c>
      <c r="J4811" t="inlineStr">
        <is>
          <t>AA</t>
        </is>
      </c>
      <c r="K4811" t="inlineStr">
        <is>
          <t>Answering Machine Autodial</t>
        </is>
      </c>
      <c r="L4811" t="n">
        <v>2</v>
      </c>
      <c r="M4811" t="inlineStr">
        <is>
          <t>2026-06-22 13:45:03</t>
        </is>
      </c>
      <c r="N4811" t="inlineStr">
        <is>
          <t>system</t>
        </is>
      </c>
      <c r="O4811" t="inlineStr">
        <is>
          <t>2026-06-19 07:10:32</t>
        </is>
      </c>
      <c r="P4811" t="inlineStr">
        <is>
          <t>2026-06-19 07:10:32</t>
        </is>
      </c>
      <c r="Y4811" t="inlineStr">
        <is>
          <t>27728094717</t>
        </is>
      </c>
    </row>
    <row r="4812">
      <c r="A4812" t="inlineStr">
        <is>
          <t>14947757</t>
        </is>
      </c>
      <c r="B4812" t="inlineStr">
        <is>
          <t>e90e1673-a433-4ad1-bb89-bb04f53956ca</t>
        </is>
      </c>
      <c r="D4812" t="inlineStr">
        <is>
          <t>30001087</t>
        </is>
      </c>
      <c r="E4812" t="inlineStr">
        <is>
          <t>ussd_funeral_leads_altitude_20260619</t>
        </is>
      </c>
      <c r="J4812" t="inlineStr">
        <is>
          <t>CU</t>
        </is>
      </c>
      <c r="K4812" t="inlineStr">
        <is>
          <t>Client Hung Up</t>
        </is>
      </c>
      <c r="L4812" t="n">
        <v>2</v>
      </c>
      <c r="M4812" t="inlineStr">
        <is>
          <t>2026-06-22 13:45:03</t>
        </is>
      </c>
      <c r="N4812" t="inlineStr">
        <is>
          <t>Dimakatso Nkomo</t>
        </is>
      </c>
      <c r="O4812" t="inlineStr">
        <is>
          <t>2026-06-19 07:10:32</t>
        </is>
      </c>
      <c r="P4812" t="inlineStr">
        <is>
          <t>2026-06-19 07:10:32</t>
        </is>
      </c>
      <c r="Y4812" t="inlineStr">
        <is>
          <t>27714147860</t>
        </is>
      </c>
    </row>
    <row r="4813">
      <c r="A4813" t="inlineStr">
        <is>
          <t>14947758</t>
        </is>
      </c>
      <c r="B4813" t="inlineStr">
        <is>
          <t>f0901689-2dfe-40dd-b967-ebc0ed7f487a</t>
        </is>
      </c>
      <c r="D4813" t="inlineStr">
        <is>
          <t>30001087</t>
        </is>
      </c>
      <c r="E4813" t="inlineStr">
        <is>
          <t>ussd_funeral_leads_altitude_20260619</t>
        </is>
      </c>
      <c r="J4813" t="inlineStr">
        <is>
          <t>ADC</t>
        </is>
      </c>
      <c r="K4813" t="inlineStr">
        <is>
          <t>Auto Dial Disconnected</t>
        </is>
      </c>
      <c r="L4813" t="n">
        <v>2</v>
      </c>
      <c r="M4813" t="inlineStr">
        <is>
          <t>2026-06-22 13:45:01</t>
        </is>
      </c>
      <c r="N4813" t="inlineStr">
        <is>
          <t>system</t>
        </is>
      </c>
      <c r="O4813" t="inlineStr">
        <is>
          <t>2026-06-19 07:10:32</t>
        </is>
      </c>
      <c r="P4813" t="inlineStr">
        <is>
          <t>2026-06-19 07:10:32</t>
        </is>
      </c>
      <c r="Y4813" t="inlineStr">
        <is>
          <t>27675303505</t>
        </is>
      </c>
    </row>
    <row r="4814">
      <c r="A4814" t="inlineStr">
        <is>
          <t>14947759</t>
        </is>
      </c>
      <c r="B4814" t="inlineStr">
        <is>
          <t>101a6154-27aa-41c2-b490-ed8cb524e5c2</t>
        </is>
      </c>
      <c r="D4814" t="inlineStr">
        <is>
          <t>30001087</t>
        </is>
      </c>
      <c r="E4814" t="inlineStr">
        <is>
          <t>ussd_funeral_leads_altitude_20260619</t>
        </is>
      </c>
      <c r="J4814" t="inlineStr">
        <is>
          <t>ADC</t>
        </is>
      </c>
      <c r="K4814" t="inlineStr">
        <is>
          <t>Auto Dial Disconnected</t>
        </is>
      </c>
      <c r="L4814" t="n">
        <v>2</v>
      </c>
      <c r="M4814" t="inlineStr">
        <is>
          <t>2026-06-22 13:45:00</t>
        </is>
      </c>
      <c r="N4814" t="inlineStr">
        <is>
          <t>system</t>
        </is>
      </c>
      <c r="O4814" t="inlineStr">
        <is>
          <t>2026-06-19 07:10:32</t>
        </is>
      </c>
      <c r="P4814" t="inlineStr">
        <is>
          <t>2026-06-19 07:10:32</t>
        </is>
      </c>
      <c r="Y4814" t="inlineStr">
        <is>
          <t>27648837395</t>
        </is>
      </c>
    </row>
    <row r="4815">
      <c r="A4815" t="inlineStr">
        <is>
          <t>14947760</t>
        </is>
      </c>
      <c r="B4815" t="inlineStr">
        <is>
          <t>ea9c675f-3792-4c3d-853e-615aef961b49</t>
        </is>
      </c>
      <c r="D4815" t="inlineStr">
        <is>
          <t>30001087</t>
        </is>
      </c>
      <c r="E4815" t="inlineStr">
        <is>
          <t>ussd_funeral_leads_altitude_20260619</t>
        </is>
      </c>
      <c r="J4815" t="inlineStr">
        <is>
          <t>AA</t>
        </is>
      </c>
      <c r="K4815" t="inlineStr">
        <is>
          <t>Answering Machine Autodial</t>
        </is>
      </c>
      <c r="L4815" t="n">
        <v>2</v>
      </c>
      <c r="M4815" t="inlineStr">
        <is>
          <t>2026-06-22 13:45:00</t>
        </is>
      </c>
      <c r="N4815" t="inlineStr">
        <is>
          <t>system</t>
        </is>
      </c>
      <c r="O4815" t="inlineStr">
        <is>
          <t>2026-06-19 07:10:32</t>
        </is>
      </c>
      <c r="P4815" t="inlineStr">
        <is>
          <t>2026-06-19 07:10:32</t>
        </is>
      </c>
      <c r="Y4815" t="inlineStr">
        <is>
          <t>27673049859</t>
        </is>
      </c>
    </row>
    <row r="4816">
      <c r="A4816" t="inlineStr">
        <is>
          <t>14947761</t>
        </is>
      </c>
      <c r="B4816" t="inlineStr">
        <is>
          <t>1e44de3f-910d-471a-8f91-7a1a03bc3a5a</t>
        </is>
      </c>
      <c r="D4816" t="inlineStr">
        <is>
          <t>30001087</t>
        </is>
      </c>
      <c r="E4816" t="inlineStr">
        <is>
          <t>ussd_funeral_leads_altitude_20260619</t>
        </is>
      </c>
      <c r="J4816" t="inlineStr">
        <is>
          <t>AA</t>
        </is>
      </c>
      <c r="K4816" t="inlineStr">
        <is>
          <t>Answering Machine Autodial</t>
        </is>
      </c>
      <c r="L4816" t="n">
        <v>2</v>
      </c>
      <c r="M4816" t="inlineStr">
        <is>
          <t>2026-06-22 13:45:00</t>
        </is>
      </c>
      <c r="N4816" t="inlineStr">
        <is>
          <t>system</t>
        </is>
      </c>
      <c r="O4816" t="inlineStr">
        <is>
          <t>2026-06-19 07:10:32</t>
        </is>
      </c>
      <c r="P4816" t="inlineStr">
        <is>
          <t>2026-06-19 07:10:32</t>
        </is>
      </c>
      <c r="Y4816" t="inlineStr">
        <is>
          <t>27822511318</t>
        </is>
      </c>
    </row>
    <row r="4817">
      <c r="A4817" t="inlineStr">
        <is>
          <t>14947762</t>
        </is>
      </c>
      <c r="B4817" t="inlineStr">
        <is>
          <t>87a1e008-d3ee-468e-86b6-619a98f8bdd4</t>
        </is>
      </c>
      <c r="D4817" t="inlineStr">
        <is>
          <t>30001087</t>
        </is>
      </c>
      <c r="E4817" t="inlineStr">
        <is>
          <t>ussd_funeral_leads_altitude_20260619</t>
        </is>
      </c>
      <c r="J4817" t="inlineStr">
        <is>
          <t>AA</t>
        </is>
      </c>
      <c r="K4817" t="inlineStr">
        <is>
          <t>Answering Machine Autodial</t>
        </is>
      </c>
      <c r="L4817" t="n">
        <v>2</v>
      </c>
      <c r="M4817" t="inlineStr">
        <is>
          <t>2026-06-22 13:44:54</t>
        </is>
      </c>
      <c r="N4817" t="inlineStr">
        <is>
          <t>system</t>
        </is>
      </c>
      <c r="O4817" t="inlineStr">
        <is>
          <t>2026-06-19 07:10:32</t>
        </is>
      </c>
      <c r="P4817" t="inlineStr">
        <is>
          <t>2026-06-19 07:10:32</t>
        </is>
      </c>
      <c r="Y4817" t="inlineStr">
        <is>
          <t>27761647169</t>
        </is>
      </c>
    </row>
    <row r="4818">
      <c r="A4818" t="inlineStr">
        <is>
          <t>14947763</t>
        </is>
      </c>
      <c r="B4818" t="inlineStr">
        <is>
          <t>b8718f9b-7ce4-431f-a811-8f92a63cc0a9</t>
        </is>
      </c>
      <c r="D4818" t="inlineStr">
        <is>
          <t>30001087</t>
        </is>
      </c>
      <c r="E4818" t="inlineStr">
        <is>
          <t>ussd_funeral_leads_altitude_20260619</t>
        </is>
      </c>
      <c r="J4818" t="inlineStr">
        <is>
          <t>AA</t>
        </is>
      </c>
      <c r="K4818" t="inlineStr">
        <is>
          <t>Answering Machine Autodial</t>
        </is>
      </c>
      <c r="L4818" t="n">
        <v>2</v>
      </c>
      <c r="M4818" t="inlineStr">
        <is>
          <t>2026-06-22 13:44:53</t>
        </is>
      </c>
      <c r="N4818" t="inlineStr">
        <is>
          <t>system</t>
        </is>
      </c>
      <c r="O4818" t="inlineStr">
        <is>
          <t>2026-06-19 07:10:32</t>
        </is>
      </c>
      <c r="P4818" t="inlineStr">
        <is>
          <t>2026-06-19 07:10:32</t>
        </is>
      </c>
      <c r="Y4818" t="inlineStr">
        <is>
          <t>27767949454</t>
        </is>
      </c>
    </row>
    <row r="4819">
      <c r="A4819" t="inlineStr">
        <is>
          <t>14947764</t>
        </is>
      </c>
      <c r="B4819" t="inlineStr">
        <is>
          <t>84f65b47-f805-4c98-aa83-4b256d90a9df</t>
        </is>
      </c>
      <c r="D4819" t="inlineStr">
        <is>
          <t>30001087</t>
        </is>
      </c>
      <c r="E4819" t="inlineStr">
        <is>
          <t>ussd_funeral_leads_altitude_20260619</t>
        </is>
      </c>
      <c r="J4819" t="inlineStr">
        <is>
          <t>AA</t>
        </is>
      </c>
      <c r="K4819" t="inlineStr">
        <is>
          <t>Answering Machine Autodial</t>
        </is>
      </c>
      <c r="L4819" t="n">
        <v>2</v>
      </c>
      <c r="M4819" t="inlineStr">
        <is>
          <t>2026-06-22 13:44:47</t>
        </is>
      </c>
      <c r="N4819" t="inlineStr">
        <is>
          <t>system</t>
        </is>
      </c>
      <c r="O4819" t="inlineStr">
        <is>
          <t>2026-06-19 07:10:32</t>
        </is>
      </c>
      <c r="P4819" t="inlineStr">
        <is>
          <t>2026-06-19 07:10:32</t>
        </is>
      </c>
      <c r="Y4819" t="inlineStr">
        <is>
          <t>27791010220</t>
        </is>
      </c>
    </row>
    <row r="4820">
      <c r="A4820" t="inlineStr">
        <is>
          <t>14947765</t>
        </is>
      </c>
      <c r="B4820" t="inlineStr">
        <is>
          <t>c3e81570-4482-41ec-8d74-9bddab2e47ec</t>
        </is>
      </c>
      <c r="D4820" t="inlineStr">
        <is>
          <t>30001087</t>
        </is>
      </c>
      <c r="E4820" t="inlineStr">
        <is>
          <t>ussd_funeral_leads_altitude_20260619</t>
        </is>
      </c>
      <c r="J4820" t="inlineStr">
        <is>
          <t>AA</t>
        </is>
      </c>
      <c r="K4820" t="inlineStr">
        <is>
          <t>Answering Machine Autodial</t>
        </is>
      </c>
      <c r="L4820" t="n">
        <v>2</v>
      </c>
      <c r="M4820" t="inlineStr">
        <is>
          <t>2026-06-22 13:44:46</t>
        </is>
      </c>
      <c r="N4820" t="inlineStr">
        <is>
          <t>system</t>
        </is>
      </c>
      <c r="O4820" t="inlineStr">
        <is>
          <t>2026-06-19 07:10:32</t>
        </is>
      </c>
      <c r="P4820" t="inlineStr">
        <is>
          <t>2026-06-19 07:10:32</t>
        </is>
      </c>
      <c r="Y4820" t="inlineStr">
        <is>
          <t>27769404700</t>
        </is>
      </c>
    </row>
    <row r="4821">
      <c r="A4821" t="inlineStr">
        <is>
          <t>14947766</t>
        </is>
      </c>
      <c r="B4821" t="inlineStr">
        <is>
          <t>89b1c76f-7e8c-48a1-9152-4abb56dfc9b5</t>
        </is>
      </c>
      <c r="D4821" t="inlineStr">
        <is>
          <t>30001087</t>
        </is>
      </c>
      <c r="E4821" t="inlineStr">
        <is>
          <t>ussd_funeral_leads_altitude_20260619</t>
        </is>
      </c>
      <c r="J4821" t="inlineStr">
        <is>
          <t>NA</t>
        </is>
      </c>
      <c r="K4821" t="inlineStr">
        <is>
          <t>No Answer Autodial</t>
        </is>
      </c>
      <c r="L4821" t="n">
        <v>2</v>
      </c>
      <c r="M4821" t="inlineStr">
        <is>
          <t>2026-06-22 13:44:45</t>
        </is>
      </c>
      <c r="N4821" t="inlineStr">
        <is>
          <t>system</t>
        </is>
      </c>
      <c r="O4821" t="inlineStr">
        <is>
          <t>2026-06-19 07:10:32</t>
        </is>
      </c>
      <c r="P4821" t="inlineStr">
        <is>
          <t>2026-06-19 07:10:32</t>
        </is>
      </c>
      <c r="Y4821" t="inlineStr">
        <is>
          <t>27818848865</t>
        </is>
      </c>
    </row>
    <row r="4822">
      <c r="A4822" t="inlineStr">
        <is>
          <t>14947767</t>
        </is>
      </c>
      <c r="B4822" t="inlineStr">
        <is>
          <t>b409eee3-96b8-4b49-94d1-b9322425422a</t>
        </is>
      </c>
      <c r="D4822" t="inlineStr">
        <is>
          <t>30001087</t>
        </is>
      </c>
      <c r="E4822" t="inlineStr">
        <is>
          <t>ussd_funeral_leads_altitude_20260619</t>
        </is>
      </c>
      <c r="J4822" t="inlineStr">
        <is>
          <t>ADC</t>
        </is>
      </c>
      <c r="K4822" t="inlineStr">
        <is>
          <t>Auto Dial Disconnected</t>
        </is>
      </c>
      <c r="L4822" t="n">
        <v>2</v>
      </c>
      <c r="M4822" t="inlineStr">
        <is>
          <t>2026-06-22 13:44:45</t>
        </is>
      </c>
      <c r="N4822" t="inlineStr">
        <is>
          <t>system</t>
        </is>
      </c>
      <c r="O4822" t="inlineStr">
        <is>
          <t>2026-06-19 07:10:32</t>
        </is>
      </c>
      <c r="P4822" t="inlineStr">
        <is>
          <t>2026-06-19 07:10:32</t>
        </is>
      </c>
      <c r="Y4822" t="inlineStr">
        <is>
          <t>27721011456</t>
        </is>
      </c>
    </row>
    <row r="4823">
      <c r="A4823" t="inlineStr">
        <is>
          <t>14947768</t>
        </is>
      </c>
      <c r="B4823" t="inlineStr">
        <is>
          <t>7a20c001-8aaf-43cd-91b3-79d6460af1cf</t>
        </is>
      </c>
      <c r="D4823" t="inlineStr">
        <is>
          <t>30001087</t>
        </is>
      </c>
      <c r="E4823" t="inlineStr">
        <is>
          <t>ussd_funeral_leads_altitude_20260619</t>
        </is>
      </c>
      <c r="J4823" t="inlineStr">
        <is>
          <t>AA</t>
        </is>
      </c>
      <c r="K4823" t="inlineStr">
        <is>
          <t>Answering Machine Autodial</t>
        </is>
      </c>
      <c r="L4823" t="n">
        <v>2</v>
      </c>
      <c r="M4823" t="inlineStr">
        <is>
          <t>2026-06-22 13:44:45</t>
        </is>
      </c>
      <c r="N4823" t="inlineStr">
        <is>
          <t>system</t>
        </is>
      </c>
      <c r="O4823" t="inlineStr">
        <is>
          <t>2026-06-19 07:10:32</t>
        </is>
      </c>
      <c r="P4823" t="inlineStr">
        <is>
          <t>2026-06-19 07:10:32</t>
        </is>
      </c>
      <c r="Y4823" t="inlineStr">
        <is>
          <t>27765729507</t>
        </is>
      </c>
    </row>
    <row r="4824">
      <c r="A4824" t="inlineStr">
        <is>
          <t>14947769</t>
        </is>
      </c>
      <c r="B4824" t="inlineStr">
        <is>
          <t>74e1c8b4-b375-43ba-907f-2777ef82cb20</t>
        </is>
      </c>
      <c r="D4824" t="inlineStr">
        <is>
          <t>30001087</t>
        </is>
      </c>
      <c r="E4824" t="inlineStr">
        <is>
          <t>ussd_funeral_leads_altitude_20260619</t>
        </is>
      </c>
      <c r="J4824" t="inlineStr">
        <is>
          <t>ADC</t>
        </is>
      </c>
      <c r="K4824" t="inlineStr">
        <is>
          <t>Auto Dial Disconnected</t>
        </is>
      </c>
      <c r="L4824" t="n">
        <v>2</v>
      </c>
      <c r="M4824" t="inlineStr">
        <is>
          <t>2026-06-22 13:44:45</t>
        </is>
      </c>
      <c r="N4824" t="inlineStr">
        <is>
          <t>system</t>
        </is>
      </c>
      <c r="O4824" t="inlineStr">
        <is>
          <t>2026-06-19 07:10:32</t>
        </is>
      </c>
      <c r="P4824" t="inlineStr">
        <is>
          <t>2026-06-19 07:10:32</t>
        </is>
      </c>
      <c r="Y4824" t="inlineStr">
        <is>
          <t>27647498762</t>
        </is>
      </c>
    </row>
    <row r="4825">
      <c r="A4825" t="inlineStr">
        <is>
          <t>14947770</t>
        </is>
      </c>
      <c r="B4825" t="inlineStr">
        <is>
          <t>c6830a6c-0593-4b78-9a24-8ab6d806191c</t>
        </is>
      </c>
      <c r="D4825" t="inlineStr">
        <is>
          <t>30001087</t>
        </is>
      </c>
      <c r="E4825" t="inlineStr">
        <is>
          <t>ussd_funeral_leads_altitude_20260619</t>
        </is>
      </c>
      <c r="J4825" t="inlineStr">
        <is>
          <t>AA</t>
        </is>
      </c>
      <c r="K4825" t="inlineStr">
        <is>
          <t>Answering Machine Autodial</t>
        </is>
      </c>
      <c r="L4825" t="n">
        <v>2</v>
      </c>
      <c r="M4825" t="inlineStr">
        <is>
          <t>2026-06-22 13:44:45</t>
        </is>
      </c>
      <c r="N4825" t="inlineStr">
        <is>
          <t>system</t>
        </is>
      </c>
      <c r="O4825" t="inlineStr">
        <is>
          <t>2026-06-19 07:10:32</t>
        </is>
      </c>
      <c r="P4825" t="inlineStr">
        <is>
          <t>2026-06-19 07:10:32</t>
        </is>
      </c>
      <c r="Y4825" t="inlineStr">
        <is>
          <t>27729511364</t>
        </is>
      </c>
    </row>
    <row r="4826">
      <c r="A4826" t="inlineStr">
        <is>
          <t>14947771</t>
        </is>
      </c>
      <c r="B4826" t="inlineStr">
        <is>
          <t>5bf1ab44-658f-48d5-b3c0-d00aabe3c19c</t>
        </is>
      </c>
      <c r="D4826" t="inlineStr">
        <is>
          <t>30001087</t>
        </is>
      </c>
      <c r="E4826" t="inlineStr">
        <is>
          <t>ussd_funeral_leads_altitude_20260619</t>
        </is>
      </c>
      <c r="J4826" t="inlineStr">
        <is>
          <t>AA</t>
        </is>
      </c>
      <c r="K4826" t="inlineStr">
        <is>
          <t>Answering Machine Autodial</t>
        </is>
      </c>
      <c r="L4826" t="n">
        <v>2</v>
      </c>
      <c r="M4826" t="inlineStr">
        <is>
          <t>2026-06-22 13:44:41</t>
        </is>
      </c>
      <c r="N4826" t="inlineStr">
        <is>
          <t>system</t>
        </is>
      </c>
      <c r="O4826" t="inlineStr">
        <is>
          <t>2026-06-19 07:10:32</t>
        </is>
      </c>
      <c r="P4826" t="inlineStr">
        <is>
          <t>2026-06-19 07:10:32</t>
        </is>
      </c>
      <c r="Y4826" t="inlineStr">
        <is>
          <t>27646366041</t>
        </is>
      </c>
    </row>
    <row r="4827">
      <c r="A4827" t="inlineStr">
        <is>
          <t>14947640</t>
        </is>
      </c>
      <c r="B4827" t="inlineStr">
        <is>
          <t>ef117ba9-e89c-4abc-b2b9-ae30c628f581</t>
        </is>
      </c>
      <c r="D4827" t="inlineStr">
        <is>
          <t>30001087</t>
        </is>
      </c>
      <c r="E4827" t="inlineStr">
        <is>
          <t>ussd_funeral_leads_altitude_20260619</t>
        </is>
      </c>
      <c r="J4827" t="inlineStr">
        <is>
          <t>AA</t>
        </is>
      </c>
      <c r="K4827" t="inlineStr">
        <is>
          <t>Answering Machine Autodial</t>
        </is>
      </c>
      <c r="L4827" t="n">
        <v>2</v>
      </c>
      <c r="M4827" t="inlineStr">
        <is>
          <t>2026-06-22 13:44:31</t>
        </is>
      </c>
      <c r="N4827" t="inlineStr">
        <is>
          <t>system</t>
        </is>
      </c>
      <c r="O4827" t="inlineStr">
        <is>
          <t>2026-06-19 07:10:32</t>
        </is>
      </c>
      <c r="P4827" t="inlineStr">
        <is>
          <t>2026-06-19 07:10:32</t>
        </is>
      </c>
      <c r="Y4827" t="inlineStr">
        <is>
          <t>27716931091</t>
        </is>
      </c>
    </row>
    <row r="4828">
      <c r="A4828" t="inlineStr">
        <is>
          <t>14942619</t>
        </is>
      </c>
      <c r="B4828" t="inlineStr">
        <is>
          <t>616c78e9-54a8-4e84-9087-0cc19cc2b6f9</t>
        </is>
      </c>
      <c r="D4828" t="inlineStr">
        <is>
          <t>30001087</t>
        </is>
      </c>
      <c r="E4828" t="inlineStr">
        <is>
          <t>ussd_funeral_leads_altitude_20260619</t>
        </is>
      </c>
      <c r="J4828" t="inlineStr">
        <is>
          <t>NA</t>
        </is>
      </c>
      <c r="K4828" t="inlineStr">
        <is>
          <t>No Answer Autodial</t>
        </is>
      </c>
      <c r="L4828" t="n">
        <v>2</v>
      </c>
      <c r="M4828" t="inlineStr">
        <is>
          <t>2026-06-22 13:43:56</t>
        </is>
      </c>
      <c r="N4828" t="inlineStr">
        <is>
          <t>system</t>
        </is>
      </c>
      <c r="O4828" t="inlineStr">
        <is>
          <t>2026-06-19 07:10:32</t>
        </is>
      </c>
      <c r="P4828" t="inlineStr">
        <is>
          <t>2026-06-19 07:10:32</t>
        </is>
      </c>
      <c r="Y4828" t="inlineStr">
        <is>
          <t>27664675964</t>
        </is>
      </c>
    </row>
    <row r="4829">
      <c r="A4829" t="inlineStr">
        <is>
          <t>14942617</t>
        </is>
      </c>
      <c r="B4829" t="inlineStr">
        <is>
          <t>74c57e7f-2118-44c7-a463-1d60da0dac30</t>
        </is>
      </c>
      <c r="D4829" t="inlineStr">
        <is>
          <t>30001087</t>
        </is>
      </c>
      <c r="E4829" t="inlineStr">
        <is>
          <t>ussd_funeral_leads_altitude_20260619</t>
        </is>
      </c>
      <c r="J4829" t="inlineStr">
        <is>
          <t>ADC</t>
        </is>
      </c>
      <c r="K4829" t="inlineStr">
        <is>
          <t>Auto Dial Disconnected</t>
        </is>
      </c>
      <c r="L4829" t="n">
        <v>2</v>
      </c>
      <c r="M4829" t="inlineStr">
        <is>
          <t>2026-06-22 13:43:55</t>
        </is>
      </c>
      <c r="N4829" t="inlineStr">
        <is>
          <t>system</t>
        </is>
      </c>
      <c r="O4829" t="inlineStr">
        <is>
          <t>2026-06-19 07:10:32</t>
        </is>
      </c>
      <c r="P4829" t="inlineStr">
        <is>
          <t>2026-06-19 07:10:32</t>
        </is>
      </c>
      <c r="Y4829" t="inlineStr">
        <is>
          <t>27663507423</t>
        </is>
      </c>
    </row>
    <row r="4830">
      <c r="A4830" t="inlineStr">
        <is>
          <t>14942618</t>
        </is>
      </c>
      <c r="B4830" t="inlineStr">
        <is>
          <t>64819d8d-728e-42d1-8080-d32caebe2161</t>
        </is>
      </c>
      <c r="D4830" t="inlineStr">
        <is>
          <t>30001087</t>
        </is>
      </c>
      <c r="E4830" t="inlineStr">
        <is>
          <t>ussd_funeral_leads_altitude_20260619</t>
        </is>
      </c>
      <c r="J4830" t="inlineStr">
        <is>
          <t>ADC</t>
        </is>
      </c>
      <c r="K4830" t="inlineStr">
        <is>
          <t>Auto Dial Disconnected</t>
        </is>
      </c>
      <c r="L4830" t="n">
        <v>2</v>
      </c>
      <c r="M4830" t="inlineStr">
        <is>
          <t>2026-06-22 13:43:55</t>
        </is>
      </c>
      <c r="N4830" t="inlineStr">
        <is>
          <t>system</t>
        </is>
      </c>
      <c r="O4830" t="inlineStr">
        <is>
          <t>2026-06-19 07:10:32</t>
        </is>
      </c>
      <c r="P4830" t="inlineStr">
        <is>
          <t>2026-06-19 07:10:32</t>
        </is>
      </c>
      <c r="Y4830" t="inlineStr">
        <is>
          <t>27609755896</t>
        </is>
      </c>
    </row>
    <row r="4831">
      <c r="A4831" t="inlineStr">
        <is>
          <t>14942616</t>
        </is>
      </c>
      <c r="B4831" t="inlineStr">
        <is>
          <t>486fcf88-29d8-4445-8077-a1557251615a</t>
        </is>
      </c>
      <c r="D4831" t="inlineStr">
        <is>
          <t>30001087</t>
        </is>
      </c>
      <c r="E4831" t="inlineStr">
        <is>
          <t>ussd_funeral_leads_altitude_20260619</t>
        </is>
      </c>
      <c r="J4831" t="inlineStr">
        <is>
          <t>ADC</t>
        </is>
      </c>
      <c r="K4831" t="inlineStr">
        <is>
          <t>Auto Dial Disconnected</t>
        </is>
      </c>
      <c r="L4831" t="n">
        <v>2</v>
      </c>
      <c r="M4831" t="inlineStr">
        <is>
          <t>2026-06-22 13:43:54</t>
        </is>
      </c>
      <c r="N4831" t="inlineStr">
        <is>
          <t>system</t>
        </is>
      </c>
      <c r="O4831" t="inlineStr">
        <is>
          <t>2026-06-19 07:10:32</t>
        </is>
      </c>
      <c r="P4831" t="inlineStr">
        <is>
          <t>2026-06-19 07:10:32</t>
        </is>
      </c>
      <c r="Y4831" t="inlineStr">
        <is>
          <t>27823938622</t>
        </is>
      </c>
    </row>
    <row r="4832">
      <c r="A4832" t="inlineStr">
        <is>
          <t>14942614</t>
        </is>
      </c>
      <c r="B4832" t="inlineStr">
        <is>
          <t>a4e57d4b-a545-42e3-afef-b30d1ebb59f4</t>
        </is>
      </c>
      <c r="D4832" t="inlineStr">
        <is>
          <t>30001087</t>
        </is>
      </c>
      <c r="E4832" t="inlineStr">
        <is>
          <t>ussd_funeral_leads_altitude_20260619</t>
        </is>
      </c>
      <c r="J4832" t="inlineStr">
        <is>
          <t>AA</t>
        </is>
      </c>
      <c r="K4832" t="inlineStr">
        <is>
          <t>Answering Machine Autodial</t>
        </is>
      </c>
      <c r="L4832" t="n">
        <v>2</v>
      </c>
      <c r="M4832" t="inlineStr">
        <is>
          <t>2026-06-22 13:43:53</t>
        </is>
      </c>
      <c r="N4832" t="inlineStr">
        <is>
          <t>system</t>
        </is>
      </c>
      <c r="O4832" t="inlineStr">
        <is>
          <t>2026-06-19 07:10:32</t>
        </is>
      </c>
      <c r="P4832" t="inlineStr">
        <is>
          <t>2026-06-19 07:10:32</t>
        </is>
      </c>
      <c r="Y4832" t="inlineStr">
        <is>
          <t>27606697074</t>
        </is>
      </c>
    </row>
    <row r="4833">
      <c r="A4833" t="inlineStr">
        <is>
          <t>14942613</t>
        </is>
      </c>
      <c r="B4833" t="inlineStr">
        <is>
          <t>2440ae1b-9805-4be6-aaa6-cd016bd146e4</t>
        </is>
      </c>
      <c r="D4833" t="inlineStr">
        <is>
          <t>30001087</t>
        </is>
      </c>
      <c r="E4833" t="inlineStr">
        <is>
          <t>ussd_funeral_leads_altitude_20260619</t>
        </is>
      </c>
      <c r="J4833" t="inlineStr">
        <is>
          <t>DC</t>
        </is>
      </c>
      <c r="K4833" t="inlineStr">
        <is>
          <t>Disconnected</t>
        </is>
      </c>
      <c r="L4833" t="n">
        <v>2</v>
      </c>
      <c r="M4833" t="inlineStr">
        <is>
          <t>2026-06-22 13:43:46</t>
        </is>
      </c>
      <c r="N4833" t="inlineStr">
        <is>
          <t>Dimakatso Nkomo</t>
        </is>
      </c>
      <c r="O4833" t="inlineStr">
        <is>
          <t>2026-06-19 07:10:32</t>
        </is>
      </c>
      <c r="P4833" t="inlineStr">
        <is>
          <t>2026-06-19 07:10:32</t>
        </is>
      </c>
      <c r="Y4833" t="inlineStr">
        <is>
          <t>27636117292</t>
        </is>
      </c>
    </row>
    <row r="4834">
      <c r="A4834" t="inlineStr">
        <is>
          <t>14942612</t>
        </is>
      </c>
      <c r="B4834" t="inlineStr">
        <is>
          <t>0ef62408-2cd7-4050-ba4e-caf7cf20ec23</t>
        </is>
      </c>
      <c r="D4834" t="inlineStr">
        <is>
          <t>30001087</t>
        </is>
      </c>
      <c r="E4834" t="inlineStr">
        <is>
          <t>ussd_funeral_leads_altitude_20260619</t>
        </is>
      </c>
      <c r="J4834" t="inlineStr">
        <is>
          <t>AA</t>
        </is>
      </c>
      <c r="K4834" t="inlineStr">
        <is>
          <t>Answering Machine Autodial</t>
        </is>
      </c>
      <c r="L4834" t="n">
        <v>2</v>
      </c>
      <c r="M4834" t="inlineStr">
        <is>
          <t>2026-06-22 13:43:40</t>
        </is>
      </c>
      <c r="N4834" t="inlineStr">
        <is>
          <t>system</t>
        </is>
      </c>
      <c r="O4834" t="inlineStr">
        <is>
          <t>2026-06-19 07:10:32</t>
        </is>
      </c>
      <c r="P4834" t="inlineStr">
        <is>
          <t>2026-06-19 07:10:32</t>
        </is>
      </c>
      <c r="Y4834" t="inlineStr">
        <is>
          <t>27727027438</t>
        </is>
      </c>
    </row>
    <row r="4835">
      <c r="A4835" t="inlineStr">
        <is>
          <t>14947641</t>
        </is>
      </c>
      <c r="B4835" t="inlineStr">
        <is>
          <t>2dd167f4-2111-4606-a1ab-e02c9ec23927</t>
        </is>
      </c>
      <c r="D4835" t="inlineStr">
        <is>
          <t>30001087</t>
        </is>
      </c>
      <c r="E4835" t="inlineStr">
        <is>
          <t>ussd_funeral_leads_altitude_20260619</t>
        </is>
      </c>
      <c r="J4835" t="inlineStr">
        <is>
          <t>ADC</t>
        </is>
      </c>
      <c r="K4835" t="inlineStr">
        <is>
          <t>Auto Dial Disconnected</t>
        </is>
      </c>
      <c r="L4835" t="n">
        <v>2</v>
      </c>
      <c r="M4835" t="inlineStr">
        <is>
          <t>2026-06-22 13:42:29</t>
        </is>
      </c>
      <c r="N4835" t="inlineStr">
        <is>
          <t>system</t>
        </is>
      </c>
      <c r="O4835" t="inlineStr">
        <is>
          <t>2026-06-19 07:10:32</t>
        </is>
      </c>
      <c r="P4835" t="inlineStr">
        <is>
          <t>2026-06-19 07:10:32</t>
        </is>
      </c>
      <c r="Y4835" t="inlineStr">
        <is>
          <t>27716376080</t>
        </is>
      </c>
    </row>
    <row r="4836">
      <c r="A4836" t="inlineStr">
        <is>
          <t>14942652</t>
        </is>
      </c>
      <c r="B4836" t="inlineStr">
        <is>
          <t>76cbd6c3-982d-4fd4-a4eb-25307bc5eb31</t>
        </is>
      </c>
      <c r="D4836" t="inlineStr">
        <is>
          <t>30001087</t>
        </is>
      </c>
      <c r="E4836" t="inlineStr">
        <is>
          <t>ussd_funeral_leads_altitude_20260619</t>
        </is>
      </c>
      <c r="J4836" t="inlineStr">
        <is>
          <t>AE</t>
        </is>
      </c>
      <c r="K4836" t="inlineStr">
        <is>
          <t>Auto Engaged</t>
        </is>
      </c>
      <c r="L4836" t="n">
        <v>2</v>
      </c>
      <c r="M4836" t="inlineStr">
        <is>
          <t>2026-06-22 13:42:10</t>
        </is>
      </c>
      <c r="N4836" t="inlineStr">
        <is>
          <t>system</t>
        </is>
      </c>
      <c r="O4836" t="inlineStr">
        <is>
          <t>2026-06-19 07:10:32</t>
        </is>
      </c>
      <c r="P4836" t="inlineStr">
        <is>
          <t>2026-06-19 07:10:32</t>
        </is>
      </c>
      <c r="Y4836" t="inlineStr">
        <is>
          <t>27663228936</t>
        </is>
      </c>
    </row>
    <row r="4837">
      <c r="A4837" t="inlineStr">
        <is>
          <t>14942650</t>
        </is>
      </c>
      <c r="B4837" t="inlineStr">
        <is>
          <t>44df8522-b536-4249-9777-73496b612487</t>
        </is>
      </c>
      <c r="D4837" t="inlineStr">
        <is>
          <t>30001087</t>
        </is>
      </c>
      <c r="E4837" t="inlineStr">
        <is>
          <t>ussd_funeral_leads_altitude_20260619</t>
        </is>
      </c>
      <c r="J4837" t="inlineStr">
        <is>
          <t>ADC</t>
        </is>
      </c>
      <c r="K4837" t="inlineStr">
        <is>
          <t>Auto Dial Disconnected</t>
        </is>
      </c>
      <c r="L4837" t="n">
        <v>2</v>
      </c>
      <c r="M4837" t="inlineStr">
        <is>
          <t>2026-06-22 13:42:09</t>
        </is>
      </c>
      <c r="N4837" t="inlineStr">
        <is>
          <t>system</t>
        </is>
      </c>
      <c r="O4837" t="inlineStr">
        <is>
          <t>2026-06-19 07:10:32</t>
        </is>
      </c>
      <c r="P4837" t="inlineStr">
        <is>
          <t>2026-06-19 07:10:32</t>
        </is>
      </c>
      <c r="Y4837" t="inlineStr">
        <is>
          <t>27727885570</t>
        </is>
      </c>
    </row>
    <row r="4838">
      <c r="A4838" t="inlineStr">
        <is>
          <t>14942651</t>
        </is>
      </c>
      <c r="B4838" t="inlineStr">
        <is>
          <t>1f4c049e-7523-4bfe-a4fa-b4140a12f143</t>
        </is>
      </c>
      <c r="D4838" t="inlineStr">
        <is>
          <t>30001087</t>
        </is>
      </c>
      <c r="E4838" t="inlineStr">
        <is>
          <t>ussd_funeral_leads_altitude_20260619</t>
        </is>
      </c>
      <c r="J4838" t="inlineStr">
        <is>
          <t>AA</t>
        </is>
      </c>
      <c r="K4838" t="inlineStr">
        <is>
          <t>Answering Machine Autodial</t>
        </is>
      </c>
      <c r="L4838" t="n">
        <v>2</v>
      </c>
      <c r="M4838" t="inlineStr">
        <is>
          <t>2026-06-22 13:42:09</t>
        </is>
      </c>
      <c r="N4838" t="inlineStr">
        <is>
          <t>system</t>
        </is>
      </c>
      <c r="O4838" t="inlineStr">
        <is>
          <t>2026-06-19 07:10:32</t>
        </is>
      </c>
      <c r="P4838" t="inlineStr">
        <is>
          <t>2026-06-19 07:10:32</t>
        </is>
      </c>
      <c r="Y4838" t="inlineStr">
        <is>
          <t>27797249569</t>
        </is>
      </c>
    </row>
    <row r="4839">
      <c r="A4839" t="inlineStr">
        <is>
          <t>14947925</t>
        </is>
      </c>
      <c r="B4839" t="inlineStr">
        <is>
          <t>68ab1773-ae15-4e69-9d74-fa8e3e4251f3</t>
        </is>
      </c>
      <c r="D4839" t="inlineStr">
        <is>
          <t>30001087</t>
        </is>
      </c>
      <c r="E4839" t="inlineStr">
        <is>
          <t>ussd_funeral_leads_altitude_20260619</t>
        </is>
      </c>
      <c r="J4839" t="inlineStr">
        <is>
          <t>NI</t>
        </is>
      </c>
      <c r="K4839" t="inlineStr">
        <is>
          <t>Not Interested</t>
        </is>
      </c>
      <c r="L4839" t="n">
        <v>2</v>
      </c>
      <c r="M4839" t="inlineStr">
        <is>
          <t>2026-06-22 13:42:09</t>
        </is>
      </c>
      <c r="N4839" t="inlineStr">
        <is>
          <t>Virginia Letsatsi</t>
        </is>
      </c>
      <c r="O4839" t="inlineStr">
        <is>
          <t>2026-06-19 07:10:32</t>
        </is>
      </c>
      <c r="P4839" t="inlineStr">
        <is>
          <t>2026-06-19 07:10:32</t>
        </is>
      </c>
      <c r="Y4839" t="inlineStr">
        <is>
          <t>27714777790</t>
        </is>
      </c>
    </row>
    <row r="4840">
      <c r="A4840" t="inlineStr">
        <is>
          <t>14942649</t>
        </is>
      </c>
      <c r="B4840" t="inlineStr">
        <is>
          <t>a334ae6e-93d5-425a-979a-d918a25a55cb</t>
        </is>
      </c>
      <c r="D4840" t="inlineStr">
        <is>
          <t>30001087</t>
        </is>
      </c>
      <c r="E4840" t="inlineStr">
        <is>
          <t>ussd_funeral_leads_altitude_20260619</t>
        </is>
      </c>
      <c r="J4840" t="inlineStr">
        <is>
          <t>TDN</t>
        </is>
      </c>
      <c r="K4840" t="inlineStr">
        <is>
          <t>Temporary Disconnected Number</t>
        </is>
      </c>
      <c r="L4840" t="n">
        <v>2</v>
      </c>
      <c r="M4840" t="inlineStr">
        <is>
          <t>2026-06-22 13:42:08</t>
        </is>
      </c>
      <c r="N4840" t="inlineStr">
        <is>
          <t>system</t>
        </is>
      </c>
      <c r="O4840" t="inlineStr">
        <is>
          <t>2026-06-19 07:10:32</t>
        </is>
      </c>
      <c r="P4840" t="inlineStr">
        <is>
          <t>2026-06-19 07:10:32</t>
        </is>
      </c>
      <c r="Y4840" t="inlineStr">
        <is>
          <t>27607042871</t>
        </is>
      </c>
    </row>
    <row r="4841">
      <c r="A4841" t="inlineStr">
        <is>
          <t>14942648</t>
        </is>
      </c>
      <c r="B4841" t="inlineStr">
        <is>
          <t>cd65412e-6c1e-47e4-9abd-4bcad4975547</t>
        </is>
      </c>
      <c r="D4841" t="inlineStr">
        <is>
          <t>30001087</t>
        </is>
      </c>
      <c r="E4841" t="inlineStr">
        <is>
          <t>ussd_funeral_leads_altitude_20260619</t>
        </is>
      </c>
      <c r="J4841" t="inlineStr">
        <is>
          <t>AA</t>
        </is>
      </c>
      <c r="K4841" t="inlineStr">
        <is>
          <t>Answering Machine Autodial</t>
        </is>
      </c>
      <c r="L4841" t="n">
        <v>2</v>
      </c>
      <c r="M4841" t="inlineStr">
        <is>
          <t>2026-06-22 13:42:03</t>
        </is>
      </c>
      <c r="N4841" t="inlineStr">
        <is>
          <t>system</t>
        </is>
      </c>
      <c r="O4841" t="inlineStr">
        <is>
          <t>2026-06-19 07:10:32</t>
        </is>
      </c>
      <c r="P4841" t="inlineStr">
        <is>
          <t>2026-06-19 07:10:32</t>
        </is>
      </c>
      <c r="Y4841" t="inlineStr">
        <is>
          <t>27663401044</t>
        </is>
      </c>
    </row>
    <row r="4842">
      <c r="A4842" t="inlineStr">
        <is>
          <t>14947449</t>
        </is>
      </c>
      <c r="B4842" t="inlineStr">
        <is>
          <t>8867705f-2a01-4244-a13c-bf7b8ab760ee</t>
        </is>
      </c>
      <c r="D4842" t="inlineStr">
        <is>
          <t>30001087</t>
        </is>
      </c>
      <c r="E4842" t="inlineStr">
        <is>
          <t>ussd_funeral_leads_altitude_20260619</t>
        </is>
      </c>
      <c r="J4842" t="inlineStr">
        <is>
          <t>AA</t>
        </is>
      </c>
      <c r="K4842" t="inlineStr">
        <is>
          <t>Answering Machine Autodial</t>
        </is>
      </c>
      <c r="L4842" t="n">
        <v>2</v>
      </c>
      <c r="M4842" t="inlineStr">
        <is>
          <t>2026-06-22 13:42:03</t>
        </is>
      </c>
      <c r="N4842" t="inlineStr">
        <is>
          <t>system</t>
        </is>
      </c>
      <c r="O4842" t="inlineStr">
        <is>
          <t>2026-06-19 07:10:32</t>
        </is>
      </c>
      <c r="P4842" t="inlineStr">
        <is>
          <t>2026-06-19 07:10:32</t>
        </is>
      </c>
      <c r="Y4842" t="inlineStr">
        <is>
          <t>27726904030</t>
        </is>
      </c>
    </row>
    <row r="4843">
      <c r="A4843" t="inlineStr">
        <is>
          <t>14942647</t>
        </is>
      </c>
      <c r="B4843" t="inlineStr">
        <is>
          <t>aa38f037-33d9-43df-ba49-aaad315c8105</t>
        </is>
      </c>
      <c r="D4843" t="inlineStr">
        <is>
          <t>30001087</t>
        </is>
      </c>
      <c r="E4843" t="inlineStr">
        <is>
          <t>ussd_funeral_leads_altitude_20260619</t>
        </is>
      </c>
      <c r="J4843" t="inlineStr">
        <is>
          <t>AA</t>
        </is>
      </c>
      <c r="K4843" t="inlineStr">
        <is>
          <t>Answering Machine Autodial</t>
        </is>
      </c>
      <c r="L4843" t="n">
        <v>2</v>
      </c>
      <c r="M4843" t="inlineStr">
        <is>
          <t>2026-06-22 13:42:00</t>
        </is>
      </c>
      <c r="N4843" t="inlineStr">
        <is>
          <t>system</t>
        </is>
      </c>
      <c r="O4843" t="inlineStr">
        <is>
          <t>2026-06-19 07:10:32</t>
        </is>
      </c>
      <c r="P4843" t="inlineStr">
        <is>
          <t>2026-06-19 07:10:32</t>
        </is>
      </c>
      <c r="Y4843" t="inlineStr">
        <is>
          <t>27724374352</t>
        </is>
      </c>
    </row>
    <row r="4844">
      <c r="A4844" t="inlineStr">
        <is>
          <t>14942644</t>
        </is>
      </c>
      <c r="B4844" t="inlineStr">
        <is>
          <t>634a81d3-8dfa-4e13-b61e-a2f6b807c9e7</t>
        </is>
      </c>
      <c r="D4844" t="inlineStr">
        <is>
          <t>30001087</t>
        </is>
      </c>
      <c r="E4844" t="inlineStr">
        <is>
          <t>ussd_funeral_leads_altitude_20260619</t>
        </is>
      </c>
      <c r="J4844" t="inlineStr">
        <is>
          <t>CB</t>
        </is>
      </c>
      <c r="K4844" t="inlineStr">
        <is>
          <t>Busy Tone</t>
        </is>
      </c>
      <c r="L4844" t="n">
        <v>2</v>
      </c>
      <c r="M4844" t="inlineStr">
        <is>
          <t>2026-06-22 13:41:59</t>
        </is>
      </c>
      <c r="N4844" t="inlineStr">
        <is>
          <t>Bongiwe Precious Cele</t>
        </is>
      </c>
      <c r="O4844" t="inlineStr">
        <is>
          <t>2026-06-19 07:10:32</t>
        </is>
      </c>
      <c r="P4844" t="inlineStr">
        <is>
          <t>2026-06-19 07:10:32</t>
        </is>
      </c>
      <c r="Y4844" t="inlineStr">
        <is>
          <t>27711361392</t>
        </is>
      </c>
    </row>
    <row r="4845">
      <c r="A4845" t="inlineStr">
        <is>
          <t>14942645</t>
        </is>
      </c>
      <c r="B4845" t="inlineStr">
        <is>
          <t>5f224cb2-5131-40ac-94f1-8b689ed8089b</t>
        </is>
      </c>
      <c r="D4845" t="inlineStr">
        <is>
          <t>30001087</t>
        </is>
      </c>
      <c r="E4845" t="inlineStr">
        <is>
          <t>ussd_funeral_leads_altitude_20260619</t>
        </is>
      </c>
      <c r="J4845" t="inlineStr">
        <is>
          <t>CU</t>
        </is>
      </c>
      <c r="K4845" t="inlineStr">
        <is>
          <t>Client Hung Up</t>
        </is>
      </c>
      <c r="L4845" t="n">
        <v>2</v>
      </c>
      <c r="M4845" t="inlineStr">
        <is>
          <t>2026-06-22 13:41:59</t>
        </is>
      </c>
      <c r="N4845" t="inlineStr">
        <is>
          <t>Dimakatso Nkomo</t>
        </is>
      </c>
      <c r="O4845" t="inlineStr">
        <is>
          <t>2026-06-19 07:10:32</t>
        </is>
      </c>
      <c r="P4845" t="inlineStr">
        <is>
          <t>2026-06-19 07:10:32</t>
        </is>
      </c>
      <c r="Y4845" t="inlineStr">
        <is>
          <t>27794089338</t>
        </is>
      </c>
    </row>
    <row r="4846">
      <c r="A4846" t="inlineStr">
        <is>
          <t>14942646</t>
        </is>
      </c>
      <c r="B4846" t="inlineStr">
        <is>
          <t>fdd3880e-18eb-4ea3-81af-972aec1d9608</t>
        </is>
      </c>
      <c r="D4846" t="inlineStr">
        <is>
          <t>30001087</t>
        </is>
      </c>
      <c r="E4846" t="inlineStr">
        <is>
          <t>ussd_funeral_leads_altitude_20260619</t>
        </is>
      </c>
      <c r="J4846" t="inlineStr">
        <is>
          <t>TDN</t>
        </is>
      </c>
      <c r="K4846" t="inlineStr">
        <is>
          <t>Temporary Disconnected Number</t>
        </is>
      </c>
      <c r="L4846" t="n">
        <v>2</v>
      </c>
      <c r="M4846" t="inlineStr">
        <is>
          <t>2026-06-22 13:41:59</t>
        </is>
      </c>
      <c r="N4846" t="inlineStr">
        <is>
          <t>system</t>
        </is>
      </c>
      <c r="O4846" t="inlineStr">
        <is>
          <t>2026-06-19 07:10:32</t>
        </is>
      </c>
      <c r="P4846" t="inlineStr">
        <is>
          <t>2026-06-19 07:10:32</t>
        </is>
      </c>
      <c r="Y4846" t="inlineStr">
        <is>
          <t>27608249769</t>
        </is>
      </c>
    </row>
    <row r="4847">
      <c r="A4847" t="inlineStr">
        <is>
          <t>14942641</t>
        </is>
      </c>
      <c r="B4847" t="inlineStr">
        <is>
          <t>2baac425-783f-4d52-8e50-d3d35872ea31</t>
        </is>
      </c>
      <c r="D4847" t="inlineStr">
        <is>
          <t>30001087</t>
        </is>
      </c>
      <c r="E4847" t="inlineStr">
        <is>
          <t>ussd_funeral_leads_altitude_20260619</t>
        </is>
      </c>
      <c r="J4847" t="inlineStr">
        <is>
          <t>AA</t>
        </is>
      </c>
      <c r="K4847" t="inlineStr">
        <is>
          <t>Answering Machine Autodial</t>
        </is>
      </c>
      <c r="L4847" t="n">
        <v>2</v>
      </c>
      <c r="M4847" t="inlineStr">
        <is>
          <t>2026-06-22 13:41:58</t>
        </is>
      </c>
      <c r="N4847" t="inlineStr">
        <is>
          <t>system</t>
        </is>
      </c>
      <c r="O4847" t="inlineStr">
        <is>
          <t>2026-06-19 07:10:32</t>
        </is>
      </c>
      <c r="P4847" t="inlineStr">
        <is>
          <t>2026-06-19 07:10:32</t>
        </is>
      </c>
      <c r="Y4847" t="inlineStr">
        <is>
          <t>27760343653</t>
        </is>
      </c>
    </row>
    <row r="4848">
      <c r="A4848" t="inlineStr">
        <is>
          <t>14942642</t>
        </is>
      </c>
      <c r="B4848" t="inlineStr">
        <is>
          <t>0cadce7c-ada6-480c-9861-669e4fac3664</t>
        </is>
      </c>
      <c r="D4848" t="inlineStr">
        <is>
          <t>30001087</t>
        </is>
      </c>
      <c r="E4848" t="inlineStr">
        <is>
          <t>ussd_funeral_leads_altitude_20260619</t>
        </is>
      </c>
      <c r="J4848" t="inlineStr">
        <is>
          <t>DROP</t>
        </is>
      </c>
      <c r="K4848" t="inlineStr">
        <is>
          <t>Dropped</t>
        </is>
      </c>
      <c r="L4848" t="n">
        <v>2</v>
      </c>
      <c r="M4848" t="inlineStr">
        <is>
          <t>2026-06-22 13:41:58</t>
        </is>
      </c>
      <c r="N4848" t="inlineStr">
        <is>
          <t>system</t>
        </is>
      </c>
      <c r="O4848" t="inlineStr">
        <is>
          <t>2026-06-19 07:10:32</t>
        </is>
      </c>
      <c r="P4848" t="inlineStr">
        <is>
          <t>2026-06-19 07:10:32</t>
        </is>
      </c>
      <c r="Y4848" t="inlineStr">
        <is>
          <t>27607609962</t>
        </is>
      </c>
    </row>
    <row r="4849">
      <c r="A4849" t="inlineStr">
        <is>
          <t>14942643</t>
        </is>
      </c>
      <c r="B4849" t="inlineStr">
        <is>
          <t>5a870f85-bdfd-49cc-bf72-35541fc37ad7</t>
        </is>
      </c>
      <c r="D4849" t="inlineStr">
        <is>
          <t>30001087</t>
        </is>
      </c>
      <c r="E4849" t="inlineStr">
        <is>
          <t>ussd_funeral_leads_altitude_20260619</t>
        </is>
      </c>
      <c r="J4849" t="inlineStr">
        <is>
          <t>NI</t>
        </is>
      </c>
      <c r="K4849" t="inlineStr">
        <is>
          <t>Not Interested</t>
        </is>
      </c>
      <c r="L4849" t="n">
        <v>2</v>
      </c>
      <c r="M4849" t="inlineStr">
        <is>
          <t>2026-06-22 13:41:58</t>
        </is>
      </c>
      <c r="N4849" t="inlineStr">
        <is>
          <t>Vuyiswa Nxumalo</t>
        </is>
      </c>
      <c r="O4849" t="inlineStr">
        <is>
          <t>2026-06-19 07:10:32</t>
        </is>
      </c>
      <c r="P4849" t="inlineStr">
        <is>
          <t>2026-06-19 07:10:32</t>
        </is>
      </c>
      <c r="Y4849" t="inlineStr">
        <is>
          <t>27647230842</t>
        </is>
      </c>
    </row>
    <row r="4850">
      <c r="A4850" t="inlineStr">
        <is>
          <t>14942640</t>
        </is>
      </c>
      <c r="B4850" t="inlineStr">
        <is>
          <t>61f7f793-1b38-4bcb-b238-fd3d4a42452f</t>
        </is>
      </c>
      <c r="D4850" t="inlineStr">
        <is>
          <t>30001087</t>
        </is>
      </c>
      <c r="E4850" t="inlineStr">
        <is>
          <t>ussd_funeral_leads_altitude_20260619</t>
        </is>
      </c>
      <c r="J4850" t="inlineStr">
        <is>
          <t>NA</t>
        </is>
      </c>
      <c r="K4850" t="inlineStr">
        <is>
          <t>No Answer Autodial</t>
        </is>
      </c>
      <c r="L4850" t="n">
        <v>2</v>
      </c>
      <c r="M4850" t="inlineStr">
        <is>
          <t>2026-06-22 13:41:50</t>
        </is>
      </c>
      <c r="N4850" t="inlineStr">
        <is>
          <t>system</t>
        </is>
      </c>
      <c r="O4850" t="inlineStr">
        <is>
          <t>2026-06-19 07:10:32</t>
        </is>
      </c>
      <c r="P4850" t="inlineStr">
        <is>
          <t>2026-06-19 07:10:32</t>
        </is>
      </c>
      <c r="Y4850" t="inlineStr">
        <is>
          <t>27767202702</t>
        </is>
      </c>
    </row>
    <row r="4851">
      <c r="A4851" t="inlineStr">
        <is>
          <t>14942635</t>
        </is>
      </c>
      <c r="B4851" t="inlineStr">
        <is>
          <t>89b3c9f2-f13b-4577-8a78-6a5ba0735c1e</t>
        </is>
      </c>
      <c r="D4851" t="inlineStr">
        <is>
          <t>30001087</t>
        </is>
      </c>
      <c r="E4851" t="inlineStr">
        <is>
          <t>ussd_funeral_leads_altitude_20260619</t>
        </is>
      </c>
      <c r="J4851" t="inlineStr">
        <is>
          <t>ADC</t>
        </is>
      </c>
      <c r="K4851" t="inlineStr">
        <is>
          <t>Auto Dial Disconnected</t>
        </is>
      </c>
      <c r="L4851" t="n">
        <v>2</v>
      </c>
      <c r="M4851" t="inlineStr">
        <is>
          <t>2026-06-22 13:41:49</t>
        </is>
      </c>
      <c r="N4851" t="inlineStr">
        <is>
          <t>system</t>
        </is>
      </c>
      <c r="O4851" t="inlineStr">
        <is>
          <t>2026-06-19 07:10:32</t>
        </is>
      </c>
      <c r="P4851" t="inlineStr">
        <is>
          <t>2026-06-19 07:10:32</t>
        </is>
      </c>
      <c r="Y4851" t="inlineStr">
        <is>
          <t>27795523864</t>
        </is>
      </c>
    </row>
    <row r="4852">
      <c r="A4852" t="inlineStr">
        <is>
          <t>14942636</t>
        </is>
      </c>
      <c r="B4852" t="inlineStr">
        <is>
          <t>b02e44ee-f44f-44a5-8110-8502e188da0b</t>
        </is>
      </c>
      <c r="D4852" t="inlineStr">
        <is>
          <t>30001087</t>
        </is>
      </c>
      <c r="E4852" t="inlineStr">
        <is>
          <t>ussd_funeral_leads_altitude_20260619</t>
        </is>
      </c>
      <c r="J4852" t="inlineStr">
        <is>
          <t>AA</t>
        </is>
      </c>
      <c r="K4852" t="inlineStr">
        <is>
          <t>Answering Machine Autodial</t>
        </is>
      </c>
      <c r="L4852" t="n">
        <v>2</v>
      </c>
      <c r="M4852" t="inlineStr">
        <is>
          <t>2026-06-22 13:41:49</t>
        </is>
      </c>
      <c r="N4852" t="inlineStr">
        <is>
          <t>system</t>
        </is>
      </c>
      <c r="O4852" t="inlineStr">
        <is>
          <t>2026-06-19 07:10:32</t>
        </is>
      </c>
      <c r="P4852" t="inlineStr">
        <is>
          <t>2026-06-19 07:10:32</t>
        </is>
      </c>
      <c r="Y4852" t="inlineStr">
        <is>
          <t>27766651296</t>
        </is>
      </c>
    </row>
    <row r="4853">
      <c r="A4853" t="inlineStr">
        <is>
          <t>14942637</t>
        </is>
      </c>
      <c r="B4853" t="inlineStr">
        <is>
          <t>96cc5c6d-9265-4db7-9eac-39db0e30b1a9</t>
        </is>
      </c>
      <c r="D4853" t="inlineStr">
        <is>
          <t>30001087</t>
        </is>
      </c>
      <c r="E4853" t="inlineStr">
        <is>
          <t>ussd_funeral_leads_altitude_20260619</t>
        </is>
      </c>
      <c r="J4853" t="inlineStr">
        <is>
          <t>A</t>
        </is>
      </c>
      <c r="K4853" t="inlineStr">
        <is>
          <t>Answering Machine</t>
        </is>
      </c>
      <c r="L4853" t="n">
        <v>2</v>
      </c>
      <c r="M4853" t="inlineStr">
        <is>
          <t>2026-06-22 13:41:49</t>
        </is>
      </c>
      <c r="N4853" t="inlineStr">
        <is>
          <t>Lebohang Mabotja</t>
        </is>
      </c>
      <c r="O4853" t="inlineStr">
        <is>
          <t>2026-06-19 07:10:32</t>
        </is>
      </c>
      <c r="P4853" t="inlineStr">
        <is>
          <t>2026-06-19 07:10:32</t>
        </is>
      </c>
      <c r="Y4853" t="inlineStr">
        <is>
          <t>27636207173</t>
        </is>
      </c>
    </row>
    <row r="4854">
      <c r="A4854" t="inlineStr">
        <is>
          <t>14942638</t>
        </is>
      </c>
      <c r="B4854" t="inlineStr">
        <is>
          <t>f53a96a3-a223-4003-9e8f-b8fa5ea14e30</t>
        </is>
      </c>
      <c r="D4854" t="inlineStr">
        <is>
          <t>30001087</t>
        </is>
      </c>
      <c r="E4854" t="inlineStr">
        <is>
          <t>ussd_funeral_leads_altitude_20260619</t>
        </is>
      </c>
      <c r="J4854" t="inlineStr">
        <is>
          <t>AA</t>
        </is>
      </c>
      <c r="K4854" t="inlineStr">
        <is>
          <t>Answering Machine Autodial</t>
        </is>
      </c>
      <c r="L4854" t="n">
        <v>2</v>
      </c>
      <c r="M4854" t="inlineStr">
        <is>
          <t>2026-06-22 13:41:49</t>
        </is>
      </c>
      <c r="N4854" t="inlineStr">
        <is>
          <t>system</t>
        </is>
      </c>
      <c r="O4854" t="inlineStr">
        <is>
          <t>2026-06-19 07:10:32</t>
        </is>
      </c>
      <c r="P4854" t="inlineStr">
        <is>
          <t>2026-06-19 07:10:32</t>
        </is>
      </c>
      <c r="Y4854" t="inlineStr">
        <is>
          <t>27714270943</t>
        </is>
      </c>
    </row>
    <row r="4855">
      <c r="A4855" t="inlineStr">
        <is>
          <t>14942639</t>
        </is>
      </c>
      <c r="B4855" t="inlineStr">
        <is>
          <t>0881d7c9-e015-4a90-acea-5cf9cf6326da</t>
        </is>
      </c>
      <c r="D4855" t="inlineStr">
        <is>
          <t>30001087</t>
        </is>
      </c>
      <c r="E4855" t="inlineStr">
        <is>
          <t>ussd_funeral_leads_altitude_20260619</t>
        </is>
      </c>
      <c r="J4855" t="inlineStr">
        <is>
          <t>AA</t>
        </is>
      </c>
      <c r="K4855" t="inlineStr">
        <is>
          <t>Answering Machine Autodial</t>
        </is>
      </c>
      <c r="L4855" t="n">
        <v>2</v>
      </c>
      <c r="M4855" t="inlineStr">
        <is>
          <t>2026-06-22 13:41:49</t>
        </is>
      </c>
      <c r="N4855" t="inlineStr">
        <is>
          <t>system</t>
        </is>
      </c>
      <c r="O4855" t="inlineStr">
        <is>
          <t>2026-06-19 07:10:32</t>
        </is>
      </c>
      <c r="P4855" t="inlineStr">
        <is>
          <t>2026-06-19 07:10:32</t>
        </is>
      </c>
      <c r="Y4855" t="inlineStr">
        <is>
          <t>27767736087</t>
        </is>
      </c>
    </row>
    <row r="4856">
      <c r="A4856" t="inlineStr">
        <is>
          <t>14942634</t>
        </is>
      </c>
      <c r="B4856" t="inlineStr">
        <is>
          <t>95129bff-0468-4fca-876d-99ef6a74a582</t>
        </is>
      </c>
      <c r="D4856" t="inlineStr">
        <is>
          <t>30001087</t>
        </is>
      </c>
      <c r="E4856" t="inlineStr">
        <is>
          <t>ussd_funeral_leads_altitude_20260619</t>
        </is>
      </c>
      <c r="J4856" t="inlineStr">
        <is>
          <t>AA</t>
        </is>
      </c>
      <c r="K4856" t="inlineStr">
        <is>
          <t>Answering Machine Autodial</t>
        </is>
      </c>
      <c r="L4856" t="n">
        <v>2</v>
      </c>
      <c r="M4856" t="inlineStr">
        <is>
          <t>2026-06-22 13:41:44</t>
        </is>
      </c>
      <c r="N4856" t="inlineStr">
        <is>
          <t>system</t>
        </is>
      </c>
      <c r="O4856" t="inlineStr">
        <is>
          <t>2026-06-19 07:10:32</t>
        </is>
      </c>
      <c r="P4856" t="inlineStr">
        <is>
          <t>2026-06-19 07:10:32</t>
        </is>
      </c>
      <c r="Y4856" t="inlineStr">
        <is>
          <t>27608169968</t>
        </is>
      </c>
    </row>
    <row r="4857">
      <c r="A4857" t="inlineStr">
        <is>
          <t>14942633</t>
        </is>
      </c>
      <c r="B4857" t="inlineStr">
        <is>
          <t>a0e141c7-b2f8-47a8-874f-b9fd399a176f</t>
        </is>
      </c>
      <c r="D4857" t="inlineStr">
        <is>
          <t>30001087</t>
        </is>
      </c>
      <c r="E4857" t="inlineStr">
        <is>
          <t>ussd_funeral_leads_altitude_20260619</t>
        </is>
      </c>
      <c r="J4857" t="inlineStr">
        <is>
          <t>AA</t>
        </is>
      </c>
      <c r="K4857" t="inlineStr">
        <is>
          <t>Answering Machine Autodial</t>
        </is>
      </c>
      <c r="L4857" t="n">
        <v>2</v>
      </c>
      <c r="M4857" t="inlineStr">
        <is>
          <t>2026-06-22 13:41:42</t>
        </is>
      </c>
      <c r="N4857" t="inlineStr">
        <is>
          <t>system</t>
        </is>
      </c>
      <c r="O4857" t="inlineStr">
        <is>
          <t>2026-06-19 07:10:32</t>
        </is>
      </c>
      <c r="P4857" t="inlineStr">
        <is>
          <t>2026-06-19 07:10:32</t>
        </is>
      </c>
      <c r="Y4857" t="inlineStr">
        <is>
          <t>27637988817</t>
        </is>
      </c>
    </row>
    <row r="4858">
      <c r="A4858" t="inlineStr">
        <is>
          <t>14947648</t>
        </is>
      </c>
      <c r="B4858" t="inlineStr">
        <is>
          <t>25e9e41a-792c-41a1-b7ab-c5c1a653110b</t>
        </is>
      </c>
      <c r="D4858" t="inlineStr">
        <is>
          <t>30001087</t>
        </is>
      </c>
      <c r="E4858" t="inlineStr">
        <is>
          <t>ussd_funeral_leads_altitude_20260619</t>
        </is>
      </c>
      <c r="J4858" t="inlineStr">
        <is>
          <t>AA</t>
        </is>
      </c>
      <c r="K4858" t="inlineStr">
        <is>
          <t>Answering Machine Autodial</t>
        </is>
      </c>
      <c r="L4858" t="n">
        <v>2</v>
      </c>
      <c r="M4858" t="inlineStr">
        <is>
          <t>2026-06-22 13:41:42</t>
        </is>
      </c>
      <c r="N4858" t="inlineStr">
        <is>
          <t>system</t>
        </is>
      </c>
      <c r="O4858" t="inlineStr">
        <is>
          <t>2026-06-19 07:10:32</t>
        </is>
      </c>
      <c r="P4858" t="inlineStr">
        <is>
          <t>2026-06-19 07:10:32</t>
        </is>
      </c>
      <c r="Y4858" t="inlineStr">
        <is>
          <t>27723765369</t>
        </is>
      </c>
    </row>
    <row r="4859">
      <c r="A4859" t="inlineStr">
        <is>
          <t>14947637</t>
        </is>
      </c>
      <c r="B4859" t="inlineStr">
        <is>
          <t>627df495-c6c2-48e7-a8b2-ef99dc58c83b</t>
        </is>
      </c>
      <c r="D4859" t="inlineStr">
        <is>
          <t>30001087</t>
        </is>
      </c>
      <c r="E4859" t="inlineStr">
        <is>
          <t>ussd_funeral_leads_altitude_20260619</t>
        </is>
      </c>
      <c r="J4859" t="inlineStr">
        <is>
          <t>AA</t>
        </is>
      </c>
      <c r="K4859" t="inlineStr">
        <is>
          <t>Answering Machine Autodial</t>
        </is>
      </c>
      <c r="L4859" t="n">
        <v>2</v>
      </c>
      <c r="M4859" t="inlineStr">
        <is>
          <t>2026-06-22 13:40:54</t>
        </is>
      </c>
      <c r="N4859" t="inlineStr">
        <is>
          <t>system</t>
        </is>
      </c>
      <c r="O4859" t="inlineStr">
        <is>
          <t>2026-06-19 07:10:32</t>
        </is>
      </c>
      <c r="P4859" t="inlineStr">
        <is>
          <t>2026-06-19 07:10:32</t>
        </is>
      </c>
      <c r="Y4859" t="inlineStr">
        <is>
          <t>27791047157</t>
        </is>
      </c>
    </row>
    <row r="4860">
      <c r="A4860" t="inlineStr">
        <is>
          <t>14942724</t>
        </is>
      </c>
      <c r="B4860" t="inlineStr">
        <is>
          <t>66d859ed-6e20-41f6-936e-29d286dccaf2</t>
        </is>
      </c>
      <c r="D4860" t="inlineStr">
        <is>
          <t>30001087</t>
        </is>
      </c>
      <c r="E4860" t="inlineStr">
        <is>
          <t>ussd_funeral_leads_altitude_20260619</t>
        </is>
      </c>
      <c r="J4860" t="inlineStr">
        <is>
          <t>AA</t>
        </is>
      </c>
      <c r="K4860" t="inlineStr">
        <is>
          <t>Answering Machine Autodial</t>
        </is>
      </c>
      <c r="L4860" t="n">
        <v>2</v>
      </c>
      <c r="M4860" t="inlineStr">
        <is>
          <t>2026-06-22 13:40:11</t>
        </is>
      </c>
      <c r="N4860" t="inlineStr">
        <is>
          <t>system</t>
        </is>
      </c>
      <c r="O4860" t="inlineStr">
        <is>
          <t>2026-06-19 07:10:32</t>
        </is>
      </c>
      <c r="P4860" t="inlineStr">
        <is>
          <t>2026-06-19 07:10:32</t>
        </is>
      </c>
      <c r="Y4860" t="inlineStr">
        <is>
          <t>27723391824</t>
        </is>
      </c>
    </row>
    <row r="4861">
      <c r="A4861" t="inlineStr">
        <is>
          <t>14942722</t>
        </is>
      </c>
      <c r="B4861" t="inlineStr">
        <is>
          <t>7fcd9973-a7e6-4617-940d-63a92cf80df1</t>
        </is>
      </c>
      <c r="D4861" t="inlineStr">
        <is>
          <t>30001087</t>
        </is>
      </c>
      <c r="E4861" t="inlineStr">
        <is>
          <t>ussd_funeral_leads_altitude_20260619</t>
        </is>
      </c>
      <c r="J4861" t="inlineStr">
        <is>
          <t>AA</t>
        </is>
      </c>
      <c r="K4861" t="inlineStr">
        <is>
          <t>Answering Machine Autodial</t>
        </is>
      </c>
      <c r="L4861" t="n">
        <v>2</v>
      </c>
      <c r="M4861" t="inlineStr">
        <is>
          <t>2026-06-22 13:40:03</t>
        </is>
      </c>
      <c r="N4861" t="inlineStr">
        <is>
          <t>system</t>
        </is>
      </c>
      <c r="O4861" t="inlineStr">
        <is>
          <t>2026-06-19 07:10:32</t>
        </is>
      </c>
      <c r="P4861" t="inlineStr">
        <is>
          <t>2026-06-19 07:10:32</t>
        </is>
      </c>
      <c r="Y4861" t="inlineStr">
        <is>
          <t>27609072532</t>
        </is>
      </c>
    </row>
    <row r="4862">
      <c r="A4862" t="inlineStr">
        <is>
          <t>14942723</t>
        </is>
      </c>
      <c r="B4862" t="inlineStr">
        <is>
          <t>babb991e-0f76-4797-a76a-13ad294a7fbc</t>
        </is>
      </c>
      <c r="D4862" t="inlineStr">
        <is>
          <t>30001087</t>
        </is>
      </c>
      <c r="E4862" t="inlineStr">
        <is>
          <t>ussd_funeral_leads_altitude_20260619</t>
        </is>
      </c>
      <c r="J4862" t="inlineStr">
        <is>
          <t>CBACK</t>
        </is>
      </c>
      <c r="K4862" t="inlineStr">
        <is>
          <t>Callback</t>
        </is>
      </c>
      <c r="L4862" t="n">
        <v>2</v>
      </c>
      <c r="M4862" t="inlineStr">
        <is>
          <t>2026-06-22 13:40:03</t>
        </is>
      </c>
      <c r="N4862" t="inlineStr">
        <is>
          <t>Gontse Monageng</t>
        </is>
      </c>
      <c r="O4862" t="inlineStr">
        <is>
          <t>2026-06-19 07:10:32</t>
        </is>
      </c>
      <c r="P4862" t="inlineStr">
        <is>
          <t>2026-06-19 07:10:32</t>
        </is>
      </c>
      <c r="Y4862" t="inlineStr">
        <is>
          <t>27649111649</t>
        </is>
      </c>
    </row>
    <row r="4863">
      <c r="A4863" t="inlineStr">
        <is>
          <t>14942721</t>
        </is>
      </c>
      <c r="B4863" t="inlineStr">
        <is>
          <t>aa9c38c3-7a45-4f59-8ddf-4f57afe67392</t>
        </is>
      </c>
      <c r="D4863" t="inlineStr">
        <is>
          <t>30001087</t>
        </is>
      </c>
      <c r="E4863" t="inlineStr">
        <is>
          <t>ussd_funeral_leads_altitude_20260619</t>
        </is>
      </c>
      <c r="J4863" t="inlineStr">
        <is>
          <t>ADC</t>
        </is>
      </c>
      <c r="K4863" t="inlineStr">
        <is>
          <t>Auto Dial Disconnected</t>
        </is>
      </c>
      <c r="L4863" t="n">
        <v>2</v>
      </c>
      <c r="M4863" t="inlineStr">
        <is>
          <t>2026-06-22 13:39:56</t>
        </is>
      </c>
      <c r="N4863" t="inlineStr">
        <is>
          <t>system</t>
        </is>
      </c>
      <c r="O4863" t="inlineStr">
        <is>
          <t>2026-06-19 07:10:32</t>
        </is>
      </c>
      <c r="P4863" t="inlineStr">
        <is>
          <t>2026-06-19 07:10:32</t>
        </is>
      </c>
      <c r="Y4863" t="inlineStr">
        <is>
          <t>27774433401</t>
        </is>
      </c>
    </row>
    <row r="4864">
      <c r="A4864" t="inlineStr">
        <is>
          <t>14942720</t>
        </is>
      </c>
      <c r="B4864" t="inlineStr">
        <is>
          <t>3eb65358-8ac9-47eb-a722-166b6ab078f2</t>
        </is>
      </c>
      <c r="D4864" t="inlineStr">
        <is>
          <t>30001087</t>
        </is>
      </c>
      <c r="E4864" t="inlineStr">
        <is>
          <t>ussd_funeral_leads_altitude_20260619</t>
        </is>
      </c>
      <c r="J4864" t="inlineStr">
        <is>
          <t>AA</t>
        </is>
      </c>
      <c r="K4864" t="inlineStr">
        <is>
          <t>Answering Machine Autodial</t>
        </is>
      </c>
      <c r="L4864" t="n">
        <v>2</v>
      </c>
      <c r="M4864" t="inlineStr">
        <is>
          <t>2026-06-22 13:39:53</t>
        </is>
      </c>
      <c r="N4864" t="inlineStr">
        <is>
          <t>system</t>
        </is>
      </c>
      <c r="O4864" t="inlineStr">
        <is>
          <t>2026-06-19 07:10:32</t>
        </is>
      </c>
      <c r="P4864" t="inlineStr">
        <is>
          <t>2026-06-19 07:10:32</t>
        </is>
      </c>
      <c r="Y4864" t="inlineStr">
        <is>
          <t>27796203978</t>
        </is>
      </c>
    </row>
    <row r="4865">
      <c r="A4865" t="inlineStr">
        <is>
          <t>14942719</t>
        </is>
      </c>
      <c r="B4865" t="inlineStr">
        <is>
          <t>d390faf8-ccd9-4f54-84f3-96397a416780</t>
        </is>
      </c>
      <c r="D4865" t="inlineStr">
        <is>
          <t>30001087</t>
        </is>
      </c>
      <c r="E4865" t="inlineStr">
        <is>
          <t>ussd_funeral_leads_altitude_20260619</t>
        </is>
      </c>
      <c r="J4865" t="inlineStr">
        <is>
          <t>AA</t>
        </is>
      </c>
      <c r="K4865" t="inlineStr">
        <is>
          <t>Answering Machine Autodial</t>
        </is>
      </c>
      <c r="L4865" t="n">
        <v>2</v>
      </c>
      <c r="M4865" t="inlineStr">
        <is>
          <t>2026-06-22 13:39:45</t>
        </is>
      </c>
      <c r="N4865" t="inlineStr">
        <is>
          <t>system</t>
        </is>
      </c>
      <c r="O4865" t="inlineStr">
        <is>
          <t>2026-06-19 07:10:32</t>
        </is>
      </c>
      <c r="P4865" t="inlineStr">
        <is>
          <t>2026-06-19 07:10:32</t>
        </is>
      </c>
      <c r="Y4865" t="inlineStr">
        <is>
          <t>27724306759</t>
        </is>
      </c>
    </row>
    <row r="4866">
      <c r="A4866" t="inlineStr">
        <is>
          <t>14942718</t>
        </is>
      </c>
      <c r="B4866" t="inlineStr">
        <is>
          <t>d27f4d1d-f947-4179-9ce9-7ae0e7ac80c8</t>
        </is>
      </c>
      <c r="D4866" t="inlineStr">
        <is>
          <t>30001087</t>
        </is>
      </c>
      <c r="E4866" t="inlineStr">
        <is>
          <t>ussd_funeral_leads_altitude_20260619</t>
        </is>
      </c>
      <c r="J4866" t="inlineStr">
        <is>
          <t>NA</t>
        </is>
      </c>
      <c r="K4866" t="inlineStr">
        <is>
          <t>No Answer Autodial</t>
        </is>
      </c>
      <c r="L4866" t="n">
        <v>2</v>
      </c>
      <c r="M4866" t="inlineStr">
        <is>
          <t>2026-06-22 13:39:43</t>
        </is>
      </c>
      <c r="N4866" t="inlineStr">
        <is>
          <t>system</t>
        </is>
      </c>
      <c r="O4866" t="inlineStr">
        <is>
          <t>2026-06-19 07:10:32</t>
        </is>
      </c>
      <c r="P4866" t="inlineStr">
        <is>
          <t>2026-06-19 07:10:32</t>
        </is>
      </c>
      <c r="Y4866" t="inlineStr">
        <is>
          <t>27716448356</t>
        </is>
      </c>
    </row>
    <row r="4867">
      <c r="A4867" t="inlineStr">
        <is>
          <t>14942716</t>
        </is>
      </c>
      <c r="B4867" t="inlineStr">
        <is>
          <t>dee9cce4-961b-4652-a78d-30f177dd5c7d</t>
        </is>
      </c>
      <c r="D4867" t="inlineStr">
        <is>
          <t>30001087</t>
        </is>
      </c>
      <c r="E4867" t="inlineStr">
        <is>
          <t>ussd_funeral_leads_altitude_20260619</t>
        </is>
      </c>
      <c r="J4867" t="inlineStr">
        <is>
          <t>TDN</t>
        </is>
      </c>
      <c r="K4867" t="inlineStr">
        <is>
          <t>Temporary Disconnected Number</t>
        </is>
      </c>
      <c r="L4867" t="n">
        <v>2</v>
      </c>
      <c r="M4867" t="inlineStr">
        <is>
          <t>2026-06-22 13:39:42</t>
        </is>
      </c>
      <c r="N4867" t="inlineStr">
        <is>
          <t>system</t>
        </is>
      </c>
      <c r="O4867" t="inlineStr">
        <is>
          <t>2026-06-19 07:10:32</t>
        </is>
      </c>
      <c r="P4867" t="inlineStr">
        <is>
          <t>2026-06-19 07:10:32</t>
        </is>
      </c>
      <c r="Y4867" t="inlineStr">
        <is>
          <t>27791815934</t>
        </is>
      </c>
    </row>
    <row r="4868">
      <c r="A4868" t="inlineStr">
        <is>
          <t>14942717</t>
        </is>
      </c>
      <c r="B4868" t="inlineStr">
        <is>
          <t>01ef8734-b728-495e-8c50-25071a241058</t>
        </is>
      </c>
      <c r="D4868" t="inlineStr">
        <is>
          <t>30001087</t>
        </is>
      </c>
      <c r="E4868" t="inlineStr">
        <is>
          <t>ussd_funeral_leads_altitude_20260619</t>
        </is>
      </c>
      <c r="J4868" t="inlineStr">
        <is>
          <t>CU</t>
        </is>
      </c>
      <c r="K4868" t="inlineStr">
        <is>
          <t>Client Hung Up</t>
        </is>
      </c>
      <c r="L4868" t="n">
        <v>2</v>
      </c>
      <c r="M4868" t="inlineStr">
        <is>
          <t>2026-06-22 13:39:41</t>
        </is>
      </c>
      <c r="N4868" t="inlineStr">
        <is>
          <t>Lebohang Mabotja</t>
        </is>
      </c>
      <c r="O4868" t="inlineStr">
        <is>
          <t>2026-06-19 07:10:32</t>
        </is>
      </c>
      <c r="P4868" t="inlineStr">
        <is>
          <t>2026-06-19 07:10:32</t>
        </is>
      </c>
      <c r="Y4868" t="inlineStr">
        <is>
          <t>27793649387</t>
        </is>
      </c>
    </row>
    <row r="4869">
      <c r="A4869" t="inlineStr">
        <is>
          <t>14942715</t>
        </is>
      </c>
      <c r="B4869" t="inlineStr">
        <is>
          <t>1275c5f2-908c-4cde-ab49-e1b6e0bab9ed</t>
        </is>
      </c>
      <c r="D4869" t="inlineStr">
        <is>
          <t>30001087</t>
        </is>
      </c>
      <c r="E4869" t="inlineStr">
        <is>
          <t>ussd_funeral_leads_altitude_20260619</t>
        </is>
      </c>
      <c r="J4869" t="inlineStr">
        <is>
          <t>AA</t>
        </is>
      </c>
      <c r="K4869" t="inlineStr">
        <is>
          <t>Answering Machine Autodial</t>
        </is>
      </c>
      <c r="L4869" t="n">
        <v>2</v>
      </c>
      <c r="M4869" t="inlineStr">
        <is>
          <t>2026-06-22 13:39:38</t>
        </is>
      </c>
      <c r="N4869" t="inlineStr">
        <is>
          <t>system</t>
        </is>
      </c>
      <c r="O4869" t="inlineStr">
        <is>
          <t>2026-06-19 07:10:32</t>
        </is>
      </c>
      <c r="P4869" t="inlineStr">
        <is>
          <t>2026-06-19 07:10:32</t>
        </is>
      </c>
      <c r="Y4869" t="inlineStr">
        <is>
          <t>27608926959</t>
        </is>
      </c>
    </row>
    <row r="4870">
      <c r="A4870" t="inlineStr">
        <is>
          <t>14942713</t>
        </is>
      </c>
      <c r="B4870" t="inlineStr">
        <is>
          <t>6de5b360-5601-4ae2-a110-68c7c8732248</t>
        </is>
      </c>
      <c r="D4870" t="inlineStr">
        <is>
          <t>30001087</t>
        </is>
      </c>
      <c r="E4870" t="inlineStr">
        <is>
          <t>ussd_funeral_leads_altitude_20260619</t>
        </is>
      </c>
      <c r="J4870" t="inlineStr">
        <is>
          <t>NA</t>
        </is>
      </c>
      <c r="K4870" t="inlineStr">
        <is>
          <t>No Answer Autodial</t>
        </is>
      </c>
      <c r="L4870" t="n">
        <v>2</v>
      </c>
      <c r="M4870" t="inlineStr">
        <is>
          <t>2026-06-22 13:39:37</t>
        </is>
      </c>
      <c r="N4870" t="inlineStr">
        <is>
          <t>system</t>
        </is>
      </c>
      <c r="O4870" t="inlineStr">
        <is>
          <t>2026-06-19 07:10:32</t>
        </is>
      </c>
      <c r="P4870" t="inlineStr">
        <is>
          <t>2026-06-19 07:10:32</t>
        </is>
      </c>
      <c r="Y4870" t="inlineStr">
        <is>
          <t>27729967634</t>
        </is>
      </c>
    </row>
    <row r="4871">
      <c r="A4871" t="inlineStr">
        <is>
          <t>14942714</t>
        </is>
      </c>
      <c r="B4871" t="inlineStr">
        <is>
          <t>d212928a-5aa8-4247-88b0-3f9ad844ff9e</t>
        </is>
      </c>
      <c r="D4871" t="inlineStr">
        <is>
          <t>30001087</t>
        </is>
      </c>
      <c r="E4871" t="inlineStr">
        <is>
          <t>ussd_funeral_leads_altitude_20260619</t>
        </is>
      </c>
      <c r="J4871" t="inlineStr">
        <is>
          <t>NA</t>
        </is>
      </c>
      <c r="K4871" t="inlineStr">
        <is>
          <t>No Answer Autodial</t>
        </is>
      </c>
      <c r="L4871" t="n">
        <v>2</v>
      </c>
      <c r="M4871" t="inlineStr">
        <is>
          <t>2026-06-22 13:39:37</t>
        </is>
      </c>
      <c r="N4871" t="inlineStr">
        <is>
          <t>system</t>
        </is>
      </c>
      <c r="O4871" t="inlineStr">
        <is>
          <t>2026-06-19 07:10:32</t>
        </is>
      </c>
      <c r="P4871" t="inlineStr">
        <is>
          <t>2026-06-19 07:10:32</t>
        </is>
      </c>
      <c r="Y4871" t="inlineStr">
        <is>
          <t>27608627969</t>
        </is>
      </c>
    </row>
    <row r="4872">
      <c r="A4872" t="inlineStr">
        <is>
          <t>14947644</t>
        </is>
      </c>
      <c r="B4872" t="inlineStr">
        <is>
          <t>7deaef71-dbe2-4f2a-8546-183550fb6954</t>
        </is>
      </c>
      <c r="D4872" t="inlineStr">
        <is>
          <t>30001087</t>
        </is>
      </c>
      <c r="E4872" t="inlineStr">
        <is>
          <t>ussd_funeral_leads_altitude_20260619</t>
        </is>
      </c>
      <c r="J4872" t="inlineStr">
        <is>
          <t>AA</t>
        </is>
      </c>
      <c r="K4872" t="inlineStr">
        <is>
          <t>Answering Machine Autodial</t>
        </is>
      </c>
      <c r="L4872" t="n">
        <v>2</v>
      </c>
      <c r="M4872" t="inlineStr">
        <is>
          <t>2026-06-22 13:39:37</t>
        </is>
      </c>
      <c r="N4872" t="inlineStr">
        <is>
          <t>system</t>
        </is>
      </c>
      <c r="O4872" t="inlineStr">
        <is>
          <t>2026-06-19 07:10:32</t>
        </is>
      </c>
      <c r="P4872" t="inlineStr">
        <is>
          <t>2026-06-19 07:10:32</t>
        </is>
      </c>
      <c r="Y4872" t="inlineStr">
        <is>
          <t>27725373779</t>
        </is>
      </c>
    </row>
    <row r="4873">
      <c r="A4873" t="inlineStr">
        <is>
          <t>14942799</t>
        </is>
      </c>
      <c r="B4873" t="inlineStr">
        <is>
          <t>37ec96c6-9500-46b3-a9e4-2afa75047e05</t>
        </is>
      </c>
      <c r="D4873" t="inlineStr">
        <is>
          <t>30001087</t>
        </is>
      </c>
      <c r="E4873" t="inlineStr">
        <is>
          <t>ussd_funeral_leads_altitude_20260619</t>
        </is>
      </c>
      <c r="H4873" t="inlineStr">
        <is>
          <t>27790273224</t>
        </is>
      </c>
      <c r="J4873" t="inlineStr">
        <is>
          <t>A</t>
        </is>
      </c>
      <c r="K4873" t="inlineStr">
        <is>
          <t>Answering Machine</t>
        </is>
      </c>
      <c r="L4873" t="n">
        <v>2</v>
      </c>
      <c r="M4873" t="inlineStr">
        <is>
          <t>2026-06-22 13:39:19</t>
        </is>
      </c>
      <c r="N4873" t="inlineStr">
        <is>
          <t>Vuyiswa Nxumalo</t>
        </is>
      </c>
      <c r="O4873" t="inlineStr">
        <is>
          <t>2026-06-19 07:10:32</t>
        </is>
      </c>
      <c r="P4873" t="inlineStr">
        <is>
          <t>2026-06-19 07:10:32</t>
        </is>
      </c>
      <c r="Y4873" t="inlineStr">
        <is>
          <t>27790273224</t>
        </is>
      </c>
    </row>
    <row r="4874">
      <c r="A4874" t="inlineStr">
        <is>
          <t>14942807</t>
        </is>
      </c>
      <c r="B4874" t="inlineStr">
        <is>
          <t>dc273ad0-b9a7-4b93-b0c3-babd114f00d4</t>
        </is>
      </c>
      <c r="D4874" t="inlineStr">
        <is>
          <t>30001087</t>
        </is>
      </c>
      <c r="E4874" t="inlineStr">
        <is>
          <t>ussd_funeral_leads_altitude_20260619</t>
        </is>
      </c>
      <c r="J4874" t="inlineStr">
        <is>
          <t>AA</t>
        </is>
      </c>
      <c r="K4874" t="inlineStr">
        <is>
          <t>Answering Machine Autodial</t>
        </is>
      </c>
      <c r="L4874" t="n">
        <v>2</v>
      </c>
      <c r="M4874" t="inlineStr">
        <is>
          <t>2026-06-22 13:38:16</t>
        </is>
      </c>
      <c r="N4874" t="inlineStr">
        <is>
          <t>system</t>
        </is>
      </c>
      <c r="O4874" t="inlineStr">
        <is>
          <t>2026-06-19 07:10:32</t>
        </is>
      </c>
      <c r="P4874" t="inlineStr">
        <is>
          <t>2026-06-19 07:10:32</t>
        </is>
      </c>
      <c r="Y4874" t="inlineStr">
        <is>
          <t>27728429921</t>
        </is>
      </c>
    </row>
    <row r="4875">
      <c r="A4875" t="inlineStr">
        <is>
          <t>14942805</t>
        </is>
      </c>
      <c r="B4875" t="inlineStr">
        <is>
          <t>17f601ed-79a6-415b-a0db-baee5e13dbce</t>
        </is>
      </c>
      <c r="D4875" t="inlineStr">
        <is>
          <t>30001087</t>
        </is>
      </c>
      <c r="E4875" t="inlineStr">
        <is>
          <t>ussd_funeral_leads_altitude_20260619</t>
        </is>
      </c>
      <c r="J4875" t="inlineStr">
        <is>
          <t>NA</t>
        </is>
      </c>
      <c r="K4875" t="inlineStr">
        <is>
          <t>No Answer Autodial</t>
        </is>
      </c>
      <c r="L4875" t="n">
        <v>2</v>
      </c>
      <c r="M4875" t="inlineStr">
        <is>
          <t>2026-06-22 13:38:14</t>
        </is>
      </c>
      <c r="N4875" t="inlineStr">
        <is>
          <t>system</t>
        </is>
      </c>
      <c r="O4875" t="inlineStr">
        <is>
          <t>2026-06-19 07:10:32</t>
        </is>
      </c>
      <c r="P4875" t="inlineStr">
        <is>
          <t>2026-06-19 07:10:32</t>
        </is>
      </c>
      <c r="Y4875" t="inlineStr">
        <is>
          <t>27826500844</t>
        </is>
      </c>
    </row>
    <row r="4876">
      <c r="A4876" t="inlineStr">
        <is>
          <t>14942806</t>
        </is>
      </c>
      <c r="B4876" t="inlineStr">
        <is>
          <t>187bd021-0fab-4f0c-897f-dbd664f16a1e</t>
        </is>
      </c>
      <c r="D4876" t="inlineStr">
        <is>
          <t>30001087</t>
        </is>
      </c>
      <c r="E4876" t="inlineStr">
        <is>
          <t>ussd_funeral_leads_altitude_20260619</t>
        </is>
      </c>
      <c r="J4876" t="inlineStr">
        <is>
          <t>AA</t>
        </is>
      </c>
      <c r="K4876" t="inlineStr">
        <is>
          <t>Answering Machine Autodial</t>
        </is>
      </c>
      <c r="L4876" t="n">
        <v>2</v>
      </c>
      <c r="M4876" t="inlineStr">
        <is>
          <t>2026-06-22 13:38:14</t>
        </is>
      </c>
      <c r="N4876" t="inlineStr">
        <is>
          <t>system</t>
        </is>
      </c>
      <c r="O4876" t="inlineStr">
        <is>
          <t>2026-06-19 07:10:32</t>
        </is>
      </c>
      <c r="P4876" t="inlineStr">
        <is>
          <t>2026-06-19 07:10:32</t>
        </is>
      </c>
      <c r="Y4876" t="inlineStr">
        <is>
          <t>27647094384</t>
        </is>
      </c>
    </row>
    <row r="4877">
      <c r="A4877" t="inlineStr">
        <is>
          <t>14942803</t>
        </is>
      </c>
      <c r="B4877" t="inlineStr">
        <is>
          <t>29937284-fcec-480e-bde7-9d0f1a73d153</t>
        </is>
      </c>
      <c r="D4877" t="inlineStr">
        <is>
          <t>30001087</t>
        </is>
      </c>
      <c r="E4877" t="inlineStr">
        <is>
          <t>ussd_funeral_leads_altitude_20260619</t>
        </is>
      </c>
      <c r="J4877" t="inlineStr">
        <is>
          <t>AA</t>
        </is>
      </c>
      <c r="K4877" t="inlineStr">
        <is>
          <t>Answering Machine Autodial</t>
        </is>
      </c>
      <c r="L4877" t="n">
        <v>2</v>
      </c>
      <c r="M4877" t="inlineStr">
        <is>
          <t>2026-06-22 13:38:09</t>
        </is>
      </c>
      <c r="N4877" t="inlineStr">
        <is>
          <t>system</t>
        </is>
      </c>
      <c r="O4877" t="inlineStr">
        <is>
          <t>2026-06-19 07:10:32</t>
        </is>
      </c>
      <c r="P4877" t="inlineStr">
        <is>
          <t>2026-06-19 07:10:32</t>
        </is>
      </c>
      <c r="Y4877" t="inlineStr">
        <is>
          <t>27818138697</t>
        </is>
      </c>
    </row>
    <row r="4878">
      <c r="A4878" t="inlineStr">
        <is>
          <t>14942804</t>
        </is>
      </c>
      <c r="B4878" t="inlineStr">
        <is>
          <t>65fc6b11-6ed9-40a6-93a1-fc6cb4d9444f</t>
        </is>
      </c>
      <c r="D4878" t="inlineStr">
        <is>
          <t>30001087</t>
        </is>
      </c>
      <c r="E4878" t="inlineStr">
        <is>
          <t>ussd_funeral_leads_altitude_20260619</t>
        </is>
      </c>
      <c r="J4878" t="inlineStr">
        <is>
          <t>AA</t>
        </is>
      </c>
      <c r="K4878" t="inlineStr">
        <is>
          <t>Answering Machine Autodial</t>
        </is>
      </c>
      <c r="L4878" t="n">
        <v>2</v>
      </c>
      <c r="M4878" t="inlineStr">
        <is>
          <t>2026-06-22 13:38:09</t>
        </is>
      </c>
      <c r="N4878" t="inlineStr">
        <is>
          <t>system</t>
        </is>
      </c>
      <c r="O4878" t="inlineStr">
        <is>
          <t>2026-06-19 07:10:32</t>
        </is>
      </c>
      <c r="P4878" t="inlineStr">
        <is>
          <t>2026-06-19 07:10:32</t>
        </is>
      </c>
      <c r="Y4878" t="inlineStr">
        <is>
          <t>27793670213</t>
        </is>
      </c>
    </row>
    <row r="4879">
      <c r="A4879" t="inlineStr">
        <is>
          <t>14942802</t>
        </is>
      </c>
      <c r="B4879" t="inlineStr">
        <is>
          <t>308c11ba-22e4-44aa-b580-23d9dabe7b73</t>
        </is>
      </c>
      <c r="D4879" t="inlineStr">
        <is>
          <t>30001087</t>
        </is>
      </c>
      <c r="E4879" t="inlineStr">
        <is>
          <t>ussd_funeral_leads_altitude_20260619</t>
        </is>
      </c>
      <c r="J4879" t="inlineStr">
        <is>
          <t>TDN</t>
        </is>
      </c>
      <c r="K4879" t="inlineStr">
        <is>
          <t>Temporary Disconnected Number</t>
        </is>
      </c>
      <c r="L4879" t="n">
        <v>2</v>
      </c>
      <c r="M4879" t="inlineStr">
        <is>
          <t>2026-06-22 13:38:08</t>
        </is>
      </c>
      <c r="N4879" t="inlineStr">
        <is>
          <t>system</t>
        </is>
      </c>
      <c r="O4879" t="inlineStr">
        <is>
          <t>2026-06-19 07:10:32</t>
        </is>
      </c>
      <c r="P4879" t="inlineStr">
        <is>
          <t>2026-06-19 07:10:32</t>
        </is>
      </c>
      <c r="Y4879" t="inlineStr">
        <is>
          <t>27674812666</t>
        </is>
      </c>
    </row>
    <row r="4880">
      <c r="A4880" t="inlineStr">
        <is>
          <t>14942800</t>
        </is>
      </c>
      <c r="B4880" t="inlineStr">
        <is>
          <t>f95cb159-3336-4275-a763-f4d79f2bf94b</t>
        </is>
      </c>
      <c r="D4880" t="inlineStr">
        <is>
          <t>30001087</t>
        </is>
      </c>
      <c r="E4880" t="inlineStr">
        <is>
          <t>ussd_funeral_leads_altitude_20260619</t>
        </is>
      </c>
      <c r="J4880" t="inlineStr">
        <is>
          <t>AA</t>
        </is>
      </c>
      <c r="K4880" t="inlineStr">
        <is>
          <t>Answering Machine Autodial</t>
        </is>
      </c>
      <c r="L4880" t="n">
        <v>2</v>
      </c>
      <c r="M4880" t="inlineStr">
        <is>
          <t>2026-06-22 13:38:01</t>
        </is>
      </c>
      <c r="N4880" t="inlineStr">
        <is>
          <t>system</t>
        </is>
      </c>
      <c r="O4880" t="inlineStr">
        <is>
          <t>2026-06-19 07:10:32</t>
        </is>
      </c>
      <c r="P4880" t="inlineStr">
        <is>
          <t>2026-06-19 07:10:32</t>
        </is>
      </c>
      <c r="Y4880" t="inlineStr">
        <is>
          <t>27799135933</t>
        </is>
      </c>
    </row>
    <row r="4881">
      <c r="A4881" t="inlineStr">
        <is>
          <t>14942798</t>
        </is>
      </c>
      <c r="B4881" t="inlineStr">
        <is>
          <t>8ee026ff-aef1-46a8-92cd-d710a32d5e2c</t>
        </is>
      </c>
      <c r="D4881" t="inlineStr">
        <is>
          <t>30001087</t>
        </is>
      </c>
      <c r="E4881" t="inlineStr">
        <is>
          <t>ussd_funeral_leads_altitude_20260619</t>
        </is>
      </c>
      <c r="J4881" t="inlineStr">
        <is>
          <t>AA</t>
        </is>
      </c>
      <c r="K4881" t="inlineStr">
        <is>
          <t>Answering Machine Autodial</t>
        </is>
      </c>
      <c r="L4881" t="n">
        <v>2</v>
      </c>
      <c r="M4881" t="inlineStr">
        <is>
          <t>2026-06-22 13:37:57</t>
        </is>
      </c>
      <c r="N4881" t="inlineStr">
        <is>
          <t>system</t>
        </is>
      </c>
      <c r="O4881" t="inlineStr">
        <is>
          <t>2026-06-19 07:10:32</t>
        </is>
      </c>
      <c r="P4881" t="inlineStr">
        <is>
          <t>2026-06-19 07:10:32</t>
        </is>
      </c>
      <c r="Y4881" t="inlineStr">
        <is>
          <t>27761631295</t>
        </is>
      </c>
    </row>
    <row r="4882">
      <c r="A4882" t="inlineStr">
        <is>
          <t>14942797</t>
        </is>
      </c>
      <c r="B4882" t="inlineStr">
        <is>
          <t>da488532-3e83-4b46-8717-cd90ba012a8a</t>
        </is>
      </c>
      <c r="D4882" t="inlineStr">
        <is>
          <t>30001087</t>
        </is>
      </c>
      <c r="E4882" t="inlineStr">
        <is>
          <t>ussd_funeral_leads_altitude_20260619</t>
        </is>
      </c>
      <c r="J4882" t="inlineStr">
        <is>
          <t>AA</t>
        </is>
      </c>
      <c r="K4882" t="inlineStr">
        <is>
          <t>Answering Machine Autodial</t>
        </is>
      </c>
      <c r="L4882" t="n">
        <v>2</v>
      </c>
      <c r="M4882" t="inlineStr">
        <is>
          <t>2026-06-22 13:37:54</t>
        </is>
      </c>
      <c r="N4882" t="inlineStr">
        <is>
          <t>system</t>
        </is>
      </c>
      <c r="O4882" t="inlineStr">
        <is>
          <t>2026-06-19 07:10:32</t>
        </is>
      </c>
      <c r="P4882" t="inlineStr">
        <is>
          <t>2026-06-19 07:10:32</t>
        </is>
      </c>
      <c r="Y4882" t="inlineStr">
        <is>
          <t>27647016945</t>
        </is>
      </c>
    </row>
    <row r="4883">
      <c r="A4883" t="inlineStr">
        <is>
          <t>14942794</t>
        </is>
      </c>
      <c r="B4883" t="inlineStr">
        <is>
          <t>f7464dae-e269-4fe6-9b8c-2293922bd7db</t>
        </is>
      </c>
      <c r="D4883" t="inlineStr">
        <is>
          <t>30001087</t>
        </is>
      </c>
      <c r="E4883" t="inlineStr">
        <is>
          <t>ussd_funeral_leads_altitude_20260619</t>
        </is>
      </c>
      <c r="J4883" t="inlineStr">
        <is>
          <t>AA</t>
        </is>
      </c>
      <c r="K4883" t="inlineStr">
        <is>
          <t>Answering Machine Autodial</t>
        </is>
      </c>
      <c r="L4883" t="n">
        <v>2</v>
      </c>
      <c r="M4883" t="inlineStr">
        <is>
          <t>2026-06-22 13:37:53</t>
        </is>
      </c>
      <c r="N4883" t="inlineStr">
        <is>
          <t>system</t>
        </is>
      </c>
      <c r="O4883" t="inlineStr">
        <is>
          <t>2026-06-19 07:10:32</t>
        </is>
      </c>
      <c r="P4883" t="inlineStr">
        <is>
          <t>2026-06-19 07:10:32</t>
        </is>
      </c>
      <c r="Y4883" t="inlineStr">
        <is>
          <t>27766957958</t>
        </is>
      </c>
    </row>
    <row r="4884">
      <c r="A4884" t="inlineStr">
        <is>
          <t>14942795</t>
        </is>
      </c>
      <c r="B4884" t="inlineStr">
        <is>
          <t>b23d091e-eade-4048-b7fe-18e114b028a3</t>
        </is>
      </c>
      <c r="D4884" t="inlineStr">
        <is>
          <t>30001087</t>
        </is>
      </c>
      <c r="E4884" t="inlineStr">
        <is>
          <t>ussd_funeral_leads_altitude_20260619</t>
        </is>
      </c>
      <c r="J4884" t="inlineStr">
        <is>
          <t>TDN</t>
        </is>
      </c>
      <c r="K4884" t="inlineStr">
        <is>
          <t>Temporary Disconnected Number</t>
        </is>
      </c>
      <c r="L4884" t="n">
        <v>2</v>
      </c>
      <c r="M4884" t="inlineStr">
        <is>
          <t>2026-06-22 13:37:53</t>
        </is>
      </c>
      <c r="N4884" t="inlineStr">
        <is>
          <t>system</t>
        </is>
      </c>
      <c r="O4884" t="inlineStr">
        <is>
          <t>2026-06-19 07:10:32</t>
        </is>
      </c>
      <c r="P4884" t="inlineStr">
        <is>
          <t>2026-06-19 07:10:32</t>
        </is>
      </c>
      <c r="Y4884" t="inlineStr">
        <is>
          <t>27725087390</t>
        </is>
      </c>
    </row>
    <row r="4885">
      <c r="A4885" t="inlineStr">
        <is>
          <t>14942796</t>
        </is>
      </c>
      <c r="B4885" t="inlineStr">
        <is>
          <t>db4fe758-48f7-49fc-8458-c8590752b649</t>
        </is>
      </c>
      <c r="D4885" t="inlineStr">
        <is>
          <t>30001087</t>
        </is>
      </c>
      <c r="E4885" t="inlineStr">
        <is>
          <t>ussd_funeral_leads_altitude_20260619</t>
        </is>
      </c>
      <c r="J4885" t="inlineStr">
        <is>
          <t>LANG</t>
        </is>
      </c>
      <c r="K4885" t="inlineStr">
        <is>
          <t>Language Barrier</t>
        </is>
      </c>
      <c r="L4885" t="n">
        <v>2</v>
      </c>
      <c r="M4885" t="inlineStr">
        <is>
          <t>2026-06-22 13:37:53</t>
        </is>
      </c>
      <c r="N4885" t="inlineStr">
        <is>
          <t>Lebohang Mabotja</t>
        </is>
      </c>
      <c r="O4885" t="inlineStr">
        <is>
          <t>2026-06-19 07:10:32</t>
        </is>
      </c>
      <c r="P4885" t="inlineStr">
        <is>
          <t>2026-06-19 07:10:32</t>
        </is>
      </c>
      <c r="Y4885" t="inlineStr">
        <is>
          <t>27674373388</t>
        </is>
      </c>
    </row>
    <row r="4886">
      <c r="A4886" t="inlineStr">
        <is>
          <t>14942792</t>
        </is>
      </c>
      <c r="B4886" t="inlineStr">
        <is>
          <t>f520302c-9830-45e2-ad1d-7357c7bd12b4</t>
        </is>
      </c>
      <c r="D4886" t="inlineStr">
        <is>
          <t>30001087</t>
        </is>
      </c>
      <c r="E4886" t="inlineStr">
        <is>
          <t>ussd_funeral_leads_altitude_20260619</t>
        </is>
      </c>
      <c r="J4886" t="inlineStr">
        <is>
          <t>AA</t>
        </is>
      </c>
      <c r="K4886" t="inlineStr">
        <is>
          <t>Answering Machine Autodial</t>
        </is>
      </c>
      <c r="L4886" t="n">
        <v>2</v>
      </c>
      <c r="M4886" t="inlineStr">
        <is>
          <t>2026-06-22 13:37:52</t>
        </is>
      </c>
      <c r="N4886" t="inlineStr">
        <is>
          <t>system</t>
        </is>
      </c>
      <c r="O4886" t="inlineStr">
        <is>
          <t>2026-06-19 07:10:32</t>
        </is>
      </c>
      <c r="P4886" t="inlineStr">
        <is>
          <t>2026-06-19 07:10:32</t>
        </is>
      </c>
      <c r="Y4886" t="inlineStr">
        <is>
          <t>27609520475</t>
        </is>
      </c>
    </row>
    <row r="4887">
      <c r="A4887" t="inlineStr">
        <is>
          <t>14942793</t>
        </is>
      </c>
      <c r="B4887" t="inlineStr">
        <is>
          <t>d894ecbd-720e-45ea-82c9-eaa3de46c46a</t>
        </is>
      </c>
      <c r="D4887" t="inlineStr">
        <is>
          <t>30001087</t>
        </is>
      </c>
      <c r="E4887" t="inlineStr">
        <is>
          <t>ussd_funeral_leads_altitude_20260619</t>
        </is>
      </c>
      <c r="J4887" t="inlineStr">
        <is>
          <t>AA</t>
        </is>
      </c>
      <c r="K4887" t="inlineStr">
        <is>
          <t>Answering Machine Autodial</t>
        </is>
      </c>
      <c r="L4887" t="n">
        <v>2</v>
      </c>
      <c r="M4887" t="inlineStr">
        <is>
          <t>2026-06-22 13:37:52</t>
        </is>
      </c>
      <c r="N4887" t="inlineStr">
        <is>
          <t>system</t>
        </is>
      </c>
      <c r="O4887" t="inlineStr">
        <is>
          <t>2026-06-19 07:10:32</t>
        </is>
      </c>
      <c r="P4887" t="inlineStr">
        <is>
          <t>2026-06-19 07:10:32</t>
        </is>
      </c>
      <c r="Y4887" t="inlineStr">
        <is>
          <t>27796522026</t>
        </is>
      </c>
    </row>
    <row r="4888">
      <c r="A4888" t="inlineStr">
        <is>
          <t>14942791</t>
        </is>
      </c>
      <c r="B4888" t="inlineStr">
        <is>
          <t>0d0a176e-068e-458c-b8c0-513c437b2651</t>
        </is>
      </c>
      <c r="D4888" t="inlineStr">
        <is>
          <t>30001087</t>
        </is>
      </c>
      <c r="E4888" t="inlineStr">
        <is>
          <t>ussd_funeral_leads_altitude_20260619</t>
        </is>
      </c>
      <c r="J4888" t="inlineStr">
        <is>
          <t>NA</t>
        </is>
      </c>
      <c r="K4888" t="inlineStr">
        <is>
          <t>No Answer Autodial</t>
        </is>
      </c>
      <c r="L4888" t="n">
        <v>2</v>
      </c>
      <c r="M4888" t="inlineStr">
        <is>
          <t>2026-06-22 13:37:46</t>
        </is>
      </c>
      <c r="N4888" t="inlineStr">
        <is>
          <t>system</t>
        </is>
      </c>
      <c r="O4888" t="inlineStr">
        <is>
          <t>2026-06-19 07:10:32</t>
        </is>
      </c>
      <c r="P4888" t="inlineStr">
        <is>
          <t>2026-06-19 07:10:32</t>
        </is>
      </c>
      <c r="Y4888" t="inlineStr">
        <is>
          <t>27649249961</t>
        </is>
      </c>
    </row>
    <row r="4889">
      <c r="A4889" t="inlineStr">
        <is>
          <t>14942790</t>
        </is>
      </c>
      <c r="B4889" t="inlineStr">
        <is>
          <t>2a8eb73a-fcd8-4f24-baa5-5f7b9fd0c873</t>
        </is>
      </c>
      <c r="D4889" t="inlineStr">
        <is>
          <t>30001087</t>
        </is>
      </c>
      <c r="E4889" t="inlineStr">
        <is>
          <t>ussd_funeral_leads_altitude_20260619</t>
        </is>
      </c>
      <c r="J4889" t="inlineStr">
        <is>
          <t>ADC</t>
        </is>
      </c>
      <c r="K4889" t="inlineStr">
        <is>
          <t>Auto Dial Disconnected</t>
        </is>
      </c>
      <c r="L4889" t="n">
        <v>2</v>
      </c>
      <c r="M4889" t="inlineStr">
        <is>
          <t>2026-06-22 13:37:44</t>
        </is>
      </c>
      <c r="N4889" t="inlineStr">
        <is>
          <t>system</t>
        </is>
      </c>
      <c r="O4889" t="inlineStr">
        <is>
          <t>2026-06-19 07:10:32</t>
        </is>
      </c>
      <c r="P4889" t="inlineStr">
        <is>
          <t>2026-06-19 07:10:32</t>
        </is>
      </c>
      <c r="Y4889" t="inlineStr">
        <is>
          <t>27794051155</t>
        </is>
      </c>
    </row>
    <row r="4890">
      <c r="A4890" t="inlineStr">
        <is>
          <t>14942785</t>
        </is>
      </c>
      <c r="B4890" t="inlineStr">
        <is>
          <t>1da2c1b5-0215-44ab-a6b8-c26662dbb396</t>
        </is>
      </c>
      <c r="D4890" t="inlineStr">
        <is>
          <t>30001087</t>
        </is>
      </c>
      <c r="E4890" t="inlineStr">
        <is>
          <t>ussd_funeral_leads_altitude_20260619</t>
        </is>
      </c>
      <c r="J4890" t="inlineStr">
        <is>
          <t>AA</t>
        </is>
      </c>
      <c r="K4890" t="inlineStr">
        <is>
          <t>Answering Machine Autodial</t>
        </is>
      </c>
      <c r="L4890" t="n">
        <v>2</v>
      </c>
      <c r="M4890" t="inlineStr">
        <is>
          <t>2026-06-22 13:37:39</t>
        </is>
      </c>
      <c r="N4890" t="inlineStr">
        <is>
          <t>system</t>
        </is>
      </c>
      <c r="O4890" t="inlineStr">
        <is>
          <t>2026-06-19 07:10:32</t>
        </is>
      </c>
      <c r="P4890" t="inlineStr">
        <is>
          <t>2026-06-19 07:10:32</t>
        </is>
      </c>
      <c r="Y4890" t="inlineStr">
        <is>
          <t>27646077260</t>
        </is>
      </c>
    </row>
    <row r="4891">
      <c r="A4891" t="inlineStr">
        <is>
          <t>14942787</t>
        </is>
      </c>
      <c r="B4891" t="inlineStr">
        <is>
          <t>a12e4be4-b2d5-4164-b1b7-031ca870da93</t>
        </is>
      </c>
      <c r="D4891" t="inlineStr">
        <is>
          <t>30001087</t>
        </is>
      </c>
      <c r="E4891" t="inlineStr">
        <is>
          <t>ussd_funeral_leads_altitude_20260619</t>
        </is>
      </c>
      <c r="J4891" t="inlineStr">
        <is>
          <t>AA</t>
        </is>
      </c>
      <c r="K4891" t="inlineStr">
        <is>
          <t>Answering Machine Autodial</t>
        </is>
      </c>
      <c r="L4891" t="n">
        <v>2</v>
      </c>
      <c r="M4891" t="inlineStr">
        <is>
          <t>2026-06-22 13:37:39</t>
        </is>
      </c>
      <c r="N4891" t="inlineStr">
        <is>
          <t>system</t>
        </is>
      </c>
      <c r="O4891" t="inlineStr">
        <is>
          <t>2026-06-19 07:10:32</t>
        </is>
      </c>
      <c r="P4891" t="inlineStr">
        <is>
          <t>2026-06-19 07:10:32</t>
        </is>
      </c>
      <c r="Y4891" t="inlineStr">
        <is>
          <t>27649793923</t>
        </is>
      </c>
    </row>
    <row r="4892">
      <c r="A4892" t="inlineStr">
        <is>
          <t>14942789</t>
        </is>
      </c>
      <c r="B4892" t="inlineStr">
        <is>
          <t>b2f607e8-30bc-44bb-b49b-0d6d11ef5a99</t>
        </is>
      </c>
      <c r="D4892" t="inlineStr">
        <is>
          <t>30001087</t>
        </is>
      </c>
      <c r="E4892" t="inlineStr">
        <is>
          <t>ussd_funeral_leads_altitude_20260619</t>
        </is>
      </c>
      <c r="J4892" t="inlineStr">
        <is>
          <t>TDN</t>
        </is>
      </c>
      <c r="K4892" t="inlineStr">
        <is>
          <t>Temporary Disconnected Number</t>
        </is>
      </c>
      <c r="L4892" t="n">
        <v>2</v>
      </c>
      <c r="M4892" t="inlineStr">
        <is>
          <t>2026-06-22 13:37:38</t>
        </is>
      </c>
      <c r="N4892" t="inlineStr">
        <is>
          <t>system</t>
        </is>
      </c>
      <c r="O4892" t="inlineStr">
        <is>
          <t>2026-06-19 07:10:32</t>
        </is>
      </c>
      <c r="P4892" t="inlineStr">
        <is>
          <t>2026-06-19 07:10:32</t>
        </is>
      </c>
      <c r="Y4892" t="inlineStr">
        <is>
          <t>27761239383</t>
        </is>
      </c>
    </row>
    <row r="4893">
      <c r="A4893" t="inlineStr">
        <is>
          <t>14947664</t>
        </is>
      </c>
      <c r="B4893" t="inlineStr">
        <is>
          <t>1c41b392-cfbc-4a57-a52c-3251eb7a7b27</t>
        </is>
      </c>
      <c r="D4893" t="inlineStr">
        <is>
          <t>30001087</t>
        </is>
      </c>
      <c r="E4893" t="inlineStr">
        <is>
          <t>ussd_funeral_leads_altitude_20260619</t>
        </is>
      </c>
      <c r="J4893" t="inlineStr">
        <is>
          <t>AA</t>
        </is>
      </c>
      <c r="K4893" t="inlineStr">
        <is>
          <t>Answering Machine Autodial</t>
        </is>
      </c>
      <c r="L4893" t="n">
        <v>2</v>
      </c>
      <c r="M4893" t="inlineStr">
        <is>
          <t>2026-06-22 13:37:38</t>
        </is>
      </c>
      <c r="N4893" t="inlineStr">
        <is>
          <t>system</t>
        </is>
      </c>
      <c r="O4893" t="inlineStr">
        <is>
          <t>2026-06-19 07:10:32</t>
        </is>
      </c>
      <c r="P4893" t="inlineStr">
        <is>
          <t>2026-06-19 07:10:32</t>
        </is>
      </c>
      <c r="Y4893" t="inlineStr">
        <is>
          <t>27665116025</t>
        </is>
      </c>
    </row>
    <row r="4894">
      <c r="A4894" t="inlineStr">
        <is>
          <t>14942839</t>
        </is>
      </c>
      <c r="B4894" t="inlineStr">
        <is>
          <t>9e50eeb0-9ec8-4dd3-bc72-ddb0719c2893</t>
        </is>
      </c>
      <c r="D4894" t="inlineStr">
        <is>
          <t>30001087</t>
        </is>
      </c>
      <c r="E4894" t="inlineStr">
        <is>
          <t>ussd_funeral_leads_altitude_20260619</t>
        </is>
      </c>
      <c r="J4894" t="inlineStr">
        <is>
          <t>TDN</t>
        </is>
      </c>
      <c r="K4894" t="inlineStr">
        <is>
          <t>Temporary Disconnected Number</t>
        </is>
      </c>
      <c r="L4894" t="n">
        <v>2</v>
      </c>
      <c r="M4894" t="inlineStr">
        <is>
          <t>2026-06-22 13:34:40</t>
        </is>
      </c>
      <c r="N4894" t="inlineStr">
        <is>
          <t>system</t>
        </is>
      </c>
      <c r="O4894" t="inlineStr">
        <is>
          <t>2026-06-19 07:10:32</t>
        </is>
      </c>
      <c r="P4894" t="inlineStr">
        <is>
          <t>2026-06-19 07:10:32</t>
        </is>
      </c>
      <c r="Y4894" t="inlineStr">
        <is>
          <t>27648970420</t>
        </is>
      </c>
    </row>
    <row r="4895">
      <c r="A4895" t="inlineStr">
        <is>
          <t>14942837</t>
        </is>
      </c>
      <c r="B4895" t="inlineStr">
        <is>
          <t>92d9602c-7f5c-4b03-a83b-d1591176f2b3</t>
        </is>
      </c>
      <c r="D4895" t="inlineStr">
        <is>
          <t>30001087</t>
        </is>
      </c>
      <c r="E4895" t="inlineStr">
        <is>
          <t>ussd_funeral_leads_altitude_20260619</t>
        </is>
      </c>
      <c r="J4895" t="inlineStr">
        <is>
          <t>AA</t>
        </is>
      </c>
      <c r="K4895" t="inlineStr">
        <is>
          <t>Answering Machine Autodial</t>
        </is>
      </c>
      <c r="L4895" t="n">
        <v>2</v>
      </c>
      <c r="M4895" t="inlineStr">
        <is>
          <t>2026-06-22 13:34:38</t>
        </is>
      </c>
      <c r="N4895" t="inlineStr">
        <is>
          <t>system</t>
        </is>
      </c>
      <c r="O4895" t="inlineStr">
        <is>
          <t>2026-06-19 07:10:32</t>
        </is>
      </c>
      <c r="P4895" t="inlineStr">
        <is>
          <t>2026-06-19 07:10:32</t>
        </is>
      </c>
      <c r="Y4895" t="inlineStr">
        <is>
          <t>27760262022</t>
        </is>
      </c>
    </row>
    <row r="4896">
      <c r="A4896" t="inlineStr">
        <is>
          <t>14947542</t>
        </is>
      </c>
      <c r="B4896" t="inlineStr">
        <is>
          <t>c40859b3-cb0c-4c9b-8047-2d71455b838a</t>
        </is>
      </c>
      <c r="D4896" t="inlineStr">
        <is>
          <t>30001087</t>
        </is>
      </c>
      <c r="E4896" t="inlineStr">
        <is>
          <t>ussd_funeral_leads_altitude_20260619</t>
        </is>
      </c>
      <c r="J4896" t="inlineStr">
        <is>
          <t>AA</t>
        </is>
      </c>
      <c r="K4896" t="inlineStr">
        <is>
          <t>Answering Machine Autodial</t>
        </is>
      </c>
      <c r="L4896" t="n">
        <v>2</v>
      </c>
      <c r="M4896" t="inlineStr">
        <is>
          <t>2026-06-22 13:34:12</t>
        </is>
      </c>
      <c r="N4896" t="inlineStr">
        <is>
          <t>system</t>
        </is>
      </c>
      <c r="O4896" t="inlineStr">
        <is>
          <t>2026-06-19 07:10:32</t>
        </is>
      </c>
      <c r="P4896" t="inlineStr">
        <is>
          <t>2026-06-19 07:10:32</t>
        </is>
      </c>
      <c r="Y4896" t="inlineStr">
        <is>
          <t>27660414569</t>
        </is>
      </c>
    </row>
    <row r="4897">
      <c r="A4897" t="inlineStr">
        <is>
          <t>14947544</t>
        </is>
      </c>
      <c r="B4897" t="inlineStr">
        <is>
          <t>d7bccbe0-3c65-4689-b770-69e03b0afdfc</t>
        </is>
      </c>
      <c r="D4897" t="inlineStr">
        <is>
          <t>30001087</t>
        </is>
      </c>
      <c r="E4897" t="inlineStr">
        <is>
          <t>ussd_funeral_leads_altitude_20260619</t>
        </is>
      </c>
      <c r="J4897" t="inlineStr">
        <is>
          <t>AA</t>
        </is>
      </c>
      <c r="K4897" t="inlineStr">
        <is>
          <t>Answering Machine Autodial</t>
        </is>
      </c>
      <c r="L4897" t="n">
        <v>2</v>
      </c>
      <c r="M4897" t="inlineStr">
        <is>
          <t>2026-06-22 13:34:01</t>
        </is>
      </c>
      <c r="N4897" t="inlineStr">
        <is>
          <t>system</t>
        </is>
      </c>
      <c r="O4897" t="inlineStr">
        <is>
          <t>2026-06-19 07:10:32</t>
        </is>
      </c>
      <c r="P4897" t="inlineStr">
        <is>
          <t>2026-06-19 07:10:32</t>
        </is>
      </c>
      <c r="Y4897" t="inlineStr">
        <is>
          <t>27664035610</t>
        </is>
      </c>
    </row>
    <row r="4898">
      <c r="A4898" t="inlineStr">
        <is>
          <t>14942912</t>
        </is>
      </c>
      <c r="B4898" t="inlineStr">
        <is>
          <t>80a0af2a-3559-4dce-83ef-2c755aaa04af</t>
        </is>
      </c>
      <c r="D4898" t="inlineStr">
        <is>
          <t>30001087</t>
        </is>
      </c>
      <c r="E4898" t="inlineStr">
        <is>
          <t>ussd_funeral_leads_altitude_20260619</t>
        </is>
      </c>
      <c r="J4898" t="inlineStr">
        <is>
          <t>AA</t>
        </is>
      </c>
      <c r="K4898" t="inlineStr">
        <is>
          <t>Answering Machine Autodial</t>
        </is>
      </c>
      <c r="L4898" t="n">
        <v>2</v>
      </c>
      <c r="M4898" t="inlineStr">
        <is>
          <t>2026-06-22 13:34:00</t>
        </is>
      </c>
      <c r="N4898" t="inlineStr">
        <is>
          <t>system</t>
        </is>
      </c>
      <c r="O4898" t="inlineStr">
        <is>
          <t>2026-06-19 07:10:32</t>
        </is>
      </c>
      <c r="P4898" t="inlineStr">
        <is>
          <t>2026-06-19 07:10:32</t>
        </is>
      </c>
      <c r="Y4898" t="inlineStr">
        <is>
          <t>27764609069</t>
        </is>
      </c>
    </row>
    <row r="4899">
      <c r="A4899" t="inlineStr">
        <is>
          <t>14947546</t>
        </is>
      </c>
      <c r="B4899" t="inlineStr">
        <is>
          <t>6d0bbcd5-15f6-465a-8ceb-6555c539eb36</t>
        </is>
      </c>
      <c r="D4899" t="inlineStr">
        <is>
          <t>30001087</t>
        </is>
      </c>
      <c r="E4899" t="inlineStr">
        <is>
          <t>ussd_funeral_leads_altitude_20260619</t>
        </is>
      </c>
      <c r="J4899" t="inlineStr">
        <is>
          <t>ADC</t>
        </is>
      </c>
      <c r="K4899" t="inlineStr">
        <is>
          <t>Auto Dial Disconnected</t>
        </is>
      </c>
      <c r="L4899" t="n">
        <v>2</v>
      </c>
      <c r="M4899" t="inlineStr">
        <is>
          <t>2026-06-22 13:34:00</t>
        </is>
      </c>
      <c r="N4899" t="inlineStr">
        <is>
          <t>system</t>
        </is>
      </c>
      <c r="O4899" t="inlineStr">
        <is>
          <t>2026-06-19 07:10:32</t>
        </is>
      </c>
      <c r="P4899" t="inlineStr">
        <is>
          <t>2026-06-19 07:10:32</t>
        </is>
      </c>
      <c r="Y4899" t="inlineStr">
        <is>
          <t>27636622331</t>
        </is>
      </c>
    </row>
    <row r="4900">
      <c r="A4900" t="inlineStr">
        <is>
          <t>14947547</t>
        </is>
      </c>
      <c r="B4900" t="inlineStr">
        <is>
          <t>1d17d417-ace2-46cd-b8fa-8aa220d64aeb</t>
        </is>
      </c>
      <c r="D4900" t="inlineStr">
        <is>
          <t>30001087</t>
        </is>
      </c>
      <c r="E4900" t="inlineStr">
        <is>
          <t>ussd_funeral_leads_altitude_20260619</t>
        </is>
      </c>
      <c r="J4900" t="inlineStr">
        <is>
          <t>AA</t>
        </is>
      </c>
      <c r="K4900" t="inlineStr">
        <is>
          <t>Answering Machine Autodial</t>
        </is>
      </c>
      <c r="L4900" t="n">
        <v>2</v>
      </c>
      <c r="M4900" t="inlineStr">
        <is>
          <t>2026-06-22 13:34:00</t>
        </is>
      </c>
      <c r="N4900" t="inlineStr">
        <is>
          <t>system</t>
        </is>
      </c>
      <c r="O4900" t="inlineStr">
        <is>
          <t>2026-06-19 07:10:32</t>
        </is>
      </c>
      <c r="P4900" t="inlineStr">
        <is>
          <t>2026-06-19 07:10:32</t>
        </is>
      </c>
      <c r="Y4900" t="inlineStr">
        <is>
          <t>27663938817</t>
        </is>
      </c>
    </row>
    <row r="4901">
      <c r="A4901" t="inlineStr">
        <is>
          <t>14942910</t>
        </is>
      </c>
      <c r="B4901" t="inlineStr">
        <is>
          <t>b19565ca-8e0f-4f0b-ae71-2f264c21a18c</t>
        </is>
      </c>
      <c r="D4901" t="inlineStr">
        <is>
          <t>30001087</t>
        </is>
      </c>
      <c r="E4901" t="inlineStr">
        <is>
          <t>ussd_funeral_leads_altitude_20260619</t>
        </is>
      </c>
      <c r="J4901" t="inlineStr">
        <is>
          <t>DROP</t>
        </is>
      </c>
      <c r="K4901" t="inlineStr">
        <is>
          <t>Dropped</t>
        </is>
      </c>
      <c r="L4901" t="n">
        <v>2</v>
      </c>
      <c r="M4901" t="inlineStr">
        <is>
          <t>2026-06-22 13:33:59</t>
        </is>
      </c>
      <c r="N4901" t="inlineStr">
        <is>
          <t>system</t>
        </is>
      </c>
      <c r="O4901" t="inlineStr">
        <is>
          <t>2026-06-19 07:10:32</t>
        </is>
      </c>
      <c r="P4901" t="inlineStr">
        <is>
          <t>2026-06-19 07:10:32</t>
        </is>
      </c>
      <c r="Y4901" t="inlineStr">
        <is>
          <t>27818789590</t>
        </is>
      </c>
    </row>
    <row r="4902">
      <c r="A4902" t="inlineStr">
        <is>
          <t>14942911</t>
        </is>
      </c>
      <c r="B4902" t="inlineStr">
        <is>
          <t>0030cfcd-3107-4722-afea-302131f410ef</t>
        </is>
      </c>
      <c r="D4902" t="inlineStr">
        <is>
          <t>30001087</t>
        </is>
      </c>
      <c r="E4902" t="inlineStr">
        <is>
          <t>ussd_funeral_leads_altitude_20260619</t>
        </is>
      </c>
      <c r="J4902" t="inlineStr">
        <is>
          <t>NA</t>
        </is>
      </c>
      <c r="K4902" t="inlineStr">
        <is>
          <t>No Answer Autodial</t>
        </is>
      </c>
      <c r="L4902" t="n">
        <v>2</v>
      </c>
      <c r="M4902" t="inlineStr">
        <is>
          <t>2026-06-22 13:33:59</t>
        </is>
      </c>
      <c r="N4902" t="inlineStr">
        <is>
          <t>system</t>
        </is>
      </c>
      <c r="O4902" t="inlineStr">
        <is>
          <t>2026-06-19 07:10:32</t>
        </is>
      </c>
      <c r="P4902" t="inlineStr">
        <is>
          <t>2026-06-19 07:10:32</t>
        </is>
      </c>
      <c r="Y4902" t="inlineStr">
        <is>
          <t>27818803222</t>
        </is>
      </c>
    </row>
    <row r="4903">
      <c r="A4903" t="inlineStr">
        <is>
          <t>14942913</t>
        </is>
      </c>
      <c r="B4903" t="inlineStr">
        <is>
          <t>d17d084d-2006-473f-844f-5225e08a9307</t>
        </is>
      </c>
      <c r="D4903" t="inlineStr">
        <is>
          <t>30001087</t>
        </is>
      </c>
      <c r="E4903" t="inlineStr">
        <is>
          <t>ussd_funeral_leads_altitude_20260619</t>
        </is>
      </c>
      <c r="J4903" t="inlineStr">
        <is>
          <t>AA</t>
        </is>
      </c>
      <c r="K4903" t="inlineStr">
        <is>
          <t>Answering Machine Autodial</t>
        </is>
      </c>
      <c r="L4903" t="n">
        <v>2</v>
      </c>
      <c r="M4903" t="inlineStr">
        <is>
          <t>2026-06-22 13:33:59</t>
        </is>
      </c>
      <c r="N4903" t="inlineStr">
        <is>
          <t>system</t>
        </is>
      </c>
      <c r="O4903" t="inlineStr">
        <is>
          <t>2026-06-19 07:10:32</t>
        </is>
      </c>
      <c r="P4903" t="inlineStr">
        <is>
          <t>2026-06-19 07:10:32</t>
        </is>
      </c>
      <c r="Y4903" t="inlineStr">
        <is>
          <t>27760919619</t>
        </is>
      </c>
    </row>
    <row r="4904">
      <c r="A4904" t="inlineStr">
        <is>
          <t>14900000</t>
        </is>
      </c>
      <c r="B4904" t="inlineStr">
        <is>
          <t>e994ec04-3c21-439e-bca6-592fec6b9bfb</t>
        </is>
      </c>
      <c r="D4904" t="inlineStr">
        <is>
          <t>30001087</t>
        </is>
      </c>
      <c r="E4904" t="inlineStr">
        <is>
          <t>ussd_funeral_leads_altitude_20260619</t>
        </is>
      </c>
      <c r="J4904" t="inlineStr">
        <is>
          <t>AA</t>
        </is>
      </c>
      <c r="K4904" t="inlineStr">
        <is>
          <t>Answering Machine Autodial</t>
        </is>
      </c>
      <c r="L4904" t="n">
        <v>2</v>
      </c>
      <c r="M4904" t="inlineStr">
        <is>
          <t>2026-06-22 13:33:59</t>
        </is>
      </c>
      <c r="N4904" t="inlineStr">
        <is>
          <t>system</t>
        </is>
      </c>
      <c r="O4904" t="inlineStr">
        <is>
          <t>2026-06-19 07:10:32</t>
        </is>
      </c>
      <c r="P4904" t="inlineStr">
        <is>
          <t>2026-06-19 07:10:32</t>
        </is>
      </c>
      <c r="Y4904" t="inlineStr">
        <is>
          <t>27720862187</t>
        </is>
      </c>
    </row>
    <row r="4905">
      <c r="A4905" t="inlineStr">
        <is>
          <t>14947549</t>
        </is>
      </c>
      <c r="B4905" t="inlineStr">
        <is>
          <t>b114d4df-921e-4620-b4a7-b1d08a82b93f</t>
        </is>
      </c>
      <c r="D4905" t="inlineStr">
        <is>
          <t>30001087</t>
        </is>
      </c>
      <c r="E4905" t="inlineStr">
        <is>
          <t>ussd_funeral_leads_altitude_20260619</t>
        </is>
      </c>
      <c r="J4905" t="inlineStr">
        <is>
          <t>AA</t>
        </is>
      </c>
      <c r="K4905" t="inlineStr">
        <is>
          <t>Answering Machine Autodial</t>
        </is>
      </c>
      <c r="L4905" t="n">
        <v>2</v>
      </c>
      <c r="M4905" t="inlineStr">
        <is>
          <t>2026-06-22 13:33:56</t>
        </is>
      </c>
      <c r="N4905" t="inlineStr">
        <is>
          <t>system</t>
        </is>
      </c>
      <c r="O4905" t="inlineStr">
        <is>
          <t>2026-06-19 07:10:32</t>
        </is>
      </c>
      <c r="P4905" t="inlineStr">
        <is>
          <t>2026-06-19 07:10:32</t>
        </is>
      </c>
      <c r="Y4905" t="inlineStr">
        <is>
          <t>27791958929</t>
        </is>
      </c>
    </row>
    <row r="4906">
      <c r="A4906" t="inlineStr">
        <is>
          <t>14942909</t>
        </is>
      </c>
      <c r="B4906" t="inlineStr">
        <is>
          <t>4ad24d94-bedd-4e3a-8a05-01f3af2acc71</t>
        </is>
      </c>
      <c r="D4906" t="inlineStr">
        <is>
          <t>30001087</t>
        </is>
      </c>
      <c r="E4906" t="inlineStr">
        <is>
          <t>ussd_funeral_leads_altitude_20260619</t>
        </is>
      </c>
      <c r="J4906" t="inlineStr">
        <is>
          <t>AA</t>
        </is>
      </c>
      <c r="K4906" t="inlineStr">
        <is>
          <t>Answering Machine Autodial</t>
        </is>
      </c>
      <c r="L4906" t="n">
        <v>2</v>
      </c>
      <c r="M4906" t="inlineStr">
        <is>
          <t>2026-06-22 13:33:55</t>
        </is>
      </c>
      <c r="N4906" t="inlineStr">
        <is>
          <t>system</t>
        </is>
      </c>
      <c r="O4906" t="inlineStr">
        <is>
          <t>2026-06-19 07:10:32</t>
        </is>
      </c>
      <c r="P4906" t="inlineStr">
        <is>
          <t>2026-06-19 07:10:32</t>
        </is>
      </c>
      <c r="Y4906" t="inlineStr">
        <is>
          <t>27825903384</t>
        </is>
      </c>
    </row>
    <row r="4907">
      <c r="A4907" t="inlineStr">
        <is>
          <t>14942908</t>
        </is>
      </c>
      <c r="B4907" t="inlineStr">
        <is>
          <t>40eafe4a-d565-4799-b64c-acbe04e5fe69</t>
        </is>
      </c>
      <c r="D4907" t="inlineStr">
        <is>
          <t>30001087</t>
        </is>
      </c>
      <c r="E4907" t="inlineStr">
        <is>
          <t>ussd_funeral_leads_altitude_20260619</t>
        </is>
      </c>
      <c r="J4907" t="inlineStr">
        <is>
          <t>ADC</t>
        </is>
      </c>
      <c r="K4907" t="inlineStr">
        <is>
          <t>Auto Dial Disconnected</t>
        </is>
      </c>
      <c r="L4907" t="n">
        <v>2</v>
      </c>
      <c r="M4907" t="inlineStr">
        <is>
          <t>2026-06-22 13:33:54</t>
        </is>
      </c>
      <c r="N4907" t="inlineStr">
        <is>
          <t>system</t>
        </is>
      </c>
      <c r="O4907" t="inlineStr">
        <is>
          <t>2026-06-19 07:10:32</t>
        </is>
      </c>
      <c r="P4907" t="inlineStr">
        <is>
          <t>2026-06-19 07:10:32</t>
        </is>
      </c>
      <c r="Y4907" t="inlineStr">
        <is>
          <t>27649405033</t>
        </is>
      </c>
    </row>
    <row r="4908">
      <c r="A4908" t="inlineStr">
        <is>
          <t>14947550</t>
        </is>
      </c>
      <c r="B4908" t="inlineStr">
        <is>
          <t>38677ff6-1a3c-42e4-81d4-489b511e90eb</t>
        </is>
      </c>
      <c r="D4908" t="inlineStr">
        <is>
          <t>30001087</t>
        </is>
      </c>
      <c r="E4908" t="inlineStr">
        <is>
          <t>ussd_funeral_leads_altitude_20260619</t>
        </is>
      </c>
      <c r="J4908" t="inlineStr">
        <is>
          <t>CU</t>
        </is>
      </c>
      <c r="K4908" t="inlineStr">
        <is>
          <t>Client Hung Up</t>
        </is>
      </c>
      <c r="L4908" t="n">
        <v>2</v>
      </c>
      <c r="M4908" t="inlineStr">
        <is>
          <t>2026-06-22 13:33:54</t>
        </is>
      </c>
      <c r="N4908" t="inlineStr">
        <is>
          <t>Vuyiswa Nxumalo</t>
        </is>
      </c>
      <c r="O4908" t="inlineStr">
        <is>
          <t>2026-06-19 07:10:32</t>
        </is>
      </c>
      <c r="P4908" t="inlineStr">
        <is>
          <t>2026-06-19 07:10:32</t>
        </is>
      </c>
      <c r="Y4908" t="inlineStr">
        <is>
          <t>27637351088</t>
        </is>
      </c>
    </row>
    <row r="4909">
      <c r="A4909" t="inlineStr">
        <is>
          <t>14947551</t>
        </is>
      </c>
      <c r="B4909" t="inlineStr">
        <is>
          <t>b9075875-ceb4-4f9e-9f58-f0461c2b3f0f</t>
        </is>
      </c>
      <c r="D4909" t="inlineStr">
        <is>
          <t>30001087</t>
        </is>
      </c>
      <c r="E4909" t="inlineStr">
        <is>
          <t>ussd_funeral_leads_altitude_20260619</t>
        </is>
      </c>
      <c r="J4909" t="inlineStr">
        <is>
          <t>AA</t>
        </is>
      </c>
      <c r="K4909" t="inlineStr">
        <is>
          <t>Answering Machine Autodial</t>
        </is>
      </c>
      <c r="L4909" t="n">
        <v>2</v>
      </c>
      <c r="M4909" t="inlineStr">
        <is>
          <t>2026-06-22 13:33:53</t>
        </is>
      </c>
      <c r="N4909" t="inlineStr">
        <is>
          <t>system</t>
        </is>
      </c>
      <c r="O4909" t="inlineStr">
        <is>
          <t>2026-06-19 07:10:32</t>
        </is>
      </c>
      <c r="P4909" t="inlineStr">
        <is>
          <t>2026-06-19 07:10:32</t>
        </is>
      </c>
      <c r="Y4909" t="inlineStr">
        <is>
          <t>27675717896</t>
        </is>
      </c>
    </row>
    <row r="4910">
      <c r="A4910" t="inlineStr">
        <is>
          <t>14942907</t>
        </is>
      </c>
      <c r="B4910" t="inlineStr">
        <is>
          <t>2be3d8ec-9138-4221-8d89-9886585ccbbe</t>
        </is>
      </c>
      <c r="D4910" t="inlineStr">
        <is>
          <t>30001087</t>
        </is>
      </c>
      <c r="E4910" t="inlineStr">
        <is>
          <t>ussd_funeral_leads_altitude_20260619</t>
        </is>
      </c>
      <c r="J4910" t="inlineStr">
        <is>
          <t>ADC</t>
        </is>
      </c>
      <c r="K4910" t="inlineStr">
        <is>
          <t>Auto Dial Disconnected</t>
        </is>
      </c>
      <c r="L4910" t="n">
        <v>2</v>
      </c>
      <c r="M4910" t="inlineStr">
        <is>
          <t>2026-06-22 13:33:52</t>
        </is>
      </c>
      <c r="N4910" t="inlineStr">
        <is>
          <t>system</t>
        </is>
      </c>
      <c r="O4910" t="inlineStr">
        <is>
          <t>2026-06-19 07:10:32</t>
        </is>
      </c>
      <c r="P4910" t="inlineStr">
        <is>
          <t>2026-06-19 07:10:32</t>
        </is>
      </c>
      <c r="Y4910" t="inlineStr">
        <is>
          <t>27726213431</t>
        </is>
      </c>
    </row>
    <row r="4911">
      <c r="A4911" t="inlineStr">
        <is>
          <t>14942906</t>
        </is>
      </c>
      <c r="B4911" t="inlineStr">
        <is>
          <t>105f682c-2903-47d6-a42c-b5e3b67062bb</t>
        </is>
      </c>
      <c r="D4911" t="inlineStr">
        <is>
          <t>30001087</t>
        </is>
      </c>
      <c r="E4911" t="inlineStr">
        <is>
          <t>ussd_funeral_leads_altitude_20260619</t>
        </is>
      </c>
      <c r="J4911" t="inlineStr">
        <is>
          <t>NA</t>
        </is>
      </c>
      <c r="K4911" t="inlineStr">
        <is>
          <t>No Answer Autodial</t>
        </is>
      </c>
      <c r="L4911" t="n">
        <v>2</v>
      </c>
      <c r="M4911" t="inlineStr">
        <is>
          <t>2026-06-22 13:33:48</t>
        </is>
      </c>
      <c r="N4911" t="inlineStr">
        <is>
          <t>system</t>
        </is>
      </c>
      <c r="O4911" t="inlineStr">
        <is>
          <t>2026-06-19 07:10:32</t>
        </is>
      </c>
      <c r="P4911" t="inlineStr">
        <is>
          <t>2026-06-19 07:10:32</t>
        </is>
      </c>
      <c r="Y4911" t="inlineStr">
        <is>
          <t>27716648907</t>
        </is>
      </c>
    </row>
    <row r="4912">
      <c r="A4912" t="inlineStr">
        <is>
          <t>14947552</t>
        </is>
      </c>
      <c r="B4912" t="inlineStr">
        <is>
          <t>c4a8bf7b-f159-46a8-b71f-82aaabc925f7</t>
        </is>
      </c>
      <c r="D4912" t="inlineStr">
        <is>
          <t>30001087</t>
        </is>
      </c>
      <c r="E4912" t="inlineStr">
        <is>
          <t>ussd_funeral_leads_altitude_20260619</t>
        </is>
      </c>
      <c r="J4912" t="inlineStr">
        <is>
          <t>ADC</t>
        </is>
      </c>
      <c r="K4912" t="inlineStr">
        <is>
          <t>Auto Dial Disconnected</t>
        </is>
      </c>
      <c r="L4912" t="n">
        <v>2</v>
      </c>
      <c r="M4912" t="inlineStr">
        <is>
          <t>2026-06-22 13:33:48</t>
        </is>
      </c>
      <c r="N4912" t="inlineStr">
        <is>
          <t>system</t>
        </is>
      </c>
      <c r="O4912" t="inlineStr">
        <is>
          <t>2026-06-19 07:10:32</t>
        </is>
      </c>
      <c r="P4912" t="inlineStr">
        <is>
          <t>2026-06-19 07:10:32</t>
        </is>
      </c>
      <c r="Y4912" t="inlineStr">
        <is>
          <t>27724391335</t>
        </is>
      </c>
    </row>
    <row r="4913">
      <c r="A4913" t="inlineStr">
        <is>
          <t>14942904</t>
        </is>
      </c>
      <c r="B4913" t="inlineStr">
        <is>
          <t>bcdef594-b7f0-48f7-8ee1-6fe2ac2dca3e</t>
        </is>
      </c>
      <c r="D4913" t="inlineStr">
        <is>
          <t>30001087</t>
        </is>
      </c>
      <c r="E4913" t="inlineStr">
        <is>
          <t>ussd_funeral_leads_altitude_20260619</t>
        </is>
      </c>
      <c r="J4913" t="inlineStr">
        <is>
          <t>AA</t>
        </is>
      </c>
      <c r="K4913" t="inlineStr">
        <is>
          <t>Answering Machine Autodial</t>
        </is>
      </c>
      <c r="L4913" t="n">
        <v>2</v>
      </c>
      <c r="M4913" t="inlineStr">
        <is>
          <t>2026-06-22 13:33:46</t>
        </is>
      </c>
      <c r="N4913" t="inlineStr">
        <is>
          <t>system</t>
        </is>
      </c>
      <c r="O4913" t="inlineStr">
        <is>
          <t>2026-06-19 07:10:32</t>
        </is>
      </c>
      <c r="P4913" t="inlineStr">
        <is>
          <t>2026-06-19 07:10:32</t>
        </is>
      </c>
      <c r="Y4913" t="inlineStr">
        <is>
          <t>27648737072</t>
        </is>
      </c>
    </row>
    <row r="4914">
      <c r="A4914" t="inlineStr">
        <is>
          <t>14942905</t>
        </is>
      </c>
      <c r="B4914" t="inlineStr">
        <is>
          <t>2c615a6b-d355-4793-b26e-22bb5f5b0bef</t>
        </is>
      </c>
      <c r="D4914" t="inlineStr">
        <is>
          <t>30001087</t>
        </is>
      </c>
      <c r="E4914" t="inlineStr">
        <is>
          <t>ussd_funeral_leads_altitude_20260619</t>
        </is>
      </c>
      <c r="J4914" t="inlineStr">
        <is>
          <t>AA</t>
        </is>
      </c>
      <c r="K4914" t="inlineStr">
        <is>
          <t>Answering Machine Autodial</t>
        </is>
      </c>
      <c r="L4914" t="n">
        <v>2</v>
      </c>
      <c r="M4914" t="inlineStr">
        <is>
          <t>2026-06-22 13:33:46</t>
        </is>
      </c>
      <c r="N4914" t="inlineStr">
        <is>
          <t>system</t>
        </is>
      </c>
      <c r="O4914" t="inlineStr">
        <is>
          <t>2026-06-19 07:10:32</t>
        </is>
      </c>
      <c r="P4914" t="inlineStr">
        <is>
          <t>2026-06-19 07:10:32</t>
        </is>
      </c>
      <c r="Y4914" t="inlineStr">
        <is>
          <t>27822670316</t>
        </is>
      </c>
    </row>
    <row r="4915">
      <c r="A4915" t="inlineStr">
        <is>
          <t>14942903</t>
        </is>
      </c>
      <c r="B4915" t="inlineStr">
        <is>
          <t>1a566d5a-69cf-4f6d-afb9-1c7877754632</t>
        </is>
      </c>
      <c r="D4915" t="inlineStr">
        <is>
          <t>30001087</t>
        </is>
      </c>
      <c r="E4915" t="inlineStr">
        <is>
          <t>ussd_funeral_leads_altitude_20260619</t>
        </is>
      </c>
      <c r="J4915" t="inlineStr">
        <is>
          <t>AA</t>
        </is>
      </c>
      <c r="K4915" t="inlineStr">
        <is>
          <t>Answering Machine Autodial</t>
        </is>
      </c>
      <c r="L4915" t="n">
        <v>2</v>
      </c>
      <c r="M4915" t="inlineStr">
        <is>
          <t>2026-06-22 13:33:41</t>
        </is>
      </c>
      <c r="N4915" t="inlineStr">
        <is>
          <t>system</t>
        </is>
      </c>
      <c r="O4915" t="inlineStr">
        <is>
          <t>2026-06-19 07:10:32</t>
        </is>
      </c>
      <c r="P4915" t="inlineStr">
        <is>
          <t>2026-06-19 07:10:32</t>
        </is>
      </c>
      <c r="Y4915" t="inlineStr">
        <is>
          <t>27794138183</t>
        </is>
      </c>
    </row>
    <row r="4916">
      <c r="A4916" t="inlineStr">
        <is>
          <t>14942900</t>
        </is>
      </c>
      <c r="B4916" t="inlineStr">
        <is>
          <t>694f3aa2-3a48-464d-8188-11fafbfb1572</t>
        </is>
      </c>
      <c r="D4916" t="inlineStr">
        <is>
          <t>30001087</t>
        </is>
      </c>
      <c r="E4916" t="inlineStr">
        <is>
          <t>ussd_funeral_leads_altitude_20260619</t>
        </is>
      </c>
      <c r="J4916" t="inlineStr">
        <is>
          <t>AA</t>
        </is>
      </c>
      <c r="K4916" t="inlineStr">
        <is>
          <t>Answering Machine Autodial</t>
        </is>
      </c>
      <c r="L4916" t="n">
        <v>2</v>
      </c>
      <c r="M4916" t="inlineStr">
        <is>
          <t>2026-06-22 13:33:38</t>
        </is>
      </c>
      <c r="N4916" t="inlineStr">
        <is>
          <t>system</t>
        </is>
      </c>
      <c r="O4916" t="inlineStr">
        <is>
          <t>2026-06-19 07:10:32</t>
        </is>
      </c>
      <c r="P4916" t="inlineStr">
        <is>
          <t>2026-06-19 07:10:32</t>
        </is>
      </c>
      <c r="Y4916" t="inlineStr">
        <is>
          <t>27797726109</t>
        </is>
      </c>
    </row>
    <row r="4917">
      <c r="A4917" t="inlineStr">
        <is>
          <t>14942901</t>
        </is>
      </c>
      <c r="B4917" t="inlineStr">
        <is>
          <t>5c0ceb08-e055-4a43-a940-9888e439db35</t>
        </is>
      </c>
      <c r="D4917" t="inlineStr">
        <is>
          <t>30001087</t>
        </is>
      </c>
      <c r="E4917" t="inlineStr">
        <is>
          <t>ussd_funeral_leads_altitude_20260619</t>
        </is>
      </c>
      <c r="J4917" t="inlineStr">
        <is>
          <t>NA</t>
        </is>
      </c>
      <c r="K4917" t="inlineStr">
        <is>
          <t>No Answer Autodial</t>
        </is>
      </c>
      <c r="L4917" t="n">
        <v>2</v>
      </c>
      <c r="M4917" t="inlineStr">
        <is>
          <t>2026-06-22 13:33:38</t>
        </is>
      </c>
      <c r="N4917" t="inlineStr">
        <is>
          <t>system</t>
        </is>
      </c>
      <c r="O4917" t="inlineStr">
        <is>
          <t>2026-06-19 07:10:32</t>
        </is>
      </c>
      <c r="P4917" t="inlineStr">
        <is>
          <t>2026-06-19 07:10:32</t>
        </is>
      </c>
      <c r="Y4917" t="inlineStr">
        <is>
          <t>27793956239</t>
        </is>
      </c>
    </row>
    <row r="4918">
      <c r="A4918" t="inlineStr">
        <is>
          <t>14942902</t>
        </is>
      </c>
      <c r="B4918" t="inlineStr">
        <is>
          <t>02035308-49e9-4a72-bdcd-4e394ef714bf</t>
        </is>
      </c>
      <c r="D4918" t="inlineStr">
        <is>
          <t>30001087</t>
        </is>
      </c>
      <c r="E4918" t="inlineStr">
        <is>
          <t>ussd_funeral_leads_altitude_20260619</t>
        </is>
      </c>
      <c r="J4918" t="inlineStr">
        <is>
          <t>ADC</t>
        </is>
      </c>
      <c r="K4918" t="inlineStr">
        <is>
          <t>Auto Dial Disconnected</t>
        </is>
      </c>
      <c r="L4918" t="n">
        <v>2</v>
      </c>
      <c r="M4918" t="inlineStr">
        <is>
          <t>2026-06-22 13:33:38</t>
        </is>
      </c>
      <c r="N4918" t="inlineStr">
        <is>
          <t>system</t>
        </is>
      </c>
      <c r="O4918" t="inlineStr">
        <is>
          <t>2026-06-19 07:10:32</t>
        </is>
      </c>
      <c r="P4918" t="inlineStr">
        <is>
          <t>2026-06-19 07:10:32</t>
        </is>
      </c>
      <c r="Y4918" t="inlineStr">
        <is>
          <t>27664831406</t>
        </is>
      </c>
    </row>
    <row r="4919">
      <c r="A4919" t="inlineStr">
        <is>
          <t>14942899</t>
        </is>
      </c>
      <c r="B4919" t="inlineStr">
        <is>
          <t>11113ac1-82f2-466f-b228-bd74ed8c010f</t>
        </is>
      </c>
      <c r="D4919" t="inlineStr">
        <is>
          <t>30001087</t>
        </is>
      </c>
      <c r="E4919" t="inlineStr">
        <is>
          <t>ussd_funeral_leads_altitude_20260619</t>
        </is>
      </c>
      <c r="J4919" t="inlineStr">
        <is>
          <t>ADC</t>
        </is>
      </c>
      <c r="K4919" t="inlineStr">
        <is>
          <t>Auto Dial Disconnected</t>
        </is>
      </c>
      <c r="L4919" t="n">
        <v>2</v>
      </c>
      <c r="M4919" t="inlineStr">
        <is>
          <t>2026-06-22 13:33:36</t>
        </is>
      </c>
      <c r="N4919" t="inlineStr">
        <is>
          <t>system</t>
        </is>
      </c>
      <c r="O4919" t="inlineStr">
        <is>
          <t>2026-06-19 07:10:32</t>
        </is>
      </c>
      <c r="P4919" t="inlineStr">
        <is>
          <t>2026-06-19 07:10:32</t>
        </is>
      </c>
      <c r="Y4919" t="inlineStr">
        <is>
          <t>27606862432</t>
        </is>
      </c>
    </row>
    <row r="4920">
      <c r="A4920" t="inlineStr">
        <is>
          <t>14942898</t>
        </is>
      </c>
      <c r="B4920" t="inlineStr">
        <is>
          <t>e5b26ffb-8781-4378-9b02-4c17e69ae0cf</t>
        </is>
      </c>
      <c r="D4920" t="inlineStr">
        <is>
          <t>30001087</t>
        </is>
      </c>
      <c r="E4920" t="inlineStr">
        <is>
          <t>ussd_funeral_leads_altitude_20260619</t>
        </is>
      </c>
      <c r="J4920" t="inlineStr">
        <is>
          <t>NA</t>
        </is>
      </c>
      <c r="K4920" t="inlineStr">
        <is>
          <t>No Answer Autodial</t>
        </is>
      </c>
      <c r="L4920" t="n">
        <v>2</v>
      </c>
      <c r="M4920" t="inlineStr">
        <is>
          <t>2026-06-22 13:33:29</t>
        </is>
      </c>
      <c r="N4920" t="inlineStr">
        <is>
          <t>system</t>
        </is>
      </c>
      <c r="O4920" t="inlineStr">
        <is>
          <t>2026-06-19 07:10:32</t>
        </is>
      </c>
      <c r="P4920" t="inlineStr">
        <is>
          <t>2026-06-19 07:10:32</t>
        </is>
      </c>
      <c r="Y4920" t="inlineStr">
        <is>
          <t>27646420713</t>
        </is>
      </c>
    </row>
    <row r="4921">
      <c r="A4921" t="inlineStr">
        <is>
          <t>14942893</t>
        </is>
      </c>
      <c r="B4921" t="inlineStr">
        <is>
          <t>ae57514e-7271-4022-9bf8-d56c424ae7a7</t>
        </is>
      </c>
      <c r="D4921" t="inlineStr">
        <is>
          <t>30001087</t>
        </is>
      </c>
      <c r="E4921" t="inlineStr">
        <is>
          <t>ussd_funeral_leads_altitude_20260619</t>
        </is>
      </c>
      <c r="J4921" t="inlineStr">
        <is>
          <t>ADC</t>
        </is>
      </c>
      <c r="K4921" t="inlineStr">
        <is>
          <t>Auto Dial Disconnected</t>
        </is>
      </c>
      <c r="L4921" t="n">
        <v>2</v>
      </c>
      <c r="M4921" t="inlineStr">
        <is>
          <t>2026-06-22 13:33:28</t>
        </is>
      </c>
      <c r="N4921" t="inlineStr">
        <is>
          <t>system</t>
        </is>
      </c>
      <c r="O4921" t="inlineStr">
        <is>
          <t>2026-06-19 07:10:32</t>
        </is>
      </c>
      <c r="P4921" t="inlineStr">
        <is>
          <t>2026-06-19 07:10:32</t>
        </is>
      </c>
      <c r="Y4921" t="inlineStr">
        <is>
          <t>27607391828</t>
        </is>
      </c>
    </row>
    <row r="4922">
      <c r="A4922" t="inlineStr">
        <is>
          <t>14942894</t>
        </is>
      </c>
      <c r="B4922" t="inlineStr">
        <is>
          <t>690a2f45-d85a-4a71-a468-100179d5258b</t>
        </is>
      </c>
      <c r="D4922" t="inlineStr">
        <is>
          <t>30001087</t>
        </is>
      </c>
      <c r="E4922" t="inlineStr">
        <is>
          <t>ussd_funeral_leads_altitude_20260619</t>
        </is>
      </c>
      <c r="J4922" t="inlineStr">
        <is>
          <t>ADC</t>
        </is>
      </c>
      <c r="K4922" t="inlineStr">
        <is>
          <t>Auto Dial Disconnected</t>
        </is>
      </c>
      <c r="L4922" t="n">
        <v>2</v>
      </c>
      <c r="M4922" t="inlineStr">
        <is>
          <t>2026-06-22 13:33:28</t>
        </is>
      </c>
      <c r="N4922" t="inlineStr">
        <is>
          <t>system</t>
        </is>
      </c>
      <c r="O4922" t="inlineStr">
        <is>
          <t>2026-06-19 07:10:32</t>
        </is>
      </c>
      <c r="P4922" t="inlineStr">
        <is>
          <t>2026-06-19 07:10:32</t>
        </is>
      </c>
      <c r="Y4922" t="inlineStr">
        <is>
          <t>27715630679</t>
        </is>
      </c>
    </row>
    <row r="4923">
      <c r="A4923" t="inlineStr">
        <is>
          <t>14942895</t>
        </is>
      </c>
      <c r="B4923" t="inlineStr">
        <is>
          <t>bac1330b-9a86-4932-b4c2-ceab8c16f3aa</t>
        </is>
      </c>
      <c r="D4923" t="inlineStr">
        <is>
          <t>30001087</t>
        </is>
      </c>
      <c r="E4923" t="inlineStr">
        <is>
          <t>ussd_funeral_leads_altitude_20260619</t>
        </is>
      </c>
      <c r="J4923" t="inlineStr">
        <is>
          <t>CU</t>
        </is>
      </c>
      <c r="K4923" t="inlineStr">
        <is>
          <t>Client Hung Up</t>
        </is>
      </c>
      <c r="L4923" t="n">
        <v>2</v>
      </c>
      <c r="M4923" t="inlineStr">
        <is>
          <t>2026-06-22 13:33:28</t>
        </is>
      </c>
      <c r="N4923" t="inlineStr">
        <is>
          <t>Vuyiswa Nxumalo</t>
        </is>
      </c>
      <c r="O4923" t="inlineStr">
        <is>
          <t>2026-06-19 07:10:32</t>
        </is>
      </c>
      <c r="P4923" t="inlineStr">
        <is>
          <t>2026-06-19 07:10:32</t>
        </is>
      </c>
      <c r="Y4923" t="inlineStr">
        <is>
          <t>27723096122</t>
        </is>
      </c>
    </row>
    <row r="4924">
      <c r="A4924" t="inlineStr">
        <is>
          <t>14942896</t>
        </is>
      </c>
      <c r="B4924" t="inlineStr">
        <is>
          <t>aa897f1f-402d-4679-9907-3e722ccd540b</t>
        </is>
      </c>
      <c r="D4924" t="inlineStr">
        <is>
          <t>30001087</t>
        </is>
      </c>
      <c r="E4924" t="inlineStr">
        <is>
          <t>ussd_funeral_leads_altitude_20260619</t>
        </is>
      </c>
      <c r="J4924" t="inlineStr">
        <is>
          <t>ADC</t>
        </is>
      </c>
      <c r="K4924" t="inlineStr">
        <is>
          <t>Auto Dial Disconnected</t>
        </is>
      </c>
      <c r="L4924" t="n">
        <v>2</v>
      </c>
      <c r="M4924" t="inlineStr">
        <is>
          <t>2026-06-22 13:33:28</t>
        </is>
      </c>
      <c r="N4924" t="inlineStr">
        <is>
          <t>system</t>
        </is>
      </c>
      <c r="O4924" t="inlineStr">
        <is>
          <t>2026-06-19 07:10:32</t>
        </is>
      </c>
      <c r="P4924" t="inlineStr">
        <is>
          <t>2026-06-19 07:10:32</t>
        </is>
      </c>
      <c r="Y4924" t="inlineStr">
        <is>
          <t>27726047044</t>
        </is>
      </c>
    </row>
    <row r="4925">
      <c r="A4925" t="inlineStr">
        <is>
          <t>14942897</t>
        </is>
      </c>
      <c r="B4925" t="inlineStr">
        <is>
          <t>61e34a93-28f7-41e3-9d5a-4708fb72f5b4</t>
        </is>
      </c>
      <c r="D4925" t="inlineStr">
        <is>
          <t>30001087</t>
        </is>
      </c>
      <c r="E4925" t="inlineStr">
        <is>
          <t>ussd_funeral_leads_altitude_20260619</t>
        </is>
      </c>
      <c r="J4925" t="inlineStr">
        <is>
          <t>AE</t>
        </is>
      </c>
      <c r="K4925" t="inlineStr">
        <is>
          <t>Auto Engaged</t>
        </is>
      </c>
      <c r="L4925" t="n">
        <v>2</v>
      </c>
      <c r="M4925" t="inlineStr">
        <is>
          <t>2026-06-22 13:33:28</t>
        </is>
      </c>
      <c r="N4925" t="inlineStr">
        <is>
          <t>system</t>
        </is>
      </c>
      <c r="O4925" t="inlineStr">
        <is>
          <t>2026-06-19 07:10:32</t>
        </is>
      </c>
      <c r="P4925" t="inlineStr">
        <is>
          <t>2026-06-19 07:10:32</t>
        </is>
      </c>
      <c r="Y4925" t="inlineStr">
        <is>
          <t>27649484560</t>
        </is>
      </c>
    </row>
    <row r="4926">
      <c r="A4926" t="inlineStr">
        <is>
          <t>14942889</t>
        </is>
      </c>
      <c r="B4926" t="inlineStr">
        <is>
          <t>0d715d6c-8450-4a81-8932-8eefa75863b3</t>
        </is>
      </c>
      <c r="D4926" t="inlineStr">
        <is>
          <t>30001087</t>
        </is>
      </c>
      <c r="E4926" t="inlineStr">
        <is>
          <t>ussd_funeral_leads_altitude_20260619</t>
        </is>
      </c>
      <c r="J4926" t="inlineStr">
        <is>
          <t>ADC</t>
        </is>
      </c>
      <c r="K4926" t="inlineStr">
        <is>
          <t>Auto Dial Disconnected</t>
        </is>
      </c>
      <c r="L4926" t="n">
        <v>2</v>
      </c>
      <c r="M4926" t="inlineStr">
        <is>
          <t>2026-06-22 13:33:27</t>
        </is>
      </c>
      <c r="N4926" t="inlineStr">
        <is>
          <t>system</t>
        </is>
      </c>
      <c r="O4926" t="inlineStr">
        <is>
          <t>2026-06-19 07:10:32</t>
        </is>
      </c>
      <c r="P4926" t="inlineStr">
        <is>
          <t>2026-06-19 07:10:32</t>
        </is>
      </c>
      <c r="Y4926" t="inlineStr">
        <is>
          <t>27636977282</t>
        </is>
      </c>
    </row>
    <row r="4927">
      <c r="A4927" t="inlineStr">
        <is>
          <t>14947686</t>
        </is>
      </c>
      <c r="B4927" t="inlineStr">
        <is>
          <t>41b68806-c5cf-4454-b809-237dac63d19f</t>
        </is>
      </c>
      <c r="D4927" t="inlineStr">
        <is>
          <t>30001087</t>
        </is>
      </c>
      <c r="E4927" t="inlineStr">
        <is>
          <t>ussd_funeral_leads_altitude_20260619</t>
        </is>
      </c>
      <c r="J4927" t="inlineStr">
        <is>
          <t>U</t>
        </is>
      </c>
      <c r="K4927" t="inlineStr">
        <is>
          <t>Unemployed</t>
        </is>
      </c>
      <c r="L4927" t="n">
        <v>2</v>
      </c>
      <c r="M4927" t="inlineStr">
        <is>
          <t>2026-06-22 13:33:13</t>
        </is>
      </c>
      <c r="N4927" t="inlineStr">
        <is>
          <t>Gontse Monageng</t>
        </is>
      </c>
      <c r="O4927" t="inlineStr">
        <is>
          <t>2026-06-19 07:10:32</t>
        </is>
      </c>
      <c r="P4927" t="inlineStr">
        <is>
          <t>2026-06-19 07:10:32</t>
        </is>
      </c>
      <c r="Y4927" t="inlineStr">
        <is>
          <t>27827265556</t>
        </is>
      </c>
    </row>
    <row r="4928">
      <c r="A4928" t="inlineStr">
        <is>
          <t>14947553</t>
        </is>
      </c>
      <c r="B4928" t="inlineStr">
        <is>
          <t>cd367a0b-4fbe-4e12-84d1-4e53e53b1569</t>
        </is>
      </c>
      <c r="D4928" t="inlineStr">
        <is>
          <t>30001087</t>
        </is>
      </c>
      <c r="E4928" t="inlineStr">
        <is>
          <t>ussd_funeral_leads_altitude_20260619</t>
        </is>
      </c>
      <c r="J4928" t="inlineStr">
        <is>
          <t>NA</t>
        </is>
      </c>
      <c r="K4928" t="inlineStr">
        <is>
          <t>No Answer Autodial</t>
        </is>
      </c>
      <c r="L4928" t="n">
        <v>2</v>
      </c>
      <c r="M4928" t="inlineStr">
        <is>
          <t>2026-06-22 13:32:08</t>
        </is>
      </c>
      <c r="N4928" t="inlineStr">
        <is>
          <t>system</t>
        </is>
      </c>
      <c r="O4928" t="inlineStr">
        <is>
          <t>2026-06-19 07:10:32</t>
        </is>
      </c>
      <c r="P4928" t="inlineStr">
        <is>
          <t>2026-06-19 07:10:32</t>
        </is>
      </c>
      <c r="Y4928" t="inlineStr">
        <is>
          <t>27721239703</t>
        </is>
      </c>
    </row>
    <row r="4929">
      <c r="A4929" t="inlineStr">
        <is>
          <t>14947554</t>
        </is>
      </c>
      <c r="B4929" t="inlineStr">
        <is>
          <t>e9c514bc-103a-483c-ac56-1fd999ddaece</t>
        </is>
      </c>
      <c r="D4929" t="inlineStr">
        <is>
          <t>30001087</t>
        </is>
      </c>
      <c r="E4929" t="inlineStr">
        <is>
          <t>ussd_funeral_leads_altitude_20260619</t>
        </is>
      </c>
      <c r="J4929" t="inlineStr">
        <is>
          <t>TDN</t>
        </is>
      </c>
      <c r="K4929" t="inlineStr">
        <is>
          <t>Temporary Disconnected Number</t>
        </is>
      </c>
      <c r="L4929" t="n">
        <v>2</v>
      </c>
      <c r="M4929" t="inlineStr">
        <is>
          <t>2026-06-22 13:32:07</t>
        </is>
      </c>
      <c r="N4929" t="inlineStr">
        <is>
          <t>system</t>
        </is>
      </c>
      <c r="O4929" t="inlineStr">
        <is>
          <t>2026-06-19 07:10:32</t>
        </is>
      </c>
      <c r="P4929" t="inlineStr">
        <is>
          <t>2026-06-19 07:10:32</t>
        </is>
      </c>
      <c r="Y4929" t="inlineStr">
        <is>
          <t>27728448685</t>
        </is>
      </c>
    </row>
    <row r="4930">
      <c r="A4930" t="inlineStr">
        <is>
          <t>14946117</t>
        </is>
      </c>
      <c r="B4930" t="inlineStr">
        <is>
          <t>b5d5a8d4-2340-462c-8d7c-160cd3bd08d2</t>
        </is>
      </c>
      <c r="D4930" t="inlineStr">
        <is>
          <t>30001087</t>
        </is>
      </c>
      <c r="E4930" t="inlineStr">
        <is>
          <t>ussd_funeral_leads_altitude_20260619</t>
        </is>
      </c>
      <c r="J4930" t="inlineStr">
        <is>
          <t>AF</t>
        </is>
      </c>
      <c r="K4930" t="inlineStr">
        <is>
          <t>Cannot Afford</t>
        </is>
      </c>
      <c r="L4930" t="n">
        <v>3</v>
      </c>
      <c r="M4930" t="inlineStr">
        <is>
          <t>2026-06-22 13:30:24</t>
        </is>
      </c>
      <c r="N4930" t="inlineStr">
        <is>
          <t>Dimakatso Nkomo</t>
        </is>
      </c>
      <c r="O4930" t="inlineStr">
        <is>
          <t>2026-06-19 07:10:32</t>
        </is>
      </c>
      <c r="P4930" t="inlineStr">
        <is>
          <t>2026-06-19 07:10:32</t>
        </is>
      </c>
      <c r="Y4930" t="inlineStr">
        <is>
          <t>27609761677</t>
        </is>
      </c>
    </row>
    <row r="4931">
      <c r="A4931" t="inlineStr">
        <is>
          <t>14942999</t>
        </is>
      </c>
      <c r="B4931" t="inlineStr">
        <is>
          <t>9673f1e9-c33d-4b31-aeb0-072f1068c789</t>
        </is>
      </c>
      <c r="D4931" t="inlineStr">
        <is>
          <t>30001087</t>
        </is>
      </c>
      <c r="E4931" t="inlineStr">
        <is>
          <t>ussd_funeral_leads_altitude_20260619</t>
        </is>
      </c>
      <c r="J4931" t="inlineStr">
        <is>
          <t>NA</t>
        </is>
      </c>
      <c r="K4931" t="inlineStr">
        <is>
          <t>No Answer Autodial</t>
        </is>
      </c>
      <c r="L4931" t="n">
        <v>2</v>
      </c>
      <c r="M4931" t="inlineStr">
        <is>
          <t>2026-06-22 13:30:17</t>
        </is>
      </c>
      <c r="N4931" t="inlineStr">
        <is>
          <t>system</t>
        </is>
      </c>
      <c r="O4931" t="inlineStr">
        <is>
          <t>2026-06-19 07:10:32</t>
        </is>
      </c>
      <c r="P4931" t="inlineStr">
        <is>
          <t>2026-06-19 07:10:32</t>
        </is>
      </c>
      <c r="Y4931" t="inlineStr">
        <is>
          <t>27720341080</t>
        </is>
      </c>
    </row>
    <row r="4932">
      <c r="A4932" t="inlineStr">
        <is>
          <t>14943000</t>
        </is>
      </c>
      <c r="B4932" t="inlineStr">
        <is>
          <t>56d24d3c-81cf-41d9-ba76-40f04d072e18</t>
        </is>
      </c>
      <c r="D4932" t="inlineStr">
        <is>
          <t>30001087</t>
        </is>
      </c>
      <c r="E4932" t="inlineStr">
        <is>
          <t>ussd_funeral_leads_altitude_20260619</t>
        </is>
      </c>
      <c r="J4932" t="inlineStr">
        <is>
          <t>AA</t>
        </is>
      </c>
      <c r="K4932" t="inlineStr">
        <is>
          <t>Answering Machine Autodial</t>
        </is>
      </c>
      <c r="L4932" t="n">
        <v>2</v>
      </c>
      <c r="M4932" t="inlineStr">
        <is>
          <t>2026-06-22 13:30:17</t>
        </is>
      </c>
      <c r="N4932" t="inlineStr">
        <is>
          <t>system</t>
        </is>
      </c>
      <c r="O4932" t="inlineStr">
        <is>
          <t>2026-06-19 07:10:32</t>
        </is>
      </c>
      <c r="P4932" t="inlineStr">
        <is>
          <t>2026-06-19 07:10:32</t>
        </is>
      </c>
      <c r="Y4932" t="inlineStr">
        <is>
          <t>27647648531</t>
        </is>
      </c>
    </row>
    <row r="4933">
      <c r="A4933" t="inlineStr">
        <is>
          <t>14947555</t>
        </is>
      </c>
      <c r="B4933" t="inlineStr">
        <is>
          <t>c0bb5856-1ce4-4b78-b022-df7cfb00e30a</t>
        </is>
      </c>
      <c r="D4933" t="inlineStr">
        <is>
          <t>30001087</t>
        </is>
      </c>
      <c r="E4933" t="inlineStr">
        <is>
          <t>ussd_funeral_leads_altitude_20260619</t>
        </is>
      </c>
      <c r="J4933" t="inlineStr">
        <is>
          <t>AA</t>
        </is>
      </c>
      <c r="K4933" t="inlineStr">
        <is>
          <t>Answering Machine Autodial</t>
        </is>
      </c>
      <c r="L4933" t="n">
        <v>2</v>
      </c>
      <c r="M4933" t="inlineStr">
        <is>
          <t>2026-06-22 13:30:17</t>
        </is>
      </c>
      <c r="N4933" t="inlineStr">
        <is>
          <t>system</t>
        </is>
      </c>
      <c r="O4933" t="inlineStr">
        <is>
          <t>2026-06-19 07:10:32</t>
        </is>
      </c>
      <c r="P4933" t="inlineStr">
        <is>
          <t>2026-06-19 07:10:32</t>
        </is>
      </c>
      <c r="Y4933" t="inlineStr">
        <is>
          <t>27826922722</t>
        </is>
      </c>
    </row>
    <row r="4934">
      <c r="A4934" t="inlineStr">
        <is>
          <t>14947556</t>
        </is>
      </c>
      <c r="B4934" t="inlineStr">
        <is>
          <t>a0cb11fe-68e1-43df-92f5-9f82f1f3df88</t>
        </is>
      </c>
      <c r="D4934" t="inlineStr">
        <is>
          <t>30001087</t>
        </is>
      </c>
      <c r="E4934" t="inlineStr">
        <is>
          <t>ussd_funeral_leads_altitude_20260619</t>
        </is>
      </c>
      <c r="J4934" t="inlineStr">
        <is>
          <t>AA</t>
        </is>
      </c>
      <c r="K4934" t="inlineStr">
        <is>
          <t>Answering Machine Autodial</t>
        </is>
      </c>
      <c r="L4934" t="n">
        <v>2</v>
      </c>
      <c r="M4934" t="inlineStr">
        <is>
          <t>2026-06-22 13:30:17</t>
        </is>
      </c>
      <c r="N4934" t="inlineStr">
        <is>
          <t>system</t>
        </is>
      </c>
      <c r="O4934" t="inlineStr">
        <is>
          <t>2026-06-19 07:10:32</t>
        </is>
      </c>
      <c r="P4934" t="inlineStr">
        <is>
          <t>2026-06-19 07:10:32</t>
        </is>
      </c>
      <c r="Y4934" t="inlineStr">
        <is>
          <t>27729631780</t>
        </is>
      </c>
    </row>
    <row r="4935">
      <c r="A4935" t="inlineStr">
        <is>
          <t>14947557</t>
        </is>
      </c>
      <c r="B4935" t="inlineStr">
        <is>
          <t>720af177-fed7-44e0-9165-dcde03ad3772</t>
        </is>
      </c>
      <c r="D4935" t="inlineStr">
        <is>
          <t>30001087</t>
        </is>
      </c>
      <c r="E4935" t="inlineStr">
        <is>
          <t>ussd_funeral_leads_altitude_20260619</t>
        </is>
      </c>
      <c r="J4935" t="inlineStr">
        <is>
          <t>NA</t>
        </is>
      </c>
      <c r="K4935" t="inlineStr">
        <is>
          <t>No Answer Autodial</t>
        </is>
      </c>
      <c r="L4935" t="n">
        <v>2</v>
      </c>
      <c r="M4935" t="inlineStr">
        <is>
          <t>2026-06-22 13:30:17</t>
        </is>
      </c>
      <c r="N4935" t="inlineStr">
        <is>
          <t>system</t>
        </is>
      </c>
      <c r="O4935" t="inlineStr">
        <is>
          <t>2026-06-19 07:10:32</t>
        </is>
      </c>
      <c r="P4935" t="inlineStr">
        <is>
          <t>2026-06-19 07:10:32</t>
        </is>
      </c>
      <c r="Y4935" t="inlineStr">
        <is>
          <t>27793013084</t>
        </is>
      </c>
    </row>
    <row r="4936">
      <c r="A4936" t="inlineStr">
        <is>
          <t>14942998</t>
        </is>
      </c>
      <c r="B4936" t="inlineStr">
        <is>
          <t>258bcc80-0c7a-484b-a64a-3d27a1f29bcc</t>
        </is>
      </c>
      <c r="D4936" t="inlineStr">
        <is>
          <t>30001087</t>
        </is>
      </c>
      <c r="E4936" t="inlineStr">
        <is>
          <t>ussd_funeral_leads_altitude_20260619</t>
        </is>
      </c>
      <c r="J4936" t="inlineStr">
        <is>
          <t>AA</t>
        </is>
      </c>
      <c r="K4936" t="inlineStr">
        <is>
          <t>Answering Machine Autodial</t>
        </is>
      </c>
      <c r="L4936" t="n">
        <v>2</v>
      </c>
      <c r="M4936" t="inlineStr">
        <is>
          <t>2026-06-22 13:30:07</t>
        </is>
      </c>
      <c r="N4936" t="inlineStr">
        <is>
          <t>system</t>
        </is>
      </c>
      <c r="O4936" t="inlineStr">
        <is>
          <t>2026-06-19 07:10:32</t>
        </is>
      </c>
      <c r="P4936" t="inlineStr">
        <is>
          <t>2026-06-19 07:10:32</t>
        </is>
      </c>
      <c r="Y4936" t="inlineStr">
        <is>
          <t>27822905248</t>
        </is>
      </c>
    </row>
    <row r="4937">
      <c r="A4937" t="inlineStr">
        <is>
          <t>14942997</t>
        </is>
      </c>
      <c r="B4937" t="inlineStr">
        <is>
          <t>f52625ef-f23c-405b-bbfd-21ae463bb5d8</t>
        </is>
      </c>
      <c r="D4937" t="inlineStr">
        <is>
          <t>30001087</t>
        </is>
      </c>
      <c r="E4937" t="inlineStr">
        <is>
          <t>ussd_funeral_leads_altitude_20260619</t>
        </is>
      </c>
      <c r="J4937" t="inlineStr">
        <is>
          <t>AA</t>
        </is>
      </c>
      <c r="K4937" t="inlineStr">
        <is>
          <t>Answering Machine Autodial</t>
        </is>
      </c>
      <c r="L4937" t="n">
        <v>2</v>
      </c>
      <c r="M4937" t="inlineStr">
        <is>
          <t>2026-06-22 13:30:06</t>
        </is>
      </c>
      <c r="N4937" t="inlineStr">
        <is>
          <t>system</t>
        </is>
      </c>
      <c r="O4937" t="inlineStr">
        <is>
          <t>2026-06-19 07:10:32</t>
        </is>
      </c>
      <c r="P4937" t="inlineStr">
        <is>
          <t>2026-06-19 07:10:32</t>
        </is>
      </c>
      <c r="Y4937" t="inlineStr">
        <is>
          <t>27675582248</t>
        </is>
      </c>
    </row>
    <row r="4938">
      <c r="A4938" t="inlineStr">
        <is>
          <t>14947558</t>
        </is>
      </c>
      <c r="B4938" t="inlineStr">
        <is>
          <t>f83748e2-5040-467b-a4fe-e050eb6f985f</t>
        </is>
      </c>
      <c r="D4938" t="inlineStr">
        <is>
          <t>30001087</t>
        </is>
      </c>
      <c r="E4938" t="inlineStr">
        <is>
          <t>ussd_funeral_leads_altitude_20260619</t>
        </is>
      </c>
      <c r="J4938" t="inlineStr">
        <is>
          <t>CBACK</t>
        </is>
      </c>
      <c r="K4938" t="inlineStr">
        <is>
          <t>Callback</t>
        </is>
      </c>
      <c r="L4938" t="n">
        <v>2</v>
      </c>
      <c r="M4938" t="inlineStr">
        <is>
          <t>2026-06-22 13:30:06</t>
        </is>
      </c>
      <c r="N4938" t="inlineStr">
        <is>
          <t>Bongiwe Precious Cele</t>
        </is>
      </c>
      <c r="O4938" t="inlineStr">
        <is>
          <t>2026-06-19 07:10:32</t>
        </is>
      </c>
      <c r="P4938" t="inlineStr">
        <is>
          <t>2026-06-19 07:10:32</t>
        </is>
      </c>
      <c r="Y4938" t="inlineStr">
        <is>
          <t>27674957533</t>
        </is>
      </c>
    </row>
    <row r="4939">
      <c r="A4939" t="inlineStr">
        <is>
          <t>14947559</t>
        </is>
      </c>
      <c r="B4939" t="inlineStr">
        <is>
          <t>c426c18c-0953-4cbb-87f4-410e343dadd2</t>
        </is>
      </c>
      <c r="D4939" t="inlineStr">
        <is>
          <t>30001087</t>
        </is>
      </c>
      <c r="E4939" t="inlineStr">
        <is>
          <t>ussd_funeral_leads_altitude_20260619</t>
        </is>
      </c>
      <c r="J4939" t="inlineStr">
        <is>
          <t>AE</t>
        </is>
      </c>
      <c r="K4939" t="inlineStr">
        <is>
          <t>Auto Engaged</t>
        </is>
      </c>
      <c r="L4939" t="n">
        <v>2</v>
      </c>
      <c r="M4939" t="inlineStr">
        <is>
          <t>2026-06-22 13:30:02</t>
        </is>
      </c>
      <c r="N4939" t="inlineStr">
        <is>
          <t>system</t>
        </is>
      </c>
      <c r="O4939" t="inlineStr">
        <is>
          <t>2026-06-19 07:10:32</t>
        </is>
      </c>
      <c r="P4939" t="inlineStr">
        <is>
          <t>2026-06-19 07:10:32</t>
        </is>
      </c>
      <c r="Y4939" t="inlineStr">
        <is>
          <t>27828511591</t>
        </is>
      </c>
    </row>
    <row r="4940">
      <c r="A4940" t="inlineStr">
        <is>
          <t>14942995</t>
        </is>
      </c>
      <c r="B4940" t="inlineStr">
        <is>
          <t>ba2a9c1a-2e24-423a-b7d5-efa04c599fe1</t>
        </is>
      </c>
      <c r="D4940" t="inlineStr">
        <is>
          <t>30001087</t>
        </is>
      </c>
      <c r="E4940" t="inlineStr">
        <is>
          <t>ussd_funeral_leads_altitude_20260619</t>
        </is>
      </c>
      <c r="J4940" t="inlineStr">
        <is>
          <t>AA</t>
        </is>
      </c>
      <c r="K4940" t="inlineStr">
        <is>
          <t>Answering Machine Autodial</t>
        </is>
      </c>
      <c r="L4940" t="n">
        <v>2</v>
      </c>
      <c r="M4940" t="inlineStr">
        <is>
          <t>2026-06-22 13:29:59</t>
        </is>
      </c>
      <c r="N4940" t="inlineStr">
        <is>
          <t>system</t>
        </is>
      </c>
      <c r="O4940" t="inlineStr">
        <is>
          <t>2026-06-19 07:10:32</t>
        </is>
      </c>
      <c r="P4940" t="inlineStr">
        <is>
          <t>2026-06-19 07:10:32</t>
        </is>
      </c>
      <c r="Y4940" t="inlineStr">
        <is>
          <t>27648134676</t>
        </is>
      </c>
    </row>
    <row r="4941">
      <c r="A4941" t="inlineStr">
        <is>
          <t>14942996</t>
        </is>
      </c>
      <c r="B4941" t="inlineStr">
        <is>
          <t>43087607-d8b7-4b37-9f3c-01b9b112ccd0</t>
        </is>
      </c>
      <c r="D4941" t="inlineStr">
        <is>
          <t>30001087</t>
        </is>
      </c>
      <c r="E4941" t="inlineStr">
        <is>
          <t>ussd_funeral_leads_altitude_20260619</t>
        </is>
      </c>
      <c r="J4941" t="inlineStr">
        <is>
          <t>ADC</t>
        </is>
      </c>
      <c r="K4941" t="inlineStr">
        <is>
          <t>Auto Dial Disconnected</t>
        </is>
      </c>
      <c r="L4941" t="n">
        <v>2</v>
      </c>
      <c r="M4941" t="inlineStr">
        <is>
          <t>2026-06-22 13:29:59</t>
        </is>
      </c>
      <c r="N4941" t="inlineStr">
        <is>
          <t>system</t>
        </is>
      </c>
      <c r="O4941" t="inlineStr">
        <is>
          <t>2026-06-19 07:10:32</t>
        </is>
      </c>
      <c r="P4941" t="inlineStr">
        <is>
          <t>2026-06-19 07:10:32</t>
        </is>
      </c>
      <c r="Y4941" t="inlineStr">
        <is>
          <t>27660724446</t>
        </is>
      </c>
    </row>
    <row r="4942">
      <c r="A4942" t="inlineStr">
        <is>
          <t>14942989</t>
        </is>
      </c>
      <c r="B4942" t="inlineStr">
        <is>
          <t>9dceb6c3-4c91-4c33-947b-4166d21f4cc0</t>
        </is>
      </c>
      <c r="D4942" t="inlineStr">
        <is>
          <t>30001087</t>
        </is>
      </c>
      <c r="E4942" t="inlineStr">
        <is>
          <t>ussd_funeral_leads_altitude_20260619</t>
        </is>
      </c>
      <c r="J4942" t="inlineStr">
        <is>
          <t>CUA</t>
        </is>
      </c>
      <c r="K4942" t="inlineStr">
        <is>
          <t>Client Underage</t>
        </is>
      </c>
      <c r="L4942" t="n">
        <v>2</v>
      </c>
      <c r="M4942" t="inlineStr">
        <is>
          <t>2026-06-22 13:29:53</t>
        </is>
      </c>
      <c r="N4942" t="inlineStr">
        <is>
          <t>Lebohang Mabotja</t>
        </is>
      </c>
      <c r="O4942" t="inlineStr">
        <is>
          <t>2026-06-19 07:10:32</t>
        </is>
      </c>
      <c r="P4942" t="inlineStr">
        <is>
          <t>2026-06-19 07:10:32</t>
        </is>
      </c>
      <c r="Y4942" t="inlineStr">
        <is>
          <t>27769308883</t>
        </is>
      </c>
    </row>
    <row r="4943">
      <c r="A4943" t="inlineStr">
        <is>
          <t>14947560</t>
        </is>
      </c>
      <c r="B4943" t="inlineStr">
        <is>
          <t>35a15398-f608-4f04-b659-a04333544c03</t>
        </is>
      </c>
      <c r="D4943" t="inlineStr">
        <is>
          <t>30001087</t>
        </is>
      </c>
      <c r="E4943" t="inlineStr">
        <is>
          <t>ussd_funeral_leads_altitude_20260619</t>
        </is>
      </c>
      <c r="J4943" t="inlineStr">
        <is>
          <t>AA</t>
        </is>
      </c>
      <c r="K4943" t="inlineStr">
        <is>
          <t>Answering Machine Autodial</t>
        </is>
      </c>
      <c r="L4943" t="n">
        <v>2</v>
      </c>
      <c r="M4943" t="inlineStr">
        <is>
          <t>2026-06-22 13:28:57</t>
        </is>
      </c>
      <c r="N4943" t="inlineStr">
        <is>
          <t>system</t>
        </is>
      </c>
      <c r="O4943" t="inlineStr">
        <is>
          <t>2026-06-19 07:10:32</t>
        </is>
      </c>
      <c r="P4943" t="inlineStr">
        <is>
          <t>2026-06-19 07:10:32</t>
        </is>
      </c>
      <c r="Y4943" t="inlineStr">
        <is>
          <t>27799842730</t>
        </is>
      </c>
    </row>
    <row r="4944">
      <c r="A4944" t="inlineStr">
        <is>
          <t>14947561</t>
        </is>
      </c>
      <c r="B4944" t="inlineStr">
        <is>
          <t>9d1a555d-c670-4a7c-86cd-1cd8313d7411</t>
        </is>
      </c>
      <c r="D4944" t="inlineStr">
        <is>
          <t>30001087</t>
        </is>
      </c>
      <c r="E4944" t="inlineStr">
        <is>
          <t>ussd_funeral_leads_altitude_20260619</t>
        </is>
      </c>
      <c r="J4944" t="inlineStr">
        <is>
          <t>AE</t>
        </is>
      </c>
      <c r="K4944" t="inlineStr">
        <is>
          <t>Auto Engaged</t>
        </is>
      </c>
      <c r="L4944" t="n">
        <v>2</v>
      </c>
      <c r="M4944" t="inlineStr">
        <is>
          <t>2026-06-22 13:28:56</t>
        </is>
      </c>
      <c r="N4944" t="inlineStr">
        <is>
          <t>system</t>
        </is>
      </c>
      <c r="O4944" t="inlineStr">
        <is>
          <t>2026-06-19 07:10:32</t>
        </is>
      </c>
      <c r="P4944" t="inlineStr">
        <is>
          <t>2026-06-19 07:10:32</t>
        </is>
      </c>
      <c r="Y4944" t="inlineStr">
        <is>
          <t>27725716068</t>
        </is>
      </c>
    </row>
    <row r="4945">
      <c r="A4945" t="inlineStr">
        <is>
          <t>14943006</t>
        </is>
      </c>
      <c r="B4945" t="inlineStr">
        <is>
          <t>0ed87b63-5392-405a-a9a7-3e581d2b75ed</t>
        </is>
      </c>
      <c r="D4945" t="inlineStr">
        <is>
          <t>30001087</t>
        </is>
      </c>
      <c r="E4945" t="inlineStr">
        <is>
          <t>ussd_funeral_leads_altitude_20260619</t>
        </is>
      </c>
      <c r="J4945" t="inlineStr">
        <is>
          <t>NA</t>
        </is>
      </c>
      <c r="K4945" t="inlineStr">
        <is>
          <t>No Answer Autodial</t>
        </is>
      </c>
      <c r="L4945" t="n">
        <v>2</v>
      </c>
      <c r="M4945" t="inlineStr">
        <is>
          <t>2026-06-22 13:28:26</t>
        </is>
      </c>
      <c r="N4945" t="inlineStr">
        <is>
          <t>system</t>
        </is>
      </c>
      <c r="O4945" t="inlineStr">
        <is>
          <t>2026-06-19 07:10:32</t>
        </is>
      </c>
      <c r="P4945" t="inlineStr">
        <is>
          <t>2026-06-19 07:10:32</t>
        </is>
      </c>
      <c r="Y4945" t="inlineStr">
        <is>
          <t>27791272398</t>
        </is>
      </c>
    </row>
    <row r="4946">
      <c r="A4946" t="inlineStr">
        <is>
          <t>14943007</t>
        </is>
      </c>
      <c r="B4946" t="inlineStr">
        <is>
          <t>88cf2373-9d1f-4b70-9ff1-dd478b76d77d</t>
        </is>
      </c>
      <c r="D4946" t="inlineStr">
        <is>
          <t>30001087</t>
        </is>
      </c>
      <c r="E4946" t="inlineStr">
        <is>
          <t>ussd_funeral_leads_altitude_20260619</t>
        </is>
      </c>
      <c r="J4946" t="inlineStr">
        <is>
          <t>TDN</t>
        </is>
      </c>
      <c r="K4946" t="inlineStr">
        <is>
          <t>Temporary Disconnected Number</t>
        </is>
      </c>
      <c r="L4946" t="n">
        <v>2</v>
      </c>
      <c r="M4946" t="inlineStr">
        <is>
          <t>2026-06-22 13:28:26</t>
        </is>
      </c>
      <c r="N4946" t="inlineStr">
        <is>
          <t>system</t>
        </is>
      </c>
      <c r="O4946" t="inlineStr">
        <is>
          <t>2026-06-19 07:10:32</t>
        </is>
      </c>
      <c r="P4946" t="inlineStr">
        <is>
          <t>2026-06-19 07:10:32</t>
        </is>
      </c>
      <c r="Y4946" t="inlineStr">
        <is>
          <t>27766086337</t>
        </is>
      </c>
    </row>
    <row r="4947">
      <c r="A4947" t="inlineStr">
        <is>
          <t>14943008</t>
        </is>
      </c>
      <c r="B4947" t="inlineStr">
        <is>
          <t>a344fc80-17f3-47c0-89c2-084bc8663589</t>
        </is>
      </c>
      <c r="D4947" t="inlineStr">
        <is>
          <t>30001087</t>
        </is>
      </c>
      <c r="E4947" t="inlineStr">
        <is>
          <t>ussd_funeral_leads_altitude_20260619</t>
        </is>
      </c>
      <c r="J4947" t="inlineStr">
        <is>
          <t>CU</t>
        </is>
      </c>
      <c r="K4947" t="inlineStr">
        <is>
          <t>Client Hung Up</t>
        </is>
      </c>
      <c r="L4947" t="n">
        <v>2</v>
      </c>
      <c r="M4947" t="inlineStr">
        <is>
          <t>2026-06-22 13:28:26</t>
        </is>
      </c>
      <c r="N4947" t="inlineStr">
        <is>
          <t>Dimakatso Nkomo</t>
        </is>
      </c>
      <c r="O4947" t="inlineStr">
        <is>
          <t>2026-06-19 07:10:32</t>
        </is>
      </c>
      <c r="P4947" t="inlineStr">
        <is>
          <t>2026-06-19 07:10:32</t>
        </is>
      </c>
      <c r="Y4947" t="inlineStr">
        <is>
          <t>27647780455</t>
        </is>
      </c>
    </row>
    <row r="4948">
      <c r="A4948" t="inlineStr">
        <is>
          <t>14943009</t>
        </is>
      </c>
      <c r="B4948" t="inlineStr">
        <is>
          <t>a7102593-5fce-4f85-864c-9796707c0d93</t>
        </is>
      </c>
      <c r="D4948" t="inlineStr">
        <is>
          <t>30001087</t>
        </is>
      </c>
      <c r="E4948" t="inlineStr">
        <is>
          <t>ussd_funeral_leads_altitude_20260619</t>
        </is>
      </c>
      <c r="J4948" t="inlineStr">
        <is>
          <t>ADC</t>
        </is>
      </c>
      <c r="K4948" t="inlineStr">
        <is>
          <t>Auto Dial Disconnected</t>
        </is>
      </c>
      <c r="L4948" t="n">
        <v>2</v>
      </c>
      <c r="M4948" t="inlineStr">
        <is>
          <t>2026-06-22 13:28:26</t>
        </is>
      </c>
      <c r="N4948" t="inlineStr">
        <is>
          <t>system</t>
        </is>
      </c>
      <c r="O4948" t="inlineStr">
        <is>
          <t>2026-06-19 07:10:32</t>
        </is>
      </c>
      <c r="P4948" t="inlineStr">
        <is>
          <t>2026-06-19 07:10:32</t>
        </is>
      </c>
      <c r="Y4948" t="inlineStr">
        <is>
          <t>27649803745</t>
        </is>
      </c>
    </row>
    <row r="4949">
      <c r="A4949" t="inlineStr">
        <is>
          <t>14943012</t>
        </is>
      </c>
      <c r="B4949" t="inlineStr">
        <is>
          <t>a4db9908-86c1-473f-8a9b-cffe8ff0a7cf</t>
        </is>
      </c>
      <c r="D4949" t="inlineStr">
        <is>
          <t>30001087</t>
        </is>
      </c>
      <c r="E4949" t="inlineStr">
        <is>
          <t>ussd_funeral_leads_altitude_20260619</t>
        </is>
      </c>
      <c r="J4949" t="inlineStr">
        <is>
          <t>AA</t>
        </is>
      </c>
      <c r="K4949" t="inlineStr">
        <is>
          <t>Answering Machine Autodial</t>
        </is>
      </c>
      <c r="L4949" t="n">
        <v>2</v>
      </c>
      <c r="M4949" t="inlineStr">
        <is>
          <t>2026-06-22 13:28:26</t>
        </is>
      </c>
      <c r="N4949" t="inlineStr">
        <is>
          <t>system</t>
        </is>
      </c>
      <c r="O4949" t="inlineStr">
        <is>
          <t>2026-06-19 07:10:32</t>
        </is>
      </c>
      <c r="P4949" t="inlineStr">
        <is>
          <t>2026-06-19 07:10:32</t>
        </is>
      </c>
      <c r="Y4949" t="inlineStr">
        <is>
          <t>27607623007</t>
        </is>
      </c>
    </row>
    <row r="4950">
      <c r="A4950" t="inlineStr">
        <is>
          <t>14943036</t>
        </is>
      </c>
      <c r="B4950" t="inlineStr">
        <is>
          <t>b39ac47d-8297-4edb-86ab-afb937483ce8</t>
        </is>
      </c>
      <c r="D4950" t="inlineStr">
        <is>
          <t>30001087</t>
        </is>
      </c>
      <c r="E4950" t="inlineStr">
        <is>
          <t>ussd_funeral_leads_altitude_20260619</t>
        </is>
      </c>
      <c r="J4950" t="inlineStr">
        <is>
          <t>NA</t>
        </is>
      </c>
      <c r="K4950" t="inlineStr">
        <is>
          <t>No Answer Autodial</t>
        </is>
      </c>
      <c r="L4950" t="n">
        <v>2</v>
      </c>
      <c r="M4950" t="inlineStr">
        <is>
          <t>2026-06-22 13:28:10</t>
        </is>
      </c>
      <c r="N4950" t="inlineStr">
        <is>
          <t>system</t>
        </is>
      </c>
      <c r="O4950" t="inlineStr">
        <is>
          <t>2026-06-19 07:10:32</t>
        </is>
      </c>
      <c r="P4950" t="inlineStr">
        <is>
          <t>2026-06-19 07:10:32</t>
        </is>
      </c>
      <c r="Y4950" t="inlineStr">
        <is>
          <t>27647423610</t>
        </is>
      </c>
    </row>
    <row r="4951">
      <c r="A4951" t="inlineStr">
        <is>
          <t>14947562</t>
        </is>
      </c>
      <c r="B4951" t="inlineStr">
        <is>
          <t>5e3c13d5-d98f-4d4c-badc-b1b1a72ef70e</t>
        </is>
      </c>
      <c r="D4951" t="inlineStr">
        <is>
          <t>30001087</t>
        </is>
      </c>
      <c r="E4951" t="inlineStr">
        <is>
          <t>ussd_funeral_leads_altitude_20260619</t>
        </is>
      </c>
      <c r="J4951" t="inlineStr">
        <is>
          <t>NA</t>
        </is>
      </c>
      <c r="K4951" t="inlineStr">
        <is>
          <t>No Answer Autodial</t>
        </is>
      </c>
      <c r="L4951" t="n">
        <v>2</v>
      </c>
      <c r="M4951" t="inlineStr">
        <is>
          <t>2026-06-22 13:28:10</t>
        </is>
      </c>
      <c r="N4951" t="inlineStr">
        <is>
          <t>system</t>
        </is>
      </c>
      <c r="O4951" t="inlineStr">
        <is>
          <t>2026-06-19 07:10:32</t>
        </is>
      </c>
      <c r="P4951" t="inlineStr">
        <is>
          <t>2026-06-19 07:10:32</t>
        </is>
      </c>
      <c r="Y4951" t="inlineStr">
        <is>
          <t>27795381966</t>
        </is>
      </c>
    </row>
    <row r="4952">
      <c r="A4952" t="inlineStr">
        <is>
          <t>14943035</t>
        </is>
      </c>
      <c r="B4952" t="inlineStr">
        <is>
          <t>fc7cb9a4-9dda-459e-a97c-46754fdf06e7</t>
        </is>
      </c>
      <c r="D4952" t="inlineStr">
        <is>
          <t>30001087</t>
        </is>
      </c>
      <c r="E4952" t="inlineStr">
        <is>
          <t>ussd_funeral_leads_altitude_20260619</t>
        </is>
      </c>
      <c r="J4952" t="inlineStr">
        <is>
          <t>TDN</t>
        </is>
      </c>
      <c r="K4952" t="inlineStr">
        <is>
          <t>Temporary Disconnected Number</t>
        </is>
      </c>
      <c r="L4952" t="n">
        <v>2</v>
      </c>
      <c r="M4952" t="inlineStr">
        <is>
          <t>2026-06-22 13:28:09</t>
        </is>
      </c>
      <c r="N4952" t="inlineStr">
        <is>
          <t>system</t>
        </is>
      </c>
      <c r="O4952" t="inlineStr">
        <is>
          <t>2026-06-19 07:10:32</t>
        </is>
      </c>
      <c r="P4952" t="inlineStr">
        <is>
          <t>2026-06-19 07:10:32</t>
        </is>
      </c>
      <c r="Y4952" t="inlineStr">
        <is>
          <t>27663854997</t>
        </is>
      </c>
    </row>
    <row r="4953">
      <c r="A4953" t="inlineStr">
        <is>
          <t>14943032</t>
        </is>
      </c>
      <c r="B4953" t="inlineStr">
        <is>
          <t>732bf0b8-3a2c-4a04-bfa4-7d15a7913344</t>
        </is>
      </c>
      <c r="D4953" t="inlineStr">
        <is>
          <t>30001087</t>
        </is>
      </c>
      <c r="E4953" t="inlineStr">
        <is>
          <t>ussd_funeral_leads_altitude_20260619</t>
        </is>
      </c>
      <c r="J4953" t="inlineStr">
        <is>
          <t>AA</t>
        </is>
      </c>
      <c r="K4953" t="inlineStr">
        <is>
          <t>Answering Machine Autodial</t>
        </is>
      </c>
      <c r="L4953" t="n">
        <v>2</v>
      </c>
      <c r="M4953" t="inlineStr">
        <is>
          <t>2026-06-22 13:28:08</t>
        </is>
      </c>
      <c r="N4953" t="inlineStr">
        <is>
          <t>system</t>
        </is>
      </c>
      <c r="O4953" t="inlineStr">
        <is>
          <t>2026-06-19 07:10:32</t>
        </is>
      </c>
      <c r="P4953" t="inlineStr">
        <is>
          <t>2026-06-19 07:10:32</t>
        </is>
      </c>
      <c r="Y4953" t="inlineStr">
        <is>
          <t>27772595209</t>
        </is>
      </c>
    </row>
    <row r="4954">
      <c r="A4954" t="inlineStr">
        <is>
          <t>14943033</t>
        </is>
      </c>
      <c r="B4954" t="inlineStr">
        <is>
          <t>2a6f685c-1ac2-4333-a79c-c46259d42ad3</t>
        </is>
      </c>
      <c r="D4954" t="inlineStr">
        <is>
          <t>30001087</t>
        </is>
      </c>
      <c r="E4954" t="inlineStr">
        <is>
          <t>ussd_funeral_leads_altitude_20260619</t>
        </is>
      </c>
      <c r="J4954" t="inlineStr">
        <is>
          <t>ADC</t>
        </is>
      </c>
      <c r="K4954" t="inlineStr">
        <is>
          <t>Auto Dial Disconnected</t>
        </is>
      </c>
      <c r="L4954" t="n">
        <v>2</v>
      </c>
      <c r="M4954" t="inlineStr">
        <is>
          <t>2026-06-22 13:28:08</t>
        </is>
      </c>
      <c r="N4954" t="inlineStr">
        <is>
          <t>system</t>
        </is>
      </c>
      <c r="O4954" t="inlineStr">
        <is>
          <t>2026-06-19 07:10:32</t>
        </is>
      </c>
      <c r="P4954" t="inlineStr">
        <is>
          <t>2026-06-19 07:10:32</t>
        </is>
      </c>
      <c r="Y4954" t="inlineStr">
        <is>
          <t>27766433958</t>
        </is>
      </c>
    </row>
    <row r="4955">
      <c r="A4955" t="inlineStr">
        <is>
          <t>14943034</t>
        </is>
      </c>
      <c r="B4955" t="inlineStr">
        <is>
          <t>0c0a3607-52df-42a5-a39a-2932a0e70128</t>
        </is>
      </c>
      <c r="D4955" t="inlineStr">
        <is>
          <t>30001087</t>
        </is>
      </c>
      <c r="E4955" t="inlineStr">
        <is>
          <t>ussd_funeral_leads_altitude_20260619</t>
        </is>
      </c>
      <c r="J4955" t="inlineStr">
        <is>
          <t>AA</t>
        </is>
      </c>
      <c r="K4955" t="inlineStr">
        <is>
          <t>Answering Machine Autodial</t>
        </is>
      </c>
      <c r="L4955" t="n">
        <v>2</v>
      </c>
      <c r="M4955" t="inlineStr">
        <is>
          <t>2026-06-22 13:28:08</t>
        </is>
      </c>
      <c r="N4955" t="inlineStr">
        <is>
          <t>system</t>
        </is>
      </c>
      <c r="O4955" t="inlineStr">
        <is>
          <t>2026-06-19 07:10:32</t>
        </is>
      </c>
      <c r="P4955" t="inlineStr">
        <is>
          <t>2026-06-19 07:10:32</t>
        </is>
      </c>
      <c r="Y4955" t="inlineStr">
        <is>
          <t>27796651015</t>
        </is>
      </c>
    </row>
    <row r="4956">
      <c r="A4956" t="inlineStr">
        <is>
          <t>14943031</t>
        </is>
      </c>
      <c r="B4956" t="inlineStr">
        <is>
          <t>b128fb26-f861-4cd8-a323-9efab4d4e6b4</t>
        </is>
      </c>
      <c r="D4956" t="inlineStr">
        <is>
          <t>30001087</t>
        </is>
      </c>
      <c r="E4956" t="inlineStr">
        <is>
          <t>ussd_funeral_leads_altitude_20260619</t>
        </is>
      </c>
      <c r="J4956" t="inlineStr">
        <is>
          <t>ADC</t>
        </is>
      </c>
      <c r="K4956" t="inlineStr">
        <is>
          <t>Auto Dial Disconnected</t>
        </is>
      </c>
      <c r="L4956" t="n">
        <v>2</v>
      </c>
      <c r="M4956" t="inlineStr">
        <is>
          <t>2026-06-22 13:27:36</t>
        </is>
      </c>
      <c r="N4956" t="inlineStr">
        <is>
          <t>system</t>
        </is>
      </c>
      <c r="O4956" t="inlineStr">
        <is>
          <t>2026-06-19 07:10:32</t>
        </is>
      </c>
      <c r="P4956" t="inlineStr">
        <is>
          <t>2026-06-19 07:10:32</t>
        </is>
      </c>
      <c r="Y4956" t="inlineStr">
        <is>
          <t>27606249827</t>
        </is>
      </c>
    </row>
    <row r="4957">
      <c r="A4957" t="inlineStr">
        <is>
          <t>14943030</t>
        </is>
      </c>
      <c r="B4957" t="inlineStr">
        <is>
          <t>1c79c353-9f01-4337-836e-be1f222a2a4e</t>
        </is>
      </c>
      <c r="D4957" t="inlineStr">
        <is>
          <t>30001087</t>
        </is>
      </c>
      <c r="E4957" t="inlineStr">
        <is>
          <t>ussd_funeral_leads_altitude_20260619</t>
        </is>
      </c>
      <c r="J4957" t="inlineStr">
        <is>
          <t>TDN</t>
        </is>
      </c>
      <c r="K4957" t="inlineStr">
        <is>
          <t>Temporary Disconnected Number</t>
        </is>
      </c>
      <c r="L4957" t="n">
        <v>2</v>
      </c>
      <c r="M4957" t="inlineStr">
        <is>
          <t>2026-06-22 13:27:35</t>
        </is>
      </c>
      <c r="N4957" t="inlineStr">
        <is>
          <t>system</t>
        </is>
      </c>
      <c r="O4957" t="inlineStr">
        <is>
          <t>2026-06-19 07:10:32</t>
        </is>
      </c>
      <c r="P4957" t="inlineStr">
        <is>
          <t>2026-06-19 07:10:32</t>
        </is>
      </c>
      <c r="Y4957" t="inlineStr">
        <is>
          <t>27792695493</t>
        </is>
      </c>
    </row>
    <row r="4958">
      <c r="A4958" t="inlineStr">
        <is>
          <t>14943028</t>
        </is>
      </c>
      <c r="B4958" t="inlineStr">
        <is>
          <t>73bb986e-b0d8-4d9f-898a-874dd35a21ec</t>
        </is>
      </c>
      <c r="D4958" t="inlineStr">
        <is>
          <t>30001087</t>
        </is>
      </c>
      <c r="E4958" t="inlineStr">
        <is>
          <t>ussd_funeral_leads_altitude_20260619</t>
        </is>
      </c>
      <c r="J4958" t="inlineStr">
        <is>
          <t>AA</t>
        </is>
      </c>
      <c r="K4958" t="inlineStr">
        <is>
          <t>Answering Machine Autodial</t>
        </is>
      </c>
      <c r="L4958" t="n">
        <v>2</v>
      </c>
      <c r="M4958" t="inlineStr">
        <is>
          <t>2026-06-22 13:27:29</t>
        </is>
      </c>
      <c r="N4958" t="inlineStr">
        <is>
          <t>system</t>
        </is>
      </c>
      <c r="O4958" t="inlineStr">
        <is>
          <t>2026-06-19 07:10:32</t>
        </is>
      </c>
      <c r="P4958" t="inlineStr">
        <is>
          <t>2026-06-19 07:10:32</t>
        </is>
      </c>
      <c r="Y4958" t="inlineStr">
        <is>
          <t>27647656354</t>
        </is>
      </c>
    </row>
    <row r="4959">
      <c r="A4959" t="inlineStr">
        <is>
          <t>14943029</t>
        </is>
      </c>
      <c r="B4959" t="inlineStr">
        <is>
          <t>5861f7d1-cc1e-4cc3-a543-a4bf794546a4</t>
        </is>
      </c>
      <c r="D4959" t="inlineStr">
        <is>
          <t>30001087</t>
        </is>
      </c>
      <c r="E4959" t="inlineStr">
        <is>
          <t>ussd_funeral_leads_altitude_20260619</t>
        </is>
      </c>
      <c r="J4959" t="inlineStr">
        <is>
          <t>AA</t>
        </is>
      </c>
      <c r="K4959" t="inlineStr">
        <is>
          <t>Answering Machine Autodial</t>
        </is>
      </c>
      <c r="L4959" t="n">
        <v>2</v>
      </c>
      <c r="M4959" t="inlineStr">
        <is>
          <t>2026-06-22 13:27:29</t>
        </is>
      </c>
      <c r="N4959" t="inlineStr">
        <is>
          <t>system</t>
        </is>
      </c>
      <c r="O4959" t="inlineStr">
        <is>
          <t>2026-06-19 07:10:32</t>
        </is>
      </c>
      <c r="P4959" t="inlineStr">
        <is>
          <t>2026-06-19 07:10:32</t>
        </is>
      </c>
      <c r="Y4959" t="inlineStr">
        <is>
          <t>27636636791</t>
        </is>
      </c>
    </row>
    <row r="4960">
      <c r="A4960" t="inlineStr">
        <is>
          <t>14945588</t>
        </is>
      </c>
      <c r="B4960" t="inlineStr">
        <is>
          <t>1d3540ae-5d59-43fb-995e-7a5f1b03b5ca</t>
        </is>
      </c>
      <c r="D4960" t="inlineStr">
        <is>
          <t>30001087</t>
        </is>
      </c>
      <c r="E4960" t="inlineStr">
        <is>
          <t>ussd_funeral_leads_altitude_20260619</t>
        </is>
      </c>
      <c r="J4960" t="inlineStr">
        <is>
          <t>A</t>
        </is>
      </c>
      <c r="K4960" t="inlineStr">
        <is>
          <t>Answering Machine</t>
        </is>
      </c>
      <c r="L4960" t="n">
        <v>3</v>
      </c>
      <c r="M4960" t="inlineStr">
        <is>
          <t>2026-06-22 13:27:04</t>
        </is>
      </c>
      <c r="N4960" t="inlineStr">
        <is>
          <t>Lebohang Mabotja</t>
        </is>
      </c>
      <c r="O4960" t="inlineStr">
        <is>
          <t>2026-06-19 07:10:32</t>
        </is>
      </c>
      <c r="P4960" t="inlineStr">
        <is>
          <t>2026-06-19 07:10:32</t>
        </is>
      </c>
      <c r="Y4960" t="inlineStr">
        <is>
          <t>27712805178</t>
        </is>
      </c>
    </row>
    <row r="4961">
      <c r="A4961" t="inlineStr">
        <is>
          <t>14943091</t>
        </is>
      </c>
      <c r="B4961" t="inlineStr">
        <is>
          <t>8211276a-3072-447a-a718-e8cc259a6e2b</t>
        </is>
      </c>
      <c r="D4961" t="inlineStr">
        <is>
          <t>30001087</t>
        </is>
      </c>
      <c r="E4961" t="inlineStr">
        <is>
          <t>ussd_funeral_leads_altitude_20260619</t>
        </is>
      </c>
      <c r="J4961" t="inlineStr">
        <is>
          <t>AA</t>
        </is>
      </c>
      <c r="K4961" t="inlineStr">
        <is>
          <t>Answering Machine Autodial</t>
        </is>
      </c>
      <c r="L4961" t="n">
        <v>2</v>
      </c>
      <c r="M4961" t="inlineStr">
        <is>
          <t>2026-06-22 13:26:09</t>
        </is>
      </c>
      <c r="N4961" t="inlineStr">
        <is>
          <t>system</t>
        </is>
      </c>
      <c r="O4961" t="inlineStr">
        <is>
          <t>2026-06-19 07:10:32</t>
        </is>
      </c>
      <c r="P4961" t="inlineStr">
        <is>
          <t>2026-06-19 07:10:32</t>
        </is>
      </c>
      <c r="Y4961" t="inlineStr">
        <is>
          <t>27792980217</t>
        </is>
      </c>
    </row>
    <row r="4962">
      <c r="A4962" t="inlineStr">
        <is>
          <t>14943089</t>
        </is>
      </c>
      <c r="B4962" t="inlineStr">
        <is>
          <t>70106334-6872-44be-805d-02670634a435</t>
        </is>
      </c>
      <c r="D4962" t="inlineStr">
        <is>
          <t>30001087</t>
        </is>
      </c>
      <c r="E4962" t="inlineStr">
        <is>
          <t>ussd_funeral_leads_altitude_20260619</t>
        </is>
      </c>
      <c r="J4962" t="inlineStr">
        <is>
          <t>AA</t>
        </is>
      </c>
      <c r="K4962" t="inlineStr">
        <is>
          <t>Answering Machine Autodial</t>
        </is>
      </c>
      <c r="L4962" t="n">
        <v>2</v>
      </c>
      <c r="M4962" t="inlineStr">
        <is>
          <t>2026-06-22 13:26:02</t>
        </is>
      </c>
      <c r="N4962" t="inlineStr">
        <is>
          <t>system</t>
        </is>
      </c>
      <c r="O4962" t="inlineStr">
        <is>
          <t>2026-06-19 07:10:32</t>
        </is>
      </c>
      <c r="P4962" t="inlineStr">
        <is>
          <t>2026-06-19 07:10:32</t>
        </is>
      </c>
      <c r="Y4962" t="inlineStr">
        <is>
          <t>27799758657</t>
        </is>
      </c>
    </row>
    <row r="4963">
      <c r="A4963" t="inlineStr">
        <is>
          <t>14943088</t>
        </is>
      </c>
      <c r="B4963" t="inlineStr">
        <is>
          <t>28d07869-5b3e-48fa-878c-42edf87b36fc</t>
        </is>
      </c>
      <c r="D4963" t="inlineStr">
        <is>
          <t>30001087</t>
        </is>
      </c>
      <c r="E4963" t="inlineStr">
        <is>
          <t>ussd_funeral_leads_altitude_20260619</t>
        </is>
      </c>
      <c r="J4963" t="inlineStr">
        <is>
          <t>CU</t>
        </is>
      </c>
      <c r="K4963" t="inlineStr">
        <is>
          <t>Client Hung Up</t>
        </is>
      </c>
      <c r="L4963" t="n">
        <v>2</v>
      </c>
      <c r="M4963" t="inlineStr">
        <is>
          <t>2026-06-22 13:25:57</t>
        </is>
      </c>
      <c r="N4963" t="inlineStr">
        <is>
          <t>Dimakatso Nkomo</t>
        </is>
      </c>
      <c r="O4963" t="inlineStr">
        <is>
          <t>2026-06-19 07:10:32</t>
        </is>
      </c>
      <c r="P4963" t="inlineStr">
        <is>
          <t>2026-06-19 07:10:32</t>
        </is>
      </c>
      <c r="Y4963" t="inlineStr">
        <is>
          <t>27818994937</t>
        </is>
      </c>
    </row>
    <row r="4964">
      <c r="A4964" t="inlineStr">
        <is>
          <t>14943086</t>
        </is>
      </c>
      <c r="B4964" t="inlineStr">
        <is>
          <t>873a89c8-d5c2-42c9-acb0-382fe5cbb6ae</t>
        </is>
      </c>
      <c r="D4964" t="inlineStr">
        <is>
          <t>30001087</t>
        </is>
      </c>
      <c r="E4964" t="inlineStr">
        <is>
          <t>ussd_funeral_leads_altitude_20260619</t>
        </is>
      </c>
      <c r="J4964" t="inlineStr">
        <is>
          <t>AA</t>
        </is>
      </c>
      <c r="K4964" t="inlineStr">
        <is>
          <t>Answering Machine Autodial</t>
        </is>
      </c>
      <c r="L4964" t="n">
        <v>2</v>
      </c>
      <c r="M4964" t="inlineStr">
        <is>
          <t>2026-06-22 13:25:56</t>
        </is>
      </c>
      <c r="N4964" t="inlineStr">
        <is>
          <t>system</t>
        </is>
      </c>
      <c r="O4964" t="inlineStr">
        <is>
          <t>2026-06-19 07:10:32</t>
        </is>
      </c>
      <c r="P4964" t="inlineStr">
        <is>
          <t>2026-06-19 07:10:32</t>
        </is>
      </c>
      <c r="Y4964" t="inlineStr">
        <is>
          <t>27716844720</t>
        </is>
      </c>
    </row>
    <row r="4965">
      <c r="A4965" t="inlineStr">
        <is>
          <t>14947911</t>
        </is>
      </c>
      <c r="B4965" t="inlineStr">
        <is>
          <t>73a3bccb-2974-4d86-9e18-e3c953248b62</t>
        </is>
      </c>
      <c r="D4965" t="inlineStr">
        <is>
          <t>30001087</t>
        </is>
      </c>
      <c r="E4965" t="inlineStr">
        <is>
          <t>ussd_funeral_leads_altitude_20260619</t>
        </is>
      </c>
      <c r="J4965" t="inlineStr">
        <is>
          <t>LANG</t>
        </is>
      </c>
      <c r="K4965" t="inlineStr">
        <is>
          <t>Language Barrier</t>
        </is>
      </c>
      <c r="L4965" t="n">
        <v>2</v>
      </c>
      <c r="M4965" t="inlineStr">
        <is>
          <t>2026-06-22 13:25:56</t>
        </is>
      </c>
      <c r="N4965" t="inlineStr">
        <is>
          <t>Lebohang Mabotja</t>
        </is>
      </c>
      <c r="O4965" t="inlineStr">
        <is>
          <t>2026-06-19 07:10:32</t>
        </is>
      </c>
      <c r="P4965" t="inlineStr">
        <is>
          <t>2026-06-19 07:10:32</t>
        </is>
      </c>
      <c r="Y4965" t="inlineStr">
        <is>
          <t>27647654750</t>
        </is>
      </c>
    </row>
    <row r="4966">
      <c r="A4966" t="inlineStr">
        <is>
          <t>14946077</t>
        </is>
      </c>
      <c r="B4966" t="inlineStr">
        <is>
          <t>86a129f3-baed-4076-b4b3-c2cca551acf7</t>
        </is>
      </c>
      <c r="D4966" t="inlineStr">
        <is>
          <t>30001087</t>
        </is>
      </c>
      <c r="E4966" t="inlineStr">
        <is>
          <t>ussd_funeral_leads_altitude_20260619</t>
        </is>
      </c>
      <c r="J4966" t="inlineStr">
        <is>
          <t>N</t>
        </is>
      </c>
      <c r="K4966" t="inlineStr">
        <is>
          <t>No Answer</t>
        </is>
      </c>
      <c r="L4966" t="n">
        <v>3</v>
      </c>
      <c r="M4966" t="inlineStr">
        <is>
          <t>2026-06-22 13:25:13</t>
        </is>
      </c>
      <c r="N4966" t="inlineStr">
        <is>
          <t>Lebohang Mabotja</t>
        </is>
      </c>
      <c r="O4966" t="inlineStr">
        <is>
          <t>2026-06-19 07:10:32</t>
        </is>
      </c>
      <c r="P4966" t="inlineStr">
        <is>
          <t>2026-06-19 07:10:32</t>
        </is>
      </c>
      <c r="Y4966" t="inlineStr">
        <is>
          <t>27764617517</t>
        </is>
      </c>
    </row>
    <row r="4967">
      <c r="A4967" t="inlineStr">
        <is>
          <t>14947510</t>
        </is>
      </c>
      <c r="B4967" t="inlineStr">
        <is>
          <t>a75c8b0e-8a00-429f-a254-26252b9786ce</t>
        </is>
      </c>
      <c r="D4967" t="inlineStr">
        <is>
          <t>30001087</t>
        </is>
      </c>
      <c r="E4967" t="inlineStr">
        <is>
          <t>ussd_funeral_leads_altitude_20260619</t>
        </is>
      </c>
      <c r="J4967" t="inlineStr">
        <is>
          <t>AA</t>
        </is>
      </c>
      <c r="K4967" t="inlineStr">
        <is>
          <t>Answering Machine Autodial</t>
        </is>
      </c>
      <c r="L4967" t="n">
        <v>2</v>
      </c>
      <c r="M4967" t="inlineStr">
        <is>
          <t>2026-06-22 13:21:06</t>
        </is>
      </c>
      <c r="N4967" t="inlineStr">
        <is>
          <t>system</t>
        </is>
      </c>
      <c r="O4967" t="inlineStr">
        <is>
          <t>2026-06-19 07:10:32</t>
        </is>
      </c>
      <c r="P4967" t="inlineStr">
        <is>
          <t>2026-06-19 07:10:32</t>
        </is>
      </c>
      <c r="Y4967" t="inlineStr">
        <is>
          <t>27793691596</t>
        </is>
      </c>
    </row>
    <row r="4968">
      <c r="A4968" t="inlineStr">
        <is>
          <t>14947512</t>
        </is>
      </c>
      <c r="B4968" t="inlineStr">
        <is>
          <t>53712454-8205-44b3-a7ea-f2da5c540a58</t>
        </is>
      </c>
      <c r="D4968" t="inlineStr">
        <is>
          <t>30001087</t>
        </is>
      </c>
      <c r="E4968" t="inlineStr">
        <is>
          <t>ussd_funeral_leads_altitude_20260619</t>
        </is>
      </c>
      <c r="J4968" t="inlineStr">
        <is>
          <t>TDN</t>
        </is>
      </c>
      <c r="K4968" t="inlineStr">
        <is>
          <t>Temporary Disconnected Number</t>
        </is>
      </c>
      <c r="L4968" t="n">
        <v>2</v>
      </c>
      <c r="M4968" t="inlineStr">
        <is>
          <t>2026-06-22 13:20:56</t>
        </is>
      </c>
      <c r="N4968" t="inlineStr">
        <is>
          <t>system</t>
        </is>
      </c>
      <c r="O4968" t="inlineStr">
        <is>
          <t>2026-06-19 07:10:32</t>
        </is>
      </c>
      <c r="P4968" t="inlineStr">
        <is>
          <t>2026-06-19 07:10:32</t>
        </is>
      </c>
      <c r="Y4968" t="inlineStr">
        <is>
          <t>27720578518</t>
        </is>
      </c>
    </row>
    <row r="4969">
      <c r="A4969" t="inlineStr">
        <is>
          <t>14947513</t>
        </is>
      </c>
      <c r="B4969" t="inlineStr">
        <is>
          <t>9b25adcb-2575-4813-b3fa-da17ae72bfc8</t>
        </is>
      </c>
      <c r="D4969" t="inlineStr">
        <is>
          <t>30001087</t>
        </is>
      </c>
      <c r="E4969" t="inlineStr">
        <is>
          <t>ussd_funeral_leads_altitude_20260619</t>
        </is>
      </c>
      <c r="J4969" t="inlineStr">
        <is>
          <t>AF</t>
        </is>
      </c>
      <c r="K4969" t="inlineStr">
        <is>
          <t>Cannot Afford</t>
        </is>
      </c>
      <c r="L4969" t="n">
        <v>2</v>
      </c>
      <c r="M4969" t="inlineStr">
        <is>
          <t>2026-06-22 13:20:55</t>
        </is>
      </c>
      <c r="N4969" t="inlineStr">
        <is>
          <t>Virginia Letsatsi</t>
        </is>
      </c>
      <c r="O4969" t="inlineStr">
        <is>
          <t>2026-06-19 07:10:32</t>
        </is>
      </c>
      <c r="P4969" t="inlineStr">
        <is>
          <t>2026-06-19 07:10:32</t>
        </is>
      </c>
      <c r="Y4969" t="inlineStr">
        <is>
          <t>27792373284</t>
        </is>
      </c>
    </row>
    <row r="4970">
      <c r="A4970" t="inlineStr">
        <is>
          <t>14900000</t>
        </is>
      </c>
      <c r="B4970" t="inlineStr">
        <is>
          <t>0e4561a4-9eae-4940-98bd-894c7793a889</t>
        </is>
      </c>
      <c r="D4970" t="inlineStr">
        <is>
          <t>30001087</t>
        </is>
      </c>
      <c r="E4970" t="inlineStr">
        <is>
          <t>ussd_funeral_leads_altitude_20260619</t>
        </is>
      </c>
      <c r="H4970" t="inlineStr">
        <is>
          <t>27824221667</t>
        </is>
      </c>
      <c r="J4970" t="inlineStr">
        <is>
          <t>CBACK</t>
        </is>
      </c>
      <c r="K4970" t="inlineStr">
        <is>
          <t>Callback</t>
        </is>
      </c>
      <c r="L4970" t="n">
        <v>2</v>
      </c>
      <c r="M4970" t="inlineStr">
        <is>
          <t>2026-06-22 13:20:55</t>
        </is>
      </c>
      <c r="N4970" t="inlineStr">
        <is>
          <t>Gontse Monageng</t>
        </is>
      </c>
      <c r="O4970" t="inlineStr">
        <is>
          <t>2026-06-19 07:10:32</t>
        </is>
      </c>
      <c r="P4970" t="inlineStr">
        <is>
          <t>2026-06-19 07:10:32</t>
        </is>
      </c>
      <c r="Y4970" t="inlineStr">
        <is>
          <t>27824221667</t>
        </is>
      </c>
    </row>
    <row r="4971">
      <c r="A4971" t="inlineStr">
        <is>
          <t>14943250</t>
        </is>
      </c>
      <c r="B4971" t="inlineStr">
        <is>
          <t>ca4d30c2-de70-414c-9cd3-d19f0699c183</t>
        </is>
      </c>
      <c r="D4971" t="inlineStr">
        <is>
          <t>30001087</t>
        </is>
      </c>
      <c r="E4971" t="inlineStr">
        <is>
          <t>ussd_funeral_leads_altitude_20260619</t>
        </is>
      </c>
      <c r="J4971" t="inlineStr">
        <is>
          <t>AA</t>
        </is>
      </c>
      <c r="K4971" t="inlineStr">
        <is>
          <t>Answering Machine Autodial</t>
        </is>
      </c>
      <c r="L4971" t="n">
        <v>2</v>
      </c>
      <c r="M4971" t="inlineStr">
        <is>
          <t>2026-06-22 13:20:43</t>
        </is>
      </c>
      <c r="N4971" t="inlineStr">
        <is>
          <t>system</t>
        </is>
      </c>
      <c r="O4971" t="inlineStr">
        <is>
          <t>2026-06-19 07:10:32</t>
        </is>
      </c>
      <c r="P4971" t="inlineStr">
        <is>
          <t>2026-06-19 07:10:32</t>
        </is>
      </c>
      <c r="Y4971" t="inlineStr">
        <is>
          <t>27664370221</t>
        </is>
      </c>
    </row>
    <row r="4972">
      <c r="A4972" t="inlineStr">
        <is>
          <t>14943247</t>
        </is>
      </c>
      <c r="B4972" t="inlineStr">
        <is>
          <t>76b48f8e-de35-4274-9c38-23cae440d74f</t>
        </is>
      </c>
      <c r="D4972" t="inlineStr">
        <is>
          <t>30001087</t>
        </is>
      </c>
      <c r="E4972" t="inlineStr">
        <is>
          <t>ussd_funeral_leads_altitude_20260619</t>
        </is>
      </c>
      <c r="J4972" t="inlineStr">
        <is>
          <t>AA</t>
        </is>
      </c>
      <c r="K4972" t="inlineStr">
        <is>
          <t>Answering Machine Autodial</t>
        </is>
      </c>
      <c r="L4972" t="n">
        <v>2</v>
      </c>
      <c r="M4972" t="inlineStr">
        <is>
          <t>2026-06-22 13:20:39</t>
        </is>
      </c>
      <c r="N4972" t="inlineStr">
        <is>
          <t>system</t>
        </is>
      </c>
      <c r="O4972" t="inlineStr">
        <is>
          <t>2026-06-19 07:10:32</t>
        </is>
      </c>
      <c r="P4972" t="inlineStr">
        <is>
          <t>2026-06-19 07:10:32</t>
        </is>
      </c>
      <c r="Y4972" t="inlineStr">
        <is>
          <t>27713889362</t>
        </is>
      </c>
    </row>
    <row r="4973">
      <c r="A4973" t="inlineStr">
        <is>
          <t>14943248</t>
        </is>
      </c>
      <c r="B4973" t="inlineStr">
        <is>
          <t>ce1f68ed-267c-418e-84fa-fbece075100b</t>
        </is>
      </c>
      <c r="D4973" t="inlineStr">
        <is>
          <t>30001087</t>
        </is>
      </c>
      <c r="E4973" t="inlineStr">
        <is>
          <t>ussd_funeral_leads_altitude_20260619</t>
        </is>
      </c>
      <c r="J4973" t="inlineStr">
        <is>
          <t>NA</t>
        </is>
      </c>
      <c r="K4973" t="inlineStr">
        <is>
          <t>No Answer Autodial</t>
        </is>
      </c>
      <c r="L4973" t="n">
        <v>2</v>
      </c>
      <c r="M4973" t="inlineStr">
        <is>
          <t>2026-06-22 13:20:39</t>
        </is>
      </c>
      <c r="N4973" t="inlineStr">
        <is>
          <t>system</t>
        </is>
      </c>
      <c r="O4973" t="inlineStr">
        <is>
          <t>2026-06-19 07:10:32</t>
        </is>
      </c>
      <c r="P4973" t="inlineStr">
        <is>
          <t>2026-06-19 07:10:32</t>
        </is>
      </c>
      <c r="Y4973" t="inlineStr">
        <is>
          <t>27725151892</t>
        </is>
      </c>
    </row>
    <row r="4974">
      <c r="A4974" t="inlineStr">
        <is>
          <t>14943246</t>
        </is>
      </c>
      <c r="B4974" t="inlineStr">
        <is>
          <t>192aeb4c-3d49-4a54-a331-1f1bd1d09d21</t>
        </is>
      </c>
      <c r="D4974" t="inlineStr">
        <is>
          <t>30001087</t>
        </is>
      </c>
      <c r="E4974" t="inlineStr">
        <is>
          <t>ussd_funeral_leads_altitude_20260619</t>
        </is>
      </c>
      <c r="J4974" t="inlineStr">
        <is>
          <t>AA</t>
        </is>
      </c>
      <c r="K4974" t="inlineStr">
        <is>
          <t>Answering Machine Autodial</t>
        </is>
      </c>
      <c r="L4974" t="n">
        <v>2</v>
      </c>
      <c r="M4974" t="inlineStr">
        <is>
          <t>2026-06-22 13:20:37</t>
        </is>
      </c>
      <c r="N4974" t="inlineStr">
        <is>
          <t>system</t>
        </is>
      </c>
      <c r="O4974" t="inlineStr">
        <is>
          <t>2026-06-19 07:10:32</t>
        </is>
      </c>
      <c r="P4974" t="inlineStr">
        <is>
          <t>2026-06-19 07:10:32</t>
        </is>
      </c>
      <c r="Y4974" t="inlineStr">
        <is>
          <t>27725544961</t>
        </is>
      </c>
    </row>
    <row r="4975">
      <c r="A4975" t="inlineStr">
        <is>
          <t>14943244</t>
        </is>
      </c>
      <c r="B4975" t="inlineStr">
        <is>
          <t>69ad3c84-43e5-428e-ba3a-b3acffbf1e19</t>
        </is>
      </c>
      <c r="D4975" t="inlineStr">
        <is>
          <t>30001087</t>
        </is>
      </c>
      <c r="E4975" t="inlineStr">
        <is>
          <t>ussd_funeral_leads_altitude_20260619</t>
        </is>
      </c>
      <c r="J4975" t="inlineStr">
        <is>
          <t>TDN</t>
        </is>
      </c>
      <c r="K4975" t="inlineStr">
        <is>
          <t>Temporary Disconnected Number</t>
        </is>
      </c>
      <c r="L4975" t="n">
        <v>2</v>
      </c>
      <c r="M4975" t="inlineStr">
        <is>
          <t>2026-06-22 13:20:35</t>
        </is>
      </c>
      <c r="N4975" t="inlineStr">
        <is>
          <t>system</t>
        </is>
      </c>
      <c r="O4975" t="inlineStr">
        <is>
          <t>2026-06-19 07:10:32</t>
        </is>
      </c>
      <c r="P4975" t="inlineStr">
        <is>
          <t>2026-06-19 07:10:32</t>
        </is>
      </c>
      <c r="Y4975" t="inlineStr">
        <is>
          <t>27715004928</t>
        </is>
      </c>
    </row>
    <row r="4976">
      <c r="A4976" t="inlineStr">
        <is>
          <t>14943241</t>
        </is>
      </c>
      <c r="B4976" t="inlineStr">
        <is>
          <t>3ee18b19-2f1b-46cf-b19d-c80a6ad41415</t>
        </is>
      </c>
      <c r="D4976" t="inlineStr">
        <is>
          <t>30001087</t>
        </is>
      </c>
      <c r="E4976" t="inlineStr">
        <is>
          <t>ussd_funeral_leads_altitude_20260619</t>
        </is>
      </c>
      <c r="J4976" t="inlineStr">
        <is>
          <t>ADC</t>
        </is>
      </c>
      <c r="K4976" t="inlineStr">
        <is>
          <t>Auto Dial Disconnected</t>
        </is>
      </c>
      <c r="L4976" t="n">
        <v>2</v>
      </c>
      <c r="M4976" t="inlineStr">
        <is>
          <t>2026-06-22 13:20:34</t>
        </is>
      </c>
      <c r="N4976" t="inlineStr">
        <is>
          <t>system</t>
        </is>
      </c>
      <c r="O4976" t="inlineStr">
        <is>
          <t>2026-06-19 07:10:32</t>
        </is>
      </c>
      <c r="P4976" t="inlineStr">
        <is>
          <t>2026-06-19 07:10:32</t>
        </is>
      </c>
      <c r="Y4976" t="inlineStr">
        <is>
          <t>27818492629</t>
        </is>
      </c>
    </row>
    <row r="4977">
      <c r="A4977" t="inlineStr">
        <is>
          <t>14943242</t>
        </is>
      </c>
      <c r="B4977" t="inlineStr">
        <is>
          <t>79504349-1056-4db0-9b5e-f5d3c1bcebec</t>
        </is>
      </c>
      <c r="D4977" t="inlineStr">
        <is>
          <t>30001087</t>
        </is>
      </c>
      <c r="E4977" t="inlineStr">
        <is>
          <t>ussd_funeral_leads_altitude_20260619</t>
        </is>
      </c>
      <c r="J4977" t="inlineStr">
        <is>
          <t>AE</t>
        </is>
      </c>
      <c r="K4977" t="inlineStr">
        <is>
          <t>Auto Engaged</t>
        </is>
      </c>
      <c r="L4977" t="n">
        <v>2</v>
      </c>
      <c r="M4977" t="inlineStr">
        <is>
          <t>2026-06-22 13:20:34</t>
        </is>
      </c>
      <c r="N4977" t="inlineStr">
        <is>
          <t>system</t>
        </is>
      </c>
      <c r="O4977" t="inlineStr">
        <is>
          <t>2026-06-19 07:10:32</t>
        </is>
      </c>
      <c r="P4977" t="inlineStr">
        <is>
          <t>2026-06-19 07:10:32</t>
        </is>
      </c>
      <c r="Y4977" t="inlineStr">
        <is>
          <t>27649083628</t>
        </is>
      </c>
    </row>
    <row r="4978">
      <c r="A4978" t="inlineStr">
        <is>
          <t>14943243</t>
        </is>
      </c>
      <c r="B4978" t="inlineStr">
        <is>
          <t>8e186ee0-4f49-42bf-a5d5-361740fab095</t>
        </is>
      </c>
      <c r="D4978" t="inlineStr">
        <is>
          <t>30001087</t>
        </is>
      </c>
      <c r="E4978" t="inlineStr">
        <is>
          <t>ussd_funeral_leads_altitude_20260619</t>
        </is>
      </c>
      <c r="J4978" t="inlineStr">
        <is>
          <t>AA</t>
        </is>
      </c>
      <c r="K4978" t="inlineStr">
        <is>
          <t>Answering Machine Autodial</t>
        </is>
      </c>
      <c r="L4978" t="n">
        <v>2</v>
      </c>
      <c r="M4978" t="inlineStr">
        <is>
          <t>2026-06-22 13:20:34</t>
        </is>
      </c>
      <c r="N4978" t="inlineStr">
        <is>
          <t>system</t>
        </is>
      </c>
      <c r="O4978" t="inlineStr">
        <is>
          <t>2026-06-19 07:10:32</t>
        </is>
      </c>
      <c r="P4978" t="inlineStr">
        <is>
          <t>2026-06-19 07:10:32</t>
        </is>
      </c>
      <c r="Y4978" t="inlineStr">
        <is>
          <t>27673489625</t>
        </is>
      </c>
    </row>
    <row r="4979">
      <c r="A4979" t="inlineStr">
        <is>
          <t>14943240</t>
        </is>
      </c>
      <c r="B4979" t="inlineStr">
        <is>
          <t>838747c9-a3c9-4dfe-9079-784ff822031b</t>
        </is>
      </c>
      <c r="D4979" t="inlineStr">
        <is>
          <t>30001087</t>
        </is>
      </c>
      <c r="E4979" t="inlineStr">
        <is>
          <t>ussd_funeral_leads_altitude_20260619</t>
        </is>
      </c>
      <c r="J4979" t="inlineStr">
        <is>
          <t>NA</t>
        </is>
      </c>
      <c r="K4979" t="inlineStr">
        <is>
          <t>No Answer Autodial</t>
        </is>
      </c>
      <c r="L4979" t="n">
        <v>2</v>
      </c>
      <c r="M4979" t="inlineStr">
        <is>
          <t>2026-06-22 13:20:30</t>
        </is>
      </c>
      <c r="N4979" t="inlineStr">
        <is>
          <t>system</t>
        </is>
      </c>
      <c r="O4979" t="inlineStr">
        <is>
          <t>2026-06-19 07:10:32</t>
        </is>
      </c>
      <c r="P4979" t="inlineStr">
        <is>
          <t>2026-06-19 07:10:32</t>
        </is>
      </c>
      <c r="Y4979" t="inlineStr">
        <is>
          <t>27607328431</t>
        </is>
      </c>
    </row>
    <row r="4980">
      <c r="A4980" t="inlineStr">
        <is>
          <t>14943237</t>
        </is>
      </c>
      <c r="B4980" t="inlineStr">
        <is>
          <t>d935b372-017d-4f8d-8eeb-2128c13dc5e6</t>
        </is>
      </c>
      <c r="D4980" t="inlineStr">
        <is>
          <t>30001087</t>
        </is>
      </c>
      <c r="E4980" t="inlineStr">
        <is>
          <t>ussd_funeral_leads_altitude_20260619</t>
        </is>
      </c>
      <c r="J4980" t="inlineStr">
        <is>
          <t>ADC</t>
        </is>
      </c>
      <c r="K4980" t="inlineStr">
        <is>
          <t>Auto Dial Disconnected</t>
        </is>
      </c>
      <c r="L4980" t="n">
        <v>2</v>
      </c>
      <c r="M4980" t="inlineStr">
        <is>
          <t>2026-06-22 13:20:29</t>
        </is>
      </c>
      <c r="N4980" t="inlineStr">
        <is>
          <t>system</t>
        </is>
      </c>
      <c r="O4980" t="inlineStr">
        <is>
          <t>2026-06-19 07:10:32</t>
        </is>
      </c>
      <c r="P4980" t="inlineStr">
        <is>
          <t>2026-06-19 07:10:32</t>
        </is>
      </c>
      <c r="Y4980" t="inlineStr">
        <is>
          <t>27767120773</t>
        </is>
      </c>
    </row>
    <row r="4981">
      <c r="A4981" t="inlineStr">
        <is>
          <t>14943238</t>
        </is>
      </c>
      <c r="B4981" t="inlineStr">
        <is>
          <t>6d26605c-b650-4d0a-9ebf-befa05eaa887</t>
        </is>
      </c>
      <c r="D4981" t="inlineStr">
        <is>
          <t>30001087</t>
        </is>
      </c>
      <c r="E4981" t="inlineStr">
        <is>
          <t>ussd_funeral_leads_altitude_20260619</t>
        </is>
      </c>
      <c r="J4981" t="inlineStr">
        <is>
          <t>AA</t>
        </is>
      </c>
      <c r="K4981" t="inlineStr">
        <is>
          <t>Answering Machine Autodial</t>
        </is>
      </c>
      <c r="L4981" t="n">
        <v>2</v>
      </c>
      <c r="M4981" t="inlineStr">
        <is>
          <t>2026-06-22 13:20:29</t>
        </is>
      </c>
      <c r="N4981" t="inlineStr">
        <is>
          <t>system</t>
        </is>
      </c>
      <c r="O4981" t="inlineStr">
        <is>
          <t>2026-06-19 07:10:32</t>
        </is>
      </c>
      <c r="P4981" t="inlineStr">
        <is>
          <t>2026-06-19 07:10:32</t>
        </is>
      </c>
      <c r="Y4981" t="inlineStr">
        <is>
          <t>27762870944</t>
        </is>
      </c>
    </row>
    <row r="4982">
      <c r="A4982" t="inlineStr">
        <is>
          <t>14943239</t>
        </is>
      </c>
      <c r="B4982" t="inlineStr">
        <is>
          <t>9ab30f1a-1473-4ebc-b281-84927e36ddaf</t>
        </is>
      </c>
      <c r="D4982" t="inlineStr">
        <is>
          <t>30001087</t>
        </is>
      </c>
      <c r="E4982" t="inlineStr">
        <is>
          <t>ussd_funeral_leads_altitude_20260619</t>
        </is>
      </c>
      <c r="J4982" t="inlineStr">
        <is>
          <t>AA</t>
        </is>
      </c>
      <c r="K4982" t="inlineStr">
        <is>
          <t>Answering Machine Autodial</t>
        </is>
      </c>
      <c r="L4982" t="n">
        <v>2</v>
      </c>
      <c r="M4982" t="inlineStr">
        <is>
          <t>2026-06-22 13:20:29</t>
        </is>
      </c>
      <c r="N4982" t="inlineStr">
        <is>
          <t>system</t>
        </is>
      </c>
      <c r="O4982" t="inlineStr">
        <is>
          <t>2026-06-19 07:10:32</t>
        </is>
      </c>
      <c r="P4982" t="inlineStr">
        <is>
          <t>2026-06-19 07:10:32</t>
        </is>
      </c>
      <c r="Y4982" t="inlineStr">
        <is>
          <t>27606009253</t>
        </is>
      </c>
    </row>
    <row r="4983">
      <c r="A4983" t="inlineStr">
        <is>
          <t>14943236</t>
        </is>
      </c>
      <c r="B4983" t="inlineStr">
        <is>
          <t>672e29f4-35a5-4a89-b877-fa6d5ab04feb</t>
        </is>
      </c>
      <c r="D4983" t="inlineStr">
        <is>
          <t>30001087</t>
        </is>
      </c>
      <c r="E4983" t="inlineStr">
        <is>
          <t>ussd_funeral_leads_altitude_20260619</t>
        </is>
      </c>
      <c r="J4983" t="inlineStr">
        <is>
          <t>AA</t>
        </is>
      </c>
      <c r="K4983" t="inlineStr">
        <is>
          <t>Answering Machine Autodial</t>
        </is>
      </c>
      <c r="L4983" t="n">
        <v>2</v>
      </c>
      <c r="M4983" t="inlineStr">
        <is>
          <t>2026-06-22 13:20:28</t>
        </is>
      </c>
      <c r="N4983" t="inlineStr">
        <is>
          <t>system</t>
        </is>
      </c>
      <c r="O4983" t="inlineStr">
        <is>
          <t>2026-06-19 07:10:32</t>
        </is>
      </c>
      <c r="P4983" t="inlineStr">
        <is>
          <t>2026-06-19 07:10:32</t>
        </is>
      </c>
      <c r="Y4983" t="inlineStr">
        <is>
          <t>27765845814</t>
        </is>
      </c>
    </row>
    <row r="4984">
      <c r="A4984" t="inlineStr">
        <is>
          <t>14947514</t>
        </is>
      </c>
      <c r="B4984" t="inlineStr">
        <is>
          <t>d3cb1538-46b6-4a56-adc7-04c14085e16c</t>
        </is>
      </c>
      <c r="D4984" t="inlineStr">
        <is>
          <t>30001087</t>
        </is>
      </c>
      <c r="E4984" t="inlineStr">
        <is>
          <t>ussd_funeral_leads_altitude_20260619</t>
        </is>
      </c>
      <c r="J4984" t="inlineStr">
        <is>
          <t>AA</t>
        </is>
      </c>
      <c r="K4984" t="inlineStr">
        <is>
          <t>Answering Machine Autodial</t>
        </is>
      </c>
      <c r="L4984" t="n">
        <v>2</v>
      </c>
      <c r="M4984" t="inlineStr">
        <is>
          <t>2026-06-22 13:17:06</t>
        </is>
      </c>
      <c r="N4984" t="inlineStr">
        <is>
          <t>system</t>
        </is>
      </c>
      <c r="O4984" t="inlineStr">
        <is>
          <t>2026-06-19 07:10:32</t>
        </is>
      </c>
      <c r="P4984" t="inlineStr">
        <is>
          <t>2026-06-19 07:10:32</t>
        </is>
      </c>
      <c r="Y4984" t="inlineStr">
        <is>
          <t>27660279927</t>
        </is>
      </c>
    </row>
    <row r="4985">
      <c r="A4985" t="inlineStr">
        <is>
          <t>14947515</t>
        </is>
      </c>
      <c r="B4985" t="inlineStr">
        <is>
          <t>d459d833-3434-4330-a939-2e09bd9b3649</t>
        </is>
      </c>
      <c r="D4985" t="inlineStr">
        <is>
          <t>30001087</t>
        </is>
      </c>
      <c r="E4985" t="inlineStr">
        <is>
          <t>ussd_funeral_leads_altitude_20260619</t>
        </is>
      </c>
      <c r="J4985" t="inlineStr">
        <is>
          <t>NA</t>
        </is>
      </c>
      <c r="K4985" t="inlineStr">
        <is>
          <t>No Answer Autodial</t>
        </is>
      </c>
      <c r="L4985" t="n">
        <v>2</v>
      </c>
      <c r="M4985" t="inlineStr">
        <is>
          <t>2026-06-22 13:17:05</t>
        </is>
      </c>
      <c r="N4985" t="inlineStr">
        <is>
          <t>system</t>
        </is>
      </c>
      <c r="O4985" t="inlineStr">
        <is>
          <t>2026-06-19 07:10:32</t>
        </is>
      </c>
      <c r="P4985" t="inlineStr">
        <is>
          <t>2026-06-19 07:10:32</t>
        </is>
      </c>
      <c r="Y4985" t="inlineStr">
        <is>
          <t>27795511381</t>
        </is>
      </c>
    </row>
    <row r="4986">
      <c r="A4986" t="inlineStr">
        <is>
          <t>14947521</t>
        </is>
      </c>
      <c r="B4986" t="inlineStr">
        <is>
          <t>f97fb1c7-873e-4d86-ab11-1e77d0932e6a</t>
        </is>
      </c>
      <c r="D4986" t="inlineStr">
        <is>
          <t>30001087</t>
        </is>
      </c>
      <c r="E4986" t="inlineStr">
        <is>
          <t>ussd_funeral_leads_altitude_20260619</t>
        </is>
      </c>
      <c r="J4986" t="inlineStr">
        <is>
          <t>AA</t>
        </is>
      </c>
      <c r="K4986" t="inlineStr">
        <is>
          <t>Answering Machine Autodial</t>
        </is>
      </c>
      <c r="L4986" t="n">
        <v>2</v>
      </c>
      <c r="M4986" t="inlineStr">
        <is>
          <t>2026-06-22 13:17:00</t>
        </is>
      </c>
      <c r="N4986" t="inlineStr">
        <is>
          <t>system</t>
        </is>
      </c>
      <c r="O4986" t="inlineStr">
        <is>
          <t>2026-06-19 07:10:32</t>
        </is>
      </c>
      <c r="P4986" t="inlineStr">
        <is>
          <t>2026-06-19 07:10:32</t>
        </is>
      </c>
      <c r="Y4986" t="inlineStr">
        <is>
          <t>27799632871</t>
        </is>
      </c>
    </row>
    <row r="4987">
      <c r="A4987" t="inlineStr">
        <is>
          <t>14947516</t>
        </is>
      </c>
      <c r="B4987" t="inlineStr">
        <is>
          <t>46b458a0-2b4b-481c-b3f7-e2929b92c0b5</t>
        </is>
      </c>
      <c r="D4987" t="inlineStr">
        <is>
          <t>30001087</t>
        </is>
      </c>
      <c r="E4987" t="inlineStr">
        <is>
          <t>ussd_funeral_leads_altitude_20260619</t>
        </is>
      </c>
      <c r="J4987" t="inlineStr">
        <is>
          <t>DROP</t>
        </is>
      </c>
      <c r="K4987" t="inlineStr">
        <is>
          <t>Dropped</t>
        </is>
      </c>
      <c r="L4987" t="n">
        <v>2</v>
      </c>
      <c r="M4987" t="inlineStr">
        <is>
          <t>2026-06-22 13:16:59</t>
        </is>
      </c>
      <c r="N4987" t="inlineStr">
        <is>
          <t>system</t>
        </is>
      </c>
      <c r="O4987" t="inlineStr">
        <is>
          <t>2026-06-19 07:10:32</t>
        </is>
      </c>
      <c r="P4987" t="inlineStr">
        <is>
          <t>2026-06-19 07:10:32</t>
        </is>
      </c>
      <c r="Y4987" t="inlineStr">
        <is>
          <t>27798295445</t>
        </is>
      </c>
    </row>
    <row r="4988">
      <c r="A4988" t="inlineStr">
        <is>
          <t>14947518</t>
        </is>
      </c>
      <c r="B4988" t="inlineStr">
        <is>
          <t>437b1b2e-91f3-420c-902d-5d083defbc48</t>
        </is>
      </c>
      <c r="D4988" t="inlineStr">
        <is>
          <t>30001087</t>
        </is>
      </c>
      <c r="E4988" t="inlineStr">
        <is>
          <t>ussd_funeral_leads_altitude_20260619</t>
        </is>
      </c>
      <c r="J4988" t="inlineStr">
        <is>
          <t>ADC</t>
        </is>
      </c>
      <c r="K4988" t="inlineStr">
        <is>
          <t>Auto Dial Disconnected</t>
        </is>
      </c>
      <c r="L4988" t="n">
        <v>2</v>
      </c>
      <c r="M4988" t="inlineStr">
        <is>
          <t>2026-06-22 13:16:59</t>
        </is>
      </c>
      <c r="N4988" t="inlineStr">
        <is>
          <t>system</t>
        </is>
      </c>
      <c r="O4988" t="inlineStr">
        <is>
          <t>2026-06-19 07:10:32</t>
        </is>
      </c>
      <c r="P4988" t="inlineStr">
        <is>
          <t>2026-06-19 07:10:32</t>
        </is>
      </c>
      <c r="Y4988" t="inlineStr">
        <is>
          <t>27609286655</t>
        </is>
      </c>
    </row>
    <row r="4989">
      <c r="A4989" t="inlineStr">
        <is>
          <t>14947522</t>
        </is>
      </c>
      <c r="B4989" t="inlineStr">
        <is>
          <t>7cda00fe-d820-4599-913f-7ce16e898b56</t>
        </is>
      </c>
      <c r="D4989" t="inlineStr">
        <is>
          <t>30001087</t>
        </is>
      </c>
      <c r="E4989" t="inlineStr">
        <is>
          <t>ussd_funeral_leads_altitude_20260619</t>
        </is>
      </c>
      <c r="J4989" t="inlineStr">
        <is>
          <t>AA</t>
        </is>
      </c>
      <c r="K4989" t="inlineStr">
        <is>
          <t>Answering Machine Autodial</t>
        </is>
      </c>
      <c r="L4989" t="n">
        <v>2</v>
      </c>
      <c r="M4989" t="inlineStr">
        <is>
          <t>2026-06-22 13:16:54</t>
        </is>
      </c>
      <c r="N4989" t="inlineStr">
        <is>
          <t>system</t>
        </is>
      </c>
      <c r="O4989" t="inlineStr">
        <is>
          <t>2026-06-19 07:10:32</t>
        </is>
      </c>
      <c r="P4989" t="inlineStr">
        <is>
          <t>2026-06-19 07:10:32</t>
        </is>
      </c>
      <c r="Y4989" t="inlineStr">
        <is>
          <t>27769844310</t>
        </is>
      </c>
    </row>
    <row r="4990">
      <c r="A4990" t="inlineStr">
        <is>
          <t>14947523</t>
        </is>
      </c>
      <c r="B4990" t="inlineStr">
        <is>
          <t>06657715-89f5-4bdd-b27a-5e641a2b4b52</t>
        </is>
      </c>
      <c r="D4990" t="inlineStr">
        <is>
          <t>30001087</t>
        </is>
      </c>
      <c r="E4990" t="inlineStr">
        <is>
          <t>ussd_funeral_leads_altitude_20260619</t>
        </is>
      </c>
      <c r="J4990" t="inlineStr">
        <is>
          <t>CU</t>
        </is>
      </c>
      <c r="K4990" t="inlineStr">
        <is>
          <t>Client Hung Up</t>
        </is>
      </c>
      <c r="L4990" t="n">
        <v>2</v>
      </c>
      <c r="M4990" t="inlineStr">
        <is>
          <t>2026-06-22 13:16:54</t>
        </is>
      </c>
      <c r="N4990" t="inlineStr">
        <is>
          <t>Gontse Monageng</t>
        </is>
      </c>
      <c r="O4990" t="inlineStr">
        <is>
          <t>2026-06-19 07:10:32</t>
        </is>
      </c>
      <c r="P4990" t="inlineStr">
        <is>
          <t>2026-06-19 07:10:32</t>
        </is>
      </c>
      <c r="Y4990" t="inlineStr">
        <is>
          <t>27820718699</t>
        </is>
      </c>
    </row>
    <row r="4991">
      <c r="A4991" t="inlineStr">
        <is>
          <t>14947524</t>
        </is>
      </c>
      <c r="B4991" t="inlineStr">
        <is>
          <t>831430cd-f4f0-4aef-b252-90569bcc4bb6</t>
        </is>
      </c>
      <c r="D4991" t="inlineStr">
        <is>
          <t>30001087</t>
        </is>
      </c>
      <c r="E4991" t="inlineStr">
        <is>
          <t>ussd_funeral_leads_altitude_20260619</t>
        </is>
      </c>
      <c r="J4991" t="inlineStr">
        <is>
          <t>AA</t>
        </is>
      </c>
      <c r="K4991" t="inlineStr">
        <is>
          <t>Answering Machine Autodial</t>
        </is>
      </c>
      <c r="L4991" t="n">
        <v>2</v>
      </c>
      <c r="M4991" t="inlineStr">
        <is>
          <t>2026-06-22 13:16:53</t>
        </is>
      </c>
      <c r="N4991" t="inlineStr">
        <is>
          <t>system</t>
        </is>
      </c>
      <c r="O4991" t="inlineStr">
        <is>
          <t>2026-06-19 07:10:32</t>
        </is>
      </c>
      <c r="P4991" t="inlineStr">
        <is>
          <t>2026-06-19 07:10:32</t>
        </is>
      </c>
      <c r="Y4991" t="inlineStr">
        <is>
          <t>27649647835</t>
        </is>
      </c>
    </row>
    <row r="4992">
      <c r="A4992" t="inlineStr">
        <is>
          <t>14947525</t>
        </is>
      </c>
      <c r="B4992" t="inlineStr">
        <is>
          <t>015ce87a-965d-4ef3-951a-4d5c870a5938</t>
        </is>
      </c>
      <c r="D4992" t="inlineStr">
        <is>
          <t>30001087</t>
        </is>
      </c>
      <c r="E4992" t="inlineStr">
        <is>
          <t>ussd_funeral_leads_altitude_20260619</t>
        </is>
      </c>
      <c r="J4992" t="inlineStr">
        <is>
          <t>ADC</t>
        </is>
      </c>
      <c r="K4992" t="inlineStr">
        <is>
          <t>Auto Dial Disconnected</t>
        </is>
      </c>
      <c r="L4992" t="n">
        <v>2</v>
      </c>
      <c r="M4992" t="inlineStr">
        <is>
          <t>2026-06-22 13:16:51</t>
        </is>
      </c>
      <c r="N4992" t="inlineStr">
        <is>
          <t>system</t>
        </is>
      </c>
      <c r="O4992" t="inlineStr">
        <is>
          <t>2026-06-19 07:10:32</t>
        </is>
      </c>
      <c r="P4992" t="inlineStr">
        <is>
          <t>2026-06-19 07:10:32</t>
        </is>
      </c>
      <c r="Y4992" t="inlineStr">
        <is>
          <t>27727754944</t>
        </is>
      </c>
    </row>
    <row r="4993">
      <c r="A4993" t="inlineStr">
        <is>
          <t>14947526</t>
        </is>
      </c>
      <c r="B4993" t="inlineStr">
        <is>
          <t>4a364561-b9ed-4e0e-8b57-7ceefe3a362c</t>
        </is>
      </c>
      <c r="D4993" t="inlineStr">
        <is>
          <t>30001087</t>
        </is>
      </c>
      <c r="E4993" t="inlineStr">
        <is>
          <t>ussd_funeral_leads_altitude_20260619</t>
        </is>
      </c>
      <c r="J4993" t="inlineStr">
        <is>
          <t>U</t>
        </is>
      </c>
      <c r="K4993" t="inlineStr">
        <is>
          <t>Unemployed</t>
        </is>
      </c>
      <c r="L4993" t="n">
        <v>2</v>
      </c>
      <c r="M4993" t="inlineStr">
        <is>
          <t>2026-06-22 13:16:49</t>
        </is>
      </c>
      <c r="N4993" t="inlineStr">
        <is>
          <t>Virginia Letsatsi</t>
        </is>
      </c>
      <c r="O4993" t="inlineStr">
        <is>
          <t>2026-06-19 07:10:32</t>
        </is>
      </c>
      <c r="P4993" t="inlineStr">
        <is>
          <t>2026-06-19 07:10:32</t>
        </is>
      </c>
      <c r="Y4993" t="inlineStr">
        <is>
          <t>27636561876</t>
        </is>
      </c>
    </row>
    <row r="4994">
      <c r="A4994" t="inlineStr">
        <is>
          <t>14947527</t>
        </is>
      </c>
      <c r="B4994" t="inlineStr">
        <is>
          <t>485543f9-2986-4c2a-bcbb-ed267ba876fd</t>
        </is>
      </c>
      <c r="D4994" t="inlineStr">
        <is>
          <t>30001087</t>
        </is>
      </c>
      <c r="E4994" t="inlineStr">
        <is>
          <t>ussd_funeral_leads_altitude_20260619</t>
        </is>
      </c>
      <c r="J4994" t="inlineStr">
        <is>
          <t>NA</t>
        </is>
      </c>
      <c r="K4994" t="inlineStr">
        <is>
          <t>No Answer Autodial</t>
        </is>
      </c>
      <c r="L4994" t="n">
        <v>2</v>
      </c>
      <c r="M4994" t="inlineStr">
        <is>
          <t>2026-06-22 13:16:48</t>
        </is>
      </c>
      <c r="N4994" t="inlineStr">
        <is>
          <t>system</t>
        </is>
      </c>
      <c r="O4994" t="inlineStr">
        <is>
          <t>2026-06-19 07:10:32</t>
        </is>
      </c>
      <c r="P4994" t="inlineStr">
        <is>
          <t>2026-06-19 07:10:32</t>
        </is>
      </c>
      <c r="Y4994" t="inlineStr">
        <is>
          <t>27765323999</t>
        </is>
      </c>
    </row>
    <row r="4995">
      <c r="A4995" t="inlineStr">
        <is>
          <t>14947528</t>
        </is>
      </c>
      <c r="B4995" t="inlineStr">
        <is>
          <t>b2ff3235-5db7-444f-a881-5246a05e77f1</t>
        </is>
      </c>
      <c r="D4995" t="inlineStr">
        <is>
          <t>30001087</t>
        </is>
      </c>
      <c r="E4995" t="inlineStr">
        <is>
          <t>ussd_funeral_leads_altitude_20260619</t>
        </is>
      </c>
      <c r="J4995" t="inlineStr">
        <is>
          <t>AA</t>
        </is>
      </c>
      <c r="K4995" t="inlineStr">
        <is>
          <t>Answering Machine Autodial</t>
        </is>
      </c>
      <c r="L4995" t="n">
        <v>2</v>
      </c>
      <c r="M4995" t="inlineStr">
        <is>
          <t>2026-06-22 13:16:46</t>
        </is>
      </c>
      <c r="N4995" t="inlineStr">
        <is>
          <t>system</t>
        </is>
      </c>
      <c r="O4995" t="inlineStr">
        <is>
          <t>2026-06-19 07:10:32</t>
        </is>
      </c>
      <c r="P4995" t="inlineStr">
        <is>
          <t>2026-06-19 07:10:32</t>
        </is>
      </c>
      <c r="Y4995" t="inlineStr">
        <is>
          <t>27792295488</t>
        </is>
      </c>
    </row>
    <row r="4996">
      <c r="A4996" t="inlineStr">
        <is>
          <t>14947529</t>
        </is>
      </c>
      <c r="B4996" t="inlineStr">
        <is>
          <t>414aaec3-e67b-47e8-84f2-7e425655eaf6</t>
        </is>
      </c>
      <c r="D4996" t="inlineStr">
        <is>
          <t>30001087</t>
        </is>
      </c>
      <c r="E4996" t="inlineStr">
        <is>
          <t>ussd_funeral_leads_altitude_20260619</t>
        </is>
      </c>
      <c r="J4996" t="inlineStr">
        <is>
          <t>AA</t>
        </is>
      </c>
      <c r="K4996" t="inlineStr">
        <is>
          <t>Answering Machine Autodial</t>
        </is>
      </c>
      <c r="L4996" t="n">
        <v>2</v>
      </c>
      <c r="M4996" t="inlineStr">
        <is>
          <t>2026-06-22 13:16:44</t>
        </is>
      </c>
      <c r="N4996" t="inlineStr">
        <is>
          <t>system</t>
        </is>
      </c>
      <c r="O4996" t="inlineStr">
        <is>
          <t>2026-06-19 07:10:32</t>
        </is>
      </c>
      <c r="P4996" t="inlineStr">
        <is>
          <t>2026-06-19 07:10:32</t>
        </is>
      </c>
      <c r="Y4996" t="inlineStr">
        <is>
          <t>27715738269</t>
        </is>
      </c>
    </row>
    <row r="4997">
      <c r="A4997" t="inlineStr">
        <is>
          <t>14947530</t>
        </is>
      </c>
      <c r="B4997" t="inlineStr">
        <is>
          <t>c70cb477-5fc0-4566-99be-471a8464f11d</t>
        </is>
      </c>
      <c r="D4997" t="inlineStr">
        <is>
          <t>30001087</t>
        </is>
      </c>
      <c r="E4997" t="inlineStr">
        <is>
          <t>ussd_funeral_leads_altitude_20260619</t>
        </is>
      </c>
      <c r="J4997" t="inlineStr">
        <is>
          <t>AA</t>
        </is>
      </c>
      <c r="K4997" t="inlineStr">
        <is>
          <t>Answering Machine Autodial</t>
        </is>
      </c>
      <c r="L4997" t="n">
        <v>2</v>
      </c>
      <c r="M4997" t="inlineStr">
        <is>
          <t>2026-06-22 13:16:43</t>
        </is>
      </c>
      <c r="N4997" t="inlineStr">
        <is>
          <t>system</t>
        </is>
      </c>
      <c r="O4997" t="inlineStr">
        <is>
          <t>2026-06-19 07:10:32</t>
        </is>
      </c>
      <c r="P4997" t="inlineStr">
        <is>
          <t>2026-06-19 07:10:32</t>
        </is>
      </c>
      <c r="Y4997" t="inlineStr">
        <is>
          <t>27608978382</t>
        </is>
      </c>
    </row>
    <row r="4998">
      <c r="A4998" t="inlineStr">
        <is>
          <t>14947531</t>
        </is>
      </c>
      <c r="B4998" t="inlineStr">
        <is>
          <t>d9419a06-012c-4f22-8edd-4a2cd758b3fc</t>
        </is>
      </c>
      <c r="D4998" t="inlineStr">
        <is>
          <t>30001087</t>
        </is>
      </c>
      <c r="E4998" t="inlineStr">
        <is>
          <t>ussd_funeral_leads_altitude_20260619</t>
        </is>
      </c>
      <c r="J4998" t="inlineStr">
        <is>
          <t>DROP</t>
        </is>
      </c>
      <c r="K4998" t="inlineStr">
        <is>
          <t>Dropped</t>
        </is>
      </c>
      <c r="L4998" t="n">
        <v>2</v>
      </c>
      <c r="M4998" t="inlineStr">
        <is>
          <t>2026-06-22 13:15:13</t>
        </is>
      </c>
      <c r="N4998" t="inlineStr">
        <is>
          <t>system</t>
        </is>
      </c>
      <c r="O4998" t="inlineStr">
        <is>
          <t>2026-06-19 07:10:32</t>
        </is>
      </c>
      <c r="P4998" t="inlineStr">
        <is>
          <t>2026-06-19 07:10:32</t>
        </is>
      </c>
      <c r="Y4998" t="inlineStr">
        <is>
          <t>27798595819</t>
        </is>
      </c>
    </row>
    <row r="4999">
      <c r="A4999" t="inlineStr">
        <is>
          <t>14947532</t>
        </is>
      </c>
      <c r="B4999" t="inlineStr">
        <is>
          <t>548310d2-f40c-4eb9-8ac2-a1775e01368d</t>
        </is>
      </c>
      <c r="D4999" t="inlineStr">
        <is>
          <t>30001087</t>
        </is>
      </c>
      <c r="E4999" t="inlineStr">
        <is>
          <t>ussd_funeral_leads_altitude_20260619</t>
        </is>
      </c>
      <c r="J4999" t="inlineStr">
        <is>
          <t>AA</t>
        </is>
      </c>
      <c r="K4999" t="inlineStr">
        <is>
          <t>Answering Machine Autodial</t>
        </is>
      </c>
      <c r="L4999" t="n">
        <v>2</v>
      </c>
      <c r="M4999" t="inlineStr">
        <is>
          <t>2026-06-22 13:15:07</t>
        </is>
      </c>
      <c r="N4999" t="inlineStr">
        <is>
          <t>system</t>
        </is>
      </c>
      <c r="O4999" t="inlineStr">
        <is>
          <t>2026-06-19 07:10:32</t>
        </is>
      </c>
      <c r="P4999" t="inlineStr">
        <is>
          <t>2026-06-19 07:10:32</t>
        </is>
      </c>
      <c r="Y4999" t="inlineStr">
        <is>
          <t>27673786565</t>
        </is>
      </c>
    </row>
    <row r="5000">
      <c r="A5000" t="inlineStr">
        <is>
          <t>14947533</t>
        </is>
      </c>
      <c r="B5000" t="inlineStr">
        <is>
          <t>68193a85-569f-41c7-8afc-841620cab28d</t>
        </is>
      </c>
      <c r="D5000" t="inlineStr">
        <is>
          <t>30001087</t>
        </is>
      </c>
      <c r="E5000" t="inlineStr">
        <is>
          <t>ussd_funeral_leads_altitude_20260619</t>
        </is>
      </c>
      <c r="J5000" t="inlineStr">
        <is>
          <t>AA</t>
        </is>
      </c>
      <c r="K5000" t="inlineStr">
        <is>
          <t>Answering Machine Autodial</t>
        </is>
      </c>
      <c r="L5000" t="n">
        <v>2</v>
      </c>
      <c r="M5000" t="inlineStr">
        <is>
          <t>2026-06-22 13:15:07</t>
        </is>
      </c>
      <c r="N5000" t="inlineStr">
        <is>
          <t>system</t>
        </is>
      </c>
      <c r="O5000" t="inlineStr">
        <is>
          <t>2026-06-19 07:10:32</t>
        </is>
      </c>
      <c r="P5000" t="inlineStr">
        <is>
          <t>2026-06-19 07:10:32</t>
        </is>
      </c>
      <c r="Y5000" t="inlineStr">
        <is>
          <t>27793152055</t>
        </is>
      </c>
    </row>
    <row r="5001">
      <c r="A5001" t="inlineStr">
        <is>
          <t>14947534</t>
        </is>
      </c>
      <c r="B5001" t="inlineStr">
        <is>
          <t>6a73005a-5870-46d4-a657-8513a1234c14</t>
        </is>
      </c>
      <c r="D5001" t="inlineStr">
        <is>
          <t>30001087</t>
        </is>
      </c>
      <c r="E5001" t="inlineStr">
        <is>
          <t>ussd_funeral_leads_altitude_20260619</t>
        </is>
      </c>
      <c r="J5001" t="inlineStr">
        <is>
          <t>DROP</t>
        </is>
      </c>
      <c r="K5001" t="inlineStr">
        <is>
          <t>Dropped</t>
        </is>
      </c>
      <c r="L5001" t="n">
        <v>2</v>
      </c>
      <c r="M5001" t="inlineStr">
        <is>
          <t>2026-06-22 13:15:04</t>
        </is>
      </c>
      <c r="N5001" t="inlineStr">
        <is>
          <t>system</t>
        </is>
      </c>
      <c r="O5001" t="inlineStr">
        <is>
          <t>2026-06-19 07:10:32</t>
        </is>
      </c>
      <c r="P5001" t="inlineStr">
        <is>
          <t>2026-06-19 07:10:32</t>
        </is>
      </c>
      <c r="Y5001" t="inlineStr">
        <is>
          <t>27607341780</t>
        </is>
      </c>
    </row>
    <row r="5002">
      <c r="A5002" t="inlineStr">
        <is>
          <t>14947535</t>
        </is>
      </c>
      <c r="B5002" t="inlineStr">
        <is>
          <t>8c7cad1c-80e9-4451-8592-28ec5fc7a41d</t>
        </is>
      </c>
      <c r="D5002" t="inlineStr">
        <is>
          <t>30001087</t>
        </is>
      </c>
      <c r="E5002" t="inlineStr">
        <is>
          <t>ussd_funeral_leads_altitude_20260619</t>
        </is>
      </c>
      <c r="J5002" t="inlineStr">
        <is>
          <t>AA</t>
        </is>
      </c>
      <c r="K5002" t="inlineStr">
        <is>
          <t>Answering Machine Autodial</t>
        </is>
      </c>
      <c r="L5002" t="n">
        <v>2</v>
      </c>
      <c r="M5002" t="inlineStr">
        <is>
          <t>2026-06-22 13:15:03</t>
        </is>
      </c>
      <c r="N5002" t="inlineStr">
        <is>
          <t>system</t>
        </is>
      </c>
      <c r="O5002" t="inlineStr">
        <is>
          <t>2026-06-19 07:10:32</t>
        </is>
      </c>
      <c r="P5002" t="inlineStr">
        <is>
          <t>2026-06-19 07:10:32</t>
        </is>
      </c>
      <c r="Y5002" t="inlineStr">
        <is>
          <t>27761007127</t>
        </is>
      </c>
    </row>
    <row r="5003">
      <c r="A5003" t="inlineStr">
        <is>
          <t>14947536</t>
        </is>
      </c>
      <c r="B5003" t="inlineStr">
        <is>
          <t>60c65c2e-6367-4235-aa29-4f1cdf2f12ce</t>
        </is>
      </c>
      <c r="D5003" t="inlineStr">
        <is>
          <t>30001087</t>
        </is>
      </c>
      <c r="E5003" t="inlineStr">
        <is>
          <t>ussd_funeral_leads_altitude_20260619</t>
        </is>
      </c>
      <c r="J5003" t="inlineStr">
        <is>
          <t>AA</t>
        </is>
      </c>
      <c r="K5003" t="inlineStr">
        <is>
          <t>Answering Machine Autodial</t>
        </is>
      </c>
      <c r="L5003" t="n">
        <v>2</v>
      </c>
      <c r="M5003" t="inlineStr">
        <is>
          <t>2026-06-22 13:14:59</t>
        </is>
      </c>
      <c r="N5003" t="inlineStr">
        <is>
          <t>system</t>
        </is>
      </c>
      <c r="O5003" t="inlineStr">
        <is>
          <t>2026-06-19 07:10:32</t>
        </is>
      </c>
      <c r="P5003" t="inlineStr">
        <is>
          <t>2026-06-19 07:10:32</t>
        </is>
      </c>
      <c r="Y5003" t="inlineStr">
        <is>
          <t>27729501426</t>
        </is>
      </c>
    </row>
    <row r="5004">
      <c r="A5004" t="inlineStr">
        <is>
          <t>14947537</t>
        </is>
      </c>
      <c r="B5004" t="inlineStr">
        <is>
          <t>751d5b81-a7d1-41e7-b121-04f54f1245c7</t>
        </is>
      </c>
      <c r="D5004" t="inlineStr">
        <is>
          <t>30001087</t>
        </is>
      </c>
      <c r="E5004" t="inlineStr">
        <is>
          <t>ussd_funeral_leads_altitude_20260619</t>
        </is>
      </c>
      <c r="J5004" t="inlineStr">
        <is>
          <t>AE</t>
        </is>
      </c>
      <c r="K5004" t="inlineStr">
        <is>
          <t>Auto Engaged</t>
        </is>
      </c>
      <c r="L5004" t="n">
        <v>2</v>
      </c>
      <c r="M5004" t="inlineStr">
        <is>
          <t>2026-06-22 13:14:04</t>
        </is>
      </c>
      <c r="N5004" t="inlineStr">
        <is>
          <t>system</t>
        </is>
      </c>
      <c r="O5004" t="inlineStr">
        <is>
          <t>2026-06-19 07:10:32</t>
        </is>
      </c>
      <c r="P5004" t="inlineStr">
        <is>
          <t>2026-06-19 07:10:32</t>
        </is>
      </c>
      <c r="Y5004" t="inlineStr">
        <is>
          <t>27722743691</t>
        </is>
      </c>
    </row>
    <row r="5005">
      <c r="A5005" t="inlineStr">
        <is>
          <t>14947538</t>
        </is>
      </c>
      <c r="B5005" t="inlineStr">
        <is>
          <t>7de20516-b78a-47db-898a-a547fa65196a</t>
        </is>
      </c>
      <c r="D5005" t="inlineStr">
        <is>
          <t>30001087</t>
        </is>
      </c>
      <c r="E5005" t="inlineStr">
        <is>
          <t>ussd_funeral_leads_altitude_20260619</t>
        </is>
      </c>
      <c r="J5005" t="inlineStr">
        <is>
          <t>ADC</t>
        </is>
      </c>
      <c r="K5005" t="inlineStr">
        <is>
          <t>Auto Dial Disconnected</t>
        </is>
      </c>
      <c r="L5005" t="n">
        <v>2</v>
      </c>
      <c r="M5005" t="inlineStr">
        <is>
          <t>2026-06-22 13:13:31</t>
        </is>
      </c>
      <c r="N5005" t="inlineStr">
        <is>
          <t>system</t>
        </is>
      </c>
      <c r="O5005" t="inlineStr">
        <is>
          <t>2026-06-19 07:10:32</t>
        </is>
      </c>
      <c r="P5005" t="inlineStr">
        <is>
          <t>2026-06-19 07:10:32</t>
        </is>
      </c>
      <c r="Y5005" t="inlineStr">
        <is>
          <t>27607021562</t>
        </is>
      </c>
    </row>
    <row r="5006">
      <c r="A5006" t="inlineStr">
        <is>
          <t>14947539</t>
        </is>
      </c>
      <c r="B5006" t="inlineStr">
        <is>
          <t>c23d0e93-2863-4d77-b281-586c4c828b19</t>
        </is>
      </c>
      <c r="D5006" t="inlineStr">
        <is>
          <t>30001087</t>
        </is>
      </c>
      <c r="E5006" t="inlineStr">
        <is>
          <t>ussd_funeral_leads_altitude_20260619</t>
        </is>
      </c>
      <c r="J5006" t="inlineStr">
        <is>
          <t>DROP</t>
        </is>
      </c>
      <c r="K5006" t="inlineStr">
        <is>
          <t>Dropped</t>
        </is>
      </c>
      <c r="L5006" t="n">
        <v>2</v>
      </c>
      <c r="M5006" t="inlineStr">
        <is>
          <t>2026-06-22 13:13:30</t>
        </is>
      </c>
      <c r="N5006" t="inlineStr">
        <is>
          <t>system</t>
        </is>
      </c>
      <c r="O5006" t="inlineStr">
        <is>
          <t>2026-06-19 07:10:32</t>
        </is>
      </c>
      <c r="P5006" t="inlineStr">
        <is>
          <t>2026-06-19 07:10:32</t>
        </is>
      </c>
      <c r="Y5006" t="inlineStr">
        <is>
          <t>27674409729</t>
        </is>
      </c>
    </row>
    <row r="5007">
      <c r="A5007" t="inlineStr">
        <is>
          <t>14943427</t>
        </is>
      </c>
      <c r="B5007" t="inlineStr">
        <is>
          <t>0c7566e5-a426-4718-831e-3fece7f6c2db</t>
        </is>
      </c>
      <c r="D5007" t="inlineStr">
        <is>
          <t>30001087</t>
        </is>
      </c>
      <c r="E5007" t="inlineStr">
        <is>
          <t>ussd_funeral_leads_altitude_20260619</t>
        </is>
      </c>
      <c r="J5007" t="inlineStr">
        <is>
          <t>NI</t>
        </is>
      </c>
      <c r="K5007" t="inlineStr">
        <is>
          <t>Not Interested</t>
        </is>
      </c>
      <c r="L5007" t="n">
        <v>2</v>
      </c>
      <c r="M5007" t="inlineStr">
        <is>
          <t>2026-06-22 13:13:25</t>
        </is>
      </c>
      <c r="N5007" t="inlineStr">
        <is>
          <t>Goitsimang Mogwasa</t>
        </is>
      </c>
      <c r="O5007" t="inlineStr">
        <is>
          <t>2026-06-19 07:10:32</t>
        </is>
      </c>
      <c r="P5007" t="inlineStr">
        <is>
          <t>2026-06-19 07:10:32</t>
        </is>
      </c>
      <c r="Y5007" t="inlineStr">
        <is>
          <t>27663046983</t>
        </is>
      </c>
    </row>
    <row r="5008">
      <c r="A5008" t="inlineStr">
        <is>
          <t>14947543</t>
        </is>
      </c>
      <c r="B5008" t="inlineStr">
        <is>
          <t>a42da002-c56a-447f-86f7-a11fd93516e0</t>
        </is>
      </c>
      <c r="D5008" t="inlineStr">
        <is>
          <t>30001087</t>
        </is>
      </c>
      <c r="E5008" t="inlineStr">
        <is>
          <t>ussd_funeral_leads_altitude_20260619</t>
        </is>
      </c>
      <c r="J5008" t="inlineStr">
        <is>
          <t>ADC</t>
        </is>
      </c>
      <c r="K5008" t="inlineStr">
        <is>
          <t>Auto Dial Disconnected</t>
        </is>
      </c>
      <c r="L5008" t="n">
        <v>2</v>
      </c>
      <c r="M5008" t="inlineStr">
        <is>
          <t>2026-06-22 13:13:24</t>
        </is>
      </c>
      <c r="N5008" t="inlineStr">
        <is>
          <t>system</t>
        </is>
      </c>
      <c r="O5008" t="inlineStr">
        <is>
          <t>2026-06-19 07:10:32</t>
        </is>
      </c>
      <c r="P5008" t="inlineStr">
        <is>
          <t>2026-06-19 07:10:32</t>
        </is>
      </c>
      <c r="Y5008" t="inlineStr">
        <is>
          <t>27729940001</t>
        </is>
      </c>
    </row>
    <row r="5009">
      <c r="A5009" t="inlineStr">
        <is>
          <t>14947719</t>
        </is>
      </c>
      <c r="B5009" t="inlineStr">
        <is>
          <t>e34dacf5-4907-476a-b083-5880d506fb3f</t>
        </is>
      </c>
      <c r="D5009" t="inlineStr">
        <is>
          <t>30001087</t>
        </is>
      </c>
      <c r="E5009" t="inlineStr">
        <is>
          <t>ussd_funeral_leads_altitude_20260619</t>
        </is>
      </c>
      <c r="J5009" t="inlineStr">
        <is>
          <t>ADC</t>
        </is>
      </c>
      <c r="K5009" t="inlineStr">
        <is>
          <t>Auto Dial Disconnected</t>
        </is>
      </c>
      <c r="L5009" t="n">
        <v>2</v>
      </c>
      <c r="M5009" t="inlineStr">
        <is>
          <t>2026-06-22 13:13:24</t>
        </is>
      </c>
      <c r="N5009" t="inlineStr">
        <is>
          <t>system</t>
        </is>
      </c>
      <c r="O5009" t="inlineStr">
        <is>
          <t>2026-06-19 07:10:32</t>
        </is>
      </c>
      <c r="P5009" t="inlineStr">
        <is>
          <t>2026-06-19 07:10:32</t>
        </is>
      </c>
      <c r="Y5009" t="inlineStr">
        <is>
          <t>27724059526</t>
        </is>
      </c>
    </row>
    <row r="5010">
      <c r="A5010" t="inlineStr">
        <is>
          <t>14943588</t>
        </is>
      </c>
      <c r="B5010" t="inlineStr">
        <is>
          <t>ff678abd-4a80-4ab2-be51-a61585cb7acc</t>
        </is>
      </c>
      <c r="D5010" t="inlineStr">
        <is>
          <t>30001087</t>
        </is>
      </c>
      <c r="E5010" t="inlineStr">
        <is>
          <t>ussd_funeral_leads_altitude_20260619</t>
        </is>
      </c>
      <c r="J5010" t="inlineStr">
        <is>
          <t>ADC</t>
        </is>
      </c>
      <c r="K5010" t="inlineStr">
        <is>
          <t>Auto Dial Disconnected</t>
        </is>
      </c>
      <c r="L5010" t="n">
        <v>2</v>
      </c>
      <c r="M5010" t="inlineStr">
        <is>
          <t>2026-06-22 13:08:28</t>
        </is>
      </c>
      <c r="N5010" t="inlineStr">
        <is>
          <t>system</t>
        </is>
      </c>
      <c r="O5010" t="inlineStr">
        <is>
          <t>2026-06-19 07:10:32</t>
        </is>
      </c>
      <c r="P5010" t="inlineStr">
        <is>
          <t>2026-06-19 07:10:32</t>
        </is>
      </c>
      <c r="Y5010" t="inlineStr">
        <is>
          <t>27822970822</t>
        </is>
      </c>
    </row>
    <row r="5011">
      <c r="A5011" t="inlineStr">
        <is>
          <t>14943589</t>
        </is>
      </c>
      <c r="B5011" t="inlineStr">
        <is>
          <t>5249e6ba-f6b1-441f-834c-5ed23caa48b9</t>
        </is>
      </c>
      <c r="D5011" t="inlineStr">
        <is>
          <t>30001087</t>
        </is>
      </c>
      <c r="E5011" t="inlineStr">
        <is>
          <t>ussd_funeral_leads_altitude_20260619</t>
        </is>
      </c>
      <c r="J5011" t="inlineStr">
        <is>
          <t>AA</t>
        </is>
      </c>
      <c r="K5011" t="inlineStr">
        <is>
          <t>Answering Machine Autodial</t>
        </is>
      </c>
      <c r="L5011" t="n">
        <v>2</v>
      </c>
      <c r="M5011" t="inlineStr">
        <is>
          <t>2026-06-22 13:08:28</t>
        </is>
      </c>
      <c r="N5011" t="inlineStr">
        <is>
          <t>system</t>
        </is>
      </c>
      <c r="O5011" t="inlineStr">
        <is>
          <t>2026-06-19 07:10:32</t>
        </is>
      </c>
      <c r="P5011" t="inlineStr">
        <is>
          <t>2026-06-19 07:10:32</t>
        </is>
      </c>
      <c r="Y5011" t="inlineStr">
        <is>
          <t>27721365315</t>
        </is>
      </c>
    </row>
    <row r="5012">
      <c r="A5012" t="inlineStr">
        <is>
          <t>14943590</t>
        </is>
      </c>
      <c r="B5012" t="inlineStr">
        <is>
          <t>0c89279e-2c5d-4ffb-ae7e-1e21b40f8097</t>
        </is>
      </c>
      <c r="D5012" t="inlineStr">
        <is>
          <t>30001087</t>
        </is>
      </c>
      <c r="E5012" t="inlineStr">
        <is>
          <t>ussd_funeral_leads_altitude_20260619</t>
        </is>
      </c>
      <c r="J5012" t="inlineStr">
        <is>
          <t>AA</t>
        </is>
      </c>
      <c r="K5012" t="inlineStr">
        <is>
          <t>Answering Machine Autodial</t>
        </is>
      </c>
      <c r="L5012" t="n">
        <v>2</v>
      </c>
      <c r="M5012" t="inlineStr">
        <is>
          <t>2026-06-22 13:08:28</t>
        </is>
      </c>
      <c r="N5012" t="inlineStr">
        <is>
          <t>system</t>
        </is>
      </c>
      <c r="O5012" t="inlineStr">
        <is>
          <t>2026-06-19 07:10:32</t>
        </is>
      </c>
      <c r="P5012" t="inlineStr">
        <is>
          <t>2026-06-19 07:10:32</t>
        </is>
      </c>
      <c r="Y5012" t="inlineStr">
        <is>
          <t>27826630301</t>
        </is>
      </c>
    </row>
    <row r="5013">
      <c r="A5013" t="inlineStr">
        <is>
          <t>14943591</t>
        </is>
      </c>
      <c r="B5013" t="inlineStr">
        <is>
          <t>7ceab1aa-6625-4856-bf42-b3bf3c11a7eb</t>
        </is>
      </c>
      <c r="D5013" t="inlineStr">
        <is>
          <t>30001087</t>
        </is>
      </c>
      <c r="E5013" t="inlineStr">
        <is>
          <t>ussd_funeral_leads_altitude_20260619</t>
        </is>
      </c>
      <c r="J5013" t="inlineStr">
        <is>
          <t>AA</t>
        </is>
      </c>
      <c r="K5013" t="inlineStr">
        <is>
          <t>Answering Machine Autodial</t>
        </is>
      </c>
      <c r="L5013" t="n">
        <v>2</v>
      </c>
      <c r="M5013" t="inlineStr">
        <is>
          <t>2026-06-22 13:08:28</t>
        </is>
      </c>
      <c r="N5013" t="inlineStr">
        <is>
          <t>system</t>
        </is>
      </c>
      <c r="O5013" t="inlineStr">
        <is>
          <t>2026-06-19 07:10:32</t>
        </is>
      </c>
      <c r="P5013" t="inlineStr">
        <is>
          <t>2026-06-19 07:10:32</t>
        </is>
      </c>
      <c r="Y5013" t="inlineStr">
        <is>
          <t>27647921799</t>
        </is>
      </c>
    </row>
    <row r="5014">
      <c r="A5014" t="inlineStr">
        <is>
          <t>14943593</t>
        </is>
      </c>
      <c r="B5014" t="inlineStr">
        <is>
          <t>f280be26-7fe9-4902-a644-d12e2e1c1fe3</t>
        </is>
      </c>
      <c r="D5014" t="inlineStr">
        <is>
          <t>30001087</t>
        </is>
      </c>
      <c r="E5014" t="inlineStr">
        <is>
          <t>ussd_funeral_leads_altitude_20260619</t>
        </is>
      </c>
      <c r="J5014" t="inlineStr">
        <is>
          <t>NA</t>
        </is>
      </c>
      <c r="K5014" t="inlineStr">
        <is>
          <t>No Answer Autodial</t>
        </is>
      </c>
      <c r="L5014" t="n">
        <v>2</v>
      </c>
      <c r="M5014" t="inlineStr">
        <is>
          <t>2026-06-22 13:08:28</t>
        </is>
      </c>
      <c r="N5014" t="inlineStr">
        <is>
          <t>system</t>
        </is>
      </c>
      <c r="O5014" t="inlineStr">
        <is>
          <t>2026-06-19 07:10:32</t>
        </is>
      </c>
      <c r="P5014" t="inlineStr">
        <is>
          <t>2026-06-19 07:10:32</t>
        </is>
      </c>
      <c r="Y5014" t="inlineStr">
        <is>
          <t>27829040815</t>
        </is>
      </c>
    </row>
    <row r="5015">
      <c r="A5015" t="inlineStr">
        <is>
          <t>14943586</t>
        </is>
      </c>
      <c r="B5015" t="inlineStr">
        <is>
          <t>9c29d34b-5fd9-46c3-831f-ec31ad91355a</t>
        </is>
      </c>
      <c r="D5015" t="inlineStr">
        <is>
          <t>30001087</t>
        </is>
      </c>
      <c r="E5015" t="inlineStr">
        <is>
          <t>ussd_funeral_leads_altitude_20260619</t>
        </is>
      </c>
      <c r="J5015" t="inlineStr">
        <is>
          <t>DROP</t>
        </is>
      </c>
      <c r="K5015" t="inlineStr">
        <is>
          <t>Dropped</t>
        </is>
      </c>
      <c r="L5015" t="n">
        <v>2</v>
      </c>
      <c r="M5015" t="inlineStr">
        <is>
          <t>2026-06-22 13:08:27</t>
        </is>
      </c>
      <c r="N5015" t="inlineStr">
        <is>
          <t>system</t>
        </is>
      </c>
      <c r="O5015" t="inlineStr">
        <is>
          <t>2026-06-19 07:10:32</t>
        </is>
      </c>
      <c r="P5015" t="inlineStr">
        <is>
          <t>2026-06-19 07:10:32</t>
        </is>
      </c>
      <c r="Y5015" t="inlineStr">
        <is>
          <t>27827524516</t>
        </is>
      </c>
    </row>
    <row r="5016">
      <c r="A5016" t="inlineStr">
        <is>
          <t>14943587</t>
        </is>
      </c>
      <c r="B5016" t="inlineStr">
        <is>
          <t>d6bebf3c-c773-4dfa-bf5c-de271207f9f0</t>
        </is>
      </c>
      <c r="D5016" t="inlineStr">
        <is>
          <t>30001087</t>
        </is>
      </c>
      <c r="E5016" t="inlineStr">
        <is>
          <t>ussd_funeral_leads_altitude_20260619</t>
        </is>
      </c>
      <c r="J5016" t="inlineStr">
        <is>
          <t>NA</t>
        </is>
      </c>
      <c r="K5016" t="inlineStr">
        <is>
          <t>No Answer Autodial</t>
        </is>
      </c>
      <c r="L5016" t="n">
        <v>2</v>
      </c>
      <c r="M5016" t="inlineStr">
        <is>
          <t>2026-06-22 13:08:27</t>
        </is>
      </c>
      <c r="N5016" t="inlineStr">
        <is>
          <t>system</t>
        </is>
      </c>
      <c r="O5016" t="inlineStr">
        <is>
          <t>2026-06-19 07:10:32</t>
        </is>
      </c>
      <c r="P5016" t="inlineStr">
        <is>
          <t>2026-06-19 07:10:32</t>
        </is>
      </c>
      <c r="Y5016" t="inlineStr">
        <is>
          <t>27826143549</t>
        </is>
      </c>
    </row>
    <row r="5017">
      <c r="A5017" t="inlineStr">
        <is>
          <t>14900000</t>
        </is>
      </c>
      <c r="B5017" t="inlineStr">
        <is>
          <t>281e828f-271e-4e5c-8187-8924b5d8c387</t>
        </is>
      </c>
      <c r="D5017" t="inlineStr">
        <is>
          <t>30001087</t>
        </is>
      </c>
      <c r="E5017" t="inlineStr">
        <is>
          <t>ussd_funeral_leads_altitude_20260619</t>
        </is>
      </c>
      <c r="J5017" t="inlineStr">
        <is>
          <t>TDN</t>
        </is>
      </c>
      <c r="K5017" t="inlineStr">
        <is>
          <t>Temporary Disconnected Number</t>
        </is>
      </c>
      <c r="L5017" t="n">
        <v>2</v>
      </c>
      <c r="M5017" t="inlineStr">
        <is>
          <t>2026-06-22 13:08:26</t>
        </is>
      </c>
      <c r="N5017" t="inlineStr">
        <is>
          <t>system</t>
        </is>
      </c>
      <c r="O5017" t="inlineStr">
        <is>
          <t>2026-06-19 07:10:32</t>
        </is>
      </c>
      <c r="P5017" t="inlineStr">
        <is>
          <t>2026-06-19 07:10:32</t>
        </is>
      </c>
      <c r="Y5017" t="inlineStr">
        <is>
          <t>27761482493</t>
        </is>
      </c>
    </row>
    <row r="5018">
      <c r="A5018" t="inlineStr">
        <is>
          <t>14900000</t>
        </is>
      </c>
      <c r="B5018" t="inlineStr">
        <is>
          <t>e115862d-5795-4b16-88ad-96c061dd4b90</t>
        </is>
      </c>
      <c r="D5018" t="inlineStr">
        <is>
          <t>30001087</t>
        </is>
      </c>
      <c r="E5018" t="inlineStr">
        <is>
          <t>ussd_funeral_leads_altitude_20260619</t>
        </is>
      </c>
      <c r="J5018" t="inlineStr">
        <is>
          <t>AE</t>
        </is>
      </c>
      <c r="K5018" t="inlineStr">
        <is>
          <t>Auto Engaged</t>
        </is>
      </c>
      <c r="L5018" t="n">
        <v>2</v>
      </c>
      <c r="M5018" t="inlineStr">
        <is>
          <t>2026-06-22 13:08:25</t>
        </is>
      </c>
      <c r="N5018" t="inlineStr">
        <is>
          <t>system</t>
        </is>
      </c>
      <c r="O5018" t="inlineStr">
        <is>
          <t>2026-06-19 07:10:32</t>
        </is>
      </c>
      <c r="P5018" t="inlineStr">
        <is>
          <t>2026-06-19 07:10:32</t>
        </is>
      </c>
      <c r="Y5018" t="inlineStr">
        <is>
          <t>27763449653</t>
        </is>
      </c>
    </row>
    <row r="5019">
      <c r="A5019" t="inlineStr">
        <is>
          <t>14943565</t>
        </is>
      </c>
      <c r="B5019" t="inlineStr">
        <is>
          <t>10b76e5c-7870-4219-84d6-868f815e26ac</t>
        </is>
      </c>
      <c r="D5019" t="inlineStr">
        <is>
          <t>30001087</t>
        </is>
      </c>
      <c r="E5019" t="inlineStr">
        <is>
          <t>ussd_funeral_leads_altitude_20260619</t>
        </is>
      </c>
      <c r="J5019" t="inlineStr">
        <is>
          <t>NA</t>
        </is>
      </c>
      <c r="K5019" t="inlineStr">
        <is>
          <t>No Answer Autodial</t>
        </is>
      </c>
      <c r="L5019" t="n">
        <v>2</v>
      </c>
      <c r="M5019" t="inlineStr">
        <is>
          <t>2026-06-22 13:08:22</t>
        </is>
      </c>
      <c r="N5019" t="inlineStr">
        <is>
          <t>system</t>
        </is>
      </c>
      <c r="O5019" t="inlineStr">
        <is>
          <t>2026-06-19 07:10:32</t>
        </is>
      </c>
      <c r="P5019" t="inlineStr">
        <is>
          <t>2026-06-19 07:10:32</t>
        </is>
      </c>
      <c r="Y5019" t="inlineStr">
        <is>
          <t>27760785044</t>
        </is>
      </c>
    </row>
    <row r="5020">
      <c r="A5020" t="inlineStr">
        <is>
          <t>14943566</t>
        </is>
      </c>
      <c r="B5020" t="inlineStr">
        <is>
          <t>c2d5e6aa-d8e8-4087-a112-189cb1c2ef0d</t>
        </is>
      </c>
      <c r="D5020" t="inlineStr">
        <is>
          <t>30001087</t>
        </is>
      </c>
      <c r="E5020" t="inlineStr">
        <is>
          <t>ussd_funeral_leads_altitude_20260619</t>
        </is>
      </c>
      <c r="J5020" t="inlineStr">
        <is>
          <t>AA</t>
        </is>
      </c>
      <c r="K5020" t="inlineStr">
        <is>
          <t>Answering Machine Autodial</t>
        </is>
      </c>
      <c r="L5020" t="n">
        <v>2</v>
      </c>
      <c r="M5020" t="inlineStr">
        <is>
          <t>2026-06-22 13:08:22</t>
        </is>
      </c>
      <c r="N5020" t="inlineStr">
        <is>
          <t>system</t>
        </is>
      </c>
      <c r="O5020" t="inlineStr">
        <is>
          <t>2026-06-19 07:10:32</t>
        </is>
      </c>
      <c r="P5020" t="inlineStr">
        <is>
          <t>2026-06-19 07:10:32</t>
        </is>
      </c>
      <c r="Y5020" t="inlineStr">
        <is>
          <t>27674576765</t>
        </is>
      </c>
    </row>
    <row r="5021">
      <c r="A5021" t="inlineStr">
        <is>
          <t>14943567</t>
        </is>
      </c>
      <c r="B5021" t="inlineStr">
        <is>
          <t>37e5a39e-1c58-4be8-91db-d890e8d06781</t>
        </is>
      </c>
      <c r="D5021" t="inlineStr">
        <is>
          <t>30001087</t>
        </is>
      </c>
      <c r="E5021" t="inlineStr">
        <is>
          <t>ussd_funeral_leads_altitude_20260619</t>
        </is>
      </c>
      <c r="J5021" t="inlineStr">
        <is>
          <t>AA</t>
        </is>
      </c>
      <c r="K5021" t="inlineStr">
        <is>
          <t>Answering Machine Autodial</t>
        </is>
      </c>
      <c r="L5021" t="n">
        <v>2</v>
      </c>
      <c r="M5021" t="inlineStr">
        <is>
          <t>2026-06-22 13:08:22</t>
        </is>
      </c>
      <c r="N5021" t="inlineStr">
        <is>
          <t>system</t>
        </is>
      </c>
      <c r="O5021" t="inlineStr">
        <is>
          <t>2026-06-19 07:10:32</t>
        </is>
      </c>
      <c r="P5021" t="inlineStr">
        <is>
          <t>2026-06-19 07:10:32</t>
        </is>
      </c>
      <c r="Y5021" t="inlineStr">
        <is>
          <t>27760195291</t>
        </is>
      </c>
    </row>
    <row r="5022">
      <c r="A5022" t="inlineStr">
        <is>
          <t>14900000</t>
        </is>
      </c>
      <c r="B5022" t="inlineStr">
        <is>
          <t>259e0980-b6ff-4eb8-b4ed-55cbbf195da5</t>
        </is>
      </c>
      <c r="D5022" t="inlineStr">
        <is>
          <t>30001087</t>
        </is>
      </c>
      <c r="E5022" t="inlineStr">
        <is>
          <t>ussd_funeral_leads_altitude_20260619</t>
        </is>
      </c>
      <c r="J5022" t="inlineStr">
        <is>
          <t>AA</t>
        </is>
      </c>
      <c r="K5022" t="inlineStr">
        <is>
          <t>Answering Machine Autodial</t>
        </is>
      </c>
      <c r="L5022" t="n">
        <v>2</v>
      </c>
      <c r="M5022" t="inlineStr">
        <is>
          <t>2026-06-22 13:08:22</t>
        </is>
      </c>
      <c r="N5022" t="inlineStr">
        <is>
          <t>system</t>
        </is>
      </c>
      <c r="O5022" t="inlineStr">
        <is>
          <t>2026-06-19 07:10:32</t>
        </is>
      </c>
      <c r="P5022" t="inlineStr">
        <is>
          <t>2026-06-19 07:10:32</t>
        </is>
      </c>
      <c r="Y5022" t="inlineStr">
        <is>
          <t>27790875273</t>
        </is>
      </c>
    </row>
    <row r="5023">
      <c r="A5023" t="inlineStr">
        <is>
          <t>14943582</t>
        </is>
      </c>
      <c r="B5023" t="inlineStr">
        <is>
          <t>6275bac2-69e5-409b-a7a2-92e29676a2af</t>
        </is>
      </c>
      <c r="D5023" t="inlineStr">
        <is>
          <t>30001087</t>
        </is>
      </c>
      <c r="E5023" t="inlineStr">
        <is>
          <t>ussd_funeral_leads_altitude_20260619</t>
        </is>
      </c>
      <c r="J5023" t="inlineStr">
        <is>
          <t>AA</t>
        </is>
      </c>
      <c r="K5023" t="inlineStr">
        <is>
          <t>Answering Machine Autodial</t>
        </is>
      </c>
      <c r="L5023" t="n">
        <v>2</v>
      </c>
      <c r="M5023" t="inlineStr">
        <is>
          <t>2026-06-22 13:08:22</t>
        </is>
      </c>
      <c r="N5023" t="inlineStr">
        <is>
          <t>system</t>
        </is>
      </c>
      <c r="O5023" t="inlineStr">
        <is>
          <t>2026-06-19 07:10:32</t>
        </is>
      </c>
      <c r="P5023" t="inlineStr">
        <is>
          <t>2026-06-19 07:10:32</t>
        </is>
      </c>
      <c r="Y5023" t="inlineStr">
        <is>
          <t>27673562484</t>
        </is>
      </c>
    </row>
    <row r="5024">
      <c r="A5024" t="inlineStr">
        <is>
          <t>14943579</t>
        </is>
      </c>
      <c r="B5024" t="inlineStr">
        <is>
          <t>8ee1dfee-0742-4f05-abd1-95bbec4aa5c1</t>
        </is>
      </c>
      <c r="D5024" t="inlineStr">
        <is>
          <t>30001087</t>
        </is>
      </c>
      <c r="E5024" t="inlineStr">
        <is>
          <t>ussd_funeral_leads_altitude_20260619</t>
        </is>
      </c>
      <c r="J5024" t="inlineStr">
        <is>
          <t>AA</t>
        </is>
      </c>
      <c r="K5024" t="inlineStr">
        <is>
          <t>Answering Machine Autodial</t>
        </is>
      </c>
      <c r="L5024" t="n">
        <v>2</v>
      </c>
      <c r="M5024" t="inlineStr">
        <is>
          <t>2026-06-22 13:08:21</t>
        </is>
      </c>
      <c r="N5024" t="inlineStr">
        <is>
          <t>system</t>
        </is>
      </c>
      <c r="O5024" t="inlineStr">
        <is>
          <t>2026-06-19 07:10:32</t>
        </is>
      </c>
      <c r="P5024" t="inlineStr">
        <is>
          <t>2026-06-19 07:10:32</t>
        </is>
      </c>
      <c r="Y5024" t="inlineStr">
        <is>
          <t>27772728256</t>
        </is>
      </c>
    </row>
    <row r="5025">
      <c r="A5025" t="inlineStr">
        <is>
          <t>14943572</t>
        </is>
      </c>
      <c r="B5025" t="inlineStr">
        <is>
          <t>f7001dc5-34dd-40bf-a94a-20aa2896e11f</t>
        </is>
      </c>
      <c r="D5025" t="inlineStr">
        <is>
          <t>30001087</t>
        </is>
      </c>
      <c r="E5025" t="inlineStr">
        <is>
          <t>ussd_funeral_leads_altitude_20260619</t>
        </is>
      </c>
      <c r="J5025" t="inlineStr">
        <is>
          <t>AA</t>
        </is>
      </c>
      <c r="K5025" t="inlineStr">
        <is>
          <t>Answering Machine Autodial</t>
        </is>
      </c>
      <c r="L5025" t="n">
        <v>2</v>
      </c>
      <c r="M5025" t="inlineStr">
        <is>
          <t>2026-06-22 13:08:20</t>
        </is>
      </c>
      <c r="N5025" t="inlineStr">
        <is>
          <t>system</t>
        </is>
      </c>
      <c r="O5025" t="inlineStr">
        <is>
          <t>2026-06-19 07:10:32</t>
        </is>
      </c>
      <c r="P5025" t="inlineStr">
        <is>
          <t>2026-06-19 07:10:32</t>
        </is>
      </c>
      <c r="Y5025" t="inlineStr">
        <is>
          <t>27726073060</t>
        </is>
      </c>
    </row>
    <row r="5026">
      <c r="A5026" t="inlineStr">
        <is>
          <t>14943573</t>
        </is>
      </c>
      <c r="B5026" t="inlineStr">
        <is>
          <t>60ba5120-4d66-4bc4-970c-9e1420417d41</t>
        </is>
      </c>
      <c r="D5026" t="inlineStr">
        <is>
          <t>30001087</t>
        </is>
      </c>
      <c r="E5026" t="inlineStr">
        <is>
          <t>ussd_funeral_leads_altitude_20260619</t>
        </is>
      </c>
      <c r="J5026" t="inlineStr">
        <is>
          <t>DROP</t>
        </is>
      </c>
      <c r="K5026" t="inlineStr">
        <is>
          <t>Dropped</t>
        </is>
      </c>
      <c r="L5026" t="n">
        <v>2</v>
      </c>
      <c r="M5026" t="inlineStr">
        <is>
          <t>2026-06-22 13:08:20</t>
        </is>
      </c>
      <c r="N5026" t="inlineStr">
        <is>
          <t>system</t>
        </is>
      </c>
      <c r="O5026" t="inlineStr">
        <is>
          <t>2026-06-19 07:10:32</t>
        </is>
      </c>
      <c r="P5026" t="inlineStr">
        <is>
          <t>2026-06-19 07:10:32</t>
        </is>
      </c>
      <c r="Y5026" t="inlineStr">
        <is>
          <t>27764634774</t>
        </is>
      </c>
    </row>
    <row r="5027">
      <c r="A5027" t="inlineStr">
        <is>
          <t>14943576</t>
        </is>
      </c>
      <c r="B5027" t="inlineStr">
        <is>
          <t>8b64f851-c4b1-422b-b4ba-8b3ae435b8d7</t>
        </is>
      </c>
      <c r="D5027" t="inlineStr">
        <is>
          <t>30001087</t>
        </is>
      </c>
      <c r="E5027" t="inlineStr">
        <is>
          <t>ussd_funeral_leads_altitude_20260619</t>
        </is>
      </c>
      <c r="J5027" t="inlineStr">
        <is>
          <t>ADC</t>
        </is>
      </c>
      <c r="K5027" t="inlineStr">
        <is>
          <t>Auto Dial Disconnected</t>
        </is>
      </c>
      <c r="L5027" t="n">
        <v>2</v>
      </c>
      <c r="M5027" t="inlineStr">
        <is>
          <t>2026-06-22 13:08:20</t>
        </is>
      </c>
      <c r="N5027" t="inlineStr">
        <is>
          <t>system</t>
        </is>
      </c>
      <c r="O5027" t="inlineStr">
        <is>
          <t>2026-06-19 07:10:32</t>
        </is>
      </c>
      <c r="P5027" t="inlineStr">
        <is>
          <t>2026-06-19 07:10:32</t>
        </is>
      </c>
      <c r="Y5027" t="inlineStr">
        <is>
          <t>27675499745</t>
        </is>
      </c>
    </row>
    <row r="5028">
      <c r="A5028" t="inlineStr">
        <is>
          <t>14943578</t>
        </is>
      </c>
      <c r="B5028" t="inlineStr">
        <is>
          <t>430f4893-8776-432c-82f8-bbeacd3d23c8</t>
        </is>
      </c>
      <c r="D5028" t="inlineStr">
        <is>
          <t>30001087</t>
        </is>
      </c>
      <c r="E5028" t="inlineStr">
        <is>
          <t>ussd_funeral_leads_altitude_20260619</t>
        </is>
      </c>
      <c r="J5028" t="inlineStr">
        <is>
          <t>ADC</t>
        </is>
      </c>
      <c r="K5028" t="inlineStr">
        <is>
          <t>Auto Dial Disconnected</t>
        </is>
      </c>
      <c r="L5028" t="n">
        <v>2</v>
      </c>
      <c r="M5028" t="inlineStr">
        <is>
          <t>2026-06-22 13:08:20</t>
        </is>
      </c>
      <c r="N5028" t="inlineStr">
        <is>
          <t>system</t>
        </is>
      </c>
      <c r="O5028" t="inlineStr">
        <is>
          <t>2026-06-19 07:10:32</t>
        </is>
      </c>
      <c r="P5028" t="inlineStr">
        <is>
          <t>2026-06-19 07:10:32</t>
        </is>
      </c>
      <c r="Y5028" t="inlineStr">
        <is>
          <t>27723940705</t>
        </is>
      </c>
    </row>
    <row r="5029">
      <c r="A5029" t="inlineStr">
        <is>
          <t>14943569</t>
        </is>
      </c>
      <c r="B5029" t="inlineStr">
        <is>
          <t>ea9dae77-e3f1-4a5d-a00c-c44cad65394f</t>
        </is>
      </c>
      <c r="D5029" t="inlineStr">
        <is>
          <t>30001087</t>
        </is>
      </c>
      <c r="E5029" t="inlineStr">
        <is>
          <t>ussd_funeral_leads_altitude_20260619</t>
        </is>
      </c>
      <c r="J5029" t="inlineStr">
        <is>
          <t>AA</t>
        </is>
      </c>
      <c r="K5029" t="inlineStr">
        <is>
          <t>Answering Machine Autodial</t>
        </is>
      </c>
      <c r="L5029" t="n">
        <v>2</v>
      </c>
      <c r="M5029" t="inlineStr">
        <is>
          <t>2026-06-22 13:08:19</t>
        </is>
      </c>
      <c r="N5029" t="inlineStr">
        <is>
          <t>system</t>
        </is>
      </c>
      <c r="O5029" t="inlineStr">
        <is>
          <t>2026-06-19 07:10:32</t>
        </is>
      </c>
      <c r="P5029" t="inlineStr">
        <is>
          <t>2026-06-19 07:10:32</t>
        </is>
      </c>
      <c r="Y5029" t="inlineStr">
        <is>
          <t>27725216821</t>
        </is>
      </c>
    </row>
    <row r="5030">
      <c r="A5030" t="inlineStr">
        <is>
          <t>14943570</t>
        </is>
      </c>
      <c r="B5030" t="inlineStr">
        <is>
          <t>df2d88bd-86d2-40a2-8071-7096274d8b70</t>
        </is>
      </c>
      <c r="D5030" t="inlineStr">
        <is>
          <t>30001087</t>
        </is>
      </c>
      <c r="E5030" t="inlineStr">
        <is>
          <t>ussd_funeral_leads_altitude_20260619</t>
        </is>
      </c>
      <c r="J5030" t="inlineStr">
        <is>
          <t>AA</t>
        </is>
      </c>
      <c r="K5030" t="inlineStr">
        <is>
          <t>Answering Machine Autodial</t>
        </is>
      </c>
      <c r="L5030" t="n">
        <v>2</v>
      </c>
      <c r="M5030" t="inlineStr">
        <is>
          <t>2026-06-22 13:08:19</t>
        </is>
      </c>
      <c r="N5030" t="inlineStr">
        <is>
          <t>system</t>
        </is>
      </c>
      <c r="O5030" t="inlineStr">
        <is>
          <t>2026-06-19 07:10:32</t>
        </is>
      </c>
      <c r="P5030" t="inlineStr">
        <is>
          <t>2026-06-19 07:10:32</t>
        </is>
      </c>
      <c r="Y5030" t="inlineStr">
        <is>
          <t>27727333362</t>
        </is>
      </c>
    </row>
    <row r="5031">
      <c r="A5031" t="inlineStr">
        <is>
          <t>14943635</t>
        </is>
      </c>
      <c r="B5031" t="inlineStr">
        <is>
          <t>d2d2b26d-3d5c-4043-8550-3b5589b208f5</t>
        </is>
      </c>
      <c r="D5031" t="inlineStr">
        <is>
          <t>30001087</t>
        </is>
      </c>
      <c r="E5031" t="inlineStr">
        <is>
          <t>ussd_funeral_leads_altitude_20260619</t>
        </is>
      </c>
      <c r="J5031" t="inlineStr">
        <is>
          <t>NA</t>
        </is>
      </c>
      <c r="K5031" t="inlineStr">
        <is>
          <t>No Answer Autodial</t>
        </is>
      </c>
      <c r="L5031" t="n">
        <v>2</v>
      </c>
      <c r="M5031" t="inlineStr">
        <is>
          <t>2026-06-22 13:06:02</t>
        </is>
      </c>
      <c r="N5031" t="inlineStr">
        <is>
          <t>system</t>
        </is>
      </c>
      <c r="O5031" t="inlineStr">
        <is>
          <t>2026-06-19 07:10:32</t>
        </is>
      </c>
      <c r="P5031" t="inlineStr">
        <is>
          <t>2026-06-19 07:10:32</t>
        </is>
      </c>
      <c r="Y5031" t="inlineStr">
        <is>
          <t>27825015598</t>
        </is>
      </c>
    </row>
    <row r="5032">
      <c r="A5032" t="inlineStr">
        <is>
          <t>14943634</t>
        </is>
      </c>
      <c r="B5032" t="inlineStr">
        <is>
          <t>6c21d1b6-d5c0-4807-a84c-ee546ac97615</t>
        </is>
      </c>
      <c r="D5032" t="inlineStr">
        <is>
          <t>30001087</t>
        </is>
      </c>
      <c r="E5032" t="inlineStr">
        <is>
          <t>ussd_funeral_leads_altitude_20260619</t>
        </is>
      </c>
      <c r="J5032" t="inlineStr">
        <is>
          <t>ADC</t>
        </is>
      </c>
      <c r="K5032" t="inlineStr">
        <is>
          <t>Auto Dial Disconnected</t>
        </is>
      </c>
      <c r="L5032" t="n">
        <v>2</v>
      </c>
      <c r="M5032" t="inlineStr">
        <is>
          <t>2026-06-22 13:06:00</t>
        </is>
      </c>
      <c r="N5032" t="inlineStr">
        <is>
          <t>system</t>
        </is>
      </c>
      <c r="O5032" t="inlineStr">
        <is>
          <t>2026-06-19 07:10:32</t>
        </is>
      </c>
      <c r="P5032" t="inlineStr">
        <is>
          <t>2026-06-19 07:10:32</t>
        </is>
      </c>
      <c r="Y5032" t="inlineStr">
        <is>
          <t>27721324225</t>
        </is>
      </c>
    </row>
    <row r="5033">
      <c r="A5033" t="inlineStr">
        <is>
          <t>14943633</t>
        </is>
      </c>
      <c r="B5033" t="inlineStr">
        <is>
          <t>42d229b6-f5db-430e-ae4a-5763f0cbdd6b</t>
        </is>
      </c>
      <c r="D5033" t="inlineStr">
        <is>
          <t>30001087</t>
        </is>
      </c>
      <c r="E5033" t="inlineStr">
        <is>
          <t>ussd_funeral_leads_altitude_20260619</t>
        </is>
      </c>
      <c r="J5033" t="inlineStr">
        <is>
          <t>AA</t>
        </is>
      </c>
      <c r="K5033" t="inlineStr">
        <is>
          <t>Answering Machine Autodial</t>
        </is>
      </c>
      <c r="L5033" t="n">
        <v>2</v>
      </c>
      <c r="M5033" t="inlineStr">
        <is>
          <t>2026-06-22 13:05:55</t>
        </is>
      </c>
      <c r="N5033" t="inlineStr">
        <is>
          <t>system</t>
        </is>
      </c>
      <c r="O5033" t="inlineStr">
        <is>
          <t>2026-06-19 07:10:32</t>
        </is>
      </c>
      <c r="P5033" t="inlineStr">
        <is>
          <t>2026-06-19 07:10:32</t>
        </is>
      </c>
      <c r="Y5033" t="inlineStr">
        <is>
          <t>27768906102</t>
        </is>
      </c>
    </row>
    <row r="5034">
      <c r="A5034" t="inlineStr">
        <is>
          <t>14943630</t>
        </is>
      </c>
      <c r="B5034" t="inlineStr">
        <is>
          <t>151e8ab1-8d50-45c4-b3b4-5a4df9be15b3</t>
        </is>
      </c>
      <c r="D5034" t="inlineStr">
        <is>
          <t>30001087</t>
        </is>
      </c>
      <c r="E5034" t="inlineStr">
        <is>
          <t>ussd_funeral_leads_altitude_20260619</t>
        </is>
      </c>
      <c r="J5034" t="inlineStr">
        <is>
          <t>NA</t>
        </is>
      </c>
      <c r="K5034" t="inlineStr">
        <is>
          <t>No Answer Autodial</t>
        </is>
      </c>
      <c r="L5034" t="n">
        <v>2</v>
      </c>
      <c r="M5034" t="inlineStr">
        <is>
          <t>2026-06-22 13:05:26</t>
        </is>
      </c>
      <c r="N5034" t="inlineStr">
        <is>
          <t>system</t>
        </is>
      </c>
      <c r="O5034" t="inlineStr">
        <is>
          <t>2026-06-19 07:10:32</t>
        </is>
      </c>
      <c r="P5034" t="inlineStr">
        <is>
          <t>2026-06-19 07:10:32</t>
        </is>
      </c>
      <c r="Y5034" t="inlineStr">
        <is>
          <t>27796091948</t>
        </is>
      </c>
    </row>
    <row r="5035">
      <c r="A5035" t="inlineStr">
        <is>
          <t>14943632</t>
        </is>
      </c>
      <c r="B5035" t="inlineStr">
        <is>
          <t>d397e1b1-53c5-410e-b940-26a423e236d0</t>
        </is>
      </c>
      <c r="D5035" t="inlineStr">
        <is>
          <t>30001087</t>
        </is>
      </c>
      <c r="E5035" t="inlineStr">
        <is>
          <t>ussd_funeral_leads_altitude_20260619</t>
        </is>
      </c>
      <c r="J5035" t="inlineStr">
        <is>
          <t>NA</t>
        </is>
      </c>
      <c r="K5035" t="inlineStr">
        <is>
          <t>No Answer Autodial</t>
        </is>
      </c>
      <c r="L5035" t="n">
        <v>2</v>
      </c>
      <c r="M5035" t="inlineStr">
        <is>
          <t>2026-06-22 13:05:26</t>
        </is>
      </c>
      <c r="N5035" t="inlineStr">
        <is>
          <t>system</t>
        </is>
      </c>
      <c r="O5035" t="inlineStr">
        <is>
          <t>2026-06-19 07:10:32</t>
        </is>
      </c>
      <c r="P5035" t="inlineStr">
        <is>
          <t>2026-06-19 07:10:32</t>
        </is>
      </c>
      <c r="Y5035" t="inlineStr">
        <is>
          <t>27607230951</t>
        </is>
      </c>
    </row>
    <row r="5036">
      <c r="A5036" t="inlineStr">
        <is>
          <t>14943631</t>
        </is>
      </c>
      <c r="B5036" t="inlineStr">
        <is>
          <t>de9cd4ee-d4d0-405a-b87f-ddbb79b85556</t>
        </is>
      </c>
      <c r="D5036" t="inlineStr">
        <is>
          <t>30001087</t>
        </is>
      </c>
      <c r="E5036" t="inlineStr">
        <is>
          <t>ussd_funeral_leads_altitude_20260619</t>
        </is>
      </c>
      <c r="J5036" t="inlineStr">
        <is>
          <t>AA</t>
        </is>
      </c>
      <c r="K5036" t="inlineStr">
        <is>
          <t>Answering Machine Autodial</t>
        </is>
      </c>
      <c r="L5036" t="n">
        <v>2</v>
      </c>
      <c r="M5036" t="inlineStr">
        <is>
          <t>2026-06-22 13:05:25</t>
        </is>
      </c>
      <c r="N5036" t="inlineStr">
        <is>
          <t>system</t>
        </is>
      </c>
      <c r="O5036" t="inlineStr">
        <is>
          <t>2026-06-19 07:10:32</t>
        </is>
      </c>
      <c r="P5036" t="inlineStr">
        <is>
          <t>2026-06-19 07:10:32</t>
        </is>
      </c>
      <c r="Y5036" t="inlineStr">
        <is>
          <t>27774934119</t>
        </is>
      </c>
    </row>
    <row r="5037">
      <c r="A5037" t="inlineStr">
        <is>
          <t>14943699</t>
        </is>
      </c>
      <c r="B5037" t="inlineStr">
        <is>
          <t>d27c8d68-02ac-4c2d-9e28-ce7644ac5390</t>
        </is>
      </c>
      <c r="D5037" t="inlineStr">
        <is>
          <t>30001087</t>
        </is>
      </c>
      <c r="E5037" t="inlineStr">
        <is>
          <t>ussd_funeral_leads_altitude_20260619</t>
        </is>
      </c>
      <c r="J5037" t="inlineStr">
        <is>
          <t>AA</t>
        </is>
      </c>
      <c r="K5037" t="inlineStr">
        <is>
          <t>Answering Machine Autodial</t>
        </is>
      </c>
      <c r="L5037" t="n">
        <v>2</v>
      </c>
      <c r="M5037" t="inlineStr">
        <is>
          <t>2026-06-22 13:05:14</t>
        </is>
      </c>
      <c r="N5037" t="inlineStr">
        <is>
          <t>system</t>
        </is>
      </c>
      <c r="O5037" t="inlineStr">
        <is>
          <t>2026-06-19 07:10:32</t>
        </is>
      </c>
      <c r="P5037" t="inlineStr">
        <is>
          <t>2026-06-19 07:10:32</t>
        </is>
      </c>
      <c r="Y5037" t="inlineStr">
        <is>
          <t>27727470655</t>
        </is>
      </c>
    </row>
    <row r="5038">
      <c r="A5038" t="inlineStr">
        <is>
          <t>14943695</t>
        </is>
      </c>
      <c r="B5038" t="inlineStr">
        <is>
          <t>8bfecf52-5f45-4bad-97c2-abfe6188bd3e</t>
        </is>
      </c>
      <c r="D5038" t="inlineStr">
        <is>
          <t>30001087</t>
        </is>
      </c>
      <c r="E5038" t="inlineStr">
        <is>
          <t>ussd_funeral_leads_altitude_20260619</t>
        </is>
      </c>
      <c r="J5038" t="inlineStr">
        <is>
          <t>AA</t>
        </is>
      </c>
      <c r="K5038" t="inlineStr">
        <is>
          <t>Answering Machine Autodial</t>
        </is>
      </c>
      <c r="L5038" t="n">
        <v>2</v>
      </c>
      <c r="M5038" t="inlineStr">
        <is>
          <t>2026-06-22 13:05:13</t>
        </is>
      </c>
      <c r="N5038" t="inlineStr">
        <is>
          <t>system</t>
        </is>
      </c>
      <c r="O5038" t="inlineStr">
        <is>
          <t>2026-06-19 07:10:32</t>
        </is>
      </c>
      <c r="P5038" t="inlineStr">
        <is>
          <t>2026-06-19 07:10:32</t>
        </is>
      </c>
      <c r="Y5038" t="inlineStr">
        <is>
          <t>27606780437</t>
        </is>
      </c>
    </row>
    <row r="5039">
      <c r="A5039" t="inlineStr">
        <is>
          <t>14943696</t>
        </is>
      </c>
      <c r="B5039" t="inlineStr">
        <is>
          <t>8ea2099d-4301-4f12-8803-5e0ce3854797</t>
        </is>
      </c>
      <c r="D5039" t="inlineStr">
        <is>
          <t>30001087</t>
        </is>
      </c>
      <c r="E5039" t="inlineStr">
        <is>
          <t>ussd_funeral_leads_altitude_20260619</t>
        </is>
      </c>
      <c r="J5039" t="inlineStr">
        <is>
          <t>DROP</t>
        </is>
      </c>
      <c r="K5039" t="inlineStr">
        <is>
          <t>Dropped</t>
        </is>
      </c>
      <c r="L5039" t="n">
        <v>2</v>
      </c>
      <c r="M5039" t="inlineStr">
        <is>
          <t>2026-06-22 13:05:13</t>
        </is>
      </c>
      <c r="N5039" t="inlineStr">
        <is>
          <t>system</t>
        </is>
      </c>
      <c r="O5039" t="inlineStr">
        <is>
          <t>2026-06-19 07:10:32</t>
        </is>
      </c>
      <c r="P5039" t="inlineStr">
        <is>
          <t>2026-06-19 07:10:32</t>
        </is>
      </c>
      <c r="Y5039" t="inlineStr">
        <is>
          <t>27662399608</t>
        </is>
      </c>
    </row>
    <row r="5040">
      <c r="A5040" t="inlineStr">
        <is>
          <t>14943697</t>
        </is>
      </c>
      <c r="B5040" t="inlineStr">
        <is>
          <t>4bd57d06-34cd-4a90-bd5c-223ca3f8dea3</t>
        </is>
      </c>
      <c r="D5040" t="inlineStr">
        <is>
          <t>30001087</t>
        </is>
      </c>
      <c r="E5040" t="inlineStr">
        <is>
          <t>ussd_funeral_leads_altitude_20260619</t>
        </is>
      </c>
      <c r="J5040" t="inlineStr">
        <is>
          <t>AF</t>
        </is>
      </c>
      <c r="K5040" t="inlineStr">
        <is>
          <t>Cannot Afford</t>
        </is>
      </c>
      <c r="L5040" t="n">
        <v>2</v>
      </c>
      <c r="M5040" t="inlineStr">
        <is>
          <t>2026-06-22 13:05:13</t>
        </is>
      </c>
      <c r="N5040" t="inlineStr">
        <is>
          <t>Gontse Monageng</t>
        </is>
      </c>
      <c r="O5040" t="inlineStr">
        <is>
          <t>2026-06-19 07:10:32</t>
        </is>
      </c>
      <c r="P5040" t="inlineStr">
        <is>
          <t>2026-06-19 07:10:32</t>
        </is>
      </c>
      <c r="Y5040" t="inlineStr">
        <is>
          <t>27713502300</t>
        </is>
      </c>
    </row>
    <row r="5041">
      <c r="A5041" t="inlineStr">
        <is>
          <t>14943693</t>
        </is>
      </c>
      <c r="B5041" t="inlineStr">
        <is>
          <t>02cc21ff-9d41-45ab-91e1-af64f94fb4e7</t>
        </is>
      </c>
      <c r="D5041" t="inlineStr">
        <is>
          <t>30001087</t>
        </is>
      </c>
      <c r="E5041" t="inlineStr">
        <is>
          <t>ussd_funeral_leads_altitude_20260619</t>
        </is>
      </c>
      <c r="J5041" t="inlineStr">
        <is>
          <t>AA</t>
        </is>
      </c>
      <c r="K5041" t="inlineStr">
        <is>
          <t>Answering Machine Autodial</t>
        </is>
      </c>
      <c r="L5041" t="n">
        <v>2</v>
      </c>
      <c r="M5041" t="inlineStr">
        <is>
          <t>2026-06-22 13:05:12</t>
        </is>
      </c>
      <c r="N5041" t="inlineStr">
        <is>
          <t>system</t>
        </is>
      </c>
      <c r="O5041" t="inlineStr">
        <is>
          <t>2026-06-19 07:10:32</t>
        </is>
      </c>
      <c r="P5041" t="inlineStr">
        <is>
          <t>2026-06-19 07:10:32</t>
        </is>
      </c>
      <c r="Y5041" t="inlineStr">
        <is>
          <t>27790354610</t>
        </is>
      </c>
    </row>
    <row r="5042">
      <c r="A5042" t="inlineStr">
        <is>
          <t>14943698</t>
        </is>
      </c>
      <c r="B5042" t="inlineStr">
        <is>
          <t>e2d8c83f-f0a5-43f3-9f0a-29b752742c67</t>
        </is>
      </c>
      <c r="D5042" t="inlineStr">
        <is>
          <t>30001087</t>
        </is>
      </c>
      <c r="E5042" t="inlineStr">
        <is>
          <t>ussd_funeral_leads_altitude_20260619</t>
        </is>
      </c>
      <c r="J5042" t="inlineStr">
        <is>
          <t>ADC</t>
        </is>
      </c>
      <c r="K5042" t="inlineStr">
        <is>
          <t>Auto Dial Disconnected</t>
        </is>
      </c>
      <c r="L5042" t="n">
        <v>2</v>
      </c>
      <c r="M5042" t="inlineStr">
        <is>
          <t>2026-06-22 13:05:12</t>
        </is>
      </c>
      <c r="N5042" t="inlineStr">
        <is>
          <t>system</t>
        </is>
      </c>
      <c r="O5042" t="inlineStr">
        <is>
          <t>2026-06-19 07:10:32</t>
        </is>
      </c>
      <c r="P5042" t="inlineStr">
        <is>
          <t>2026-06-19 07:10:32</t>
        </is>
      </c>
      <c r="Y5042" t="inlineStr">
        <is>
          <t>27761548065</t>
        </is>
      </c>
    </row>
    <row r="5043">
      <c r="A5043" t="inlineStr">
        <is>
          <t>14943692</t>
        </is>
      </c>
      <c r="B5043" t="inlineStr">
        <is>
          <t>b1cc5f4c-ba35-4b01-8332-bea5885ecee3</t>
        </is>
      </c>
      <c r="D5043" t="inlineStr">
        <is>
          <t>30001087</t>
        </is>
      </c>
      <c r="E5043" t="inlineStr">
        <is>
          <t>ussd_funeral_leads_altitude_20260619</t>
        </is>
      </c>
      <c r="J5043" t="inlineStr">
        <is>
          <t>NA</t>
        </is>
      </c>
      <c r="K5043" t="inlineStr">
        <is>
          <t>No Answer Autodial</t>
        </is>
      </c>
      <c r="L5043" t="n">
        <v>2</v>
      </c>
      <c r="M5043" t="inlineStr">
        <is>
          <t>2026-06-22 13:05:04</t>
        </is>
      </c>
      <c r="N5043" t="inlineStr">
        <is>
          <t>system</t>
        </is>
      </c>
      <c r="O5043" t="inlineStr">
        <is>
          <t>2026-06-19 07:10:32</t>
        </is>
      </c>
      <c r="P5043" t="inlineStr">
        <is>
          <t>2026-06-19 07:10:32</t>
        </is>
      </c>
      <c r="Y5043" t="inlineStr">
        <is>
          <t>27824919795</t>
        </is>
      </c>
    </row>
    <row r="5044">
      <c r="A5044" t="inlineStr">
        <is>
          <t>14943691</t>
        </is>
      </c>
      <c r="B5044" t="inlineStr">
        <is>
          <t>f10a6bc5-f8c5-4754-833f-2dd08f5d13cd</t>
        </is>
      </c>
      <c r="D5044" t="inlineStr">
        <is>
          <t>30001087</t>
        </is>
      </c>
      <c r="E5044" t="inlineStr">
        <is>
          <t>ussd_funeral_leads_altitude_20260619</t>
        </is>
      </c>
      <c r="J5044" t="inlineStr">
        <is>
          <t>AA</t>
        </is>
      </c>
      <c r="K5044" t="inlineStr">
        <is>
          <t>Answering Machine Autodial</t>
        </is>
      </c>
      <c r="L5044" t="n">
        <v>2</v>
      </c>
      <c r="M5044" t="inlineStr">
        <is>
          <t>2026-06-22 13:04:58</t>
        </is>
      </c>
      <c r="N5044" t="inlineStr">
        <is>
          <t>system</t>
        </is>
      </c>
      <c r="O5044" t="inlineStr">
        <is>
          <t>2026-06-19 07:10:32</t>
        </is>
      </c>
      <c r="P5044" t="inlineStr">
        <is>
          <t>2026-06-19 07:10:32</t>
        </is>
      </c>
      <c r="Y5044" t="inlineStr">
        <is>
          <t>27665302679</t>
        </is>
      </c>
    </row>
    <row r="5045">
      <c r="A5045" t="inlineStr">
        <is>
          <t>14943690</t>
        </is>
      </c>
      <c r="B5045" t="inlineStr">
        <is>
          <t>bd65dfec-dafa-4258-bd7e-12b8effebe39</t>
        </is>
      </c>
      <c r="D5045" t="inlineStr">
        <is>
          <t>30001087</t>
        </is>
      </c>
      <c r="E5045" t="inlineStr">
        <is>
          <t>ussd_funeral_leads_altitude_20260619</t>
        </is>
      </c>
      <c r="J5045" t="inlineStr">
        <is>
          <t>TDN</t>
        </is>
      </c>
      <c r="K5045" t="inlineStr">
        <is>
          <t>Temporary Disconnected Number</t>
        </is>
      </c>
      <c r="L5045" t="n">
        <v>2</v>
      </c>
      <c r="M5045" t="inlineStr">
        <is>
          <t>2026-06-22 13:04:56</t>
        </is>
      </c>
      <c r="N5045" t="inlineStr">
        <is>
          <t>system</t>
        </is>
      </c>
      <c r="O5045" t="inlineStr">
        <is>
          <t>2026-06-19 07:10:32</t>
        </is>
      </c>
      <c r="P5045" t="inlineStr">
        <is>
          <t>2026-06-19 07:10:32</t>
        </is>
      </c>
      <c r="Y5045" t="inlineStr">
        <is>
          <t>27725267983</t>
        </is>
      </c>
    </row>
    <row r="5046">
      <c r="A5046" t="inlineStr">
        <is>
          <t>14943688</t>
        </is>
      </c>
      <c r="B5046" t="inlineStr">
        <is>
          <t>7ce0fa52-5c0a-495f-8218-c4a93de5bc0a</t>
        </is>
      </c>
      <c r="D5046" t="inlineStr">
        <is>
          <t>30001087</t>
        </is>
      </c>
      <c r="E5046" t="inlineStr">
        <is>
          <t>ussd_funeral_leads_altitude_20260619</t>
        </is>
      </c>
      <c r="J5046" t="inlineStr">
        <is>
          <t>AA</t>
        </is>
      </c>
      <c r="K5046" t="inlineStr">
        <is>
          <t>Answering Machine Autodial</t>
        </is>
      </c>
      <c r="L5046" t="n">
        <v>2</v>
      </c>
      <c r="M5046" t="inlineStr">
        <is>
          <t>2026-06-22 13:04:43</t>
        </is>
      </c>
      <c r="N5046" t="inlineStr">
        <is>
          <t>system</t>
        </is>
      </c>
      <c r="O5046" t="inlineStr">
        <is>
          <t>2026-06-19 07:10:32</t>
        </is>
      </c>
      <c r="P5046" t="inlineStr">
        <is>
          <t>2026-06-19 07:10:32</t>
        </is>
      </c>
      <c r="Y5046" t="inlineStr">
        <is>
          <t>27762472590</t>
        </is>
      </c>
    </row>
    <row r="5047">
      <c r="A5047" t="inlineStr">
        <is>
          <t>14943689</t>
        </is>
      </c>
      <c r="B5047" t="inlineStr">
        <is>
          <t>3f6b194a-8cc3-48fc-b8cc-6019002908b0</t>
        </is>
      </c>
      <c r="D5047" t="inlineStr">
        <is>
          <t>30001087</t>
        </is>
      </c>
      <c r="E5047" t="inlineStr">
        <is>
          <t>ussd_funeral_leads_altitude_20260619</t>
        </is>
      </c>
      <c r="J5047" t="inlineStr">
        <is>
          <t>AA</t>
        </is>
      </c>
      <c r="K5047" t="inlineStr">
        <is>
          <t>Answering Machine Autodial</t>
        </is>
      </c>
      <c r="L5047" t="n">
        <v>2</v>
      </c>
      <c r="M5047" t="inlineStr">
        <is>
          <t>2026-06-22 13:04:43</t>
        </is>
      </c>
      <c r="N5047" t="inlineStr">
        <is>
          <t>system</t>
        </is>
      </c>
      <c r="O5047" t="inlineStr">
        <is>
          <t>2026-06-19 07:10:32</t>
        </is>
      </c>
      <c r="P5047" t="inlineStr">
        <is>
          <t>2026-06-19 07:10:32</t>
        </is>
      </c>
      <c r="Y5047" t="inlineStr">
        <is>
          <t>27765539721</t>
        </is>
      </c>
    </row>
    <row r="5048">
      <c r="A5048" t="inlineStr">
        <is>
          <t>14943687</t>
        </is>
      </c>
      <c r="B5048" t="inlineStr">
        <is>
          <t>ff93359c-9fa0-4fef-9d4e-e12843b4df37</t>
        </is>
      </c>
      <c r="D5048" t="inlineStr">
        <is>
          <t>30001087</t>
        </is>
      </c>
      <c r="E5048" t="inlineStr">
        <is>
          <t>ussd_funeral_leads_altitude_20260619</t>
        </is>
      </c>
      <c r="J5048" t="inlineStr">
        <is>
          <t>AA</t>
        </is>
      </c>
      <c r="K5048" t="inlineStr">
        <is>
          <t>Answering Machine Autodial</t>
        </is>
      </c>
      <c r="L5048" t="n">
        <v>2</v>
      </c>
      <c r="M5048" t="inlineStr">
        <is>
          <t>2026-06-22 13:04:36</t>
        </is>
      </c>
      <c r="N5048" t="inlineStr">
        <is>
          <t>system</t>
        </is>
      </c>
      <c r="O5048" t="inlineStr">
        <is>
          <t>2026-06-19 07:10:32</t>
        </is>
      </c>
      <c r="P5048" t="inlineStr">
        <is>
          <t>2026-06-19 07:10:32</t>
        </is>
      </c>
      <c r="Y5048" t="inlineStr">
        <is>
          <t>27797623763</t>
        </is>
      </c>
    </row>
    <row r="5049">
      <c r="A5049" t="inlineStr">
        <is>
          <t>14943683</t>
        </is>
      </c>
      <c r="B5049" t="inlineStr">
        <is>
          <t>72248802-2d29-478b-885b-122346aaff9f</t>
        </is>
      </c>
      <c r="D5049" t="inlineStr">
        <is>
          <t>30001087</t>
        </is>
      </c>
      <c r="E5049" t="inlineStr">
        <is>
          <t>ussd_funeral_leads_altitude_20260619</t>
        </is>
      </c>
      <c r="J5049" t="inlineStr">
        <is>
          <t>DROP</t>
        </is>
      </c>
      <c r="K5049" t="inlineStr">
        <is>
          <t>Dropped</t>
        </is>
      </c>
      <c r="L5049" t="n">
        <v>2</v>
      </c>
      <c r="M5049" t="inlineStr">
        <is>
          <t>2026-06-22 13:04:35</t>
        </is>
      </c>
      <c r="N5049" t="inlineStr">
        <is>
          <t>system</t>
        </is>
      </c>
      <c r="O5049" t="inlineStr">
        <is>
          <t>2026-06-19 07:10:32</t>
        </is>
      </c>
      <c r="P5049" t="inlineStr">
        <is>
          <t>2026-06-19 07:10:32</t>
        </is>
      </c>
      <c r="Y5049" t="inlineStr">
        <is>
          <t>27646252679</t>
        </is>
      </c>
    </row>
    <row r="5050">
      <c r="A5050" t="inlineStr">
        <is>
          <t>14943684</t>
        </is>
      </c>
      <c r="B5050" t="inlineStr">
        <is>
          <t>2dde7620-3ce3-461a-aa02-3afeacb6d9b1</t>
        </is>
      </c>
      <c r="D5050" t="inlineStr">
        <is>
          <t>30001087</t>
        </is>
      </c>
      <c r="E5050" t="inlineStr">
        <is>
          <t>ussd_funeral_leads_altitude_20260619</t>
        </is>
      </c>
      <c r="J5050" t="inlineStr">
        <is>
          <t>NA</t>
        </is>
      </c>
      <c r="K5050" t="inlineStr">
        <is>
          <t>No Answer Autodial</t>
        </is>
      </c>
      <c r="L5050" t="n">
        <v>2</v>
      </c>
      <c r="M5050" t="inlineStr">
        <is>
          <t>2026-06-22 13:04:35</t>
        </is>
      </c>
      <c r="N5050" t="inlineStr">
        <is>
          <t>system</t>
        </is>
      </c>
      <c r="O5050" t="inlineStr">
        <is>
          <t>2026-06-19 07:10:32</t>
        </is>
      </c>
      <c r="P5050" t="inlineStr">
        <is>
          <t>2026-06-19 07:10:32</t>
        </is>
      </c>
      <c r="Y5050" t="inlineStr">
        <is>
          <t>27663556649</t>
        </is>
      </c>
    </row>
    <row r="5051">
      <c r="A5051" t="inlineStr">
        <is>
          <t>14943685</t>
        </is>
      </c>
      <c r="B5051" t="inlineStr">
        <is>
          <t>0be0f2c1-87f0-4858-b644-7e2afbf62d62</t>
        </is>
      </c>
      <c r="D5051" t="inlineStr">
        <is>
          <t>30001087</t>
        </is>
      </c>
      <c r="E5051" t="inlineStr">
        <is>
          <t>ussd_funeral_leads_altitude_20260619</t>
        </is>
      </c>
      <c r="J5051" t="inlineStr">
        <is>
          <t>AA</t>
        </is>
      </c>
      <c r="K5051" t="inlineStr">
        <is>
          <t>Answering Machine Autodial</t>
        </is>
      </c>
      <c r="L5051" t="n">
        <v>2</v>
      </c>
      <c r="M5051" t="inlineStr">
        <is>
          <t>2026-06-22 13:04:35</t>
        </is>
      </c>
      <c r="N5051" t="inlineStr">
        <is>
          <t>system</t>
        </is>
      </c>
      <c r="O5051" t="inlineStr">
        <is>
          <t>2026-06-19 07:10:32</t>
        </is>
      </c>
      <c r="P5051" t="inlineStr">
        <is>
          <t>2026-06-19 07:10:32</t>
        </is>
      </c>
      <c r="Y5051" t="inlineStr">
        <is>
          <t>27760645611</t>
        </is>
      </c>
    </row>
    <row r="5052">
      <c r="A5052" t="inlineStr">
        <is>
          <t>14900000</t>
        </is>
      </c>
      <c r="B5052" t="inlineStr">
        <is>
          <t>9532e407-36c5-4ed2-ad55-ad22bc3aaedb</t>
        </is>
      </c>
      <c r="D5052" t="inlineStr">
        <is>
          <t>30001087</t>
        </is>
      </c>
      <c r="E5052" t="inlineStr">
        <is>
          <t>ussd_funeral_leads_altitude_20260619</t>
        </is>
      </c>
      <c r="J5052" t="inlineStr">
        <is>
          <t>AF</t>
        </is>
      </c>
      <c r="K5052" t="inlineStr">
        <is>
          <t>Cannot Afford</t>
        </is>
      </c>
      <c r="L5052" t="n">
        <v>2</v>
      </c>
      <c r="M5052" t="inlineStr">
        <is>
          <t>2026-06-22 13:04:35</t>
        </is>
      </c>
      <c r="N5052" t="inlineStr">
        <is>
          <t>Bongiwe Precious Cele</t>
        </is>
      </c>
      <c r="O5052" t="inlineStr">
        <is>
          <t>2026-06-19 07:10:32</t>
        </is>
      </c>
      <c r="P5052" t="inlineStr">
        <is>
          <t>2026-06-19 07:10:32</t>
        </is>
      </c>
      <c r="Y5052" t="inlineStr">
        <is>
          <t>27794244326</t>
        </is>
      </c>
    </row>
    <row r="5053">
      <c r="A5053" t="inlineStr">
        <is>
          <t>14943681</t>
        </is>
      </c>
      <c r="B5053" t="inlineStr">
        <is>
          <t>51a43d7b-f4fa-4f93-bbc9-f97be00fa316</t>
        </is>
      </c>
      <c r="D5053" t="inlineStr">
        <is>
          <t>30001087</t>
        </is>
      </c>
      <c r="E5053" t="inlineStr">
        <is>
          <t>ussd_funeral_leads_altitude_20260619</t>
        </is>
      </c>
      <c r="J5053" t="inlineStr">
        <is>
          <t>AA</t>
        </is>
      </c>
      <c r="K5053" t="inlineStr">
        <is>
          <t>Answering Machine Autodial</t>
        </is>
      </c>
      <c r="L5053" t="n">
        <v>2</v>
      </c>
      <c r="M5053" t="inlineStr">
        <is>
          <t>2026-06-22 13:04:27</t>
        </is>
      </c>
      <c r="N5053" t="inlineStr">
        <is>
          <t>system</t>
        </is>
      </c>
      <c r="O5053" t="inlineStr">
        <is>
          <t>2026-06-19 07:10:32</t>
        </is>
      </c>
      <c r="P5053" t="inlineStr">
        <is>
          <t>2026-06-19 07:10:32</t>
        </is>
      </c>
      <c r="Y5053" t="inlineStr">
        <is>
          <t>27793726601</t>
        </is>
      </c>
    </row>
    <row r="5054">
      <c r="A5054" t="inlineStr">
        <is>
          <t>14943682</t>
        </is>
      </c>
      <c r="B5054" t="inlineStr">
        <is>
          <t>d4497dd2-a737-430b-8ee0-aa1904ce730f</t>
        </is>
      </c>
      <c r="D5054" t="inlineStr">
        <is>
          <t>30001087</t>
        </is>
      </c>
      <c r="E5054" t="inlineStr">
        <is>
          <t>ussd_funeral_leads_altitude_20260619</t>
        </is>
      </c>
      <c r="J5054" t="inlineStr">
        <is>
          <t>AA</t>
        </is>
      </c>
      <c r="K5054" t="inlineStr">
        <is>
          <t>Answering Machine Autodial</t>
        </is>
      </c>
      <c r="L5054" t="n">
        <v>2</v>
      </c>
      <c r="M5054" t="inlineStr">
        <is>
          <t>2026-06-22 13:04:27</t>
        </is>
      </c>
      <c r="N5054" t="inlineStr">
        <is>
          <t>system</t>
        </is>
      </c>
      <c r="O5054" t="inlineStr">
        <is>
          <t>2026-06-19 07:10:32</t>
        </is>
      </c>
      <c r="P5054" t="inlineStr">
        <is>
          <t>2026-06-19 07:10:32</t>
        </is>
      </c>
      <c r="Y5054" t="inlineStr">
        <is>
          <t>27797978720</t>
        </is>
      </c>
    </row>
    <row r="5055">
      <c r="A5055" t="inlineStr">
        <is>
          <t>14943725</t>
        </is>
      </c>
      <c r="B5055" t="inlineStr">
        <is>
          <t>a5d32075-aa8d-48b4-9168-13472c6b44c6</t>
        </is>
      </c>
      <c r="D5055" t="inlineStr">
        <is>
          <t>30001087</t>
        </is>
      </c>
      <c r="E5055" t="inlineStr">
        <is>
          <t>ussd_funeral_leads_altitude_20260619</t>
        </is>
      </c>
      <c r="J5055" t="inlineStr">
        <is>
          <t>ADC</t>
        </is>
      </c>
      <c r="K5055" t="inlineStr">
        <is>
          <t>Auto Dial Disconnected</t>
        </is>
      </c>
      <c r="L5055" t="n">
        <v>2</v>
      </c>
      <c r="M5055" t="inlineStr">
        <is>
          <t>2026-06-22 13:04:04</t>
        </is>
      </c>
      <c r="N5055" t="inlineStr">
        <is>
          <t>system</t>
        </is>
      </c>
      <c r="O5055" t="inlineStr">
        <is>
          <t>2026-06-19 07:10:32</t>
        </is>
      </c>
      <c r="P5055" t="inlineStr">
        <is>
          <t>2026-06-19 07:10:32</t>
        </is>
      </c>
      <c r="Y5055" t="inlineStr">
        <is>
          <t>27790704351</t>
        </is>
      </c>
    </row>
    <row r="5056">
      <c r="A5056" t="inlineStr">
        <is>
          <t>14943727</t>
        </is>
      </c>
      <c r="B5056" t="inlineStr">
        <is>
          <t>30e8e02e-9eba-4acd-933e-8b428cce70d9</t>
        </is>
      </c>
      <c r="D5056" t="inlineStr">
        <is>
          <t>30001087</t>
        </is>
      </c>
      <c r="E5056" t="inlineStr">
        <is>
          <t>ussd_funeral_leads_altitude_20260619</t>
        </is>
      </c>
      <c r="J5056" t="inlineStr">
        <is>
          <t>AA</t>
        </is>
      </c>
      <c r="K5056" t="inlineStr">
        <is>
          <t>Answering Machine Autodial</t>
        </is>
      </c>
      <c r="L5056" t="n">
        <v>2</v>
      </c>
      <c r="M5056" t="inlineStr">
        <is>
          <t>2026-06-22 13:04:04</t>
        </is>
      </c>
      <c r="N5056" t="inlineStr">
        <is>
          <t>system</t>
        </is>
      </c>
      <c r="O5056" t="inlineStr">
        <is>
          <t>2026-06-19 07:10:32</t>
        </is>
      </c>
      <c r="P5056" t="inlineStr">
        <is>
          <t>2026-06-19 07:10:32</t>
        </is>
      </c>
      <c r="Y5056" t="inlineStr">
        <is>
          <t>27762132074</t>
        </is>
      </c>
    </row>
    <row r="5057">
      <c r="A5057" t="inlineStr">
        <is>
          <t>14943724</t>
        </is>
      </c>
      <c r="B5057" t="inlineStr">
        <is>
          <t>60b398f9-2b55-472e-9487-46dc9b25b8b7</t>
        </is>
      </c>
      <c r="D5057" t="inlineStr">
        <is>
          <t>30001087</t>
        </is>
      </c>
      <c r="E5057" t="inlineStr">
        <is>
          <t>ussd_funeral_leads_altitude_20260619</t>
        </is>
      </c>
      <c r="J5057" t="inlineStr">
        <is>
          <t>DROP</t>
        </is>
      </c>
      <c r="K5057" t="inlineStr">
        <is>
          <t>Dropped</t>
        </is>
      </c>
      <c r="L5057" t="n">
        <v>2</v>
      </c>
      <c r="M5057" t="inlineStr">
        <is>
          <t>2026-06-22 13:04:03</t>
        </is>
      </c>
      <c r="N5057" t="inlineStr">
        <is>
          <t>system</t>
        </is>
      </c>
      <c r="O5057" t="inlineStr">
        <is>
          <t>2026-06-19 07:10:32</t>
        </is>
      </c>
      <c r="P5057" t="inlineStr">
        <is>
          <t>2026-06-19 07:10:32</t>
        </is>
      </c>
      <c r="Y5057" t="inlineStr">
        <is>
          <t>27792477329</t>
        </is>
      </c>
    </row>
    <row r="5058">
      <c r="A5058" t="inlineStr">
        <is>
          <t>14943719</t>
        </is>
      </c>
      <c r="B5058" t="inlineStr">
        <is>
          <t>ec1eb3ae-a1ee-4ad6-9d0b-26294973b5ee</t>
        </is>
      </c>
      <c r="D5058" t="inlineStr">
        <is>
          <t>30001087</t>
        </is>
      </c>
      <c r="E5058" t="inlineStr">
        <is>
          <t>ussd_funeral_leads_altitude_20260619</t>
        </is>
      </c>
      <c r="J5058" t="inlineStr">
        <is>
          <t>AA</t>
        </is>
      </c>
      <c r="K5058" t="inlineStr">
        <is>
          <t>Answering Machine Autodial</t>
        </is>
      </c>
      <c r="L5058" t="n">
        <v>2</v>
      </c>
      <c r="M5058" t="inlineStr">
        <is>
          <t>2026-06-22 13:04:00</t>
        </is>
      </c>
      <c r="N5058" t="inlineStr">
        <is>
          <t>system</t>
        </is>
      </c>
      <c r="O5058" t="inlineStr">
        <is>
          <t>2026-06-19 07:10:32</t>
        </is>
      </c>
      <c r="P5058" t="inlineStr">
        <is>
          <t>2026-06-19 07:10:32</t>
        </is>
      </c>
      <c r="Y5058" t="inlineStr">
        <is>
          <t>27720141395</t>
        </is>
      </c>
    </row>
    <row r="5059">
      <c r="A5059" t="inlineStr">
        <is>
          <t>14943720</t>
        </is>
      </c>
      <c r="B5059" t="inlineStr">
        <is>
          <t>a7075d60-b979-4db6-9028-3820b2864392</t>
        </is>
      </c>
      <c r="D5059" t="inlineStr">
        <is>
          <t>30001087</t>
        </is>
      </c>
      <c r="E5059" t="inlineStr">
        <is>
          <t>ussd_funeral_leads_altitude_20260619</t>
        </is>
      </c>
      <c r="J5059" t="inlineStr">
        <is>
          <t>TDN</t>
        </is>
      </c>
      <c r="K5059" t="inlineStr">
        <is>
          <t>Temporary Disconnected Number</t>
        </is>
      </c>
      <c r="L5059" t="n">
        <v>2</v>
      </c>
      <c r="M5059" t="inlineStr">
        <is>
          <t>2026-06-22 13:04:00</t>
        </is>
      </c>
      <c r="N5059" t="inlineStr">
        <is>
          <t>system</t>
        </is>
      </c>
      <c r="O5059" t="inlineStr">
        <is>
          <t>2026-06-19 07:10:32</t>
        </is>
      </c>
      <c r="P5059" t="inlineStr">
        <is>
          <t>2026-06-19 07:10:32</t>
        </is>
      </c>
      <c r="Y5059" t="inlineStr">
        <is>
          <t>27760217450</t>
        </is>
      </c>
    </row>
    <row r="5060">
      <c r="A5060" t="inlineStr">
        <is>
          <t>14943721</t>
        </is>
      </c>
      <c r="B5060" t="inlineStr">
        <is>
          <t>de833394-6dfd-4c51-8266-cbeb4550ae40</t>
        </is>
      </c>
      <c r="D5060" t="inlineStr">
        <is>
          <t>30001087</t>
        </is>
      </c>
      <c r="E5060" t="inlineStr">
        <is>
          <t>ussd_funeral_leads_altitude_20260619</t>
        </is>
      </c>
      <c r="J5060" t="inlineStr">
        <is>
          <t>ADC</t>
        </is>
      </c>
      <c r="K5060" t="inlineStr">
        <is>
          <t>Auto Dial Disconnected</t>
        </is>
      </c>
      <c r="L5060" t="n">
        <v>2</v>
      </c>
      <c r="M5060" t="inlineStr">
        <is>
          <t>2026-06-22 13:04:00</t>
        </is>
      </c>
      <c r="N5060" t="inlineStr">
        <is>
          <t>system</t>
        </is>
      </c>
      <c r="O5060" t="inlineStr">
        <is>
          <t>2026-06-19 07:10:32</t>
        </is>
      </c>
      <c r="P5060" t="inlineStr">
        <is>
          <t>2026-06-19 07:10:32</t>
        </is>
      </c>
      <c r="Y5060" t="inlineStr">
        <is>
          <t>27794226494</t>
        </is>
      </c>
    </row>
    <row r="5061">
      <c r="A5061" t="inlineStr">
        <is>
          <t>14943722</t>
        </is>
      </c>
      <c r="B5061" t="inlineStr">
        <is>
          <t>db8087fb-78c8-4d14-979a-0a6e8cb1bf18</t>
        </is>
      </c>
      <c r="D5061" t="inlineStr">
        <is>
          <t>30001087</t>
        </is>
      </c>
      <c r="E5061" t="inlineStr">
        <is>
          <t>ussd_funeral_leads_altitude_20260619</t>
        </is>
      </c>
      <c r="J5061" t="inlineStr">
        <is>
          <t>ADC</t>
        </is>
      </c>
      <c r="K5061" t="inlineStr">
        <is>
          <t>Auto Dial Disconnected</t>
        </is>
      </c>
      <c r="L5061" t="n">
        <v>2</v>
      </c>
      <c r="M5061" t="inlineStr">
        <is>
          <t>2026-06-22 13:04:00</t>
        </is>
      </c>
      <c r="N5061" t="inlineStr">
        <is>
          <t>system</t>
        </is>
      </c>
      <c r="O5061" t="inlineStr">
        <is>
          <t>2026-06-19 07:10:32</t>
        </is>
      </c>
      <c r="P5061" t="inlineStr">
        <is>
          <t>2026-06-19 07:10:32</t>
        </is>
      </c>
      <c r="Y5061" t="inlineStr">
        <is>
          <t>27608111297</t>
        </is>
      </c>
    </row>
    <row r="5062">
      <c r="A5062" t="inlineStr">
        <is>
          <t>14943718</t>
        </is>
      </c>
      <c r="B5062" t="inlineStr">
        <is>
          <t>5f8a7421-62d3-4945-ba5c-47b8965f90d2</t>
        </is>
      </c>
      <c r="D5062" t="inlineStr">
        <is>
          <t>30001087</t>
        </is>
      </c>
      <c r="E5062" t="inlineStr">
        <is>
          <t>ussd_funeral_leads_altitude_20260619</t>
        </is>
      </c>
      <c r="J5062" t="inlineStr">
        <is>
          <t>AA</t>
        </is>
      </c>
      <c r="K5062" t="inlineStr">
        <is>
          <t>Answering Machine Autodial</t>
        </is>
      </c>
      <c r="L5062" t="n">
        <v>2</v>
      </c>
      <c r="M5062" t="inlineStr">
        <is>
          <t>2026-06-22 13:03:59</t>
        </is>
      </c>
      <c r="N5062" t="inlineStr">
        <is>
          <t>system</t>
        </is>
      </c>
      <c r="O5062" t="inlineStr">
        <is>
          <t>2026-06-19 07:10:32</t>
        </is>
      </c>
      <c r="P5062" t="inlineStr">
        <is>
          <t>2026-06-19 07:10:32</t>
        </is>
      </c>
      <c r="Y5062" t="inlineStr">
        <is>
          <t>27798288504</t>
        </is>
      </c>
    </row>
    <row r="5063">
      <c r="A5063" t="inlineStr">
        <is>
          <t>14943710</t>
        </is>
      </c>
      <c r="B5063" t="inlineStr">
        <is>
          <t>840150ef-b8e1-46af-80f0-dd6cce500895</t>
        </is>
      </c>
      <c r="D5063" t="inlineStr">
        <is>
          <t>30001087</t>
        </is>
      </c>
      <c r="E5063" t="inlineStr">
        <is>
          <t>ussd_funeral_leads_altitude_20260619</t>
        </is>
      </c>
      <c r="J5063" t="inlineStr">
        <is>
          <t>LANG</t>
        </is>
      </c>
      <c r="K5063" t="inlineStr">
        <is>
          <t>Language Barrier</t>
        </is>
      </c>
      <c r="L5063" t="n">
        <v>2</v>
      </c>
      <c r="M5063" t="inlineStr">
        <is>
          <t>2026-06-22 13:03:53</t>
        </is>
      </c>
      <c r="N5063" t="inlineStr">
        <is>
          <t>Goitsimang Mogwasa</t>
        </is>
      </c>
      <c r="O5063" t="inlineStr">
        <is>
          <t>2026-06-19 07:10:32</t>
        </is>
      </c>
      <c r="P5063" t="inlineStr">
        <is>
          <t>2026-06-19 07:10:32</t>
        </is>
      </c>
      <c r="Y5063" t="inlineStr">
        <is>
          <t>27828131637</t>
        </is>
      </c>
    </row>
    <row r="5064">
      <c r="A5064" t="inlineStr">
        <is>
          <t>14943709</t>
        </is>
      </c>
      <c r="B5064" t="inlineStr">
        <is>
          <t>7b4c85b9-3de2-45a7-8765-83110334178d</t>
        </is>
      </c>
      <c r="D5064" t="inlineStr">
        <is>
          <t>30001087</t>
        </is>
      </c>
      <c r="E5064" t="inlineStr">
        <is>
          <t>ussd_funeral_leads_altitude_20260619</t>
        </is>
      </c>
      <c r="J5064" t="inlineStr">
        <is>
          <t>AA</t>
        </is>
      </c>
      <c r="K5064" t="inlineStr">
        <is>
          <t>Answering Machine Autodial</t>
        </is>
      </c>
      <c r="L5064" t="n">
        <v>2</v>
      </c>
      <c r="M5064" t="inlineStr">
        <is>
          <t>2026-06-22 13:03:28</t>
        </is>
      </c>
      <c r="N5064" t="inlineStr">
        <is>
          <t>system</t>
        </is>
      </c>
      <c r="O5064" t="inlineStr">
        <is>
          <t>2026-06-19 07:10:32</t>
        </is>
      </c>
      <c r="P5064" t="inlineStr">
        <is>
          <t>2026-06-19 07:10:32</t>
        </is>
      </c>
      <c r="Y5064" t="inlineStr">
        <is>
          <t>27762234422</t>
        </is>
      </c>
    </row>
    <row r="5065">
      <c r="A5065" t="inlineStr">
        <is>
          <t>14945647</t>
        </is>
      </c>
      <c r="B5065" t="inlineStr">
        <is>
          <t>62e9bd7c-2140-447d-8c6d-93bd4629cb11</t>
        </is>
      </c>
      <c r="D5065" t="inlineStr">
        <is>
          <t>30001087</t>
        </is>
      </c>
      <c r="E5065" t="inlineStr">
        <is>
          <t>ussd_funeral_leads_altitude_20260619</t>
        </is>
      </c>
      <c r="J5065" t="inlineStr">
        <is>
          <t>A</t>
        </is>
      </c>
      <c r="K5065" t="inlineStr">
        <is>
          <t>Answering Machine</t>
        </is>
      </c>
      <c r="L5065" t="n">
        <v>3</v>
      </c>
      <c r="M5065" t="inlineStr">
        <is>
          <t>2026-06-22 13:03:27</t>
        </is>
      </c>
      <c r="N5065" t="inlineStr">
        <is>
          <t>Goitsimang Mogwasa</t>
        </is>
      </c>
      <c r="O5065" t="inlineStr">
        <is>
          <t>2026-06-19 07:10:32</t>
        </is>
      </c>
      <c r="P5065" t="inlineStr">
        <is>
          <t>2026-06-19 07:10:32</t>
        </is>
      </c>
      <c r="Y5065" t="inlineStr">
        <is>
          <t>27822017709</t>
        </is>
      </c>
    </row>
    <row r="5066">
      <c r="A5066" t="inlineStr">
        <is>
          <t>14947471</t>
        </is>
      </c>
      <c r="B5066" t="inlineStr">
        <is>
          <t>4fd8cb6b-481d-4af2-9479-0f765dfa3eed</t>
        </is>
      </c>
      <c r="D5066" t="inlineStr">
        <is>
          <t>30001087</t>
        </is>
      </c>
      <c r="E5066" t="inlineStr">
        <is>
          <t>ussd_funeral_leads_altitude_20260619</t>
        </is>
      </c>
      <c r="J5066" t="inlineStr">
        <is>
          <t>AA</t>
        </is>
      </c>
      <c r="K5066" t="inlineStr">
        <is>
          <t>Answering Machine Autodial</t>
        </is>
      </c>
      <c r="L5066" t="n">
        <v>2</v>
      </c>
      <c r="M5066" t="inlineStr">
        <is>
          <t>2026-06-22 13:03:22</t>
        </is>
      </c>
      <c r="N5066" t="inlineStr">
        <is>
          <t>system</t>
        </is>
      </c>
      <c r="O5066" t="inlineStr">
        <is>
          <t>2026-06-19 07:10:32</t>
        </is>
      </c>
      <c r="P5066" t="inlineStr">
        <is>
          <t>2026-06-19 07:10:32</t>
        </is>
      </c>
      <c r="Y5066" t="inlineStr">
        <is>
          <t>27608153602</t>
        </is>
      </c>
    </row>
    <row r="5067">
      <c r="A5067" t="inlineStr">
        <is>
          <t>14944298</t>
        </is>
      </c>
      <c r="B5067" t="inlineStr">
        <is>
          <t>31c917ba-e538-449a-9bac-92e5e9fb801f</t>
        </is>
      </c>
      <c r="D5067" t="inlineStr">
        <is>
          <t>30001087</t>
        </is>
      </c>
      <c r="E5067" t="inlineStr">
        <is>
          <t>ussd_funeral_leads_altitude_20260619</t>
        </is>
      </c>
      <c r="H5067" t="inlineStr">
        <is>
          <t>27673887095</t>
        </is>
      </c>
      <c r="J5067" t="inlineStr">
        <is>
          <t>CU</t>
        </is>
      </c>
      <c r="K5067" t="inlineStr">
        <is>
          <t>Client Hung Up</t>
        </is>
      </c>
      <c r="L5067" t="n">
        <v>2</v>
      </c>
      <c r="M5067" t="inlineStr">
        <is>
          <t>2026-06-22 13:02:11</t>
        </is>
      </c>
      <c r="N5067" t="inlineStr">
        <is>
          <t>Goitsimang Mogwasa</t>
        </is>
      </c>
      <c r="O5067" t="inlineStr">
        <is>
          <t>2026-06-19 07:10:32</t>
        </is>
      </c>
      <c r="P5067" t="inlineStr">
        <is>
          <t>2026-06-19 07:10:32</t>
        </is>
      </c>
      <c r="Y5067" t="inlineStr">
        <is>
          <t>27673887095</t>
        </is>
      </c>
    </row>
    <row r="5068">
      <c r="A5068" t="inlineStr">
        <is>
          <t>14943771</t>
        </is>
      </c>
      <c r="B5068" t="inlineStr">
        <is>
          <t>bc412ff0-1dd7-423d-8e98-c4b56310a981</t>
        </is>
      </c>
      <c r="D5068" t="inlineStr">
        <is>
          <t>30001087</t>
        </is>
      </c>
      <c r="E5068" t="inlineStr">
        <is>
          <t>ussd_funeral_leads_altitude_20260619</t>
        </is>
      </c>
      <c r="J5068" t="inlineStr">
        <is>
          <t>DROP</t>
        </is>
      </c>
      <c r="K5068" t="inlineStr">
        <is>
          <t>Dropped</t>
        </is>
      </c>
      <c r="L5068" t="n">
        <v>2</v>
      </c>
      <c r="M5068" t="inlineStr">
        <is>
          <t>2026-06-22 13:01:51</t>
        </is>
      </c>
      <c r="N5068" t="inlineStr">
        <is>
          <t>system</t>
        </is>
      </c>
      <c r="O5068" t="inlineStr">
        <is>
          <t>2026-06-19 07:10:32</t>
        </is>
      </c>
      <c r="P5068" t="inlineStr">
        <is>
          <t>2026-06-19 07:10:32</t>
        </is>
      </c>
      <c r="Y5068" t="inlineStr">
        <is>
          <t>27768927555</t>
        </is>
      </c>
    </row>
    <row r="5069">
      <c r="A5069" t="inlineStr">
        <is>
          <t>14943765</t>
        </is>
      </c>
      <c r="B5069" t="inlineStr">
        <is>
          <t>bf9a4b32-66aa-48bc-8cc3-f3005d8df530</t>
        </is>
      </c>
      <c r="D5069" t="inlineStr">
        <is>
          <t>30001087</t>
        </is>
      </c>
      <c r="E5069" t="inlineStr">
        <is>
          <t>ussd_funeral_leads_altitude_20260619</t>
        </is>
      </c>
      <c r="J5069" t="inlineStr">
        <is>
          <t>AE</t>
        </is>
      </c>
      <c r="K5069" t="inlineStr">
        <is>
          <t>Auto Engaged</t>
        </is>
      </c>
      <c r="L5069" t="n">
        <v>2</v>
      </c>
      <c r="M5069" t="inlineStr">
        <is>
          <t>2026-06-22 13:01:43</t>
        </is>
      </c>
      <c r="N5069" t="inlineStr">
        <is>
          <t>system</t>
        </is>
      </c>
      <c r="O5069" t="inlineStr">
        <is>
          <t>2026-06-19 07:10:32</t>
        </is>
      </c>
      <c r="P5069" t="inlineStr">
        <is>
          <t>2026-06-19 07:10:32</t>
        </is>
      </c>
      <c r="Y5069" t="inlineStr">
        <is>
          <t>27765366746</t>
        </is>
      </c>
    </row>
    <row r="5070">
      <c r="A5070" t="inlineStr">
        <is>
          <t>14943766</t>
        </is>
      </c>
      <c r="B5070" t="inlineStr">
        <is>
          <t>de55b60b-974f-4473-ae52-335d823877ae</t>
        </is>
      </c>
      <c r="D5070" t="inlineStr">
        <is>
          <t>30001087</t>
        </is>
      </c>
      <c r="E5070" t="inlineStr">
        <is>
          <t>ussd_funeral_leads_altitude_20260619</t>
        </is>
      </c>
      <c r="J5070" t="inlineStr">
        <is>
          <t>AA</t>
        </is>
      </c>
      <c r="K5070" t="inlineStr">
        <is>
          <t>Answering Machine Autodial</t>
        </is>
      </c>
      <c r="L5070" t="n">
        <v>2</v>
      </c>
      <c r="M5070" t="inlineStr">
        <is>
          <t>2026-06-22 13:01:43</t>
        </is>
      </c>
      <c r="N5070" t="inlineStr">
        <is>
          <t>system</t>
        </is>
      </c>
      <c r="O5070" t="inlineStr">
        <is>
          <t>2026-06-19 07:10:32</t>
        </is>
      </c>
      <c r="P5070" t="inlineStr">
        <is>
          <t>2026-06-19 07:10:32</t>
        </is>
      </c>
      <c r="Y5070" t="inlineStr">
        <is>
          <t>27649187739</t>
        </is>
      </c>
    </row>
    <row r="5071">
      <c r="A5071" t="inlineStr">
        <is>
          <t>14943761</t>
        </is>
      </c>
      <c r="B5071" t="inlineStr">
        <is>
          <t>1f459a1a-7862-4474-a613-f66995ed2db1</t>
        </is>
      </c>
      <c r="D5071" t="inlineStr">
        <is>
          <t>30001087</t>
        </is>
      </c>
      <c r="E5071" t="inlineStr">
        <is>
          <t>ussd_funeral_leads_altitude_20260619</t>
        </is>
      </c>
      <c r="J5071" t="inlineStr">
        <is>
          <t>AA</t>
        </is>
      </c>
      <c r="K5071" t="inlineStr">
        <is>
          <t>Answering Machine Autodial</t>
        </is>
      </c>
      <c r="L5071" t="n">
        <v>2</v>
      </c>
      <c r="M5071" t="inlineStr">
        <is>
          <t>2026-06-22 13:01:42</t>
        </is>
      </c>
      <c r="N5071" t="inlineStr">
        <is>
          <t>system</t>
        </is>
      </c>
      <c r="O5071" t="inlineStr">
        <is>
          <t>2026-06-19 07:10:32</t>
        </is>
      </c>
      <c r="P5071" t="inlineStr">
        <is>
          <t>2026-06-19 07:10:32</t>
        </is>
      </c>
      <c r="Y5071" t="inlineStr">
        <is>
          <t>27823538376</t>
        </is>
      </c>
    </row>
    <row r="5072">
      <c r="A5072" t="inlineStr">
        <is>
          <t>14943762</t>
        </is>
      </c>
      <c r="B5072" t="inlineStr">
        <is>
          <t>b9820281-f7da-4a9e-b7d7-b80eb26acb54</t>
        </is>
      </c>
      <c r="D5072" t="inlineStr">
        <is>
          <t>30001087</t>
        </is>
      </c>
      <c r="E5072" t="inlineStr">
        <is>
          <t>ussd_funeral_leads_altitude_20260619</t>
        </is>
      </c>
      <c r="J5072" t="inlineStr">
        <is>
          <t>AA</t>
        </is>
      </c>
      <c r="K5072" t="inlineStr">
        <is>
          <t>Answering Machine Autodial</t>
        </is>
      </c>
      <c r="L5072" t="n">
        <v>2</v>
      </c>
      <c r="M5072" t="inlineStr">
        <is>
          <t>2026-06-22 13:01:42</t>
        </is>
      </c>
      <c r="N5072" t="inlineStr">
        <is>
          <t>system</t>
        </is>
      </c>
      <c r="O5072" t="inlineStr">
        <is>
          <t>2026-06-19 07:10:32</t>
        </is>
      </c>
      <c r="P5072" t="inlineStr">
        <is>
          <t>2026-06-19 07:10:32</t>
        </is>
      </c>
      <c r="Y5072" t="inlineStr">
        <is>
          <t>27798548067</t>
        </is>
      </c>
    </row>
    <row r="5073">
      <c r="A5073" t="inlineStr">
        <is>
          <t>14943763</t>
        </is>
      </c>
      <c r="B5073" t="inlineStr">
        <is>
          <t>f0155efd-3810-41e9-b52a-d3c2b12b78c2</t>
        </is>
      </c>
      <c r="D5073" t="inlineStr">
        <is>
          <t>30001087</t>
        </is>
      </c>
      <c r="E5073" t="inlineStr">
        <is>
          <t>ussd_funeral_leads_altitude_20260619</t>
        </is>
      </c>
      <c r="J5073" t="inlineStr">
        <is>
          <t>AA</t>
        </is>
      </c>
      <c r="K5073" t="inlineStr">
        <is>
          <t>Answering Machine Autodial</t>
        </is>
      </c>
      <c r="L5073" t="n">
        <v>2</v>
      </c>
      <c r="M5073" t="inlineStr">
        <is>
          <t>2026-06-22 13:01:42</t>
        </is>
      </c>
      <c r="N5073" t="inlineStr">
        <is>
          <t>system</t>
        </is>
      </c>
      <c r="O5073" t="inlineStr">
        <is>
          <t>2026-06-19 07:10:32</t>
        </is>
      </c>
      <c r="P5073" t="inlineStr">
        <is>
          <t>2026-06-19 07:10:32</t>
        </is>
      </c>
      <c r="Y5073" t="inlineStr">
        <is>
          <t>27828656500</t>
        </is>
      </c>
    </row>
    <row r="5074">
      <c r="A5074" t="inlineStr">
        <is>
          <t>14943764</t>
        </is>
      </c>
      <c r="B5074" t="inlineStr">
        <is>
          <t>793d58e9-a65d-4b33-9cde-17f03cf488a6</t>
        </is>
      </c>
      <c r="D5074" t="inlineStr">
        <is>
          <t>30001087</t>
        </is>
      </c>
      <c r="E5074" t="inlineStr">
        <is>
          <t>ussd_funeral_leads_altitude_20260619</t>
        </is>
      </c>
      <c r="J5074" t="inlineStr">
        <is>
          <t>AA</t>
        </is>
      </c>
      <c r="K5074" t="inlineStr">
        <is>
          <t>Answering Machine Autodial</t>
        </is>
      </c>
      <c r="L5074" t="n">
        <v>2</v>
      </c>
      <c r="M5074" t="inlineStr">
        <is>
          <t>2026-06-22 13:01:42</t>
        </is>
      </c>
      <c r="N5074" t="inlineStr">
        <is>
          <t>system</t>
        </is>
      </c>
      <c r="O5074" t="inlineStr">
        <is>
          <t>2026-06-19 07:10:32</t>
        </is>
      </c>
      <c r="P5074" t="inlineStr">
        <is>
          <t>2026-06-19 07:10:32</t>
        </is>
      </c>
      <c r="Y5074" t="inlineStr">
        <is>
          <t>27714305695</t>
        </is>
      </c>
    </row>
    <row r="5075">
      <c r="A5075" t="inlineStr">
        <is>
          <t>14943767</t>
        </is>
      </c>
      <c r="B5075" t="inlineStr">
        <is>
          <t>8af6099c-dc83-444e-b363-c5fcc9b16d0f</t>
        </is>
      </c>
      <c r="D5075" t="inlineStr">
        <is>
          <t>30001087</t>
        </is>
      </c>
      <c r="E5075" t="inlineStr">
        <is>
          <t>ussd_funeral_leads_altitude_20260619</t>
        </is>
      </c>
      <c r="J5075" t="inlineStr">
        <is>
          <t>AA</t>
        </is>
      </c>
      <c r="K5075" t="inlineStr">
        <is>
          <t>Answering Machine Autodial</t>
        </is>
      </c>
      <c r="L5075" t="n">
        <v>2</v>
      </c>
      <c r="M5075" t="inlineStr">
        <is>
          <t>2026-06-22 13:01:39</t>
        </is>
      </c>
      <c r="N5075" t="inlineStr">
        <is>
          <t>system</t>
        </is>
      </c>
      <c r="O5075" t="inlineStr">
        <is>
          <t>2026-06-19 07:10:32</t>
        </is>
      </c>
      <c r="P5075" t="inlineStr">
        <is>
          <t>2026-06-19 07:10:32</t>
        </is>
      </c>
      <c r="Y5075" t="inlineStr">
        <is>
          <t>27796499991</t>
        </is>
      </c>
    </row>
    <row r="5076">
      <c r="A5076" t="inlineStr">
        <is>
          <t>14943769</t>
        </is>
      </c>
      <c r="B5076" t="inlineStr">
        <is>
          <t>cbabea3d-8bf8-4061-be78-90cab106b0b2</t>
        </is>
      </c>
      <c r="D5076" t="inlineStr">
        <is>
          <t>30001087</t>
        </is>
      </c>
      <c r="E5076" t="inlineStr">
        <is>
          <t>ussd_funeral_leads_altitude_20260619</t>
        </is>
      </c>
      <c r="J5076" t="inlineStr">
        <is>
          <t>NA</t>
        </is>
      </c>
      <c r="K5076" t="inlineStr">
        <is>
          <t>No Answer Autodial</t>
        </is>
      </c>
      <c r="L5076" t="n">
        <v>2</v>
      </c>
      <c r="M5076" t="inlineStr">
        <is>
          <t>2026-06-22 13:01:39</t>
        </is>
      </c>
      <c r="N5076" t="inlineStr">
        <is>
          <t>system</t>
        </is>
      </c>
      <c r="O5076" t="inlineStr">
        <is>
          <t>2026-06-19 07:10:32</t>
        </is>
      </c>
      <c r="P5076" t="inlineStr">
        <is>
          <t>2026-06-19 07:10:32</t>
        </is>
      </c>
      <c r="Y5076" t="inlineStr">
        <is>
          <t>27772993235</t>
        </is>
      </c>
    </row>
    <row r="5077">
      <c r="A5077" t="inlineStr">
        <is>
          <t>14943760</t>
        </is>
      </c>
      <c r="B5077" t="inlineStr">
        <is>
          <t>5de6c08b-055d-481a-9927-1b830e4e70ae</t>
        </is>
      </c>
      <c r="D5077" t="inlineStr">
        <is>
          <t>30001087</t>
        </is>
      </c>
      <c r="E5077" t="inlineStr">
        <is>
          <t>ussd_funeral_leads_altitude_20260619</t>
        </is>
      </c>
      <c r="J5077" t="inlineStr">
        <is>
          <t>NA</t>
        </is>
      </c>
      <c r="K5077" t="inlineStr">
        <is>
          <t>No Answer Autodial</t>
        </is>
      </c>
      <c r="L5077" t="n">
        <v>2</v>
      </c>
      <c r="M5077" t="inlineStr">
        <is>
          <t>2026-06-22 13:01:36</t>
        </is>
      </c>
      <c r="N5077" t="inlineStr">
        <is>
          <t>system</t>
        </is>
      </c>
      <c r="O5077" t="inlineStr">
        <is>
          <t>2026-06-19 07:10:32</t>
        </is>
      </c>
      <c r="P5077" t="inlineStr">
        <is>
          <t>2026-06-19 07:10:32</t>
        </is>
      </c>
      <c r="Y5077" t="inlineStr">
        <is>
          <t>27798531998</t>
        </is>
      </c>
    </row>
    <row r="5078">
      <c r="A5078" t="inlineStr">
        <is>
          <t>14943758</t>
        </is>
      </c>
      <c r="B5078" t="inlineStr">
        <is>
          <t>0db62301-6d9a-4fc0-bac1-cb4c36ec5a11</t>
        </is>
      </c>
      <c r="D5078" t="inlineStr">
        <is>
          <t>30001087</t>
        </is>
      </c>
      <c r="E5078" t="inlineStr">
        <is>
          <t>ussd_funeral_leads_altitude_20260619</t>
        </is>
      </c>
      <c r="J5078" t="inlineStr">
        <is>
          <t>CU</t>
        </is>
      </c>
      <c r="K5078" t="inlineStr">
        <is>
          <t>Client Hung Up</t>
        </is>
      </c>
      <c r="L5078" t="n">
        <v>2</v>
      </c>
      <c r="M5078" t="inlineStr">
        <is>
          <t>2026-06-22 13:01:32</t>
        </is>
      </c>
      <c r="N5078" t="inlineStr">
        <is>
          <t>Vuyiswa Nxumalo</t>
        </is>
      </c>
      <c r="O5078" t="inlineStr">
        <is>
          <t>2026-06-19 07:10:32</t>
        </is>
      </c>
      <c r="P5078" t="inlineStr">
        <is>
          <t>2026-06-19 07:10:32</t>
        </is>
      </c>
      <c r="Y5078" t="inlineStr">
        <is>
          <t>27820442246</t>
        </is>
      </c>
    </row>
    <row r="5079">
      <c r="A5079" t="inlineStr">
        <is>
          <t>14947472</t>
        </is>
      </c>
      <c r="B5079" t="inlineStr">
        <is>
          <t>4e4be652-d9a4-44e2-b274-59e118aafeb4</t>
        </is>
      </c>
      <c r="D5079" t="inlineStr">
        <is>
          <t>30001087</t>
        </is>
      </c>
      <c r="E5079" t="inlineStr">
        <is>
          <t>ussd_funeral_leads_altitude_20260619</t>
        </is>
      </c>
      <c r="J5079" t="inlineStr">
        <is>
          <t>ADC</t>
        </is>
      </c>
      <c r="K5079" t="inlineStr">
        <is>
          <t>Auto Dial Disconnected</t>
        </is>
      </c>
      <c r="L5079" t="n">
        <v>2</v>
      </c>
      <c r="M5079" t="inlineStr">
        <is>
          <t>2026-06-22 13:01:26</t>
        </is>
      </c>
      <c r="N5079" t="inlineStr">
        <is>
          <t>system</t>
        </is>
      </c>
      <c r="O5079" t="inlineStr">
        <is>
          <t>2026-06-19 07:10:32</t>
        </is>
      </c>
      <c r="P5079" t="inlineStr">
        <is>
          <t>2026-06-19 07:10:32</t>
        </is>
      </c>
      <c r="Y5079" t="inlineStr">
        <is>
          <t>27663475338</t>
        </is>
      </c>
    </row>
    <row r="5080">
      <c r="A5080" t="inlineStr">
        <is>
          <t>14947473</t>
        </is>
      </c>
      <c r="B5080" t="inlineStr">
        <is>
          <t>be31a4c3-258a-4836-ac87-a629bf2b05c2</t>
        </is>
      </c>
      <c r="D5080" t="inlineStr">
        <is>
          <t>30001087</t>
        </is>
      </c>
      <c r="E5080" t="inlineStr">
        <is>
          <t>ussd_funeral_leads_altitude_20260619</t>
        </is>
      </c>
      <c r="J5080" t="inlineStr">
        <is>
          <t>TDN</t>
        </is>
      </c>
      <c r="K5080" t="inlineStr">
        <is>
          <t>Temporary Disconnected Number</t>
        </is>
      </c>
      <c r="L5080" t="n">
        <v>2</v>
      </c>
      <c r="M5080" t="inlineStr">
        <is>
          <t>2026-06-22 13:01:23</t>
        </is>
      </c>
      <c r="N5080" t="inlineStr">
        <is>
          <t>system</t>
        </is>
      </c>
      <c r="O5080" t="inlineStr">
        <is>
          <t>2026-06-19 07:10:32</t>
        </is>
      </c>
      <c r="P5080" t="inlineStr">
        <is>
          <t>2026-06-19 07:10:32</t>
        </is>
      </c>
      <c r="Y5080" t="inlineStr">
        <is>
          <t>27774894144</t>
        </is>
      </c>
    </row>
    <row r="5081">
      <c r="A5081" t="inlineStr">
        <is>
          <t>14947475</t>
        </is>
      </c>
      <c r="B5081" t="inlineStr">
        <is>
          <t>501f84b2-f8f4-48cc-ba3f-3ad1819f03e8</t>
        </is>
      </c>
      <c r="D5081" t="inlineStr">
        <is>
          <t>30001087</t>
        </is>
      </c>
      <c r="E5081" t="inlineStr">
        <is>
          <t>ussd_funeral_leads_altitude_20260619</t>
        </is>
      </c>
      <c r="J5081" t="inlineStr">
        <is>
          <t>ADC</t>
        </is>
      </c>
      <c r="K5081" t="inlineStr">
        <is>
          <t>Auto Dial Disconnected</t>
        </is>
      </c>
      <c r="L5081" t="n">
        <v>2</v>
      </c>
      <c r="M5081" t="inlineStr">
        <is>
          <t>2026-06-22 13:01:22</t>
        </is>
      </c>
      <c r="N5081" t="inlineStr">
        <is>
          <t>system</t>
        </is>
      </c>
      <c r="O5081" t="inlineStr">
        <is>
          <t>2026-06-19 07:10:32</t>
        </is>
      </c>
      <c r="P5081" t="inlineStr">
        <is>
          <t>2026-06-19 07:10:32</t>
        </is>
      </c>
      <c r="Y5081" t="inlineStr">
        <is>
          <t>27724403237</t>
        </is>
      </c>
    </row>
    <row r="5082">
      <c r="A5082" t="inlineStr">
        <is>
          <t>14947476</t>
        </is>
      </c>
      <c r="B5082" t="inlineStr">
        <is>
          <t>ee967a60-e4c8-4978-ae99-e4b90686b476</t>
        </is>
      </c>
      <c r="D5082" t="inlineStr">
        <is>
          <t>30001087</t>
        </is>
      </c>
      <c r="E5082" t="inlineStr">
        <is>
          <t>ussd_funeral_leads_altitude_20260619</t>
        </is>
      </c>
      <c r="J5082" t="inlineStr">
        <is>
          <t>AA</t>
        </is>
      </c>
      <c r="K5082" t="inlineStr">
        <is>
          <t>Answering Machine Autodial</t>
        </is>
      </c>
      <c r="L5082" t="n">
        <v>2</v>
      </c>
      <c r="M5082" t="inlineStr">
        <is>
          <t>2026-06-22 13:01:22</t>
        </is>
      </c>
      <c r="N5082" t="inlineStr">
        <is>
          <t>system</t>
        </is>
      </c>
      <c r="O5082" t="inlineStr">
        <is>
          <t>2026-06-19 07:10:32</t>
        </is>
      </c>
      <c r="P5082" t="inlineStr">
        <is>
          <t>2026-06-19 07:10:32</t>
        </is>
      </c>
      <c r="Y5082" t="inlineStr">
        <is>
          <t>27711267348</t>
        </is>
      </c>
    </row>
    <row r="5083">
      <c r="A5083" t="inlineStr">
        <is>
          <t>14947477</t>
        </is>
      </c>
      <c r="B5083" t="inlineStr">
        <is>
          <t>4e7f9e78-b5f9-4f94-be2d-e42ca6ca2b65</t>
        </is>
      </c>
      <c r="D5083" t="inlineStr">
        <is>
          <t>30001087</t>
        </is>
      </c>
      <c r="E5083" t="inlineStr">
        <is>
          <t>ussd_funeral_leads_altitude_20260619</t>
        </is>
      </c>
      <c r="J5083" t="inlineStr">
        <is>
          <t>ADC</t>
        </is>
      </c>
      <c r="K5083" t="inlineStr">
        <is>
          <t>Auto Dial Disconnected</t>
        </is>
      </c>
      <c r="L5083" t="n">
        <v>2</v>
      </c>
      <c r="M5083" t="inlineStr">
        <is>
          <t>2026-06-22 13:01:11</t>
        </is>
      </c>
      <c r="N5083" t="inlineStr">
        <is>
          <t>system</t>
        </is>
      </c>
      <c r="O5083" t="inlineStr">
        <is>
          <t>2026-06-19 07:10:32</t>
        </is>
      </c>
      <c r="P5083" t="inlineStr">
        <is>
          <t>2026-06-19 07:10:32</t>
        </is>
      </c>
      <c r="Y5083" t="inlineStr">
        <is>
          <t>27675544819</t>
        </is>
      </c>
    </row>
    <row r="5084">
      <c r="A5084" t="inlineStr">
        <is>
          <t>14947478</t>
        </is>
      </c>
      <c r="B5084" t="inlineStr">
        <is>
          <t>c117851f-201a-4bce-80c4-2ee11dd33978</t>
        </is>
      </c>
      <c r="D5084" t="inlineStr">
        <is>
          <t>30001087</t>
        </is>
      </c>
      <c r="E5084" t="inlineStr">
        <is>
          <t>ussd_funeral_leads_altitude_20260619</t>
        </is>
      </c>
      <c r="J5084" t="inlineStr">
        <is>
          <t>AA</t>
        </is>
      </c>
      <c r="K5084" t="inlineStr">
        <is>
          <t>Answering Machine Autodial</t>
        </is>
      </c>
      <c r="L5084" t="n">
        <v>2</v>
      </c>
      <c r="M5084" t="inlineStr">
        <is>
          <t>2026-06-22 13:01:08</t>
        </is>
      </c>
      <c r="N5084" t="inlineStr">
        <is>
          <t>system</t>
        </is>
      </c>
      <c r="O5084" t="inlineStr">
        <is>
          <t>2026-06-19 07:10:32</t>
        </is>
      </c>
      <c r="P5084" t="inlineStr">
        <is>
          <t>2026-06-19 07:10:32</t>
        </is>
      </c>
      <c r="Y5084" t="inlineStr">
        <is>
          <t>27607740903</t>
        </is>
      </c>
    </row>
    <row r="5085">
      <c r="A5085" t="inlineStr">
        <is>
          <t>14900000</t>
        </is>
      </c>
      <c r="B5085" t="inlineStr">
        <is>
          <t>034e888f-b861-40a9-8ee7-da1b7ebaa78c</t>
        </is>
      </c>
      <c r="D5085" t="inlineStr">
        <is>
          <t>30001087</t>
        </is>
      </c>
      <c r="E5085" t="inlineStr">
        <is>
          <t>ussd_funeral_leads_altitude_20260619</t>
        </is>
      </c>
      <c r="J5085" t="inlineStr">
        <is>
          <t>NA</t>
        </is>
      </c>
      <c r="K5085" t="inlineStr">
        <is>
          <t>No Answer Autodial</t>
        </is>
      </c>
      <c r="L5085" t="n">
        <v>2</v>
      </c>
      <c r="M5085" t="inlineStr">
        <is>
          <t>2026-06-22 13:00:56</t>
        </is>
      </c>
      <c r="N5085" t="inlineStr">
        <is>
          <t>system</t>
        </is>
      </c>
      <c r="O5085" t="inlineStr">
        <is>
          <t>2026-06-19 07:10:32</t>
        </is>
      </c>
      <c r="P5085" t="inlineStr">
        <is>
          <t>2026-06-19 07:10:32</t>
        </is>
      </c>
      <c r="Y5085" t="inlineStr">
        <is>
          <t>27799330319</t>
        </is>
      </c>
    </row>
    <row r="5086">
      <c r="A5086" t="inlineStr">
        <is>
          <t>14947480</t>
        </is>
      </c>
      <c r="B5086" t="inlineStr">
        <is>
          <t>15856bb5-f338-4c34-8271-41073607458b</t>
        </is>
      </c>
      <c r="D5086" t="inlineStr">
        <is>
          <t>30001087</t>
        </is>
      </c>
      <c r="E5086" t="inlineStr">
        <is>
          <t>ussd_funeral_leads_altitude_20260619</t>
        </is>
      </c>
      <c r="J5086" t="inlineStr">
        <is>
          <t>AA</t>
        </is>
      </c>
      <c r="K5086" t="inlineStr">
        <is>
          <t>Answering Machine Autodial</t>
        </is>
      </c>
      <c r="L5086" t="n">
        <v>2</v>
      </c>
      <c r="M5086" t="inlineStr">
        <is>
          <t>2026-06-22 13:00:55</t>
        </is>
      </c>
      <c r="N5086" t="inlineStr">
        <is>
          <t>system</t>
        </is>
      </c>
      <c r="O5086" t="inlineStr">
        <is>
          <t>2026-06-19 07:10:32</t>
        </is>
      </c>
      <c r="P5086" t="inlineStr">
        <is>
          <t>2026-06-19 07:10:32</t>
        </is>
      </c>
      <c r="Y5086" t="inlineStr">
        <is>
          <t>27723184352</t>
        </is>
      </c>
    </row>
    <row r="5087">
      <c r="A5087" t="inlineStr">
        <is>
          <t>14948122</t>
        </is>
      </c>
      <c r="B5087" t="inlineStr">
        <is>
          <t>9399d88d-2b49-4030-ac1c-42933b6c4809</t>
        </is>
      </c>
      <c r="D5087" t="inlineStr">
        <is>
          <t>30001087</t>
        </is>
      </c>
      <c r="E5087" t="inlineStr">
        <is>
          <t>ussd_funeral_leads_altitude_20260619</t>
        </is>
      </c>
      <c r="J5087" t="inlineStr">
        <is>
          <t>A</t>
        </is>
      </c>
      <c r="K5087" t="inlineStr">
        <is>
          <t>Answering Machine</t>
        </is>
      </c>
      <c r="L5087" t="n">
        <v>2</v>
      </c>
      <c r="M5087" t="inlineStr">
        <is>
          <t>2026-06-22 13:00:55</t>
        </is>
      </c>
      <c r="N5087" t="inlineStr">
        <is>
          <t>Vuyiswa Nxumalo</t>
        </is>
      </c>
      <c r="O5087" t="inlineStr">
        <is>
          <t>2026-06-19 07:10:32</t>
        </is>
      </c>
      <c r="P5087" t="inlineStr">
        <is>
          <t>2026-06-19 07:10:32</t>
        </is>
      </c>
      <c r="Y5087" t="inlineStr">
        <is>
          <t>27713947105</t>
        </is>
      </c>
    </row>
    <row r="5088">
      <c r="A5088" t="inlineStr">
        <is>
          <t>14947481</t>
        </is>
      </c>
      <c r="B5088" t="inlineStr">
        <is>
          <t>564a7263-ba8b-4975-b844-789f064f099b</t>
        </is>
      </c>
      <c r="D5088" t="inlineStr">
        <is>
          <t>30001087</t>
        </is>
      </c>
      <c r="E5088" t="inlineStr">
        <is>
          <t>ussd_funeral_leads_altitude_20260619</t>
        </is>
      </c>
      <c r="J5088" t="inlineStr">
        <is>
          <t>DROP</t>
        </is>
      </c>
      <c r="K5088" t="inlineStr">
        <is>
          <t>Dropped</t>
        </is>
      </c>
      <c r="L5088" t="n">
        <v>2</v>
      </c>
      <c r="M5088" t="inlineStr">
        <is>
          <t>2026-06-22 12:59:07</t>
        </is>
      </c>
      <c r="N5088" t="inlineStr">
        <is>
          <t>system</t>
        </is>
      </c>
      <c r="O5088" t="inlineStr">
        <is>
          <t>2026-06-19 07:10:32</t>
        </is>
      </c>
      <c r="P5088" t="inlineStr">
        <is>
          <t>2026-06-19 07:10:32</t>
        </is>
      </c>
      <c r="Y5088" t="inlineStr">
        <is>
          <t>27823803641</t>
        </is>
      </c>
    </row>
    <row r="5089">
      <c r="A5089" t="inlineStr">
        <is>
          <t>14947482</t>
        </is>
      </c>
      <c r="B5089" t="inlineStr">
        <is>
          <t>a1bdfcf2-e4eb-430c-8484-3a453d45c4e1</t>
        </is>
      </c>
      <c r="D5089" t="inlineStr">
        <is>
          <t>30001087</t>
        </is>
      </c>
      <c r="E5089" t="inlineStr">
        <is>
          <t>ussd_funeral_leads_altitude_20260619</t>
        </is>
      </c>
      <c r="J5089" t="inlineStr">
        <is>
          <t>ADC</t>
        </is>
      </c>
      <c r="K5089" t="inlineStr">
        <is>
          <t>Auto Dial Disconnected</t>
        </is>
      </c>
      <c r="L5089" t="n">
        <v>2</v>
      </c>
      <c r="M5089" t="inlineStr">
        <is>
          <t>2026-06-22 12:58:55</t>
        </is>
      </c>
      <c r="N5089" t="inlineStr">
        <is>
          <t>system</t>
        </is>
      </c>
      <c r="O5089" t="inlineStr">
        <is>
          <t>2026-06-19 07:10:32</t>
        </is>
      </c>
      <c r="P5089" t="inlineStr">
        <is>
          <t>2026-06-19 07:10:32</t>
        </is>
      </c>
      <c r="Y5089" t="inlineStr">
        <is>
          <t>27663145297</t>
        </is>
      </c>
    </row>
    <row r="5090">
      <c r="A5090" t="inlineStr">
        <is>
          <t>14947483</t>
        </is>
      </c>
      <c r="B5090" t="inlineStr">
        <is>
          <t>859ceb42-28b0-4eb3-88a6-2636bad53c62</t>
        </is>
      </c>
      <c r="D5090" t="inlineStr">
        <is>
          <t>30001087</t>
        </is>
      </c>
      <c r="E5090" t="inlineStr">
        <is>
          <t>ussd_funeral_leads_altitude_20260619</t>
        </is>
      </c>
      <c r="J5090" t="inlineStr">
        <is>
          <t>AA</t>
        </is>
      </c>
      <c r="K5090" t="inlineStr">
        <is>
          <t>Answering Machine Autodial</t>
        </is>
      </c>
      <c r="L5090" t="n">
        <v>2</v>
      </c>
      <c r="M5090" t="inlineStr">
        <is>
          <t>2026-06-22 12:58:51</t>
        </is>
      </c>
      <c r="N5090" t="inlineStr">
        <is>
          <t>system</t>
        </is>
      </c>
      <c r="O5090" t="inlineStr">
        <is>
          <t>2026-06-19 07:10:32</t>
        </is>
      </c>
      <c r="P5090" t="inlineStr">
        <is>
          <t>2026-06-19 07:10:32</t>
        </is>
      </c>
      <c r="Y5090" t="inlineStr">
        <is>
          <t>27790920224</t>
        </is>
      </c>
    </row>
    <row r="5091">
      <c r="A5091" t="inlineStr">
        <is>
          <t>14947484</t>
        </is>
      </c>
      <c r="B5091" t="inlineStr">
        <is>
          <t>7bcbd553-3674-4512-bfec-154f8a73bdce</t>
        </is>
      </c>
      <c r="D5091" t="inlineStr">
        <is>
          <t>30001087</t>
        </is>
      </c>
      <c r="E5091" t="inlineStr">
        <is>
          <t>ussd_funeral_leads_altitude_20260619</t>
        </is>
      </c>
      <c r="J5091" t="inlineStr">
        <is>
          <t>AA</t>
        </is>
      </c>
      <c r="K5091" t="inlineStr">
        <is>
          <t>Answering Machine Autodial</t>
        </is>
      </c>
      <c r="L5091" t="n">
        <v>2</v>
      </c>
      <c r="M5091" t="inlineStr">
        <is>
          <t>2026-06-22 12:58:49</t>
        </is>
      </c>
      <c r="N5091" t="inlineStr">
        <is>
          <t>system</t>
        </is>
      </c>
      <c r="O5091" t="inlineStr">
        <is>
          <t>2026-06-19 07:10:32</t>
        </is>
      </c>
      <c r="P5091" t="inlineStr">
        <is>
          <t>2026-06-19 07:10:32</t>
        </is>
      </c>
      <c r="Y5091" t="inlineStr">
        <is>
          <t>27773810062</t>
        </is>
      </c>
    </row>
    <row r="5092">
      <c r="A5092" t="inlineStr">
        <is>
          <t>14947717</t>
        </is>
      </c>
      <c r="B5092" t="inlineStr">
        <is>
          <t>d20c247e-402f-4960-ab28-0e6e6e650178</t>
        </is>
      </c>
      <c r="D5092" t="inlineStr">
        <is>
          <t>30001087</t>
        </is>
      </c>
      <c r="E5092" t="inlineStr">
        <is>
          <t>ussd_funeral_leads_altitude_20260619</t>
        </is>
      </c>
      <c r="J5092" t="inlineStr">
        <is>
          <t>NA</t>
        </is>
      </c>
      <c r="K5092" t="inlineStr">
        <is>
          <t>No Answer Autodial</t>
        </is>
      </c>
      <c r="L5092" t="n">
        <v>2</v>
      </c>
      <c r="M5092" t="inlineStr">
        <is>
          <t>2026-06-22 12:58:28</t>
        </is>
      </c>
      <c r="N5092" t="inlineStr">
        <is>
          <t>system</t>
        </is>
      </c>
      <c r="O5092" t="inlineStr">
        <is>
          <t>2026-06-19 07:10:32</t>
        </is>
      </c>
      <c r="P5092" t="inlineStr">
        <is>
          <t>2026-06-19 07:10:32</t>
        </is>
      </c>
      <c r="Y5092" t="inlineStr">
        <is>
          <t>27825167784</t>
        </is>
      </c>
    </row>
    <row r="5093">
      <c r="A5093" t="inlineStr">
        <is>
          <t>14947485</t>
        </is>
      </c>
      <c r="B5093" t="inlineStr">
        <is>
          <t>ccc84e4c-a459-4c7a-abc3-c5f5096ca710</t>
        </is>
      </c>
      <c r="D5093" t="inlineStr">
        <is>
          <t>30001087</t>
        </is>
      </c>
      <c r="E5093" t="inlineStr">
        <is>
          <t>ussd_funeral_leads_altitude_20260619</t>
        </is>
      </c>
      <c r="J5093" t="inlineStr">
        <is>
          <t>A</t>
        </is>
      </c>
      <c r="K5093" t="inlineStr">
        <is>
          <t>Answering Machine</t>
        </is>
      </c>
      <c r="L5093" t="n">
        <v>2</v>
      </c>
      <c r="M5093" t="inlineStr">
        <is>
          <t>2026-06-22 12:58:08</t>
        </is>
      </c>
      <c r="N5093" t="inlineStr">
        <is>
          <t>Goitsimang Mogwasa</t>
        </is>
      </c>
      <c r="O5093" t="inlineStr">
        <is>
          <t>2026-06-19 07:10:32</t>
        </is>
      </c>
      <c r="P5093" t="inlineStr">
        <is>
          <t>2026-06-19 07:10:32</t>
        </is>
      </c>
      <c r="Y5093" t="inlineStr">
        <is>
          <t>27711666327</t>
        </is>
      </c>
    </row>
    <row r="5094">
      <c r="A5094" t="inlineStr">
        <is>
          <t>14947486</t>
        </is>
      </c>
      <c r="B5094" t="inlineStr">
        <is>
          <t>ed3ef401-54d8-481e-a7af-96ea20e23674</t>
        </is>
      </c>
      <c r="D5094" t="inlineStr">
        <is>
          <t>30001087</t>
        </is>
      </c>
      <c r="E5094" t="inlineStr">
        <is>
          <t>ussd_funeral_leads_altitude_20260619</t>
        </is>
      </c>
      <c r="J5094" t="inlineStr">
        <is>
          <t>ADC</t>
        </is>
      </c>
      <c r="K5094" t="inlineStr">
        <is>
          <t>Auto Dial Disconnected</t>
        </is>
      </c>
      <c r="L5094" t="n">
        <v>2</v>
      </c>
      <c r="M5094" t="inlineStr">
        <is>
          <t>2026-06-22 12:58:08</t>
        </is>
      </c>
      <c r="N5094" t="inlineStr">
        <is>
          <t>system</t>
        </is>
      </c>
      <c r="O5094" t="inlineStr">
        <is>
          <t>2026-06-19 07:10:32</t>
        </is>
      </c>
      <c r="P5094" t="inlineStr">
        <is>
          <t>2026-06-19 07:10:32</t>
        </is>
      </c>
      <c r="Y5094" t="inlineStr">
        <is>
          <t>27637313109</t>
        </is>
      </c>
    </row>
    <row r="5095">
      <c r="A5095" t="inlineStr">
        <is>
          <t>14947487</t>
        </is>
      </c>
      <c r="B5095" t="inlineStr">
        <is>
          <t>97c3cf01-7dcb-484d-8efb-6865f174ea0f</t>
        </is>
      </c>
      <c r="D5095" t="inlineStr">
        <is>
          <t>30001087</t>
        </is>
      </c>
      <c r="E5095" t="inlineStr">
        <is>
          <t>ussd_funeral_leads_altitude_20260619</t>
        </is>
      </c>
      <c r="J5095" t="inlineStr">
        <is>
          <t>NA</t>
        </is>
      </c>
      <c r="K5095" t="inlineStr">
        <is>
          <t>No Answer Autodial</t>
        </is>
      </c>
      <c r="L5095" t="n">
        <v>2</v>
      </c>
      <c r="M5095" t="inlineStr">
        <is>
          <t>2026-06-22 12:58:07</t>
        </is>
      </c>
      <c r="N5095" t="inlineStr">
        <is>
          <t>system</t>
        </is>
      </c>
      <c r="O5095" t="inlineStr">
        <is>
          <t>2026-06-19 07:10:32</t>
        </is>
      </c>
      <c r="P5095" t="inlineStr">
        <is>
          <t>2026-06-19 07:10:32</t>
        </is>
      </c>
      <c r="Y5095" t="inlineStr">
        <is>
          <t>27646785492</t>
        </is>
      </c>
    </row>
    <row r="5096">
      <c r="A5096" t="inlineStr">
        <is>
          <t>14947488</t>
        </is>
      </c>
      <c r="B5096" t="inlineStr">
        <is>
          <t>d5cd88ed-fdb0-47da-99da-2dd667e45c2c</t>
        </is>
      </c>
      <c r="D5096" t="inlineStr">
        <is>
          <t>30001087</t>
        </is>
      </c>
      <c r="E5096" t="inlineStr">
        <is>
          <t>ussd_funeral_leads_altitude_20260619</t>
        </is>
      </c>
      <c r="J5096" t="inlineStr">
        <is>
          <t>ADC</t>
        </is>
      </c>
      <c r="K5096" t="inlineStr">
        <is>
          <t>Auto Dial Disconnected</t>
        </is>
      </c>
      <c r="L5096" t="n">
        <v>2</v>
      </c>
      <c r="M5096" t="inlineStr">
        <is>
          <t>2026-06-22 12:58:07</t>
        </is>
      </c>
      <c r="N5096" t="inlineStr">
        <is>
          <t>system</t>
        </is>
      </c>
      <c r="O5096" t="inlineStr">
        <is>
          <t>2026-06-19 07:10:32</t>
        </is>
      </c>
      <c r="P5096" t="inlineStr">
        <is>
          <t>2026-06-19 07:10:32</t>
        </is>
      </c>
      <c r="Y5096" t="inlineStr">
        <is>
          <t>27799880049</t>
        </is>
      </c>
    </row>
    <row r="5097">
      <c r="A5097" t="inlineStr">
        <is>
          <t>14947718</t>
        </is>
      </c>
      <c r="B5097" t="inlineStr">
        <is>
          <t>2e32b998-a068-4063-bd95-ae103e6ed7b3</t>
        </is>
      </c>
      <c r="D5097" t="inlineStr">
        <is>
          <t>30001087</t>
        </is>
      </c>
      <c r="E5097" t="inlineStr">
        <is>
          <t>ussd_funeral_leads_altitude_20260619</t>
        </is>
      </c>
      <c r="J5097" t="inlineStr">
        <is>
          <t>AA</t>
        </is>
      </c>
      <c r="K5097" t="inlineStr">
        <is>
          <t>Answering Machine Autodial</t>
        </is>
      </c>
      <c r="L5097" t="n">
        <v>2</v>
      </c>
      <c r="M5097" t="inlineStr">
        <is>
          <t>2026-06-22 12:57:26</t>
        </is>
      </c>
      <c r="N5097" t="inlineStr">
        <is>
          <t>system</t>
        </is>
      </c>
      <c r="O5097" t="inlineStr">
        <is>
          <t>2026-06-19 07:10:32</t>
        </is>
      </c>
      <c r="P5097" t="inlineStr">
        <is>
          <t>2026-06-19 07:10:32</t>
        </is>
      </c>
      <c r="Y5097" t="inlineStr">
        <is>
          <t>27711725553</t>
        </is>
      </c>
    </row>
    <row r="5098">
      <c r="A5098" t="inlineStr">
        <is>
          <t>14947490</t>
        </is>
      </c>
      <c r="B5098" t="inlineStr">
        <is>
          <t>016cf756-5534-44e3-adb6-dd449c8e72c4</t>
        </is>
      </c>
      <c r="D5098" t="inlineStr">
        <is>
          <t>30001087</t>
        </is>
      </c>
      <c r="E5098" t="inlineStr">
        <is>
          <t>ussd_funeral_leads_altitude_20260619</t>
        </is>
      </c>
      <c r="J5098" t="inlineStr">
        <is>
          <t>TDN</t>
        </is>
      </c>
      <c r="K5098" t="inlineStr">
        <is>
          <t>Temporary Disconnected Number</t>
        </is>
      </c>
      <c r="L5098" t="n">
        <v>2</v>
      </c>
      <c r="M5098" t="inlineStr">
        <is>
          <t>2026-06-22 12:57:20</t>
        </is>
      </c>
      <c r="N5098" t="inlineStr">
        <is>
          <t>system</t>
        </is>
      </c>
      <c r="O5098" t="inlineStr">
        <is>
          <t>2026-06-19 07:10:32</t>
        </is>
      </c>
      <c r="P5098" t="inlineStr">
        <is>
          <t>2026-06-19 07:10:32</t>
        </is>
      </c>
      <c r="Y5098" t="inlineStr">
        <is>
          <t>27796024821</t>
        </is>
      </c>
    </row>
    <row r="5099">
      <c r="A5099" t="inlineStr">
        <is>
          <t>14947491</t>
        </is>
      </c>
      <c r="B5099" t="inlineStr">
        <is>
          <t>69bf0cb2-46f8-4259-bbe4-a0caa06b35db</t>
        </is>
      </c>
      <c r="D5099" t="inlineStr">
        <is>
          <t>30001087</t>
        </is>
      </c>
      <c r="E5099" t="inlineStr">
        <is>
          <t>ussd_funeral_leads_altitude_20260619</t>
        </is>
      </c>
      <c r="J5099" t="inlineStr">
        <is>
          <t>ADC</t>
        </is>
      </c>
      <c r="K5099" t="inlineStr">
        <is>
          <t>Auto Dial Disconnected</t>
        </is>
      </c>
      <c r="L5099" t="n">
        <v>2</v>
      </c>
      <c r="M5099" t="inlineStr">
        <is>
          <t>2026-06-22 12:57:18</t>
        </is>
      </c>
      <c r="N5099" t="inlineStr">
        <is>
          <t>system</t>
        </is>
      </c>
      <c r="O5099" t="inlineStr">
        <is>
          <t>2026-06-19 07:10:32</t>
        </is>
      </c>
      <c r="P5099" t="inlineStr">
        <is>
          <t>2026-06-19 07:10:32</t>
        </is>
      </c>
      <c r="Y5099" t="inlineStr">
        <is>
          <t>27714200006</t>
        </is>
      </c>
    </row>
    <row r="5100">
      <c r="A5100" t="inlineStr">
        <is>
          <t>14947493</t>
        </is>
      </c>
      <c r="B5100" t="inlineStr">
        <is>
          <t>6cbfbbc5-75f8-4be1-9fbf-dbde66530e0b</t>
        </is>
      </c>
      <c r="D5100" t="inlineStr">
        <is>
          <t>30001087</t>
        </is>
      </c>
      <c r="E5100" t="inlineStr">
        <is>
          <t>ussd_funeral_leads_altitude_20260619</t>
        </is>
      </c>
      <c r="J5100" t="inlineStr">
        <is>
          <t>AA</t>
        </is>
      </c>
      <c r="K5100" t="inlineStr">
        <is>
          <t>Answering Machine Autodial</t>
        </is>
      </c>
      <c r="L5100" t="n">
        <v>2</v>
      </c>
      <c r="M5100" t="inlineStr">
        <is>
          <t>2026-06-22 12:57:18</t>
        </is>
      </c>
      <c r="N5100" t="inlineStr">
        <is>
          <t>system</t>
        </is>
      </c>
      <c r="O5100" t="inlineStr">
        <is>
          <t>2026-06-19 07:10:32</t>
        </is>
      </c>
      <c r="P5100" t="inlineStr">
        <is>
          <t>2026-06-19 07:10:32</t>
        </is>
      </c>
      <c r="Y5100" t="inlineStr">
        <is>
          <t>27711697807</t>
        </is>
      </c>
    </row>
    <row r="5101">
      <c r="A5101" t="inlineStr">
        <is>
          <t>14947494</t>
        </is>
      </c>
      <c r="B5101" t="inlineStr">
        <is>
          <t>f83e15fc-70cc-44f9-a9b1-3553e4cbaefa</t>
        </is>
      </c>
      <c r="D5101" t="inlineStr">
        <is>
          <t>30001087</t>
        </is>
      </c>
      <c r="E5101" t="inlineStr">
        <is>
          <t>ussd_funeral_leads_altitude_20260619</t>
        </is>
      </c>
      <c r="J5101" t="inlineStr">
        <is>
          <t>AA</t>
        </is>
      </c>
      <c r="K5101" t="inlineStr">
        <is>
          <t>Answering Machine Autodial</t>
        </is>
      </c>
      <c r="L5101" t="n">
        <v>2</v>
      </c>
      <c r="M5101" t="inlineStr">
        <is>
          <t>2026-06-22 12:57:17</t>
        </is>
      </c>
      <c r="N5101" t="inlineStr">
        <is>
          <t>system</t>
        </is>
      </c>
      <c r="O5101" t="inlineStr">
        <is>
          <t>2026-06-19 07:10:32</t>
        </is>
      </c>
      <c r="P5101" t="inlineStr">
        <is>
          <t>2026-06-19 07:10:32</t>
        </is>
      </c>
      <c r="Y5101" t="inlineStr">
        <is>
          <t>27790119803</t>
        </is>
      </c>
    </row>
    <row r="5102">
      <c r="A5102" t="inlineStr">
        <is>
          <t>14947495</t>
        </is>
      </c>
      <c r="B5102" t="inlineStr">
        <is>
          <t>a38fec84-2cb2-44f3-a2b5-083afaa0ce5b</t>
        </is>
      </c>
      <c r="D5102" t="inlineStr">
        <is>
          <t>30001087</t>
        </is>
      </c>
      <c r="E5102" t="inlineStr">
        <is>
          <t>ussd_funeral_leads_altitude_20260619</t>
        </is>
      </c>
      <c r="J5102" t="inlineStr">
        <is>
          <t>ADC</t>
        </is>
      </c>
      <c r="K5102" t="inlineStr">
        <is>
          <t>Auto Dial Disconnected</t>
        </is>
      </c>
      <c r="L5102" t="n">
        <v>2</v>
      </c>
      <c r="M5102" t="inlineStr">
        <is>
          <t>2026-06-22 12:57:03</t>
        </is>
      </c>
      <c r="N5102" t="inlineStr">
        <is>
          <t>system</t>
        </is>
      </c>
      <c r="O5102" t="inlineStr">
        <is>
          <t>2026-06-19 07:10:32</t>
        </is>
      </c>
      <c r="P5102" t="inlineStr">
        <is>
          <t>2026-06-19 07:10:32</t>
        </is>
      </c>
      <c r="Y5102" t="inlineStr">
        <is>
          <t>27727433982</t>
        </is>
      </c>
    </row>
    <row r="5103">
      <c r="A5103" t="inlineStr">
        <is>
          <t>14947496</t>
        </is>
      </c>
      <c r="B5103" t="inlineStr">
        <is>
          <t>1569e6e5-b149-405e-a898-947945d66053</t>
        </is>
      </c>
      <c r="D5103" t="inlineStr">
        <is>
          <t>30001087</t>
        </is>
      </c>
      <c r="E5103" t="inlineStr">
        <is>
          <t>ussd_funeral_leads_altitude_20260619</t>
        </is>
      </c>
      <c r="J5103" t="inlineStr">
        <is>
          <t>AA</t>
        </is>
      </c>
      <c r="K5103" t="inlineStr">
        <is>
          <t>Answering Machine Autodial</t>
        </is>
      </c>
      <c r="L5103" t="n">
        <v>2</v>
      </c>
      <c r="M5103" t="inlineStr">
        <is>
          <t>2026-06-22 12:56:51</t>
        </is>
      </c>
      <c r="N5103" t="inlineStr">
        <is>
          <t>system</t>
        </is>
      </c>
      <c r="O5103" t="inlineStr">
        <is>
          <t>2026-06-19 07:10:32</t>
        </is>
      </c>
      <c r="P5103" t="inlineStr">
        <is>
          <t>2026-06-19 07:10:32</t>
        </is>
      </c>
      <c r="Y5103" t="inlineStr">
        <is>
          <t>27790380211</t>
        </is>
      </c>
    </row>
    <row r="5104">
      <c r="A5104" t="inlineStr">
        <is>
          <t>14947497</t>
        </is>
      </c>
      <c r="B5104" t="inlineStr">
        <is>
          <t>63acb94f-e084-451a-8876-6a5e90e517ed</t>
        </is>
      </c>
      <c r="D5104" t="inlineStr">
        <is>
          <t>30001087</t>
        </is>
      </c>
      <c r="E5104" t="inlineStr">
        <is>
          <t>ussd_funeral_leads_altitude_20260619</t>
        </is>
      </c>
      <c r="J5104" t="inlineStr">
        <is>
          <t>CU</t>
        </is>
      </c>
      <c r="K5104" t="inlineStr">
        <is>
          <t>Client Hung Up</t>
        </is>
      </c>
      <c r="L5104" t="n">
        <v>2</v>
      </c>
      <c r="M5104" t="inlineStr">
        <is>
          <t>2026-06-22 12:56:48</t>
        </is>
      </c>
      <c r="N5104" t="inlineStr">
        <is>
          <t>Gontse Monageng</t>
        </is>
      </c>
      <c r="O5104" t="inlineStr">
        <is>
          <t>2026-06-19 07:10:32</t>
        </is>
      </c>
      <c r="P5104" t="inlineStr">
        <is>
          <t>2026-06-19 07:10:32</t>
        </is>
      </c>
      <c r="Y5104" t="inlineStr">
        <is>
          <t>27761455101</t>
        </is>
      </c>
    </row>
    <row r="5105">
      <c r="A5105" t="inlineStr">
        <is>
          <t>14947498</t>
        </is>
      </c>
      <c r="B5105" t="inlineStr">
        <is>
          <t>100cb7c0-7c9d-4de3-a401-2ca23373785a</t>
        </is>
      </c>
      <c r="D5105" t="inlineStr">
        <is>
          <t>30001087</t>
        </is>
      </c>
      <c r="E5105" t="inlineStr">
        <is>
          <t>ussd_funeral_leads_altitude_20260619</t>
        </is>
      </c>
      <c r="J5105" t="inlineStr">
        <is>
          <t>AA</t>
        </is>
      </c>
      <c r="K5105" t="inlineStr">
        <is>
          <t>Answering Machine Autodial</t>
        </is>
      </c>
      <c r="L5105" t="n">
        <v>2</v>
      </c>
      <c r="M5105" t="inlineStr">
        <is>
          <t>2026-06-22 12:56:44</t>
        </is>
      </c>
      <c r="N5105" t="inlineStr">
        <is>
          <t>system</t>
        </is>
      </c>
      <c r="O5105" t="inlineStr">
        <is>
          <t>2026-06-19 07:10:32</t>
        </is>
      </c>
      <c r="P5105" t="inlineStr">
        <is>
          <t>2026-06-19 07:10:32</t>
        </is>
      </c>
      <c r="Y5105" t="inlineStr">
        <is>
          <t>27607283254</t>
        </is>
      </c>
    </row>
    <row r="5106">
      <c r="A5106" t="inlineStr">
        <is>
          <t>14947499</t>
        </is>
      </c>
      <c r="B5106" t="inlineStr">
        <is>
          <t>0c9d2e4d-ba10-43e0-8b98-ea524dd0deae</t>
        </is>
      </c>
      <c r="D5106" t="inlineStr">
        <is>
          <t>30001087</t>
        </is>
      </c>
      <c r="E5106" t="inlineStr">
        <is>
          <t>ussd_funeral_leads_altitude_20260619</t>
        </is>
      </c>
      <c r="J5106" t="inlineStr">
        <is>
          <t>AA</t>
        </is>
      </c>
      <c r="K5106" t="inlineStr">
        <is>
          <t>Answering Machine Autodial</t>
        </is>
      </c>
      <c r="L5106" t="n">
        <v>2</v>
      </c>
      <c r="M5106" t="inlineStr">
        <is>
          <t>2026-06-22 12:56:42</t>
        </is>
      </c>
      <c r="N5106" t="inlineStr">
        <is>
          <t>system</t>
        </is>
      </c>
      <c r="O5106" t="inlineStr">
        <is>
          <t>2026-06-19 07:10:32</t>
        </is>
      </c>
      <c r="P5106" t="inlineStr">
        <is>
          <t>2026-06-19 07:10:32</t>
        </is>
      </c>
      <c r="Y5106" t="inlineStr">
        <is>
          <t>27728841432</t>
        </is>
      </c>
    </row>
    <row r="5107">
      <c r="A5107" t="inlineStr">
        <is>
          <t>14947500</t>
        </is>
      </c>
      <c r="B5107" t="inlineStr">
        <is>
          <t>d638e12d-9898-45b0-ae58-4dd6d595b665</t>
        </is>
      </c>
      <c r="D5107" t="inlineStr">
        <is>
          <t>30001087</t>
        </is>
      </c>
      <c r="E5107" t="inlineStr">
        <is>
          <t>ussd_funeral_leads_altitude_20260619</t>
        </is>
      </c>
      <c r="J5107" t="inlineStr">
        <is>
          <t>NA</t>
        </is>
      </c>
      <c r="K5107" t="inlineStr">
        <is>
          <t>No Answer Autodial</t>
        </is>
      </c>
      <c r="L5107" t="n">
        <v>2</v>
      </c>
      <c r="M5107" t="inlineStr">
        <is>
          <t>2026-06-22 12:56:36</t>
        </is>
      </c>
      <c r="N5107" t="inlineStr">
        <is>
          <t>system</t>
        </is>
      </c>
      <c r="O5107" t="inlineStr">
        <is>
          <t>2026-06-19 07:10:32</t>
        </is>
      </c>
      <c r="P5107" t="inlineStr">
        <is>
          <t>2026-06-19 07:10:32</t>
        </is>
      </c>
      <c r="Y5107" t="inlineStr">
        <is>
          <t>27636160499</t>
        </is>
      </c>
    </row>
    <row r="5108">
      <c r="A5108" t="inlineStr">
        <is>
          <t>14947501</t>
        </is>
      </c>
      <c r="B5108" t="inlineStr">
        <is>
          <t>7d0e2039-3dd8-454e-97af-13c736fbcf0e</t>
        </is>
      </c>
      <c r="D5108" t="inlineStr">
        <is>
          <t>30001087</t>
        </is>
      </c>
      <c r="E5108" t="inlineStr">
        <is>
          <t>ussd_funeral_leads_altitude_20260619</t>
        </is>
      </c>
      <c r="J5108" t="inlineStr">
        <is>
          <t>AA</t>
        </is>
      </c>
      <c r="K5108" t="inlineStr">
        <is>
          <t>Answering Machine Autodial</t>
        </is>
      </c>
      <c r="L5108" t="n">
        <v>2</v>
      </c>
      <c r="M5108" t="inlineStr">
        <is>
          <t>2026-06-22 12:56:32</t>
        </is>
      </c>
      <c r="N5108" t="inlineStr">
        <is>
          <t>system</t>
        </is>
      </c>
      <c r="O5108" t="inlineStr">
        <is>
          <t>2026-06-19 07:10:32</t>
        </is>
      </c>
      <c r="P5108" t="inlineStr">
        <is>
          <t>2026-06-19 07:10:32</t>
        </is>
      </c>
      <c r="Y5108" t="inlineStr">
        <is>
          <t>27728719224</t>
        </is>
      </c>
    </row>
    <row r="5109">
      <c r="A5109" t="inlineStr">
        <is>
          <t>14947502</t>
        </is>
      </c>
      <c r="B5109" t="inlineStr">
        <is>
          <t>bdb8e2c9-d32e-4e6d-9a26-1b5ace3dcd16</t>
        </is>
      </c>
      <c r="D5109" t="inlineStr">
        <is>
          <t>30001087</t>
        </is>
      </c>
      <c r="E5109" t="inlineStr">
        <is>
          <t>ussd_funeral_leads_altitude_20260619</t>
        </is>
      </c>
      <c r="J5109" t="inlineStr">
        <is>
          <t>ADC</t>
        </is>
      </c>
      <c r="K5109" t="inlineStr">
        <is>
          <t>Auto Dial Disconnected</t>
        </is>
      </c>
      <c r="L5109" t="n">
        <v>2</v>
      </c>
      <c r="M5109" t="inlineStr">
        <is>
          <t>2026-06-22 12:56:25</t>
        </is>
      </c>
      <c r="N5109" t="inlineStr">
        <is>
          <t>system</t>
        </is>
      </c>
      <c r="O5109" t="inlineStr">
        <is>
          <t>2026-06-19 07:10:32</t>
        </is>
      </c>
      <c r="P5109" t="inlineStr">
        <is>
          <t>2026-06-19 07:10:32</t>
        </is>
      </c>
      <c r="Y5109" t="inlineStr">
        <is>
          <t>27768822258</t>
        </is>
      </c>
    </row>
    <row r="5110">
      <c r="A5110" t="inlineStr">
        <is>
          <t>14947503</t>
        </is>
      </c>
      <c r="B5110" t="inlineStr">
        <is>
          <t>bdf2376b-3a66-4c12-8903-3cb47478adfd</t>
        </is>
      </c>
      <c r="D5110" t="inlineStr">
        <is>
          <t>30001087</t>
        </is>
      </c>
      <c r="E5110" t="inlineStr">
        <is>
          <t>ussd_funeral_leads_altitude_20260619</t>
        </is>
      </c>
      <c r="J5110" t="inlineStr">
        <is>
          <t>AA</t>
        </is>
      </c>
      <c r="K5110" t="inlineStr">
        <is>
          <t>Answering Machine Autodial</t>
        </is>
      </c>
      <c r="L5110" t="n">
        <v>2</v>
      </c>
      <c r="M5110" t="inlineStr">
        <is>
          <t>2026-06-22 12:56:25</t>
        </is>
      </c>
      <c r="N5110" t="inlineStr">
        <is>
          <t>system</t>
        </is>
      </c>
      <c r="O5110" t="inlineStr">
        <is>
          <t>2026-06-19 07:10:32</t>
        </is>
      </c>
      <c r="P5110" t="inlineStr">
        <is>
          <t>2026-06-19 07:10:32</t>
        </is>
      </c>
      <c r="Y5110" t="inlineStr">
        <is>
          <t>27713916375</t>
        </is>
      </c>
    </row>
    <row r="5111">
      <c r="A5111" t="inlineStr">
        <is>
          <t>14947504</t>
        </is>
      </c>
      <c r="B5111" t="inlineStr">
        <is>
          <t>60fb3738-0bb3-44c3-b66c-76bee9c37249</t>
        </is>
      </c>
      <c r="D5111" t="inlineStr">
        <is>
          <t>30001087</t>
        </is>
      </c>
      <c r="E5111" t="inlineStr">
        <is>
          <t>ussd_funeral_leads_altitude_20260619</t>
        </is>
      </c>
      <c r="J5111" t="inlineStr">
        <is>
          <t>NA</t>
        </is>
      </c>
      <c r="K5111" t="inlineStr">
        <is>
          <t>No Answer Autodial</t>
        </is>
      </c>
      <c r="L5111" t="n">
        <v>2</v>
      </c>
      <c r="M5111" t="inlineStr">
        <is>
          <t>2026-06-22 12:56:25</t>
        </is>
      </c>
      <c r="N5111" t="inlineStr">
        <is>
          <t>system</t>
        </is>
      </c>
      <c r="O5111" t="inlineStr">
        <is>
          <t>2026-06-19 07:10:32</t>
        </is>
      </c>
      <c r="P5111" t="inlineStr">
        <is>
          <t>2026-06-19 07:10:32</t>
        </is>
      </c>
      <c r="Y5111" t="inlineStr">
        <is>
          <t>27665262255</t>
        </is>
      </c>
    </row>
    <row r="5112">
      <c r="A5112" t="inlineStr">
        <is>
          <t>14947505</t>
        </is>
      </c>
      <c r="B5112" t="inlineStr">
        <is>
          <t>1fc23b72-296e-4907-8a9f-c2ea07b2e509</t>
        </is>
      </c>
      <c r="D5112" t="inlineStr">
        <is>
          <t>30001087</t>
        </is>
      </c>
      <c r="E5112" t="inlineStr">
        <is>
          <t>ussd_funeral_leads_altitude_20260619</t>
        </is>
      </c>
      <c r="J5112" t="inlineStr">
        <is>
          <t>NA</t>
        </is>
      </c>
      <c r="K5112" t="inlineStr">
        <is>
          <t>No Answer Autodial</t>
        </is>
      </c>
      <c r="L5112" t="n">
        <v>2</v>
      </c>
      <c r="M5112" t="inlineStr">
        <is>
          <t>2026-06-22 12:56:25</t>
        </is>
      </c>
      <c r="N5112" t="inlineStr">
        <is>
          <t>system</t>
        </is>
      </c>
      <c r="O5112" t="inlineStr">
        <is>
          <t>2026-06-19 07:10:32</t>
        </is>
      </c>
      <c r="P5112" t="inlineStr">
        <is>
          <t>2026-06-19 07:10:32</t>
        </is>
      </c>
      <c r="Y5112" t="inlineStr">
        <is>
          <t>27766203227</t>
        </is>
      </c>
    </row>
    <row r="5113">
      <c r="A5113" t="inlineStr">
        <is>
          <t>14947506</t>
        </is>
      </c>
      <c r="B5113" t="inlineStr">
        <is>
          <t>3cdfff02-4e08-47e9-a8b1-986eec077551</t>
        </is>
      </c>
      <c r="D5113" t="inlineStr">
        <is>
          <t>30001087</t>
        </is>
      </c>
      <c r="E5113" t="inlineStr">
        <is>
          <t>ussd_funeral_leads_altitude_20260619</t>
        </is>
      </c>
      <c r="J5113" t="inlineStr">
        <is>
          <t>AA</t>
        </is>
      </c>
      <c r="K5113" t="inlineStr">
        <is>
          <t>Answering Machine Autodial</t>
        </is>
      </c>
      <c r="L5113" t="n">
        <v>2</v>
      </c>
      <c r="M5113" t="inlineStr">
        <is>
          <t>2026-06-22 12:56:25</t>
        </is>
      </c>
      <c r="N5113" t="inlineStr">
        <is>
          <t>system</t>
        </is>
      </c>
      <c r="O5113" t="inlineStr">
        <is>
          <t>2026-06-19 07:10:32</t>
        </is>
      </c>
      <c r="P5113" t="inlineStr">
        <is>
          <t>2026-06-19 07:10:32</t>
        </is>
      </c>
      <c r="Y5113" t="inlineStr">
        <is>
          <t>27648770706</t>
        </is>
      </c>
    </row>
    <row r="5114">
      <c r="A5114" t="inlineStr">
        <is>
          <t>14947508</t>
        </is>
      </c>
      <c r="B5114" t="inlineStr">
        <is>
          <t>afc915ad-dd06-42fc-8e91-2e2578dbb087</t>
        </is>
      </c>
      <c r="D5114" t="inlineStr">
        <is>
          <t>30001087</t>
        </is>
      </c>
      <c r="E5114" t="inlineStr">
        <is>
          <t>ussd_funeral_leads_altitude_20260619</t>
        </is>
      </c>
      <c r="J5114" t="inlineStr">
        <is>
          <t>AA</t>
        </is>
      </c>
      <c r="K5114" t="inlineStr">
        <is>
          <t>Answering Machine Autodial</t>
        </is>
      </c>
      <c r="L5114" t="n">
        <v>2</v>
      </c>
      <c r="M5114" t="inlineStr">
        <is>
          <t>2026-06-22 12:56:19</t>
        </is>
      </c>
      <c r="N5114" t="inlineStr">
        <is>
          <t>system</t>
        </is>
      </c>
      <c r="O5114" t="inlineStr">
        <is>
          <t>2026-06-19 07:10:32</t>
        </is>
      </c>
      <c r="P5114" t="inlineStr">
        <is>
          <t>2026-06-19 07:10:32</t>
        </is>
      </c>
      <c r="Y5114" t="inlineStr">
        <is>
          <t>27714503156</t>
        </is>
      </c>
    </row>
    <row r="5115">
      <c r="A5115" t="inlineStr">
        <is>
          <t>14943943</t>
        </is>
      </c>
      <c r="B5115" t="inlineStr">
        <is>
          <t>aefd610e-a21c-4d8e-b56b-66d1f01df229</t>
        </is>
      </c>
      <c r="D5115" t="inlineStr">
        <is>
          <t>30001087</t>
        </is>
      </c>
      <c r="E5115" t="inlineStr">
        <is>
          <t>ussd_funeral_leads_altitude_20260619</t>
        </is>
      </c>
      <c r="J5115" t="inlineStr">
        <is>
          <t>NA</t>
        </is>
      </c>
      <c r="K5115" t="inlineStr">
        <is>
          <t>No Answer Autodial</t>
        </is>
      </c>
      <c r="L5115" t="n">
        <v>2</v>
      </c>
      <c r="M5115" t="inlineStr">
        <is>
          <t>2026-06-22 12:56:16</t>
        </is>
      </c>
      <c r="N5115" t="inlineStr">
        <is>
          <t>system</t>
        </is>
      </c>
      <c r="O5115" t="inlineStr">
        <is>
          <t>2026-06-19 07:10:32</t>
        </is>
      </c>
      <c r="P5115" t="inlineStr">
        <is>
          <t>2026-06-19 07:10:32</t>
        </is>
      </c>
      <c r="Y5115" t="inlineStr">
        <is>
          <t>27728058380</t>
        </is>
      </c>
    </row>
    <row r="5116">
      <c r="A5116" t="inlineStr">
        <is>
          <t>14943944</t>
        </is>
      </c>
      <c r="B5116" t="inlineStr">
        <is>
          <t>c56400f3-93a9-440b-9f09-373663208760</t>
        </is>
      </c>
      <c r="D5116" t="inlineStr">
        <is>
          <t>30001087</t>
        </is>
      </c>
      <c r="E5116" t="inlineStr">
        <is>
          <t>ussd_funeral_leads_altitude_20260619</t>
        </is>
      </c>
      <c r="J5116" t="inlineStr">
        <is>
          <t>NA</t>
        </is>
      </c>
      <c r="K5116" t="inlineStr">
        <is>
          <t>No Answer Autodial</t>
        </is>
      </c>
      <c r="L5116" t="n">
        <v>2</v>
      </c>
      <c r="M5116" t="inlineStr">
        <is>
          <t>2026-06-22 12:56:16</t>
        </is>
      </c>
      <c r="N5116" t="inlineStr">
        <is>
          <t>system</t>
        </is>
      </c>
      <c r="O5116" t="inlineStr">
        <is>
          <t>2026-06-19 07:10:32</t>
        </is>
      </c>
      <c r="P5116" t="inlineStr">
        <is>
          <t>2026-06-19 07:10:32</t>
        </is>
      </c>
      <c r="Y5116" t="inlineStr">
        <is>
          <t>27727738534</t>
        </is>
      </c>
    </row>
    <row r="5117">
      <c r="A5117" t="inlineStr">
        <is>
          <t>14943945</t>
        </is>
      </c>
      <c r="B5117" t="inlineStr">
        <is>
          <t>0a8aa0dd-309d-445e-87f4-b9bcb49bbc12</t>
        </is>
      </c>
      <c r="D5117" t="inlineStr">
        <is>
          <t>30001087</t>
        </is>
      </c>
      <c r="E5117" t="inlineStr">
        <is>
          <t>ussd_funeral_leads_altitude_20260619</t>
        </is>
      </c>
      <c r="J5117" t="inlineStr">
        <is>
          <t>AA</t>
        </is>
      </c>
      <c r="K5117" t="inlineStr">
        <is>
          <t>Answering Machine Autodial</t>
        </is>
      </c>
      <c r="L5117" t="n">
        <v>2</v>
      </c>
      <c r="M5117" t="inlineStr">
        <is>
          <t>2026-06-22 12:56:16</t>
        </is>
      </c>
      <c r="N5117" t="inlineStr">
        <is>
          <t>system</t>
        </is>
      </c>
      <c r="O5117" t="inlineStr">
        <is>
          <t>2026-06-19 07:10:32</t>
        </is>
      </c>
      <c r="P5117" t="inlineStr">
        <is>
          <t>2026-06-19 07:10:32</t>
        </is>
      </c>
      <c r="Y5117" t="inlineStr">
        <is>
          <t>27661108273</t>
        </is>
      </c>
    </row>
    <row r="5118">
      <c r="A5118" t="inlineStr">
        <is>
          <t>14943941</t>
        </is>
      </c>
      <c r="B5118" t="inlineStr">
        <is>
          <t>c6252317-78fc-44dc-a2cc-7647b46ac6d9</t>
        </is>
      </c>
      <c r="D5118" t="inlineStr">
        <is>
          <t>30001087</t>
        </is>
      </c>
      <c r="E5118" t="inlineStr">
        <is>
          <t>ussd_funeral_leads_altitude_20260619</t>
        </is>
      </c>
      <c r="J5118" t="inlineStr">
        <is>
          <t>AA</t>
        </is>
      </c>
      <c r="K5118" t="inlineStr">
        <is>
          <t>Answering Machine Autodial</t>
        </is>
      </c>
      <c r="L5118" t="n">
        <v>2</v>
      </c>
      <c r="M5118" t="inlineStr">
        <is>
          <t>2026-06-22 12:56:15</t>
        </is>
      </c>
      <c r="N5118" t="inlineStr">
        <is>
          <t>system</t>
        </is>
      </c>
      <c r="O5118" t="inlineStr">
        <is>
          <t>2026-06-19 07:10:32</t>
        </is>
      </c>
      <c r="P5118" t="inlineStr">
        <is>
          <t>2026-06-19 07:10:32</t>
        </is>
      </c>
      <c r="Y5118" t="inlineStr">
        <is>
          <t>27675313102</t>
        </is>
      </c>
    </row>
    <row r="5119">
      <c r="A5119" t="inlineStr">
        <is>
          <t>14943942</t>
        </is>
      </c>
      <c r="B5119" t="inlineStr">
        <is>
          <t>ed87c550-ad72-473e-8e04-6266ff0c93fb</t>
        </is>
      </c>
      <c r="D5119" t="inlineStr">
        <is>
          <t>30001087</t>
        </is>
      </c>
      <c r="E5119" t="inlineStr">
        <is>
          <t>ussd_funeral_leads_altitude_20260619</t>
        </is>
      </c>
      <c r="J5119" t="inlineStr">
        <is>
          <t>AA</t>
        </is>
      </c>
      <c r="K5119" t="inlineStr">
        <is>
          <t>Answering Machine Autodial</t>
        </is>
      </c>
      <c r="L5119" t="n">
        <v>2</v>
      </c>
      <c r="M5119" t="inlineStr">
        <is>
          <t>2026-06-22 12:56:15</t>
        </is>
      </c>
      <c r="N5119" t="inlineStr">
        <is>
          <t>system</t>
        </is>
      </c>
      <c r="O5119" t="inlineStr">
        <is>
          <t>2026-06-19 07:10:32</t>
        </is>
      </c>
      <c r="P5119" t="inlineStr">
        <is>
          <t>2026-06-19 07:10:32</t>
        </is>
      </c>
      <c r="Y5119" t="inlineStr">
        <is>
          <t>27824301168</t>
        </is>
      </c>
    </row>
    <row r="5120">
      <c r="A5120" t="inlineStr">
        <is>
          <t>14943940</t>
        </is>
      </c>
      <c r="B5120" t="inlineStr">
        <is>
          <t>a7914ca9-6526-406e-89c7-af306175e476</t>
        </is>
      </c>
      <c r="D5120" t="inlineStr">
        <is>
          <t>30001087</t>
        </is>
      </c>
      <c r="E5120" t="inlineStr">
        <is>
          <t>ussd_funeral_leads_altitude_20260619</t>
        </is>
      </c>
      <c r="J5120" t="inlineStr">
        <is>
          <t>NA</t>
        </is>
      </c>
      <c r="K5120" t="inlineStr">
        <is>
          <t>No Answer Autodial</t>
        </is>
      </c>
      <c r="L5120" t="n">
        <v>2</v>
      </c>
      <c r="M5120" t="inlineStr">
        <is>
          <t>2026-06-22 12:56:08</t>
        </is>
      </c>
      <c r="N5120" t="inlineStr">
        <is>
          <t>system</t>
        </is>
      </c>
      <c r="O5120" t="inlineStr">
        <is>
          <t>2026-06-19 07:10:32</t>
        </is>
      </c>
      <c r="P5120" t="inlineStr">
        <is>
          <t>2026-06-19 07:10:32</t>
        </is>
      </c>
      <c r="Y5120" t="inlineStr">
        <is>
          <t>27762772224</t>
        </is>
      </c>
    </row>
    <row r="5121">
      <c r="A5121" t="inlineStr">
        <is>
          <t>14943939</t>
        </is>
      </c>
      <c r="B5121" t="inlineStr">
        <is>
          <t>6588a04d-d34c-4b90-bce7-9eef2e7ee882</t>
        </is>
      </c>
      <c r="D5121" t="inlineStr">
        <is>
          <t>30001087</t>
        </is>
      </c>
      <c r="E5121" t="inlineStr">
        <is>
          <t>ussd_funeral_leads_altitude_20260619</t>
        </is>
      </c>
      <c r="J5121" t="inlineStr">
        <is>
          <t>AA</t>
        </is>
      </c>
      <c r="K5121" t="inlineStr">
        <is>
          <t>Answering Machine Autodial</t>
        </is>
      </c>
      <c r="L5121" t="n">
        <v>2</v>
      </c>
      <c r="M5121" t="inlineStr">
        <is>
          <t>2026-06-22 12:56:01</t>
        </is>
      </c>
      <c r="N5121" t="inlineStr">
        <is>
          <t>system</t>
        </is>
      </c>
      <c r="O5121" t="inlineStr">
        <is>
          <t>2026-06-19 07:10:32</t>
        </is>
      </c>
      <c r="P5121" t="inlineStr">
        <is>
          <t>2026-06-19 07:10:32</t>
        </is>
      </c>
      <c r="Y5121" t="inlineStr">
        <is>
          <t>27665441971</t>
        </is>
      </c>
    </row>
    <row r="5122">
      <c r="A5122" t="inlineStr">
        <is>
          <t>14943938</t>
        </is>
      </c>
      <c r="B5122" t="inlineStr">
        <is>
          <t>3320ca5e-e4bd-4f1c-b0c5-275317805f66</t>
        </is>
      </c>
      <c r="D5122" t="inlineStr">
        <is>
          <t>30001087</t>
        </is>
      </c>
      <c r="E5122" t="inlineStr">
        <is>
          <t>ussd_funeral_leads_altitude_20260619</t>
        </is>
      </c>
      <c r="J5122" t="inlineStr">
        <is>
          <t>AA</t>
        </is>
      </c>
      <c r="K5122" t="inlineStr">
        <is>
          <t>Answering Machine Autodial</t>
        </is>
      </c>
      <c r="L5122" t="n">
        <v>2</v>
      </c>
      <c r="M5122" t="inlineStr">
        <is>
          <t>2026-06-22 12:55:57</t>
        </is>
      </c>
      <c r="N5122" t="inlineStr">
        <is>
          <t>system</t>
        </is>
      </c>
      <c r="O5122" t="inlineStr">
        <is>
          <t>2026-06-19 07:10:32</t>
        </is>
      </c>
      <c r="P5122" t="inlineStr">
        <is>
          <t>2026-06-19 07:10:32</t>
        </is>
      </c>
      <c r="Y5122" t="inlineStr">
        <is>
          <t>27663104873</t>
        </is>
      </c>
    </row>
    <row r="5123">
      <c r="A5123" t="inlineStr">
        <is>
          <t>14943937</t>
        </is>
      </c>
      <c r="B5123" t="inlineStr">
        <is>
          <t>ffb1c786-1d87-4f77-a214-8804736df082</t>
        </is>
      </c>
      <c r="D5123" t="inlineStr">
        <is>
          <t>30001087</t>
        </is>
      </c>
      <c r="E5123" t="inlineStr">
        <is>
          <t>ussd_funeral_leads_altitude_20260619</t>
        </is>
      </c>
      <c r="J5123" t="inlineStr">
        <is>
          <t>ADC</t>
        </is>
      </c>
      <c r="K5123" t="inlineStr">
        <is>
          <t>Auto Dial Disconnected</t>
        </is>
      </c>
      <c r="L5123" t="n">
        <v>2</v>
      </c>
      <c r="M5123" t="inlineStr">
        <is>
          <t>2026-06-22 12:55:53</t>
        </is>
      </c>
      <c r="N5123" t="inlineStr">
        <is>
          <t>system</t>
        </is>
      </c>
      <c r="O5123" t="inlineStr">
        <is>
          <t>2026-06-19 07:10:32</t>
        </is>
      </c>
      <c r="P5123" t="inlineStr">
        <is>
          <t>2026-06-19 07:10:32</t>
        </is>
      </c>
      <c r="Y5123" t="inlineStr">
        <is>
          <t>27714336627</t>
        </is>
      </c>
    </row>
    <row r="5124">
      <c r="A5124" t="inlineStr">
        <is>
          <t>14943936</t>
        </is>
      </c>
      <c r="B5124" t="inlineStr">
        <is>
          <t>ce9aed83-9ec0-4129-af1d-6232a719e2e3</t>
        </is>
      </c>
      <c r="D5124" t="inlineStr">
        <is>
          <t>30001087</t>
        </is>
      </c>
      <c r="E5124" t="inlineStr">
        <is>
          <t>ussd_funeral_leads_altitude_20260619</t>
        </is>
      </c>
      <c r="J5124" t="inlineStr">
        <is>
          <t>ADC</t>
        </is>
      </c>
      <c r="K5124" t="inlineStr">
        <is>
          <t>Auto Dial Disconnected</t>
        </is>
      </c>
      <c r="L5124" t="n">
        <v>2</v>
      </c>
      <c r="M5124" t="inlineStr">
        <is>
          <t>2026-06-22 12:55:49</t>
        </is>
      </c>
      <c r="N5124" t="inlineStr">
        <is>
          <t>system</t>
        </is>
      </c>
      <c r="O5124" t="inlineStr">
        <is>
          <t>2026-06-19 07:10:32</t>
        </is>
      </c>
      <c r="P5124" t="inlineStr">
        <is>
          <t>2026-06-19 07:10:32</t>
        </is>
      </c>
      <c r="Y5124" t="inlineStr">
        <is>
          <t>27824610762</t>
        </is>
      </c>
    </row>
    <row r="5125">
      <c r="A5125" t="inlineStr">
        <is>
          <t>14943934</t>
        </is>
      </c>
      <c r="B5125" t="inlineStr">
        <is>
          <t>520942a2-cb73-440c-b288-9ca2da453798</t>
        </is>
      </c>
      <c r="D5125" t="inlineStr">
        <is>
          <t>30001087</t>
        </is>
      </c>
      <c r="E5125" t="inlineStr">
        <is>
          <t>ussd_funeral_leads_altitude_20260619</t>
        </is>
      </c>
      <c r="J5125" t="inlineStr">
        <is>
          <t>AA</t>
        </is>
      </c>
      <c r="K5125" t="inlineStr">
        <is>
          <t>Answering Machine Autodial</t>
        </is>
      </c>
      <c r="L5125" t="n">
        <v>2</v>
      </c>
      <c r="M5125" t="inlineStr">
        <is>
          <t>2026-06-22 12:55:48</t>
        </is>
      </c>
      <c r="N5125" t="inlineStr">
        <is>
          <t>system</t>
        </is>
      </c>
      <c r="O5125" t="inlineStr">
        <is>
          <t>2026-06-19 07:10:32</t>
        </is>
      </c>
      <c r="P5125" t="inlineStr">
        <is>
          <t>2026-06-19 07:10:32</t>
        </is>
      </c>
      <c r="Y5125" t="inlineStr">
        <is>
          <t>27791055633</t>
        </is>
      </c>
    </row>
    <row r="5126">
      <c r="A5126" t="inlineStr">
        <is>
          <t>14943935</t>
        </is>
      </c>
      <c r="B5126" t="inlineStr">
        <is>
          <t>df218e1b-427b-44c5-8953-875cd5b89d44</t>
        </is>
      </c>
      <c r="D5126" t="inlineStr">
        <is>
          <t>30001087</t>
        </is>
      </c>
      <c r="E5126" t="inlineStr">
        <is>
          <t>ussd_funeral_leads_altitude_20260619</t>
        </is>
      </c>
      <c r="J5126" t="inlineStr">
        <is>
          <t>NA</t>
        </is>
      </c>
      <c r="K5126" t="inlineStr">
        <is>
          <t>No Answer Autodial</t>
        </is>
      </c>
      <c r="L5126" t="n">
        <v>2</v>
      </c>
      <c r="M5126" t="inlineStr">
        <is>
          <t>2026-06-22 12:55:48</t>
        </is>
      </c>
      <c r="N5126" t="inlineStr">
        <is>
          <t>system</t>
        </is>
      </c>
      <c r="O5126" t="inlineStr">
        <is>
          <t>2026-06-19 07:10:32</t>
        </is>
      </c>
      <c r="P5126" t="inlineStr">
        <is>
          <t>2026-06-19 07:10:32</t>
        </is>
      </c>
      <c r="Y5126" t="inlineStr">
        <is>
          <t>27646788262</t>
        </is>
      </c>
    </row>
    <row r="5127">
      <c r="A5127" t="inlineStr">
        <is>
          <t>14943932</t>
        </is>
      </c>
      <c r="B5127" t="inlineStr">
        <is>
          <t>cac5b8ca-902a-438e-ac76-51a08ef324c4</t>
        </is>
      </c>
      <c r="D5127" t="inlineStr">
        <is>
          <t>30001087</t>
        </is>
      </c>
      <c r="E5127" t="inlineStr">
        <is>
          <t>ussd_funeral_leads_altitude_20260619</t>
        </is>
      </c>
      <c r="J5127" t="inlineStr">
        <is>
          <t>NA</t>
        </is>
      </c>
      <c r="K5127" t="inlineStr">
        <is>
          <t>No Answer Autodial</t>
        </is>
      </c>
      <c r="L5127" t="n">
        <v>2</v>
      </c>
      <c r="M5127" t="inlineStr">
        <is>
          <t>2026-06-22 12:55:36</t>
        </is>
      </c>
      <c r="N5127" t="inlineStr">
        <is>
          <t>system</t>
        </is>
      </c>
      <c r="O5127" t="inlineStr">
        <is>
          <t>2026-06-19 07:10:32</t>
        </is>
      </c>
      <c r="P5127" t="inlineStr">
        <is>
          <t>2026-06-19 07:10:32</t>
        </is>
      </c>
      <c r="Y5127" t="inlineStr">
        <is>
          <t>27648553651</t>
        </is>
      </c>
    </row>
    <row r="5128">
      <c r="A5128" t="inlineStr">
        <is>
          <t>14943933</t>
        </is>
      </c>
      <c r="B5128" t="inlineStr">
        <is>
          <t>cc979c62-5d6d-43c0-8d3f-4d5db05cdd92</t>
        </is>
      </c>
      <c r="D5128" t="inlineStr">
        <is>
          <t>30001087</t>
        </is>
      </c>
      <c r="E5128" t="inlineStr">
        <is>
          <t>ussd_funeral_leads_altitude_20260619</t>
        </is>
      </c>
      <c r="J5128" t="inlineStr">
        <is>
          <t>NA</t>
        </is>
      </c>
      <c r="K5128" t="inlineStr">
        <is>
          <t>No Answer Autodial</t>
        </is>
      </c>
      <c r="L5128" t="n">
        <v>2</v>
      </c>
      <c r="M5128" t="inlineStr">
        <is>
          <t>2026-06-22 12:55:36</t>
        </is>
      </c>
      <c r="N5128" t="inlineStr">
        <is>
          <t>system</t>
        </is>
      </c>
      <c r="O5128" t="inlineStr">
        <is>
          <t>2026-06-19 07:10:32</t>
        </is>
      </c>
      <c r="P5128" t="inlineStr">
        <is>
          <t>2026-06-19 07:10:32</t>
        </is>
      </c>
      <c r="Y5128" t="inlineStr">
        <is>
          <t>27607863678</t>
        </is>
      </c>
    </row>
    <row r="5129">
      <c r="A5129" t="inlineStr">
        <is>
          <t>14943931</t>
        </is>
      </c>
      <c r="B5129" t="inlineStr">
        <is>
          <t>37d9ee91-0b53-40db-a43c-36f9c2085fb3</t>
        </is>
      </c>
      <c r="D5129" t="inlineStr">
        <is>
          <t>30001087</t>
        </is>
      </c>
      <c r="E5129" t="inlineStr">
        <is>
          <t>ussd_funeral_leads_altitude_20260619</t>
        </is>
      </c>
      <c r="J5129" t="inlineStr">
        <is>
          <t>TDN</t>
        </is>
      </c>
      <c r="K5129" t="inlineStr">
        <is>
          <t>Temporary Disconnected Number</t>
        </is>
      </c>
      <c r="L5129" t="n">
        <v>2</v>
      </c>
      <c r="M5129" t="inlineStr">
        <is>
          <t>2026-06-22 12:55:32</t>
        </is>
      </c>
      <c r="N5129" t="inlineStr">
        <is>
          <t>system</t>
        </is>
      </c>
      <c r="O5129" t="inlineStr">
        <is>
          <t>2026-06-19 07:10:32</t>
        </is>
      </c>
      <c r="P5129" t="inlineStr">
        <is>
          <t>2026-06-19 07:10:32</t>
        </is>
      </c>
      <c r="Y5129" t="inlineStr">
        <is>
          <t>27766105248</t>
        </is>
      </c>
    </row>
    <row r="5130">
      <c r="A5130" t="inlineStr">
        <is>
          <t>14943928</t>
        </is>
      </c>
      <c r="B5130" t="inlineStr">
        <is>
          <t>1b3ff131-42ba-42a8-9733-eaa26165ed5e</t>
        </is>
      </c>
      <c r="D5130" t="inlineStr">
        <is>
          <t>30001087</t>
        </is>
      </c>
      <c r="E5130" t="inlineStr">
        <is>
          <t>ussd_funeral_leads_altitude_20260619</t>
        </is>
      </c>
      <c r="J5130" t="inlineStr">
        <is>
          <t>AA</t>
        </is>
      </c>
      <c r="K5130" t="inlineStr">
        <is>
          <t>Answering Machine Autodial</t>
        </is>
      </c>
      <c r="L5130" t="n">
        <v>2</v>
      </c>
      <c r="M5130" t="inlineStr">
        <is>
          <t>2026-06-22 12:55:31</t>
        </is>
      </c>
      <c r="N5130" t="inlineStr">
        <is>
          <t>system</t>
        </is>
      </c>
      <c r="O5130" t="inlineStr">
        <is>
          <t>2026-06-19 07:10:32</t>
        </is>
      </c>
      <c r="P5130" t="inlineStr">
        <is>
          <t>2026-06-19 07:10:32</t>
        </is>
      </c>
      <c r="Y5130" t="inlineStr">
        <is>
          <t>27796757214</t>
        </is>
      </c>
    </row>
    <row r="5131">
      <c r="A5131" t="inlineStr">
        <is>
          <t>14943929</t>
        </is>
      </c>
      <c r="B5131" t="inlineStr">
        <is>
          <t>d802b871-10f9-4789-ae99-6ada3fc5bf5a</t>
        </is>
      </c>
      <c r="D5131" t="inlineStr">
        <is>
          <t>30001087</t>
        </is>
      </c>
      <c r="E5131" t="inlineStr">
        <is>
          <t>ussd_funeral_leads_altitude_20260619</t>
        </is>
      </c>
      <c r="J5131" t="inlineStr">
        <is>
          <t>AA</t>
        </is>
      </c>
      <c r="K5131" t="inlineStr">
        <is>
          <t>Answering Machine Autodial</t>
        </is>
      </c>
      <c r="L5131" t="n">
        <v>2</v>
      </c>
      <c r="M5131" t="inlineStr">
        <is>
          <t>2026-06-22 12:55:31</t>
        </is>
      </c>
      <c r="N5131" t="inlineStr">
        <is>
          <t>system</t>
        </is>
      </c>
      <c r="O5131" t="inlineStr">
        <is>
          <t>2026-06-19 07:10:32</t>
        </is>
      </c>
      <c r="P5131" t="inlineStr">
        <is>
          <t>2026-06-19 07:10:32</t>
        </is>
      </c>
      <c r="Y5131" t="inlineStr">
        <is>
          <t>27649585613</t>
        </is>
      </c>
    </row>
    <row r="5132">
      <c r="A5132" t="inlineStr">
        <is>
          <t>14943930</t>
        </is>
      </c>
      <c r="B5132" t="inlineStr">
        <is>
          <t>54ca479d-bae9-4182-ac9b-83c8be4496a7</t>
        </is>
      </c>
      <c r="D5132" t="inlineStr">
        <is>
          <t>30001087</t>
        </is>
      </c>
      <c r="E5132" t="inlineStr">
        <is>
          <t>ussd_funeral_leads_altitude_20260619</t>
        </is>
      </c>
      <c r="H5132" t="inlineStr">
        <is>
          <t>27721756478</t>
        </is>
      </c>
      <c r="J5132" t="inlineStr">
        <is>
          <t>DROP</t>
        </is>
      </c>
      <c r="K5132" t="inlineStr">
        <is>
          <t>Dropped</t>
        </is>
      </c>
      <c r="L5132" t="n">
        <v>2</v>
      </c>
      <c r="M5132" t="inlineStr">
        <is>
          <t>2026-06-22 12:55:31</t>
        </is>
      </c>
      <c r="N5132" t="inlineStr">
        <is>
          <t>system</t>
        </is>
      </c>
      <c r="O5132" t="inlineStr">
        <is>
          <t>2026-06-19 07:10:32</t>
        </is>
      </c>
      <c r="P5132" t="inlineStr">
        <is>
          <t>2026-06-19 07:10:32</t>
        </is>
      </c>
      <c r="Y5132" t="inlineStr">
        <is>
          <t>27721756478</t>
        </is>
      </c>
    </row>
    <row r="5133">
      <c r="A5133" t="inlineStr">
        <is>
          <t>14943967</t>
        </is>
      </c>
      <c r="B5133" t="inlineStr">
        <is>
          <t>b428efa1-b808-4a1c-a4bc-a6f291017284</t>
        </is>
      </c>
      <c r="D5133" t="inlineStr">
        <is>
          <t>30001087</t>
        </is>
      </c>
      <c r="E5133" t="inlineStr">
        <is>
          <t>ussd_funeral_leads_altitude_20260619</t>
        </is>
      </c>
      <c r="J5133" t="inlineStr">
        <is>
          <t>AA</t>
        </is>
      </c>
      <c r="K5133" t="inlineStr">
        <is>
          <t>Answering Machine Autodial</t>
        </is>
      </c>
      <c r="L5133" t="n">
        <v>2</v>
      </c>
      <c r="M5133" t="inlineStr">
        <is>
          <t>2026-06-22 12:55:10</t>
        </is>
      </c>
      <c r="N5133" t="inlineStr">
        <is>
          <t>system</t>
        </is>
      </c>
      <c r="O5133" t="inlineStr">
        <is>
          <t>2026-06-19 07:10:32</t>
        </is>
      </c>
      <c r="P5133" t="inlineStr">
        <is>
          <t>2026-06-19 07:10:32</t>
        </is>
      </c>
      <c r="Y5133" t="inlineStr">
        <is>
          <t>27606966072</t>
        </is>
      </c>
    </row>
    <row r="5134">
      <c r="A5134" t="inlineStr">
        <is>
          <t>14943966</t>
        </is>
      </c>
      <c r="B5134" t="inlineStr">
        <is>
          <t>006460b2-3e8f-47a4-995d-fda48fa33b32</t>
        </is>
      </c>
      <c r="D5134" t="inlineStr">
        <is>
          <t>30001087</t>
        </is>
      </c>
      <c r="E5134" t="inlineStr">
        <is>
          <t>ussd_funeral_leads_altitude_20260619</t>
        </is>
      </c>
      <c r="J5134" t="inlineStr">
        <is>
          <t>TDN</t>
        </is>
      </c>
      <c r="K5134" t="inlineStr">
        <is>
          <t>Temporary Disconnected Number</t>
        </is>
      </c>
      <c r="L5134" t="n">
        <v>2</v>
      </c>
      <c r="M5134" t="inlineStr">
        <is>
          <t>2026-06-22 12:55:07</t>
        </is>
      </c>
      <c r="N5134" t="inlineStr">
        <is>
          <t>system</t>
        </is>
      </c>
      <c r="O5134" t="inlineStr">
        <is>
          <t>2026-06-19 07:10:32</t>
        </is>
      </c>
      <c r="P5134" t="inlineStr">
        <is>
          <t>2026-06-19 07:10:32</t>
        </is>
      </c>
      <c r="Y5134" t="inlineStr">
        <is>
          <t>27729235902</t>
        </is>
      </c>
    </row>
    <row r="5135">
      <c r="A5135" t="inlineStr">
        <is>
          <t>14943964</t>
        </is>
      </c>
      <c r="B5135" t="inlineStr">
        <is>
          <t>304967eb-d5ab-4d92-af7d-5c53c6c43ad0</t>
        </is>
      </c>
      <c r="D5135" t="inlineStr">
        <is>
          <t>30001087</t>
        </is>
      </c>
      <c r="E5135" t="inlineStr">
        <is>
          <t>ussd_funeral_leads_altitude_20260619</t>
        </is>
      </c>
      <c r="J5135" t="inlineStr">
        <is>
          <t>AA</t>
        </is>
      </c>
      <c r="K5135" t="inlineStr">
        <is>
          <t>Answering Machine Autodial</t>
        </is>
      </c>
      <c r="L5135" t="n">
        <v>2</v>
      </c>
      <c r="M5135" t="inlineStr">
        <is>
          <t>2026-06-22 12:55:05</t>
        </is>
      </c>
      <c r="N5135" t="inlineStr">
        <is>
          <t>system</t>
        </is>
      </c>
      <c r="O5135" t="inlineStr">
        <is>
          <t>2026-06-19 07:10:32</t>
        </is>
      </c>
      <c r="P5135" t="inlineStr">
        <is>
          <t>2026-06-19 07:10:32</t>
        </is>
      </c>
      <c r="Y5135" t="inlineStr">
        <is>
          <t>27716479558</t>
        </is>
      </c>
    </row>
    <row r="5136">
      <c r="A5136" t="inlineStr">
        <is>
          <t>14943965</t>
        </is>
      </c>
      <c r="B5136" t="inlineStr">
        <is>
          <t>e59d0f05-529c-4ae1-8b68-1c35d659b5b1</t>
        </is>
      </c>
      <c r="D5136" t="inlineStr">
        <is>
          <t>30001087</t>
        </is>
      </c>
      <c r="E5136" t="inlineStr">
        <is>
          <t>ussd_funeral_leads_altitude_20260619</t>
        </is>
      </c>
      <c r="J5136" t="inlineStr">
        <is>
          <t>DROP</t>
        </is>
      </c>
      <c r="K5136" t="inlineStr">
        <is>
          <t>Dropped</t>
        </is>
      </c>
      <c r="L5136" t="n">
        <v>2</v>
      </c>
      <c r="M5136" t="inlineStr">
        <is>
          <t>2026-06-22 12:55:05</t>
        </is>
      </c>
      <c r="N5136" t="inlineStr">
        <is>
          <t>system</t>
        </is>
      </c>
      <c r="O5136" t="inlineStr">
        <is>
          <t>2026-06-19 07:10:32</t>
        </is>
      </c>
      <c r="P5136" t="inlineStr">
        <is>
          <t>2026-06-19 07:10:32</t>
        </is>
      </c>
      <c r="Y5136" t="inlineStr">
        <is>
          <t>27722754464</t>
        </is>
      </c>
    </row>
    <row r="5137">
      <c r="A5137" t="inlineStr">
        <is>
          <t>14943963</t>
        </is>
      </c>
      <c r="B5137" t="inlineStr">
        <is>
          <t>6443b2e8-fc8a-462e-ba15-d9e009c887c7</t>
        </is>
      </c>
      <c r="D5137" t="inlineStr">
        <is>
          <t>30001087</t>
        </is>
      </c>
      <c r="E5137" t="inlineStr">
        <is>
          <t>ussd_funeral_leads_altitude_20260619</t>
        </is>
      </c>
      <c r="J5137" t="inlineStr">
        <is>
          <t>AA</t>
        </is>
      </c>
      <c r="K5137" t="inlineStr">
        <is>
          <t>Answering Machine Autodial</t>
        </is>
      </c>
      <c r="L5137" t="n">
        <v>2</v>
      </c>
      <c r="M5137" t="inlineStr">
        <is>
          <t>2026-06-22 12:55:02</t>
        </is>
      </c>
      <c r="N5137" t="inlineStr">
        <is>
          <t>system</t>
        </is>
      </c>
      <c r="O5137" t="inlineStr">
        <is>
          <t>2026-06-19 07:10:32</t>
        </is>
      </c>
      <c r="P5137" t="inlineStr">
        <is>
          <t>2026-06-19 07:10:32</t>
        </is>
      </c>
      <c r="Y5137" t="inlineStr">
        <is>
          <t>27796344918</t>
        </is>
      </c>
    </row>
    <row r="5138">
      <c r="A5138" t="inlineStr">
        <is>
          <t>14943962</t>
        </is>
      </c>
      <c r="B5138" t="inlineStr">
        <is>
          <t>349bcead-2562-4b39-b75b-e5ea483d0aed</t>
        </is>
      </c>
      <c r="D5138" t="inlineStr">
        <is>
          <t>30001087</t>
        </is>
      </c>
      <c r="E5138" t="inlineStr">
        <is>
          <t>ussd_funeral_leads_altitude_20260619</t>
        </is>
      </c>
      <c r="J5138" t="inlineStr">
        <is>
          <t>AA</t>
        </is>
      </c>
      <c r="K5138" t="inlineStr">
        <is>
          <t>Answering Machine Autodial</t>
        </is>
      </c>
      <c r="L5138" t="n">
        <v>2</v>
      </c>
      <c r="M5138" t="inlineStr">
        <is>
          <t>2026-06-22 12:55:01</t>
        </is>
      </c>
      <c r="N5138" t="inlineStr">
        <is>
          <t>system</t>
        </is>
      </c>
      <c r="O5138" t="inlineStr">
        <is>
          <t>2026-06-19 07:10:32</t>
        </is>
      </c>
      <c r="P5138" t="inlineStr">
        <is>
          <t>2026-06-19 07:10:32</t>
        </is>
      </c>
      <c r="Y5138" t="inlineStr">
        <is>
          <t>27769611244</t>
        </is>
      </c>
    </row>
    <row r="5139">
      <c r="A5139" t="inlineStr">
        <is>
          <t>14943961</t>
        </is>
      </c>
      <c r="B5139" t="inlineStr">
        <is>
          <t>83e8d2d2-61ba-4821-9be6-d0937e832fd6</t>
        </is>
      </c>
      <c r="D5139" t="inlineStr">
        <is>
          <t>30001087</t>
        </is>
      </c>
      <c r="E5139" t="inlineStr">
        <is>
          <t>ussd_funeral_leads_altitude_20260619</t>
        </is>
      </c>
      <c r="J5139" t="inlineStr">
        <is>
          <t>AA</t>
        </is>
      </c>
      <c r="K5139" t="inlineStr">
        <is>
          <t>Answering Machine Autodial</t>
        </is>
      </c>
      <c r="L5139" t="n">
        <v>2</v>
      </c>
      <c r="M5139" t="inlineStr">
        <is>
          <t>2026-06-22 12:54:56</t>
        </is>
      </c>
      <c r="N5139" t="inlineStr">
        <is>
          <t>system</t>
        </is>
      </c>
      <c r="O5139" t="inlineStr">
        <is>
          <t>2026-06-19 07:10:32</t>
        </is>
      </c>
      <c r="P5139" t="inlineStr">
        <is>
          <t>2026-06-19 07:10:32</t>
        </is>
      </c>
      <c r="Y5139" t="inlineStr">
        <is>
          <t>27711493043</t>
        </is>
      </c>
    </row>
    <row r="5140">
      <c r="A5140" t="inlineStr">
        <is>
          <t>14943959</t>
        </is>
      </c>
      <c r="B5140" t="inlineStr">
        <is>
          <t>ca388e4a-4115-4021-83f8-999cb0795275</t>
        </is>
      </c>
      <c r="D5140" t="inlineStr">
        <is>
          <t>30001087</t>
        </is>
      </c>
      <c r="E5140" t="inlineStr">
        <is>
          <t>ussd_funeral_leads_altitude_20260619</t>
        </is>
      </c>
      <c r="J5140" t="inlineStr">
        <is>
          <t>NA</t>
        </is>
      </c>
      <c r="K5140" t="inlineStr">
        <is>
          <t>No Answer Autodial</t>
        </is>
      </c>
      <c r="L5140" t="n">
        <v>2</v>
      </c>
      <c r="M5140" t="inlineStr">
        <is>
          <t>2026-06-22 12:54:54</t>
        </is>
      </c>
      <c r="N5140" t="inlineStr">
        <is>
          <t>system</t>
        </is>
      </c>
      <c r="O5140" t="inlineStr">
        <is>
          <t>2026-06-19 07:10:32</t>
        </is>
      </c>
      <c r="P5140" t="inlineStr">
        <is>
          <t>2026-06-19 07:10:32</t>
        </is>
      </c>
      <c r="Y5140" t="inlineStr">
        <is>
          <t>27762187244</t>
        </is>
      </c>
    </row>
    <row r="5141">
      <c r="A5141" t="inlineStr">
        <is>
          <t>14943960</t>
        </is>
      </c>
      <c r="B5141" t="inlineStr">
        <is>
          <t>9439d7be-7ff4-4ae1-9238-f507540dfa12</t>
        </is>
      </c>
      <c r="D5141" t="inlineStr">
        <is>
          <t>30001087</t>
        </is>
      </c>
      <c r="E5141" t="inlineStr">
        <is>
          <t>ussd_funeral_leads_altitude_20260619</t>
        </is>
      </c>
      <c r="J5141" t="inlineStr">
        <is>
          <t>AA</t>
        </is>
      </c>
      <c r="K5141" t="inlineStr">
        <is>
          <t>Answering Machine Autodial</t>
        </is>
      </c>
      <c r="L5141" t="n">
        <v>2</v>
      </c>
      <c r="M5141" t="inlineStr">
        <is>
          <t>2026-06-22 12:54:54</t>
        </is>
      </c>
      <c r="N5141" t="inlineStr">
        <is>
          <t>system</t>
        </is>
      </c>
      <c r="O5141" t="inlineStr">
        <is>
          <t>2026-06-19 07:10:32</t>
        </is>
      </c>
      <c r="P5141" t="inlineStr">
        <is>
          <t>2026-06-19 07:10:32</t>
        </is>
      </c>
      <c r="Y5141" t="inlineStr">
        <is>
          <t>27606404544</t>
        </is>
      </c>
    </row>
    <row r="5142">
      <c r="A5142" t="inlineStr">
        <is>
          <t>14943958</t>
        </is>
      </c>
      <c r="B5142" t="inlineStr">
        <is>
          <t>db9ca3bf-f1ff-4690-ba74-daf70e5ac39f</t>
        </is>
      </c>
      <c r="D5142" t="inlineStr">
        <is>
          <t>30001087</t>
        </is>
      </c>
      <c r="E5142" t="inlineStr">
        <is>
          <t>ussd_funeral_leads_altitude_20260619</t>
        </is>
      </c>
      <c r="J5142" t="inlineStr">
        <is>
          <t>AA</t>
        </is>
      </c>
      <c r="K5142" t="inlineStr">
        <is>
          <t>Answering Machine Autodial</t>
        </is>
      </c>
      <c r="L5142" t="n">
        <v>2</v>
      </c>
      <c r="M5142" t="inlineStr">
        <is>
          <t>2026-06-22 12:54:50</t>
        </is>
      </c>
      <c r="N5142" t="inlineStr">
        <is>
          <t>system</t>
        </is>
      </c>
      <c r="O5142" t="inlineStr">
        <is>
          <t>2026-06-19 07:10:32</t>
        </is>
      </c>
      <c r="P5142" t="inlineStr">
        <is>
          <t>2026-06-19 07:10:32</t>
        </is>
      </c>
      <c r="Y5142" t="inlineStr">
        <is>
          <t>27799106208</t>
        </is>
      </c>
    </row>
    <row r="5143">
      <c r="A5143" t="inlineStr">
        <is>
          <t>14943955</t>
        </is>
      </c>
      <c r="B5143" t="inlineStr">
        <is>
          <t>df6c8036-1558-453a-9d7e-48a7ecd10e8e</t>
        </is>
      </c>
      <c r="D5143" t="inlineStr">
        <is>
          <t>30001087</t>
        </is>
      </c>
      <c r="E5143" t="inlineStr">
        <is>
          <t>ussd_funeral_leads_altitude_20260619</t>
        </is>
      </c>
      <c r="J5143" t="inlineStr">
        <is>
          <t>CU</t>
        </is>
      </c>
      <c r="K5143" t="inlineStr">
        <is>
          <t>Client Hung Up</t>
        </is>
      </c>
      <c r="L5143" t="n">
        <v>2</v>
      </c>
      <c r="M5143" t="inlineStr">
        <is>
          <t>2026-06-22 12:54:46</t>
        </is>
      </c>
      <c r="N5143" t="inlineStr">
        <is>
          <t>Gontse Monageng</t>
        </is>
      </c>
      <c r="O5143" t="inlineStr">
        <is>
          <t>2026-06-19 07:10:32</t>
        </is>
      </c>
      <c r="P5143" t="inlineStr">
        <is>
          <t>2026-06-19 07:10:32</t>
        </is>
      </c>
      <c r="Y5143" t="inlineStr">
        <is>
          <t>27797846218</t>
        </is>
      </c>
    </row>
    <row r="5144">
      <c r="A5144" t="inlineStr">
        <is>
          <t>14943956</t>
        </is>
      </c>
      <c r="B5144" t="inlineStr">
        <is>
          <t>f4ad0eb6-7c24-4efa-bf25-08f7f3daf355</t>
        </is>
      </c>
      <c r="D5144" t="inlineStr">
        <is>
          <t>30001087</t>
        </is>
      </c>
      <c r="E5144" t="inlineStr">
        <is>
          <t>ussd_funeral_leads_altitude_20260619</t>
        </is>
      </c>
      <c r="J5144" t="inlineStr">
        <is>
          <t>AA</t>
        </is>
      </c>
      <c r="K5144" t="inlineStr">
        <is>
          <t>Answering Machine Autodial</t>
        </is>
      </c>
      <c r="L5144" t="n">
        <v>2</v>
      </c>
      <c r="M5144" t="inlineStr">
        <is>
          <t>2026-06-22 12:54:46</t>
        </is>
      </c>
      <c r="N5144" t="inlineStr">
        <is>
          <t>system</t>
        </is>
      </c>
      <c r="O5144" t="inlineStr">
        <is>
          <t>2026-06-19 07:10:32</t>
        </is>
      </c>
      <c r="P5144" t="inlineStr">
        <is>
          <t>2026-06-19 07:10:32</t>
        </is>
      </c>
      <c r="Y5144" t="inlineStr">
        <is>
          <t>27724063295</t>
        </is>
      </c>
    </row>
    <row r="5145">
      <c r="A5145" t="inlineStr">
        <is>
          <t>14900000</t>
        </is>
      </c>
      <c r="B5145" t="inlineStr">
        <is>
          <t>5e5638ed-8d77-4737-80f2-0cdc5525da40</t>
        </is>
      </c>
      <c r="D5145" t="inlineStr">
        <is>
          <t>30001087</t>
        </is>
      </c>
      <c r="E5145" t="inlineStr">
        <is>
          <t>ussd_funeral_leads_altitude_20260619</t>
        </is>
      </c>
      <c r="J5145" t="inlineStr">
        <is>
          <t>AE</t>
        </is>
      </c>
      <c r="K5145" t="inlineStr">
        <is>
          <t>Auto Engaged</t>
        </is>
      </c>
      <c r="L5145" t="n">
        <v>2</v>
      </c>
      <c r="M5145" t="inlineStr">
        <is>
          <t>2026-06-22 12:54:46</t>
        </is>
      </c>
      <c r="N5145" t="inlineStr">
        <is>
          <t>system</t>
        </is>
      </c>
      <c r="O5145" t="inlineStr">
        <is>
          <t>2026-06-19 07:10:32</t>
        </is>
      </c>
      <c r="P5145" t="inlineStr">
        <is>
          <t>2026-06-19 07:10:32</t>
        </is>
      </c>
      <c r="Y5145" t="inlineStr">
        <is>
          <t>27827969642</t>
        </is>
      </c>
    </row>
    <row r="5146">
      <c r="A5146" t="inlineStr">
        <is>
          <t>14943953</t>
        </is>
      </c>
      <c r="B5146" t="inlineStr">
        <is>
          <t>40e7a019-f73b-489a-9333-f90d5647f294</t>
        </is>
      </c>
      <c r="D5146" t="inlineStr">
        <is>
          <t>30001087</t>
        </is>
      </c>
      <c r="E5146" t="inlineStr">
        <is>
          <t>ussd_funeral_leads_altitude_20260619</t>
        </is>
      </c>
      <c r="J5146" t="inlineStr">
        <is>
          <t>AA</t>
        </is>
      </c>
      <c r="K5146" t="inlineStr">
        <is>
          <t>Answering Machine Autodial</t>
        </is>
      </c>
      <c r="L5146" t="n">
        <v>2</v>
      </c>
      <c r="M5146" t="inlineStr">
        <is>
          <t>2026-06-22 12:54:45</t>
        </is>
      </c>
      <c r="N5146" t="inlineStr">
        <is>
          <t>system</t>
        </is>
      </c>
      <c r="O5146" t="inlineStr">
        <is>
          <t>2026-06-19 07:10:32</t>
        </is>
      </c>
      <c r="P5146" t="inlineStr">
        <is>
          <t>2026-06-19 07:10:32</t>
        </is>
      </c>
      <c r="Y5146" t="inlineStr">
        <is>
          <t>27767945939</t>
        </is>
      </c>
    </row>
    <row r="5147">
      <c r="A5147" t="inlineStr">
        <is>
          <t>14943954</t>
        </is>
      </c>
      <c r="B5147" t="inlineStr">
        <is>
          <t>d85c4770-50a5-4ece-bf9b-38fd8257336a</t>
        </is>
      </c>
      <c r="D5147" t="inlineStr">
        <is>
          <t>30001087</t>
        </is>
      </c>
      <c r="E5147" t="inlineStr">
        <is>
          <t>ussd_funeral_leads_altitude_20260619</t>
        </is>
      </c>
      <c r="J5147" t="inlineStr">
        <is>
          <t>ADC</t>
        </is>
      </c>
      <c r="K5147" t="inlineStr">
        <is>
          <t>Auto Dial Disconnected</t>
        </is>
      </c>
      <c r="L5147" t="n">
        <v>2</v>
      </c>
      <c r="M5147" t="inlineStr">
        <is>
          <t>2026-06-22 12:54:45</t>
        </is>
      </c>
      <c r="N5147" t="inlineStr">
        <is>
          <t>system</t>
        </is>
      </c>
      <c r="O5147" t="inlineStr">
        <is>
          <t>2026-06-19 07:10:32</t>
        </is>
      </c>
      <c r="P5147" t="inlineStr">
        <is>
          <t>2026-06-19 07:10:32</t>
        </is>
      </c>
      <c r="Y5147" t="inlineStr">
        <is>
          <t>27663174000</t>
        </is>
      </c>
    </row>
    <row r="5148">
      <c r="A5148" t="inlineStr">
        <is>
          <t>14943952</t>
        </is>
      </c>
      <c r="B5148" t="inlineStr">
        <is>
          <t>95bb6df2-c4f6-4c04-b7a6-ea305a92ee2f</t>
        </is>
      </c>
      <c r="D5148" t="inlineStr">
        <is>
          <t>30001087</t>
        </is>
      </c>
      <c r="E5148" t="inlineStr">
        <is>
          <t>ussd_funeral_leads_altitude_20260619</t>
        </is>
      </c>
      <c r="J5148" t="inlineStr">
        <is>
          <t>DROP</t>
        </is>
      </c>
      <c r="K5148" t="inlineStr">
        <is>
          <t>Dropped</t>
        </is>
      </c>
      <c r="L5148" t="n">
        <v>2</v>
      </c>
      <c r="M5148" t="inlineStr">
        <is>
          <t>2026-06-22 12:54:22</t>
        </is>
      </c>
      <c r="N5148" t="inlineStr">
        <is>
          <t>system</t>
        </is>
      </c>
      <c r="O5148" t="inlineStr">
        <is>
          <t>2026-06-19 07:10:32</t>
        </is>
      </c>
      <c r="P5148" t="inlineStr">
        <is>
          <t>2026-06-19 07:10:32</t>
        </is>
      </c>
      <c r="Y5148" t="inlineStr">
        <is>
          <t>27767343982</t>
        </is>
      </c>
    </row>
    <row r="5149">
      <c r="A5149" t="inlineStr">
        <is>
          <t>14943951</t>
        </is>
      </c>
      <c r="B5149" t="inlineStr">
        <is>
          <t>a73b3afc-0791-41ac-b338-e32490ebee57</t>
        </is>
      </c>
      <c r="D5149" t="inlineStr">
        <is>
          <t>30001087</t>
        </is>
      </c>
      <c r="E5149" t="inlineStr">
        <is>
          <t>ussd_funeral_leads_altitude_20260619</t>
        </is>
      </c>
      <c r="J5149" t="inlineStr">
        <is>
          <t>ADC</t>
        </is>
      </c>
      <c r="K5149" t="inlineStr">
        <is>
          <t>Auto Dial Disconnected</t>
        </is>
      </c>
      <c r="L5149" t="n">
        <v>2</v>
      </c>
      <c r="M5149" t="inlineStr">
        <is>
          <t>2026-06-22 12:54:12</t>
        </is>
      </c>
      <c r="N5149" t="inlineStr">
        <is>
          <t>system</t>
        </is>
      </c>
      <c r="O5149" t="inlineStr">
        <is>
          <t>2026-06-19 07:10:32</t>
        </is>
      </c>
      <c r="P5149" t="inlineStr">
        <is>
          <t>2026-06-19 07:10:32</t>
        </is>
      </c>
      <c r="Y5149" t="inlineStr">
        <is>
          <t>27606883593</t>
        </is>
      </c>
    </row>
    <row r="5150">
      <c r="A5150" t="inlineStr">
        <is>
          <t>14943950</t>
        </is>
      </c>
      <c r="B5150" t="inlineStr">
        <is>
          <t>aad64407-56c9-4c15-b449-153e5ca478cb</t>
        </is>
      </c>
      <c r="D5150" t="inlineStr">
        <is>
          <t>30001087</t>
        </is>
      </c>
      <c r="E5150" t="inlineStr">
        <is>
          <t>ussd_funeral_leads_altitude_20260619</t>
        </is>
      </c>
      <c r="J5150" t="inlineStr">
        <is>
          <t>NA</t>
        </is>
      </c>
      <c r="K5150" t="inlineStr">
        <is>
          <t>No Answer Autodial</t>
        </is>
      </c>
      <c r="L5150" t="n">
        <v>2</v>
      </c>
      <c r="M5150" t="inlineStr">
        <is>
          <t>2026-06-22 12:54:02</t>
        </is>
      </c>
      <c r="N5150" t="inlineStr">
        <is>
          <t>system</t>
        </is>
      </c>
      <c r="O5150" t="inlineStr">
        <is>
          <t>2026-06-19 07:10:32</t>
        </is>
      </c>
      <c r="P5150" t="inlineStr">
        <is>
          <t>2026-06-19 07:10:32</t>
        </is>
      </c>
      <c r="Y5150" t="inlineStr">
        <is>
          <t>27724457094</t>
        </is>
      </c>
    </row>
    <row r="5151">
      <c r="A5151" t="inlineStr">
        <is>
          <t>14947721</t>
        </is>
      </c>
      <c r="B5151" t="inlineStr">
        <is>
          <t>12954ec1-666f-40dd-ae90-dd349e4496ac</t>
        </is>
      </c>
      <c r="D5151" t="inlineStr">
        <is>
          <t>30001087</t>
        </is>
      </c>
      <c r="E5151" t="inlineStr">
        <is>
          <t>ussd_funeral_leads_altitude_20260619</t>
        </is>
      </c>
      <c r="J5151" t="inlineStr">
        <is>
          <t>ADC</t>
        </is>
      </c>
      <c r="K5151" t="inlineStr">
        <is>
          <t>Auto Dial Disconnected</t>
        </is>
      </c>
      <c r="L5151" t="n">
        <v>2</v>
      </c>
      <c r="M5151" t="inlineStr">
        <is>
          <t>2026-06-22 12:54:02</t>
        </is>
      </c>
      <c r="N5151" t="inlineStr">
        <is>
          <t>system</t>
        </is>
      </c>
      <c r="O5151" t="inlineStr">
        <is>
          <t>2026-06-19 07:10:32</t>
        </is>
      </c>
      <c r="P5151" t="inlineStr">
        <is>
          <t>2026-06-19 07:10:32</t>
        </is>
      </c>
      <c r="Y5151" t="inlineStr">
        <is>
          <t>27766173521</t>
        </is>
      </c>
    </row>
    <row r="5152">
      <c r="A5152" t="inlineStr">
        <is>
          <t>14944038</t>
        </is>
      </c>
      <c r="B5152" t="inlineStr">
        <is>
          <t>54809e5b-ca36-4ac3-ac1b-a9a6d7f4928c</t>
        </is>
      </c>
      <c r="D5152" t="inlineStr">
        <is>
          <t>30001087</t>
        </is>
      </c>
      <c r="E5152" t="inlineStr">
        <is>
          <t>ussd_funeral_leads_altitude_20260619</t>
        </is>
      </c>
      <c r="J5152" t="inlineStr">
        <is>
          <t>AA</t>
        </is>
      </c>
      <c r="K5152" t="inlineStr">
        <is>
          <t>Answering Machine Autodial</t>
        </is>
      </c>
      <c r="L5152" t="n">
        <v>2</v>
      </c>
      <c r="M5152" t="inlineStr">
        <is>
          <t>2026-06-22 12:53:18</t>
        </is>
      </c>
      <c r="N5152" t="inlineStr">
        <is>
          <t>system</t>
        </is>
      </c>
      <c r="O5152" t="inlineStr">
        <is>
          <t>2026-06-19 07:10:32</t>
        </is>
      </c>
      <c r="P5152" t="inlineStr">
        <is>
          <t>2026-06-19 07:10:32</t>
        </is>
      </c>
      <c r="Y5152" t="inlineStr">
        <is>
          <t>27765789995</t>
        </is>
      </c>
    </row>
    <row r="5153">
      <c r="A5153" t="inlineStr">
        <is>
          <t>14944031</t>
        </is>
      </c>
      <c r="B5153" t="inlineStr">
        <is>
          <t>80229ee2-f177-4b77-8237-e4ca18f2add8</t>
        </is>
      </c>
      <c r="D5153" t="inlineStr">
        <is>
          <t>30001087</t>
        </is>
      </c>
      <c r="E5153" t="inlineStr">
        <is>
          <t>ussd_funeral_leads_altitude_20260619</t>
        </is>
      </c>
      <c r="J5153" t="inlineStr">
        <is>
          <t>LANG</t>
        </is>
      </c>
      <c r="K5153" t="inlineStr">
        <is>
          <t>Language Barrier</t>
        </is>
      </c>
      <c r="L5153" t="n">
        <v>2</v>
      </c>
      <c r="M5153" t="inlineStr">
        <is>
          <t>2026-06-22 12:53:15</t>
        </is>
      </c>
      <c r="N5153" t="inlineStr">
        <is>
          <t>Gontse Monageng</t>
        </is>
      </c>
      <c r="O5153" t="inlineStr">
        <is>
          <t>2026-06-19 07:10:32</t>
        </is>
      </c>
      <c r="P5153" t="inlineStr">
        <is>
          <t>2026-06-19 07:10:32</t>
        </is>
      </c>
      <c r="Y5153" t="inlineStr">
        <is>
          <t>27725746766</t>
        </is>
      </c>
    </row>
    <row r="5154">
      <c r="A5154" t="inlineStr">
        <is>
          <t>14944019</t>
        </is>
      </c>
      <c r="B5154" t="inlineStr">
        <is>
          <t>33d97bb1-3025-4bf8-b403-d20dea2d8724</t>
        </is>
      </c>
      <c r="D5154" t="inlineStr">
        <is>
          <t>30001087</t>
        </is>
      </c>
      <c r="E5154" t="inlineStr">
        <is>
          <t>ussd_funeral_leads_altitude_20260619</t>
        </is>
      </c>
      <c r="J5154" t="inlineStr">
        <is>
          <t>NA</t>
        </is>
      </c>
      <c r="K5154" t="inlineStr">
        <is>
          <t>No Answer Autodial</t>
        </is>
      </c>
      <c r="L5154" t="n">
        <v>2</v>
      </c>
      <c r="M5154" t="inlineStr">
        <is>
          <t>2026-06-22 12:52:14</t>
        </is>
      </c>
      <c r="N5154" t="inlineStr">
        <is>
          <t>system</t>
        </is>
      </c>
      <c r="O5154" t="inlineStr">
        <is>
          <t>2026-06-19 07:10:32</t>
        </is>
      </c>
      <c r="P5154" t="inlineStr">
        <is>
          <t>2026-06-19 07:10:32</t>
        </is>
      </c>
      <c r="Y5154" t="inlineStr">
        <is>
          <t>27715221912</t>
        </is>
      </c>
    </row>
    <row r="5155">
      <c r="A5155" t="inlineStr">
        <is>
          <t>14944020</t>
        </is>
      </c>
      <c r="B5155" t="inlineStr">
        <is>
          <t>680a9f16-d136-4409-9915-c9b3191d9570</t>
        </is>
      </c>
      <c r="D5155" t="inlineStr">
        <is>
          <t>30001087</t>
        </is>
      </c>
      <c r="E5155" t="inlineStr">
        <is>
          <t>ussd_funeral_leads_altitude_20260619</t>
        </is>
      </c>
      <c r="H5155" t="inlineStr">
        <is>
          <t>27665255200</t>
        </is>
      </c>
      <c r="J5155" t="inlineStr">
        <is>
          <t>AA</t>
        </is>
      </c>
      <c r="K5155" t="inlineStr">
        <is>
          <t>Answering Machine Autodial</t>
        </is>
      </c>
      <c r="L5155" t="n">
        <v>2</v>
      </c>
      <c r="M5155" t="inlineStr">
        <is>
          <t>2026-06-22 12:52:14</t>
        </is>
      </c>
      <c r="N5155" t="inlineStr">
        <is>
          <t>system</t>
        </is>
      </c>
      <c r="O5155" t="inlineStr">
        <is>
          <t>2026-06-19 07:10:32</t>
        </is>
      </c>
      <c r="P5155" t="inlineStr">
        <is>
          <t>2026-06-19 07:10:32</t>
        </is>
      </c>
      <c r="Y5155" t="inlineStr">
        <is>
          <t>27665255200</t>
        </is>
      </c>
    </row>
    <row r="5156">
      <c r="A5156" t="inlineStr">
        <is>
          <t>14944022</t>
        </is>
      </c>
      <c r="B5156" t="inlineStr">
        <is>
          <t>ab2ca479-b85a-46f5-8857-484ffd5bd616</t>
        </is>
      </c>
      <c r="D5156" t="inlineStr">
        <is>
          <t>30001087</t>
        </is>
      </c>
      <c r="E5156" t="inlineStr">
        <is>
          <t>ussd_funeral_leads_altitude_20260619</t>
        </is>
      </c>
      <c r="J5156" t="inlineStr">
        <is>
          <t>AA</t>
        </is>
      </c>
      <c r="K5156" t="inlineStr">
        <is>
          <t>Answering Machine Autodial</t>
        </is>
      </c>
      <c r="L5156" t="n">
        <v>2</v>
      </c>
      <c r="M5156" t="inlineStr">
        <is>
          <t>2026-06-22 12:52:14</t>
        </is>
      </c>
      <c r="N5156" t="inlineStr">
        <is>
          <t>system</t>
        </is>
      </c>
      <c r="O5156" t="inlineStr">
        <is>
          <t>2026-06-19 07:10:32</t>
        </is>
      </c>
      <c r="P5156" t="inlineStr">
        <is>
          <t>2026-06-19 07:10:32</t>
        </is>
      </c>
      <c r="Y5156" t="inlineStr">
        <is>
          <t>27727785958</t>
        </is>
      </c>
    </row>
    <row r="5157">
      <c r="A5157" t="inlineStr">
        <is>
          <t>14944018</t>
        </is>
      </c>
      <c r="B5157" t="inlineStr">
        <is>
          <t>f1c3d14a-eb0d-48c8-bde7-0b0877afd072</t>
        </is>
      </c>
      <c r="D5157" t="inlineStr">
        <is>
          <t>30001087</t>
        </is>
      </c>
      <c r="E5157" t="inlineStr">
        <is>
          <t>ussd_funeral_leads_altitude_20260619</t>
        </is>
      </c>
      <c r="J5157" t="inlineStr">
        <is>
          <t>NA</t>
        </is>
      </c>
      <c r="K5157" t="inlineStr">
        <is>
          <t>No Answer Autodial</t>
        </is>
      </c>
      <c r="L5157" t="n">
        <v>2</v>
      </c>
      <c r="M5157" t="inlineStr">
        <is>
          <t>2026-06-22 12:52:13</t>
        </is>
      </c>
      <c r="N5157" t="inlineStr">
        <is>
          <t>system</t>
        </is>
      </c>
      <c r="O5157" t="inlineStr">
        <is>
          <t>2026-06-19 07:10:32</t>
        </is>
      </c>
      <c r="P5157" t="inlineStr">
        <is>
          <t>2026-06-19 07:10:32</t>
        </is>
      </c>
      <c r="Y5157" t="inlineStr">
        <is>
          <t>27764839992</t>
        </is>
      </c>
    </row>
    <row r="5158">
      <c r="A5158" t="inlineStr">
        <is>
          <t>14944014</t>
        </is>
      </c>
      <c r="B5158" t="inlineStr">
        <is>
          <t>83da7c62-3d9f-4e73-9947-e398194ec5f9</t>
        </is>
      </c>
      <c r="D5158" t="inlineStr">
        <is>
          <t>30001087</t>
        </is>
      </c>
      <c r="E5158" t="inlineStr">
        <is>
          <t>ussd_funeral_leads_altitude_20260619</t>
        </is>
      </c>
      <c r="J5158" t="inlineStr">
        <is>
          <t>NA</t>
        </is>
      </c>
      <c r="K5158" t="inlineStr">
        <is>
          <t>No Answer Autodial</t>
        </is>
      </c>
      <c r="L5158" t="n">
        <v>2</v>
      </c>
      <c r="M5158" t="inlineStr">
        <is>
          <t>2026-06-22 12:52:12</t>
        </is>
      </c>
      <c r="N5158" t="inlineStr">
        <is>
          <t>system</t>
        </is>
      </c>
      <c r="O5158" t="inlineStr">
        <is>
          <t>2026-06-19 07:10:32</t>
        </is>
      </c>
      <c r="P5158" t="inlineStr">
        <is>
          <t>2026-06-19 07:10:32</t>
        </is>
      </c>
      <c r="Y5158" t="inlineStr">
        <is>
          <t>27647478509</t>
        </is>
      </c>
    </row>
    <row r="5159">
      <c r="A5159" t="inlineStr">
        <is>
          <t>14944015</t>
        </is>
      </c>
      <c r="B5159" t="inlineStr">
        <is>
          <t>51b61bd7-a6db-46e2-abc6-031829d11a46</t>
        </is>
      </c>
      <c r="D5159" t="inlineStr">
        <is>
          <t>30001087</t>
        </is>
      </c>
      <c r="E5159" t="inlineStr">
        <is>
          <t>ussd_funeral_leads_altitude_20260619</t>
        </is>
      </c>
      <c r="J5159" t="inlineStr">
        <is>
          <t>AA</t>
        </is>
      </c>
      <c r="K5159" t="inlineStr">
        <is>
          <t>Answering Machine Autodial</t>
        </is>
      </c>
      <c r="L5159" t="n">
        <v>2</v>
      </c>
      <c r="M5159" t="inlineStr">
        <is>
          <t>2026-06-22 12:52:12</t>
        </is>
      </c>
      <c r="N5159" t="inlineStr">
        <is>
          <t>system</t>
        </is>
      </c>
      <c r="O5159" t="inlineStr">
        <is>
          <t>2026-06-19 07:10:32</t>
        </is>
      </c>
      <c r="P5159" t="inlineStr">
        <is>
          <t>2026-06-19 07:10:32</t>
        </is>
      </c>
      <c r="Y5159" t="inlineStr">
        <is>
          <t>27608857170</t>
        </is>
      </c>
    </row>
    <row r="5160">
      <c r="A5160" t="inlineStr">
        <is>
          <t>14944017</t>
        </is>
      </c>
      <c r="B5160" t="inlineStr">
        <is>
          <t>63855427-ff6f-455b-b219-966d0e875e1d</t>
        </is>
      </c>
      <c r="D5160" t="inlineStr">
        <is>
          <t>30001087</t>
        </is>
      </c>
      <c r="E5160" t="inlineStr">
        <is>
          <t>ussd_funeral_leads_altitude_20260619</t>
        </is>
      </c>
      <c r="J5160" t="inlineStr">
        <is>
          <t>NA</t>
        </is>
      </c>
      <c r="K5160" t="inlineStr">
        <is>
          <t>No Answer Autodial</t>
        </is>
      </c>
      <c r="L5160" t="n">
        <v>2</v>
      </c>
      <c r="M5160" t="inlineStr">
        <is>
          <t>2026-06-22 12:52:12</t>
        </is>
      </c>
      <c r="N5160" t="inlineStr">
        <is>
          <t>system</t>
        </is>
      </c>
      <c r="O5160" t="inlineStr">
        <is>
          <t>2026-06-19 07:10:32</t>
        </is>
      </c>
      <c r="P5160" t="inlineStr">
        <is>
          <t>2026-06-19 07:10:32</t>
        </is>
      </c>
      <c r="Y5160" t="inlineStr">
        <is>
          <t>27636299981</t>
        </is>
      </c>
    </row>
    <row r="5161">
      <c r="A5161" t="inlineStr">
        <is>
          <t>14944013</t>
        </is>
      </c>
      <c r="B5161" t="inlineStr">
        <is>
          <t>3db6c5a5-a721-4176-ba3a-a8fd8172a5d5</t>
        </is>
      </c>
      <c r="D5161" t="inlineStr">
        <is>
          <t>30001087</t>
        </is>
      </c>
      <c r="E5161" t="inlineStr">
        <is>
          <t>ussd_funeral_leads_altitude_20260619</t>
        </is>
      </c>
      <c r="J5161" t="inlineStr">
        <is>
          <t>NA</t>
        </is>
      </c>
      <c r="K5161" t="inlineStr">
        <is>
          <t>No Answer Autodial</t>
        </is>
      </c>
      <c r="L5161" t="n">
        <v>2</v>
      </c>
      <c r="M5161" t="inlineStr">
        <is>
          <t>2026-06-22 12:52:02</t>
        </is>
      </c>
      <c r="N5161" t="inlineStr">
        <is>
          <t>system</t>
        </is>
      </c>
      <c r="O5161" t="inlineStr">
        <is>
          <t>2026-06-19 07:10:32</t>
        </is>
      </c>
      <c r="P5161" t="inlineStr">
        <is>
          <t>2026-06-19 07:10:32</t>
        </is>
      </c>
      <c r="Y5161" t="inlineStr">
        <is>
          <t>27822185504</t>
        </is>
      </c>
    </row>
    <row r="5162">
      <c r="A5162" t="inlineStr">
        <is>
          <t>14944011</t>
        </is>
      </c>
      <c r="B5162" t="inlineStr">
        <is>
          <t>1aa88980-a83d-4ea5-afeb-e3ad5c9a0933</t>
        </is>
      </c>
      <c r="D5162" t="inlineStr">
        <is>
          <t>30001087</t>
        </is>
      </c>
      <c r="E5162" t="inlineStr">
        <is>
          <t>ussd_funeral_leads_altitude_20260619</t>
        </is>
      </c>
      <c r="J5162" t="inlineStr">
        <is>
          <t>ADC</t>
        </is>
      </c>
      <c r="K5162" t="inlineStr">
        <is>
          <t>Auto Dial Disconnected</t>
        </is>
      </c>
      <c r="L5162" t="n">
        <v>2</v>
      </c>
      <c r="M5162" t="inlineStr">
        <is>
          <t>2026-06-22 12:52:00</t>
        </is>
      </c>
      <c r="N5162" t="inlineStr">
        <is>
          <t>system</t>
        </is>
      </c>
      <c r="O5162" t="inlineStr">
        <is>
          <t>2026-06-19 07:10:32</t>
        </is>
      </c>
      <c r="P5162" t="inlineStr">
        <is>
          <t>2026-06-19 07:10:32</t>
        </is>
      </c>
      <c r="Y5162" t="inlineStr">
        <is>
          <t>27648913195</t>
        </is>
      </c>
    </row>
    <row r="5163">
      <c r="A5163" t="inlineStr">
        <is>
          <t>14944008</t>
        </is>
      </c>
      <c r="B5163" t="inlineStr">
        <is>
          <t>54829e73-b91b-4274-a2c1-df6b2dc5ceb4</t>
        </is>
      </c>
      <c r="D5163" t="inlineStr">
        <is>
          <t>30001087</t>
        </is>
      </c>
      <c r="E5163" t="inlineStr">
        <is>
          <t>ussd_funeral_leads_altitude_20260619</t>
        </is>
      </c>
      <c r="J5163" t="inlineStr">
        <is>
          <t>ADC</t>
        </is>
      </c>
      <c r="K5163" t="inlineStr">
        <is>
          <t>Auto Dial Disconnected</t>
        </is>
      </c>
      <c r="L5163" t="n">
        <v>2</v>
      </c>
      <c r="M5163" t="inlineStr">
        <is>
          <t>2026-06-22 12:51:49</t>
        </is>
      </c>
      <c r="N5163" t="inlineStr">
        <is>
          <t>system</t>
        </is>
      </c>
      <c r="O5163" t="inlineStr">
        <is>
          <t>2026-06-19 07:10:32</t>
        </is>
      </c>
      <c r="P5163" t="inlineStr">
        <is>
          <t>2026-06-19 07:10:32</t>
        </is>
      </c>
      <c r="Y5163" t="inlineStr">
        <is>
          <t>27769907433</t>
        </is>
      </c>
    </row>
    <row r="5164">
      <c r="A5164" t="inlineStr">
        <is>
          <t>14944010</t>
        </is>
      </c>
      <c r="B5164" t="inlineStr">
        <is>
          <t>ab55530c-0853-4b54-ae4d-08ec82accea6</t>
        </is>
      </c>
      <c r="D5164" t="inlineStr">
        <is>
          <t>30001087</t>
        </is>
      </c>
      <c r="E5164" t="inlineStr">
        <is>
          <t>ussd_funeral_leads_altitude_20260619</t>
        </is>
      </c>
      <c r="J5164" t="inlineStr">
        <is>
          <t>ADC</t>
        </is>
      </c>
      <c r="K5164" t="inlineStr">
        <is>
          <t>Auto Dial Disconnected</t>
        </is>
      </c>
      <c r="L5164" t="n">
        <v>2</v>
      </c>
      <c r="M5164" t="inlineStr">
        <is>
          <t>2026-06-22 12:51:49</t>
        </is>
      </c>
      <c r="N5164" t="inlineStr">
        <is>
          <t>system</t>
        </is>
      </c>
      <c r="O5164" t="inlineStr">
        <is>
          <t>2026-06-19 07:10:32</t>
        </is>
      </c>
      <c r="P5164" t="inlineStr">
        <is>
          <t>2026-06-19 07:10:32</t>
        </is>
      </c>
      <c r="Y5164" t="inlineStr">
        <is>
          <t>27661818263</t>
        </is>
      </c>
    </row>
    <row r="5165">
      <c r="A5165" t="inlineStr">
        <is>
          <t>14944007</t>
        </is>
      </c>
      <c r="B5165" t="inlineStr">
        <is>
          <t>6ec99ae1-4dae-4155-93bd-4f3d35b0cec4</t>
        </is>
      </c>
      <c r="D5165" t="inlineStr">
        <is>
          <t>30001087</t>
        </is>
      </c>
      <c r="E5165" t="inlineStr">
        <is>
          <t>ussd_funeral_leads_altitude_20260619</t>
        </is>
      </c>
      <c r="J5165" t="inlineStr">
        <is>
          <t>TDN</t>
        </is>
      </c>
      <c r="K5165" t="inlineStr">
        <is>
          <t>Temporary Disconnected Number</t>
        </is>
      </c>
      <c r="L5165" t="n">
        <v>2</v>
      </c>
      <c r="M5165" t="inlineStr">
        <is>
          <t>2026-06-22 12:51:32</t>
        </is>
      </c>
      <c r="N5165" t="inlineStr">
        <is>
          <t>system</t>
        </is>
      </c>
      <c r="O5165" t="inlineStr">
        <is>
          <t>2026-06-19 07:10:32</t>
        </is>
      </c>
      <c r="P5165" t="inlineStr">
        <is>
          <t>2026-06-19 07:10:32</t>
        </is>
      </c>
      <c r="Y5165" t="inlineStr">
        <is>
          <t>27647606356</t>
        </is>
      </c>
    </row>
    <row r="5166">
      <c r="A5166" t="inlineStr">
        <is>
          <t>14944006</t>
        </is>
      </c>
      <c r="B5166" t="inlineStr">
        <is>
          <t>c6a71532-6796-4783-a517-ad4a005cce37</t>
        </is>
      </c>
      <c r="D5166" t="inlineStr">
        <is>
          <t>30001087</t>
        </is>
      </c>
      <c r="E5166" t="inlineStr">
        <is>
          <t>ussd_funeral_leads_altitude_20260619</t>
        </is>
      </c>
      <c r="J5166" t="inlineStr">
        <is>
          <t>WN</t>
        </is>
      </c>
      <c r="K5166" t="inlineStr">
        <is>
          <t>Wrong Number</t>
        </is>
      </c>
      <c r="L5166" t="n">
        <v>2</v>
      </c>
      <c r="M5166" t="inlineStr">
        <is>
          <t>2026-06-22 12:51:29</t>
        </is>
      </c>
      <c r="N5166" t="inlineStr">
        <is>
          <t>Gontse Monageng</t>
        </is>
      </c>
      <c r="O5166" t="inlineStr">
        <is>
          <t>2026-06-19 07:10:32</t>
        </is>
      </c>
      <c r="P5166" t="inlineStr">
        <is>
          <t>2026-06-19 07:10:32</t>
        </is>
      </c>
      <c r="Y5166" t="inlineStr">
        <is>
          <t>27609992447</t>
        </is>
      </c>
    </row>
    <row r="5167">
      <c r="A5167" t="inlineStr">
        <is>
          <t>14944005</t>
        </is>
      </c>
      <c r="B5167" t="inlineStr">
        <is>
          <t>abae33c5-b8f3-4331-baea-d7ac87605fde</t>
        </is>
      </c>
      <c r="D5167" t="inlineStr">
        <is>
          <t>30001087</t>
        </is>
      </c>
      <c r="E5167" t="inlineStr">
        <is>
          <t>ussd_funeral_leads_altitude_20260619</t>
        </is>
      </c>
      <c r="J5167" t="inlineStr">
        <is>
          <t>NA</t>
        </is>
      </c>
      <c r="K5167" t="inlineStr">
        <is>
          <t>No Answer Autodial</t>
        </is>
      </c>
      <c r="L5167" t="n">
        <v>2</v>
      </c>
      <c r="M5167" t="inlineStr">
        <is>
          <t>2026-06-22 12:51:28</t>
        </is>
      </c>
      <c r="N5167" t="inlineStr">
        <is>
          <t>system</t>
        </is>
      </c>
      <c r="O5167" t="inlineStr">
        <is>
          <t>2026-06-19 07:10:32</t>
        </is>
      </c>
      <c r="P5167" t="inlineStr">
        <is>
          <t>2026-06-19 07:10:32</t>
        </is>
      </c>
      <c r="Y5167" t="inlineStr">
        <is>
          <t>27723157755</t>
        </is>
      </c>
    </row>
    <row r="5168">
      <c r="A5168" t="inlineStr">
        <is>
          <t>14947722</t>
        </is>
      </c>
      <c r="B5168" t="inlineStr">
        <is>
          <t>b17bb1f9-0f08-4cea-a942-a9955215eceb</t>
        </is>
      </c>
      <c r="D5168" t="inlineStr">
        <is>
          <t>30001087</t>
        </is>
      </c>
      <c r="E5168" t="inlineStr">
        <is>
          <t>ussd_funeral_leads_altitude_20260619</t>
        </is>
      </c>
      <c r="J5168" t="inlineStr">
        <is>
          <t>NA</t>
        </is>
      </c>
      <c r="K5168" t="inlineStr">
        <is>
          <t>No Answer Autodial</t>
        </is>
      </c>
      <c r="L5168" t="n">
        <v>2</v>
      </c>
      <c r="M5168" t="inlineStr">
        <is>
          <t>2026-06-22 12:51:26</t>
        </is>
      </c>
      <c r="N5168" t="inlineStr">
        <is>
          <t>system</t>
        </is>
      </c>
      <c r="O5168" t="inlineStr">
        <is>
          <t>2026-06-19 07:10:32</t>
        </is>
      </c>
      <c r="P5168" t="inlineStr">
        <is>
          <t>2026-06-19 07:10:32</t>
        </is>
      </c>
      <c r="Y5168" t="inlineStr">
        <is>
          <t>27792357001</t>
        </is>
      </c>
    </row>
    <row r="5169">
      <c r="A5169" t="inlineStr">
        <is>
          <t>14944081</t>
        </is>
      </c>
      <c r="B5169" t="inlineStr">
        <is>
          <t>3550de38-4532-42af-8e20-5a3a2bee1258</t>
        </is>
      </c>
      <c r="D5169" t="inlineStr">
        <is>
          <t>30001087</t>
        </is>
      </c>
      <c r="E5169" t="inlineStr">
        <is>
          <t>ussd_funeral_leads_altitude_20260619</t>
        </is>
      </c>
      <c r="J5169" t="inlineStr">
        <is>
          <t>NA</t>
        </is>
      </c>
      <c r="K5169" t="inlineStr">
        <is>
          <t>No Answer Autodial</t>
        </is>
      </c>
      <c r="L5169" t="n">
        <v>2</v>
      </c>
      <c r="M5169" t="inlineStr">
        <is>
          <t>2026-06-22 12:50:57</t>
        </is>
      </c>
      <c r="N5169" t="inlineStr">
        <is>
          <t>system</t>
        </is>
      </c>
      <c r="O5169" t="inlineStr">
        <is>
          <t>2026-06-19 07:10:32</t>
        </is>
      </c>
      <c r="P5169" t="inlineStr">
        <is>
          <t>2026-06-19 07:10:32</t>
        </is>
      </c>
      <c r="Y5169" t="inlineStr">
        <is>
          <t>27608261409</t>
        </is>
      </c>
    </row>
    <row r="5170">
      <c r="A5170" t="inlineStr">
        <is>
          <t>14944078</t>
        </is>
      </c>
      <c r="B5170" t="inlineStr">
        <is>
          <t>2667f24d-2922-4615-9ee1-7802128be495</t>
        </is>
      </c>
      <c r="D5170" t="inlineStr">
        <is>
          <t>30001087</t>
        </is>
      </c>
      <c r="E5170" t="inlineStr">
        <is>
          <t>ussd_funeral_leads_altitude_20260619</t>
        </is>
      </c>
      <c r="J5170" t="inlineStr">
        <is>
          <t>CU</t>
        </is>
      </c>
      <c r="K5170" t="inlineStr">
        <is>
          <t>Client Hung Up</t>
        </is>
      </c>
      <c r="L5170" t="n">
        <v>2</v>
      </c>
      <c r="M5170" t="inlineStr">
        <is>
          <t>2026-06-22 12:50:52</t>
        </is>
      </c>
      <c r="N5170" t="inlineStr">
        <is>
          <t>Goitsimang Mogwasa</t>
        </is>
      </c>
      <c r="O5170" t="inlineStr">
        <is>
          <t>2026-06-19 07:10:32</t>
        </is>
      </c>
      <c r="P5170" t="inlineStr">
        <is>
          <t>2026-06-19 07:10:32</t>
        </is>
      </c>
      <c r="Y5170" t="inlineStr">
        <is>
          <t>27761826095</t>
        </is>
      </c>
    </row>
    <row r="5171">
      <c r="A5171" t="inlineStr">
        <is>
          <t>14944079</t>
        </is>
      </c>
      <c r="B5171" t="inlineStr">
        <is>
          <t>a79436f3-bfb2-4a73-bd91-69b3e0cdc7a9</t>
        </is>
      </c>
      <c r="D5171" t="inlineStr">
        <is>
          <t>30001087</t>
        </is>
      </c>
      <c r="E5171" t="inlineStr">
        <is>
          <t>ussd_funeral_leads_altitude_20260619</t>
        </is>
      </c>
      <c r="J5171" t="inlineStr">
        <is>
          <t>AA</t>
        </is>
      </c>
      <c r="K5171" t="inlineStr">
        <is>
          <t>Answering Machine Autodial</t>
        </is>
      </c>
      <c r="L5171" t="n">
        <v>2</v>
      </c>
      <c r="M5171" t="inlineStr">
        <is>
          <t>2026-06-22 12:50:52</t>
        </is>
      </c>
      <c r="N5171" t="inlineStr">
        <is>
          <t>system</t>
        </is>
      </c>
      <c r="O5171" t="inlineStr">
        <is>
          <t>2026-06-19 07:10:32</t>
        </is>
      </c>
      <c r="P5171" t="inlineStr">
        <is>
          <t>2026-06-19 07:10:32</t>
        </is>
      </c>
      <c r="Y5171" t="inlineStr">
        <is>
          <t>27648148707</t>
        </is>
      </c>
    </row>
    <row r="5172">
      <c r="A5172" t="inlineStr">
        <is>
          <t>14944075</t>
        </is>
      </c>
      <c r="B5172" t="inlineStr">
        <is>
          <t>fb3432a8-45b8-42ec-a7ee-bd84b61a69a5</t>
        </is>
      </c>
      <c r="D5172" t="inlineStr">
        <is>
          <t>30001087</t>
        </is>
      </c>
      <c r="E5172" t="inlineStr">
        <is>
          <t>ussd_funeral_leads_altitude_20260619</t>
        </is>
      </c>
      <c r="J5172" t="inlineStr">
        <is>
          <t>ADC</t>
        </is>
      </c>
      <c r="K5172" t="inlineStr">
        <is>
          <t>Auto Dial Disconnected</t>
        </is>
      </c>
      <c r="L5172" t="n">
        <v>2</v>
      </c>
      <c r="M5172" t="inlineStr">
        <is>
          <t>2026-06-22 12:50:51</t>
        </is>
      </c>
      <c r="N5172" t="inlineStr">
        <is>
          <t>system</t>
        </is>
      </c>
      <c r="O5172" t="inlineStr">
        <is>
          <t>2026-06-19 07:10:32</t>
        </is>
      </c>
      <c r="P5172" t="inlineStr">
        <is>
          <t>2026-06-19 07:10:32</t>
        </is>
      </c>
      <c r="Y5172" t="inlineStr">
        <is>
          <t>27636908233</t>
        </is>
      </c>
    </row>
    <row r="5173">
      <c r="A5173" t="inlineStr">
        <is>
          <t>14944076</t>
        </is>
      </c>
      <c r="B5173" t="inlineStr">
        <is>
          <t>0ba9d715-a603-4203-b23f-095fa05cb21f</t>
        </is>
      </c>
      <c r="D5173" t="inlineStr">
        <is>
          <t>30001087</t>
        </is>
      </c>
      <c r="E5173" t="inlineStr">
        <is>
          <t>ussd_funeral_leads_altitude_20260619</t>
        </is>
      </c>
      <c r="J5173" t="inlineStr">
        <is>
          <t>AA</t>
        </is>
      </c>
      <c r="K5173" t="inlineStr">
        <is>
          <t>Answering Machine Autodial</t>
        </is>
      </c>
      <c r="L5173" t="n">
        <v>2</v>
      </c>
      <c r="M5173" t="inlineStr">
        <is>
          <t>2026-06-22 12:50:51</t>
        </is>
      </c>
      <c r="N5173" t="inlineStr">
        <is>
          <t>system</t>
        </is>
      </c>
      <c r="O5173" t="inlineStr">
        <is>
          <t>2026-06-19 07:10:32</t>
        </is>
      </c>
      <c r="P5173" t="inlineStr">
        <is>
          <t>2026-06-19 07:10:32</t>
        </is>
      </c>
      <c r="Y5173" t="inlineStr">
        <is>
          <t>27794994253</t>
        </is>
      </c>
    </row>
    <row r="5174">
      <c r="A5174" t="inlineStr">
        <is>
          <t>14944077</t>
        </is>
      </c>
      <c r="B5174" t="inlineStr">
        <is>
          <t>6456c75c-46a8-4ddd-80bf-31bf326c9c10</t>
        </is>
      </c>
      <c r="D5174" t="inlineStr">
        <is>
          <t>30001087</t>
        </is>
      </c>
      <c r="E5174" t="inlineStr">
        <is>
          <t>ussd_funeral_leads_altitude_20260619</t>
        </is>
      </c>
      <c r="J5174" t="inlineStr">
        <is>
          <t>AA</t>
        </is>
      </c>
      <c r="K5174" t="inlineStr">
        <is>
          <t>Answering Machine Autodial</t>
        </is>
      </c>
      <c r="L5174" t="n">
        <v>2</v>
      </c>
      <c r="M5174" t="inlineStr">
        <is>
          <t>2026-06-22 12:50:51</t>
        </is>
      </c>
      <c r="N5174" t="inlineStr">
        <is>
          <t>system</t>
        </is>
      </c>
      <c r="O5174" t="inlineStr">
        <is>
          <t>2026-06-19 07:10:32</t>
        </is>
      </c>
      <c r="P5174" t="inlineStr">
        <is>
          <t>2026-06-19 07:10:32</t>
        </is>
      </c>
      <c r="Y5174" t="inlineStr">
        <is>
          <t>27799857962</t>
        </is>
      </c>
    </row>
    <row r="5175">
      <c r="A5175" t="inlineStr">
        <is>
          <t>14944073</t>
        </is>
      </c>
      <c r="B5175" t="inlineStr">
        <is>
          <t>ff553a06-efdb-4635-916f-73f2e6c52912</t>
        </is>
      </c>
      <c r="D5175" t="inlineStr">
        <is>
          <t>30001087</t>
        </is>
      </c>
      <c r="E5175" t="inlineStr">
        <is>
          <t>ussd_funeral_leads_altitude_20260619</t>
        </is>
      </c>
      <c r="J5175" t="inlineStr">
        <is>
          <t>AA</t>
        </is>
      </c>
      <c r="K5175" t="inlineStr">
        <is>
          <t>Answering Machine Autodial</t>
        </is>
      </c>
      <c r="L5175" t="n">
        <v>2</v>
      </c>
      <c r="M5175" t="inlineStr">
        <is>
          <t>2026-06-22 12:50:15</t>
        </is>
      </c>
      <c r="N5175" t="inlineStr">
        <is>
          <t>system</t>
        </is>
      </c>
      <c r="O5175" t="inlineStr">
        <is>
          <t>2026-06-19 07:10:32</t>
        </is>
      </c>
      <c r="P5175" t="inlineStr">
        <is>
          <t>2026-06-19 07:10:32</t>
        </is>
      </c>
      <c r="Y5175" t="inlineStr">
        <is>
          <t>27660979262</t>
        </is>
      </c>
    </row>
    <row r="5176">
      <c r="A5176" t="inlineStr">
        <is>
          <t>14944074</t>
        </is>
      </c>
      <c r="B5176" t="inlineStr">
        <is>
          <t>8d17ffac-235a-4c20-b868-d2a23c211d02</t>
        </is>
      </c>
      <c r="D5176" t="inlineStr">
        <is>
          <t>30001087</t>
        </is>
      </c>
      <c r="E5176" t="inlineStr">
        <is>
          <t>ussd_funeral_leads_altitude_20260619</t>
        </is>
      </c>
      <c r="J5176" t="inlineStr">
        <is>
          <t>AA</t>
        </is>
      </c>
      <c r="K5176" t="inlineStr">
        <is>
          <t>Answering Machine Autodial</t>
        </is>
      </c>
      <c r="L5176" t="n">
        <v>2</v>
      </c>
      <c r="M5176" t="inlineStr">
        <is>
          <t>2026-06-22 12:50:15</t>
        </is>
      </c>
      <c r="N5176" t="inlineStr">
        <is>
          <t>system</t>
        </is>
      </c>
      <c r="O5176" t="inlineStr">
        <is>
          <t>2026-06-19 07:10:32</t>
        </is>
      </c>
      <c r="P5176" t="inlineStr">
        <is>
          <t>2026-06-19 07:10:32</t>
        </is>
      </c>
      <c r="Y5176" t="inlineStr">
        <is>
          <t>27712592077</t>
        </is>
      </c>
    </row>
    <row r="5177">
      <c r="A5177" t="inlineStr">
        <is>
          <t>14944071</t>
        </is>
      </c>
      <c r="B5177" t="inlineStr">
        <is>
          <t>c070ad69-5516-4d1d-8a89-c2801b8ce696</t>
        </is>
      </c>
      <c r="D5177" t="inlineStr">
        <is>
          <t>30001087</t>
        </is>
      </c>
      <c r="E5177" t="inlineStr">
        <is>
          <t>ussd_funeral_leads_altitude_20260619</t>
        </is>
      </c>
      <c r="J5177" t="inlineStr">
        <is>
          <t>ADC</t>
        </is>
      </c>
      <c r="K5177" t="inlineStr">
        <is>
          <t>Auto Dial Disconnected</t>
        </is>
      </c>
      <c r="L5177" t="n">
        <v>2</v>
      </c>
      <c r="M5177" t="inlineStr">
        <is>
          <t>2026-06-22 12:50:13</t>
        </is>
      </c>
      <c r="N5177" t="inlineStr">
        <is>
          <t>system</t>
        </is>
      </c>
      <c r="O5177" t="inlineStr">
        <is>
          <t>2026-06-19 07:10:32</t>
        </is>
      </c>
      <c r="P5177" t="inlineStr">
        <is>
          <t>2026-06-19 07:10:32</t>
        </is>
      </c>
      <c r="Y5177" t="inlineStr">
        <is>
          <t>27799513582</t>
        </is>
      </c>
    </row>
    <row r="5178">
      <c r="A5178" t="inlineStr">
        <is>
          <t>14944072</t>
        </is>
      </c>
      <c r="B5178" t="inlineStr">
        <is>
          <t>08c07cf9-fef9-43cd-a837-a8ca78589183</t>
        </is>
      </c>
      <c r="D5178" t="inlineStr">
        <is>
          <t>30001087</t>
        </is>
      </c>
      <c r="E5178" t="inlineStr">
        <is>
          <t>ussd_funeral_leads_altitude_20260619</t>
        </is>
      </c>
      <c r="J5178" t="inlineStr">
        <is>
          <t>ADC</t>
        </is>
      </c>
      <c r="K5178" t="inlineStr">
        <is>
          <t>Auto Dial Disconnected</t>
        </is>
      </c>
      <c r="L5178" t="n">
        <v>2</v>
      </c>
      <c r="M5178" t="inlineStr">
        <is>
          <t>2026-06-22 12:50:13</t>
        </is>
      </c>
      <c r="N5178" t="inlineStr">
        <is>
          <t>system</t>
        </is>
      </c>
      <c r="O5178" t="inlineStr">
        <is>
          <t>2026-06-19 07:10:32</t>
        </is>
      </c>
      <c r="P5178" t="inlineStr">
        <is>
          <t>2026-06-19 07:10:32</t>
        </is>
      </c>
      <c r="Y5178" t="inlineStr">
        <is>
          <t>27794980285</t>
        </is>
      </c>
    </row>
    <row r="5179">
      <c r="A5179" t="inlineStr">
        <is>
          <t>14944070</t>
        </is>
      </c>
      <c r="B5179" t="inlineStr">
        <is>
          <t>9973624d-8189-4ef5-bfde-bc1afc111820</t>
        </is>
      </c>
      <c r="D5179" t="inlineStr">
        <is>
          <t>30001087</t>
        </is>
      </c>
      <c r="E5179" t="inlineStr">
        <is>
          <t>ussd_funeral_leads_altitude_20260619</t>
        </is>
      </c>
      <c r="J5179" t="inlineStr">
        <is>
          <t>AA</t>
        </is>
      </c>
      <c r="K5179" t="inlineStr">
        <is>
          <t>Answering Machine Autodial</t>
        </is>
      </c>
      <c r="L5179" t="n">
        <v>2</v>
      </c>
      <c r="M5179" t="inlineStr">
        <is>
          <t>2026-06-22 12:50:08</t>
        </is>
      </c>
      <c r="N5179" t="inlineStr">
        <is>
          <t>system</t>
        </is>
      </c>
      <c r="O5179" t="inlineStr">
        <is>
          <t>2026-06-19 07:10:32</t>
        </is>
      </c>
      <c r="P5179" t="inlineStr">
        <is>
          <t>2026-06-19 07:10:32</t>
        </is>
      </c>
      <c r="Y5179" t="inlineStr">
        <is>
          <t>27723983520</t>
        </is>
      </c>
    </row>
    <row r="5180">
      <c r="A5180" t="inlineStr">
        <is>
          <t>14944066</t>
        </is>
      </c>
      <c r="B5180" t="inlineStr">
        <is>
          <t>94f2a9d7-9d8d-452e-be11-0280c569c677</t>
        </is>
      </c>
      <c r="D5180" t="inlineStr">
        <is>
          <t>30001087</t>
        </is>
      </c>
      <c r="E5180" t="inlineStr">
        <is>
          <t>ussd_funeral_leads_altitude_20260619</t>
        </is>
      </c>
      <c r="J5180" t="inlineStr">
        <is>
          <t>AA</t>
        </is>
      </c>
      <c r="K5180" t="inlineStr">
        <is>
          <t>Answering Machine Autodial</t>
        </is>
      </c>
      <c r="L5180" t="n">
        <v>2</v>
      </c>
      <c r="M5180" t="inlineStr">
        <is>
          <t>2026-06-22 12:50:06</t>
        </is>
      </c>
      <c r="N5180" t="inlineStr">
        <is>
          <t>system</t>
        </is>
      </c>
      <c r="O5180" t="inlineStr">
        <is>
          <t>2026-06-19 07:10:32</t>
        </is>
      </c>
      <c r="P5180" t="inlineStr">
        <is>
          <t>2026-06-19 07:10:32</t>
        </is>
      </c>
      <c r="Y5180" t="inlineStr">
        <is>
          <t>27766367870</t>
        </is>
      </c>
    </row>
    <row r="5181">
      <c r="A5181" t="inlineStr">
        <is>
          <t>14944065</t>
        </is>
      </c>
      <c r="B5181" t="inlineStr">
        <is>
          <t>2e6e908f-f623-40e0-a3a4-6d152124d793</t>
        </is>
      </c>
      <c r="D5181" t="inlineStr">
        <is>
          <t>30001087</t>
        </is>
      </c>
      <c r="E5181" t="inlineStr">
        <is>
          <t>ussd_funeral_leads_altitude_20260619</t>
        </is>
      </c>
      <c r="J5181" t="inlineStr">
        <is>
          <t>AA</t>
        </is>
      </c>
      <c r="K5181" t="inlineStr">
        <is>
          <t>Answering Machine Autodial</t>
        </is>
      </c>
      <c r="L5181" t="n">
        <v>2</v>
      </c>
      <c r="M5181" t="inlineStr">
        <is>
          <t>2026-06-22 12:50:06</t>
        </is>
      </c>
      <c r="N5181" t="inlineStr">
        <is>
          <t>system</t>
        </is>
      </c>
      <c r="O5181" t="inlineStr">
        <is>
          <t>2026-06-19 07:10:32</t>
        </is>
      </c>
      <c r="P5181" t="inlineStr">
        <is>
          <t>2026-06-19 07:10:32</t>
        </is>
      </c>
      <c r="Y5181" t="inlineStr">
        <is>
          <t>27825431125</t>
        </is>
      </c>
    </row>
    <row r="5182">
      <c r="A5182" t="inlineStr">
        <is>
          <t>14944067</t>
        </is>
      </c>
      <c r="B5182" t="inlineStr">
        <is>
          <t>5f0abc67-e555-4297-9a7f-f8e015e77330</t>
        </is>
      </c>
      <c r="D5182" t="inlineStr">
        <is>
          <t>30001087</t>
        </is>
      </c>
      <c r="E5182" t="inlineStr">
        <is>
          <t>ussd_funeral_leads_altitude_20260619</t>
        </is>
      </c>
      <c r="J5182" t="inlineStr">
        <is>
          <t>AA</t>
        </is>
      </c>
      <c r="K5182" t="inlineStr">
        <is>
          <t>Answering Machine Autodial</t>
        </is>
      </c>
      <c r="L5182" t="n">
        <v>2</v>
      </c>
      <c r="M5182" t="inlineStr">
        <is>
          <t>2026-06-22 12:50:05</t>
        </is>
      </c>
      <c r="N5182" t="inlineStr">
        <is>
          <t>system</t>
        </is>
      </c>
      <c r="O5182" t="inlineStr">
        <is>
          <t>2026-06-19 07:10:32</t>
        </is>
      </c>
      <c r="P5182" t="inlineStr">
        <is>
          <t>2026-06-19 07:10:32</t>
        </is>
      </c>
      <c r="Y5182" t="inlineStr">
        <is>
          <t>27675561321</t>
        </is>
      </c>
    </row>
    <row r="5183">
      <c r="A5183" t="inlineStr">
        <is>
          <t>14944068</t>
        </is>
      </c>
      <c r="B5183" t="inlineStr">
        <is>
          <t>ad4780f1-7fee-4ded-8ccf-6f119a8ab71c</t>
        </is>
      </c>
      <c r="D5183" t="inlineStr">
        <is>
          <t>30001087</t>
        </is>
      </c>
      <c r="E5183" t="inlineStr">
        <is>
          <t>ussd_funeral_leads_altitude_20260619</t>
        </is>
      </c>
      <c r="J5183" t="inlineStr">
        <is>
          <t>CU</t>
        </is>
      </c>
      <c r="K5183" t="inlineStr">
        <is>
          <t>Client Hung Up</t>
        </is>
      </c>
      <c r="L5183" t="n">
        <v>2</v>
      </c>
      <c r="M5183" t="inlineStr">
        <is>
          <t>2026-06-22 12:50:05</t>
        </is>
      </c>
      <c r="N5183" t="inlineStr">
        <is>
          <t>Virginia Letsatsi</t>
        </is>
      </c>
      <c r="O5183" t="inlineStr">
        <is>
          <t>2026-06-19 07:10:32</t>
        </is>
      </c>
      <c r="P5183" t="inlineStr">
        <is>
          <t>2026-06-19 07:10:32</t>
        </is>
      </c>
      <c r="Y5183" t="inlineStr">
        <is>
          <t>27722171606</t>
        </is>
      </c>
    </row>
    <row r="5184">
      <c r="A5184" t="inlineStr">
        <is>
          <t>14944069</t>
        </is>
      </c>
      <c r="B5184" t="inlineStr">
        <is>
          <t>34e47f64-4217-4d0d-9b2a-f721a0678c60</t>
        </is>
      </c>
      <c r="D5184" t="inlineStr">
        <is>
          <t>30001087</t>
        </is>
      </c>
      <c r="E5184" t="inlineStr">
        <is>
          <t>ussd_funeral_leads_altitude_20260619</t>
        </is>
      </c>
      <c r="J5184" t="inlineStr">
        <is>
          <t>ADC</t>
        </is>
      </c>
      <c r="K5184" t="inlineStr">
        <is>
          <t>Auto Dial Disconnected</t>
        </is>
      </c>
      <c r="L5184" t="n">
        <v>2</v>
      </c>
      <c r="M5184" t="inlineStr">
        <is>
          <t>2026-06-22 12:50:05</t>
        </is>
      </c>
      <c r="N5184" t="inlineStr">
        <is>
          <t>system</t>
        </is>
      </c>
      <c r="O5184" t="inlineStr">
        <is>
          <t>2026-06-19 07:10:32</t>
        </is>
      </c>
      <c r="P5184" t="inlineStr">
        <is>
          <t>2026-06-19 07:10:32</t>
        </is>
      </c>
      <c r="Y5184" t="inlineStr">
        <is>
          <t>27768241638</t>
        </is>
      </c>
    </row>
    <row r="5185">
      <c r="A5185" t="inlineStr">
        <is>
          <t>14944063</t>
        </is>
      </c>
      <c r="B5185" t="inlineStr">
        <is>
          <t>dbd8fe58-279d-4dac-861a-968856f1ddb9</t>
        </is>
      </c>
      <c r="D5185" t="inlineStr">
        <is>
          <t>30001087</t>
        </is>
      </c>
      <c r="E5185" t="inlineStr">
        <is>
          <t>ussd_funeral_leads_altitude_20260619</t>
        </is>
      </c>
      <c r="J5185" t="inlineStr">
        <is>
          <t>AA</t>
        </is>
      </c>
      <c r="K5185" t="inlineStr">
        <is>
          <t>Answering Machine Autodial</t>
        </is>
      </c>
      <c r="L5185" t="n">
        <v>2</v>
      </c>
      <c r="M5185" t="inlineStr">
        <is>
          <t>2026-06-22 12:49:58</t>
        </is>
      </c>
      <c r="N5185" t="inlineStr">
        <is>
          <t>system</t>
        </is>
      </c>
      <c r="O5185" t="inlineStr">
        <is>
          <t>2026-06-19 07:10:32</t>
        </is>
      </c>
      <c r="P5185" t="inlineStr">
        <is>
          <t>2026-06-19 07:10:32</t>
        </is>
      </c>
      <c r="Y5185" t="inlineStr">
        <is>
          <t>27606057795</t>
        </is>
      </c>
    </row>
    <row r="5186">
      <c r="A5186" t="inlineStr">
        <is>
          <t>14944064</t>
        </is>
      </c>
      <c r="B5186" t="inlineStr">
        <is>
          <t>6b210700-6ed4-48bc-8d47-e3cd61993952</t>
        </is>
      </c>
      <c r="D5186" t="inlineStr">
        <is>
          <t>30001087</t>
        </is>
      </c>
      <c r="E5186" t="inlineStr">
        <is>
          <t>ussd_funeral_leads_altitude_20260619</t>
        </is>
      </c>
      <c r="J5186" t="inlineStr">
        <is>
          <t>AA</t>
        </is>
      </c>
      <c r="K5186" t="inlineStr">
        <is>
          <t>Answering Machine Autodial</t>
        </is>
      </c>
      <c r="L5186" t="n">
        <v>2</v>
      </c>
      <c r="M5186" t="inlineStr">
        <is>
          <t>2026-06-22 12:49:58</t>
        </is>
      </c>
      <c r="N5186" t="inlineStr">
        <is>
          <t>system</t>
        </is>
      </c>
      <c r="O5186" t="inlineStr">
        <is>
          <t>2026-06-19 07:10:32</t>
        </is>
      </c>
      <c r="P5186" t="inlineStr">
        <is>
          <t>2026-06-19 07:10:32</t>
        </is>
      </c>
      <c r="Y5186" t="inlineStr">
        <is>
          <t>27674727260</t>
        </is>
      </c>
    </row>
    <row r="5187">
      <c r="A5187" t="inlineStr">
        <is>
          <t>14944225</t>
        </is>
      </c>
      <c r="B5187" t="inlineStr">
        <is>
          <t>fbff6816-afb0-4241-9f47-e50ac0aa0fee</t>
        </is>
      </c>
      <c r="D5187" t="inlineStr">
        <is>
          <t>30001087</t>
        </is>
      </c>
      <c r="E5187" t="inlineStr">
        <is>
          <t>ussd_funeral_leads_altitude_20260619</t>
        </is>
      </c>
      <c r="H5187" t="inlineStr">
        <is>
          <t>27721551663</t>
        </is>
      </c>
      <c r="J5187" t="inlineStr">
        <is>
          <t>CU</t>
        </is>
      </c>
      <c r="K5187" t="inlineStr">
        <is>
          <t>Client Hung Up</t>
        </is>
      </c>
      <c r="L5187" t="n">
        <v>3</v>
      </c>
      <c r="M5187" t="inlineStr">
        <is>
          <t>2026-06-22 12:49:16</t>
        </is>
      </c>
      <c r="N5187" t="inlineStr">
        <is>
          <t>Gontse Monageng</t>
        </is>
      </c>
      <c r="O5187" t="inlineStr">
        <is>
          <t>2026-06-19 07:10:32</t>
        </is>
      </c>
      <c r="P5187" t="inlineStr">
        <is>
          <t>2026-06-19 07:10:32</t>
        </is>
      </c>
      <c r="Y5187" t="inlineStr">
        <is>
          <t>27721551663</t>
        </is>
      </c>
    </row>
    <row r="5188">
      <c r="A5188" t="inlineStr">
        <is>
          <t>14944153</t>
        </is>
      </c>
      <c r="B5188" t="inlineStr">
        <is>
          <t>b6fbbb3b-64c1-4603-9dae-6d402dd930bb</t>
        </is>
      </c>
      <c r="D5188" t="inlineStr">
        <is>
          <t>30001087</t>
        </is>
      </c>
      <c r="E5188" t="inlineStr">
        <is>
          <t>ussd_funeral_leads_altitude_20260619</t>
        </is>
      </c>
      <c r="J5188" t="inlineStr">
        <is>
          <t>AA</t>
        </is>
      </c>
      <c r="K5188" t="inlineStr">
        <is>
          <t>Answering Machine Autodial</t>
        </is>
      </c>
      <c r="L5188" t="n">
        <v>2</v>
      </c>
      <c r="M5188" t="inlineStr">
        <is>
          <t>2026-06-22 12:49:14</t>
        </is>
      </c>
      <c r="N5188" t="inlineStr">
        <is>
          <t>system</t>
        </is>
      </c>
      <c r="O5188" t="inlineStr">
        <is>
          <t>2026-06-19 07:10:32</t>
        </is>
      </c>
      <c r="P5188" t="inlineStr">
        <is>
          <t>2026-06-19 07:10:32</t>
        </is>
      </c>
      <c r="Y5188" t="inlineStr">
        <is>
          <t>27796470724</t>
        </is>
      </c>
    </row>
    <row r="5189">
      <c r="A5189" t="inlineStr">
        <is>
          <t>14944154</t>
        </is>
      </c>
      <c r="B5189" t="inlineStr">
        <is>
          <t>c0b000ff-4399-4595-9e82-a05a3dd3179d</t>
        </is>
      </c>
      <c r="D5189" t="inlineStr">
        <is>
          <t>30001087</t>
        </is>
      </c>
      <c r="E5189" t="inlineStr">
        <is>
          <t>ussd_funeral_leads_altitude_20260619</t>
        </is>
      </c>
      <c r="J5189" t="inlineStr">
        <is>
          <t>ADC</t>
        </is>
      </c>
      <c r="K5189" t="inlineStr">
        <is>
          <t>Auto Dial Disconnected</t>
        </is>
      </c>
      <c r="L5189" t="n">
        <v>2</v>
      </c>
      <c r="M5189" t="inlineStr">
        <is>
          <t>2026-06-22 12:49:14</t>
        </is>
      </c>
      <c r="N5189" t="inlineStr">
        <is>
          <t>system</t>
        </is>
      </c>
      <c r="O5189" t="inlineStr">
        <is>
          <t>2026-06-19 07:10:32</t>
        </is>
      </c>
      <c r="P5189" t="inlineStr">
        <is>
          <t>2026-06-19 07:10:32</t>
        </is>
      </c>
      <c r="Y5189" t="inlineStr">
        <is>
          <t>27637478750</t>
        </is>
      </c>
    </row>
    <row r="5190">
      <c r="A5190" t="inlineStr">
        <is>
          <t>14944155</t>
        </is>
      </c>
      <c r="B5190" t="inlineStr">
        <is>
          <t>5fd81080-c8d1-461d-a959-1144e63e53fb</t>
        </is>
      </c>
      <c r="D5190" t="inlineStr">
        <is>
          <t>30001087</t>
        </is>
      </c>
      <c r="E5190" t="inlineStr">
        <is>
          <t>ussd_funeral_leads_altitude_20260619</t>
        </is>
      </c>
      <c r="J5190" t="inlineStr">
        <is>
          <t>AA</t>
        </is>
      </c>
      <c r="K5190" t="inlineStr">
        <is>
          <t>Answering Machine Autodial</t>
        </is>
      </c>
      <c r="L5190" t="n">
        <v>2</v>
      </c>
      <c r="M5190" t="inlineStr">
        <is>
          <t>2026-06-22 12:49:14</t>
        </is>
      </c>
      <c r="N5190" t="inlineStr">
        <is>
          <t>system</t>
        </is>
      </c>
      <c r="O5190" t="inlineStr">
        <is>
          <t>2026-06-19 07:10:32</t>
        </is>
      </c>
      <c r="P5190" t="inlineStr">
        <is>
          <t>2026-06-19 07:10:32</t>
        </is>
      </c>
      <c r="Y5190" t="inlineStr">
        <is>
          <t>27824187400</t>
        </is>
      </c>
    </row>
    <row r="5191">
      <c r="A5191" t="inlineStr">
        <is>
          <t>14944156</t>
        </is>
      </c>
      <c r="B5191" t="inlineStr">
        <is>
          <t>7d2cb8a5-af1e-44a2-abca-1da594ff7335</t>
        </is>
      </c>
      <c r="D5191" t="inlineStr">
        <is>
          <t>30001087</t>
        </is>
      </c>
      <c r="E5191" t="inlineStr">
        <is>
          <t>ussd_funeral_leads_altitude_20260619</t>
        </is>
      </c>
      <c r="J5191" t="inlineStr">
        <is>
          <t>AA</t>
        </is>
      </c>
      <c r="K5191" t="inlineStr">
        <is>
          <t>Answering Machine Autodial</t>
        </is>
      </c>
      <c r="L5191" t="n">
        <v>2</v>
      </c>
      <c r="M5191" t="inlineStr">
        <is>
          <t>2026-06-22 12:49:14</t>
        </is>
      </c>
      <c r="N5191" t="inlineStr">
        <is>
          <t>system</t>
        </is>
      </c>
      <c r="O5191" t="inlineStr">
        <is>
          <t>2026-06-19 07:10:32</t>
        </is>
      </c>
      <c r="P5191" t="inlineStr">
        <is>
          <t>2026-06-19 07:10:32</t>
        </is>
      </c>
      <c r="Y5191" t="inlineStr">
        <is>
          <t>27768626941</t>
        </is>
      </c>
    </row>
    <row r="5192">
      <c r="A5192" t="inlineStr">
        <is>
          <t>14944152</t>
        </is>
      </c>
      <c r="B5192" t="inlineStr">
        <is>
          <t>63c68602-e414-4076-8beb-804d0f0958a8</t>
        </is>
      </c>
      <c r="D5192" t="inlineStr">
        <is>
          <t>30001087</t>
        </is>
      </c>
      <c r="E5192" t="inlineStr">
        <is>
          <t>ussd_funeral_leads_altitude_20260619</t>
        </is>
      </c>
      <c r="J5192" t="inlineStr">
        <is>
          <t>AA</t>
        </is>
      </c>
      <c r="K5192" t="inlineStr">
        <is>
          <t>Answering Machine Autodial</t>
        </is>
      </c>
      <c r="L5192" t="n">
        <v>2</v>
      </c>
      <c r="M5192" t="inlineStr">
        <is>
          <t>2026-06-22 12:49:12</t>
        </is>
      </c>
      <c r="N5192" t="inlineStr">
        <is>
          <t>system</t>
        </is>
      </c>
      <c r="O5192" t="inlineStr">
        <is>
          <t>2026-06-19 07:10:32</t>
        </is>
      </c>
      <c r="P5192" t="inlineStr">
        <is>
          <t>2026-06-19 07:10:32</t>
        </is>
      </c>
      <c r="Y5192" t="inlineStr">
        <is>
          <t>27769561139</t>
        </is>
      </c>
    </row>
    <row r="5193">
      <c r="A5193" t="inlineStr">
        <is>
          <t>14947349</t>
        </is>
      </c>
      <c r="B5193" t="inlineStr">
        <is>
          <t>a76aece7-7d36-45fc-8da3-986e30c14af8</t>
        </is>
      </c>
      <c r="D5193" t="inlineStr">
        <is>
          <t>30001087</t>
        </is>
      </c>
      <c r="E5193" t="inlineStr">
        <is>
          <t>ussd_funeral_leads_altitude_20260619</t>
        </is>
      </c>
      <c r="J5193" t="inlineStr">
        <is>
          <t>A</t>
        </is>
      </c>
      <c r="K5193" t="inlineStr">
        <is>
          <t>Answering Machine</t>
        </is>
      </c>
      <c r="L5193" t="n">
        <v>3</v>
      </c>
      <c r="M5193" t="inlineStr">
        <is>
          <t>2026-06-22 12:49:11</t>
        </is>
      </c>
      <c r="N5193" t="inlineStr">
        <is>
          <t>Virginia Letsatsi</t>
        </is>
      </c>
      <c r="O5193" t="inlineStr">
        <is>
          <t>2026-06-19 07:10:32</t>
        </is>
      </c>
      <c r="P5193" t="inlineStr">
        <is>
          <t>2026-06-19 07:10:32</t>
        </is>
      </c>
      <c r="Y5193" t="inlineStr">
        <is>
          <t>27761649632</t>
        </is>
      </c>
    </row>
    <row r="5194">
      <c r="A5194" t="inlineStr">
        <is>
          <t>14944151</t>
        </is>
      </c>
      <c r="B5194" t="inlineStr">
        <is>
          <t>82f7dd7b-5c06-4b56-9169-7e8786b4155d</t>
        </is>
      </c>
      <c r="D5194" t="inlineStr">
        <is>
          <t>30001087</t>
        </is>
      </c>
      <c r="E5194" t="inlineStr">
        <is>
          <t>ussd_funeral_leads_altitude_20260619</t>
        </is>
      </c>
      <c r="J5194" t="inlineStr">
        <is>
          <t>AA</t>
        </is>
      </c>
      <c r="K5194" t="inlineStr">
        <is>
          <t>Answering Machine Autodial</t>
        </is>
      </c>
      <c r="L5194" t="n">
        <v>2</v>
      </c>
      <c r="M5194" t="inlineStr">
        <is>
          <t>2026-06-22 12:49:10</t>
        </is>
      </c>
      <c r="N5194" t="inlineStr">
        <is>
          <t>system</t>
        </is>
      </c>
      <c r="O5194" t="inlineStr">
        <is>
          <t>2026-06-19 07:10:32</t>
        </is>
      </c>
      <c r="P5194" t="inlineStr">
        <is>
          <t>2026-06-19 07:10:32</t>
        </is>
      </c>
      <c r="Y5194" t="inlineStr">
        <is>
          <t>27761855668</t>
        </is>
      </c>
    </row>
    <row r="5195">
      <c r="A5195" t="inlineStr">
        <is>
          <t>14944149</t>
        </is>
      </c>
      <c r="B5195" t="inlineStr">
        <is>
          <t>b54d6201-0987-4b13-bc49-783cfc054736</t>
        </is>
      </c>
      <c r="D5195" t="inlineStr">
        <is>
          <t>30001087</t>
        </is>
      </c>
      <c r="E5195" t="inlineStr">
        <is>
          <t>ussd_funeral_leads_altitude_20260619</t>
        </is>
      </c>
      <c r="J5195" t="inlineStr">
        <is>
          <t>ADC</t>
        </is>
      </c>
      <c r="K5195" t="inlineStr">
        <is>
          <t>Auto Dial Disconnected</t>
        </is>
      </c>
      <c r="L5195" t="n">
        <v>2</v>
      </c>
      <c r="M5195" t="inlineStr">
        <is>
          <t>2026-06-22 12:49:08</t>
        </is>
      </c>
      <c r="N5195" t="inlineStr">
        <is>
          <t>system</t>
        </is>
      </c>
      <c r="O5195" t="inlineStr">
        <is>
          <t>2026-06-19 07:10:32</t>
        </is>
      </c>
      <c r="P5195" t="inlineStr">
        <is>
          <t>2026-06-19 07:10:32</t>
        </is>
      </c>
      <c r="Y5195" t="inlineStr">
        <is>
          <t>27716116276</t>
        </is>
      </c>
    </row>
    <row r="5196">
      <c r="A5196" t="inlineStr">
        <is>
          <t>14944148</t>
        </is>
      </c>
      <c r="B5196" t="inlineStr">
        <is>
          <t>b582d976-4c58-4e8c-b04f-092d891f1d77</t>
        </is>
      </c>
      <c r="D5196" t="inlineStr">
        <is>
          <t>30001087</t>
        </is>
      </c>
      <c r="E5196" t="inlineStr">
        <is>
          <t>ussd_funeral_leads_altitude_20260619</t>
        </is>
      </c>
      <c r="J5196" t="inlineStr">
        <is>
          <t>NA</t>
        </is>
      </c>
      <c r="K5196" t="inlineStr">
        <is>
          <t>No Answer Autodial</t>
        </is>
      </c>
      <c r="L5196" t="n">
        <v>2</v>
      </c>
      <c r="M5196" t="inlineStr">
        <is>
          <t>2026-06-22 12:49:04</t>
        </is>
      </c>
      <c r="N5196" t="inlineStr">
        <is>
          <t>system</t>
        </is>
      </c>
      <c r="O5196" t="inlineStr">
        <is>
          <t>2026-06-19 07:10:32</t>
        </is>
      </c>
      <c r="P5196" t="inlineStr">
        <is>
          <t>2026-06-19 07:10:32</t>
        </is>
      </c>
      <c r="Y5196" t="inlineStr">
        <is>
          <t>27791699794</t>
        </is>
      </c>
    </row>
    <row r="5197">
      <c r="A5197" t="inlineStr">
        <is>
          <t>14944147</t>
        </is>
      </c>
      <c r="B5197" t="inlineStr">
        <is>
          <t>81bafccd-e209-4f4f-8657-6c2150f3ee3d</t>
        </is>
      </c>
      <c r="D5197" t="inlineStr">
        <is>
          <t>30001087</t>
        </is>
      </c>
      <c r="E5197" t="inlineStr">
        <is>
          <t>ussd_funeral_leads_altitude_20260619</t>
        </is>
      </c>
      <c r="J5197" t="inlineStr">
        <is>
          <t>AA</t>
        </is>
      </c>
      <c r="K5197" t="inlineStr">
        <is>
          <t>Answering Machine Autodial</t>
        </is>
      </c>
      <c r="L5197" t="n">
        <v>2</v>
      </c>
      <c r="M5197" t="inlineStr">
        <is>
          <t>2026-06-22 12:48:58</t>
        </is>
      </c>
      <c r="N5197" t="inlineStr">
        <is>
          <t>system</t>
        </is>
      </c>
      <c r="O5197" t="inlineStr">
        <is>
          <t>2026-06-19 07:10:32</t>
        </is>
      </c>
      <c r="P5197" t="inlineStr">
        <is>
          <t>2026-06-19 07:10:32</t>
        </is>
      </c>
      <c r="Y5197" t="inlineStr">
        <is>
          <t>27768991829</t>
        </is>
      </c>
    </row>
    <row r="5198">
      <c r="A5198" t="inlineStr">
        <is>
          <t>14944144</t>
        </is>
      </c>
      <c r="B5198" t="inlineStr">
        <is>
          <t>e12c33e5-96a7-4017-b864-1d060d58d9ea</t>
        </is>
      </c>
      <c r="D5198" t="inlineStr">
        <is>
          <t>30001087</t>
        </is>
      </c>
      <c r="E5198" t="inlineStr">
        <is>
          <t>ussd_funeral_leads_altitude_20260619</t>
        </is>
      </c>
      <c r="J5198" t="inlineStr">
        <is>
          <t>TDN</t>
        </is>
      </c>
      <c r="K5198" t="inlineStr">
        <is>
          <t>Temporary Disconnected Number</t>
        </is>
      </c>
      <c r="L5198" t="n">
        <v>2</v>
      </c>
      <c r="M5198" t="inlineStr">
        <is>
          <t>2026-06-22 12:48:54</t>
        </is>
      </c>
      <c r="N5198" t="inlineStr">
        <is>
          <t>system</t>
        </is>
      </c>
      <c r="O5198" t="inlineStr">
        <is>
          <t>2026-06-19 07:10:32</t>
        </is>
      </c>
      <c r="P5198" t="inlineStr">
        <is>
          <t>2026-06-19 07:10:32</t>
        </is>
      </c>
      <c r="Y5198" t="inlineStr">
        <is>
          <t>27818172047</t>
        </is>
      </c>
    </row>
    <row r="5199">
      <c r="A5199" t="inlineStr">
        <is>
          <t>14944145</t>
        </is>
      </c>
      <c r="B5199" t="inlineStr">
        <is>
          <t>6be50456-c06d-4064-9336-ac9d5eee5c11</t>
        </is>
      </c>
      <c r="D5199" t="inlineStr">
        <is>
          <t>30001087</t>
        </is>
      </c>
      <c r="E5199" t="inlineStr">
        <is>
          <t>ussd_funeral_leads_altitude_20260619</t>
        </is>
      </c>
      <c r="J5199" t="inlineStr">
        <is>
          <t>NA</t>
        </is>
      </c>
      <c r="K5199" t="inlineStr">
        <is>
          <t>No Answer Autodial</t>
        </is>
      </c>
      <c r="L5199" t="n">
        <v>2</v>
      </c>
      <c r="M5199" t="inlineStr">
        <is>
          <t>2026-06-22 12:48:54</t>
        </is>
      </c>
      <c r="N5199" t="inlineStr">
        <is>
          <t>system</t>
        </is>
      </c>
      <c r="O5199" t="inlineStr">
        <is>
          <t>2026-06-19 07:10:32</t>
        </is>
      </c>
      <c r="P5199" t="inlineStr">
        <is>
          <t>2026-06-19 07:10:32</t>
        </is>
      </c>
      <c r="Y5199" t="inlineStr">
        <is>
          <t>27728326396</t>
        </is>
      </c>
    </row>
    <row r="5200">
      <c r="A5200" t="inlineStr">
        <is>
          <t>14944146</t>
        </is>
      </c>
      <c r="B5200" t="inlineStr">
        <is>
          <t>ecb8371f-409a-41b1-a204-75edf181ce25</t>
        </is>
      </c>
      <c r="D5200" t="inlineStr">
        <is>
          <t>30001087</t>
        </is>
      </c>
      <c r="E5200" t="inlineStr">
        <is>
          <t>ussd_funeral_leads_altitude_20260619</t>
        </is>
      </c>
      <c r="J5200" t="inlineStr">
        <is>
          <t>AA</t>
        </is>
      </c>
      <c r="K5200" t="inlineStr">
        <is>
          <t>Answering Machine Autodial</t>
        </is>
      </c>
      <c r="L5200" t="n">
        <v>2</v>
      </c>
      <c r="M5200" t="inlineStr">
        <is>
          <t>2026-06-22 12:48:54</t>
        </is>
      </c>
      <c r="N5200" t="inlineStr">
        <is>
          <t>system</t>
        </is>
      </c>
      <c r="O5200" t="inlineStr">
        <is>
          <t>2026-06-19 07:10:32</t>
        </is>
      </c>
      <c r="P5200" t="inlineStr">
        <is>
          <t>2026-06-19 07:10:32</t>
        </is>
      </c>
      <c r="Y5200" t="inlineStr">
        <is>
          <t>27663124577</t>
        </is>
      </c>
    </row>
    <row r="5201">
      <c r="A5201" t="inlineStr">
        <is>
          <t>14944143</t>
        </is>
      </c>
      <c r="B5201" t="inlineStr">
        <is>
          <t>d5e6e586-a796-4330-aac7-14a21862365d</t>
        </is>
      </c>
      <c r="D5201" t="inlineStr">
        <is>
          <t>30001087</t>
        </is>
      </c>
      <c r="E5201" t="inlineStr">
        <is>
          <t>ussd_funeral_leads_altitude_20260619</t>
        </is>
      </c>
      <c r="J5201" t="inlineStr">
        <is>
          <t>AA</t>
        </is>
      </c>
      <c r="K5201" t="inlineStr">
        <is>
          <t>Answering Machine Autodial</t>
        </is>
      </c>
      <c r="L5201" t="n">
        <v>2</v>
      </c>
      <c r="M5201" t="inlineStr">
        <is>
          <t>2026-06-22 12:48:53</t>
        </is>
      </c>
      <c r="N5201" t="inlineStr">
        <is>
          <t>system</t>
        </is>
      </c>
      <c r="O5201" t="inlineStr">
        <is>
          <t>2026-06-19 07:10:32</t>
        </is>
      </c>
      <c r="P5201" t="inlineStr">
        <is>
          <t>2026-06-19 07:10:32</t>
        </is>
      </c>
      <c r="Y5201" t="inlineStr">
        <is>
          <t>27725446427</t>
        </is>
      </c>
    </row>
    <row r="5202">
      <c r="A5202" t="inlineStr">
        <is>
          <t>14944141</t>
        </is>
      </c>
      <c r="B5202" t="inlineStr">
        <is>
          <t>b4e4a4bb-6c8e-4150-a968-dcfd8ee056a8</t>
        </is>
      </c>
      <c r="D5202" t="inlineStr">
        <is>
          <t>30001087</t>
        </is>
      </c>
      <c r="E5202" t="inlineStr">
        <is>
          <t>ussd_funeral_leads_altitude_20260619</t>
        </is>
      </c>
      <c r="J5202" t="inlineStr">
        <is>
          <t>AA</t>
        </is>
      </c>
      <c r="K5202" t="inlineStr">
        <is>
          <t>Answering Machine Autodial</t>
        </is>
      </c>
      <c r="L5202" t="n">
        <v>2</v>
      </c>
      <c r="M5202" t="inlineStr">
        <is>
          <t>2026-06-22 12:48:29</t>
        </is>
      </c>
      <c r="N5202" t="inlineStr">
        <is>
          <t>system</t>
        </is>
      </c>
      <c r="O5202" t="inlineStr">
        <is>
          <t>2026-06-19 07:10:32</t>
        </is>
      </c>
      <c r="P5202" t="inlineStr">
        <is>
          <t>2026-06-19 07:10:32</t>
        </is>
      </c>
      <c r="Y5202" t="inlineStr">
        <is>
          <t>27636251611</t>
        </is>
      </c>
    </row>
    <row r="5203">
      <c r="A5203" t="inlineStr">
        <is>
          <t>14944142</t>
        </is>
      </c>
      <c r="B5203" t="inlineStr">
        <is>
          <t>11efce52-bd96-4338-99bf-9150784c6d83</t>
        </is>
      </c>
      <c r="D5203" t="inlineStr">
        <is>
          <t>30001087</t>
        </is>
      </c>
      <c r="E5203" t="inlineStr">
        <is>
          <t>ussd_funeral_leads_altitude_20260619</t>
        </is>
      </c>
      <c r="J5203" t="inlineStr">
        <is>
          <t>TDN</t>
        </is>
      </c>
      <c r="K5203" t="inlineStr">
        <is>
          <t>Temporary Disconnected Number</t>
        </is>
      </c>
      <c r="L5203" t="n">
        <v>2</v>
      </c>
      <c r="M5203" t="inlineStr">
        <is>
          <t>2026-06-22 12:48:29</t>
        </is>
      </c>
      <c r="N5203" t="inlineStr">
        <is>
          <t>system</t>
        </is>
      </c>
      <c r="O5203" t="inlineStr">
        <is>
          <t>2026-06-19 07:10:32</t>
        </is>
      </c>
      <c r="P5203" t="inlineStr">
        <is>
          <t>2026-06-19 07:10:32</t>
        </is>
      </c>
      <c r="Y5203" t="inlineStr">
        <is>
          <t>27768732134</t>
        </is>
      </c>
    </row>
    <row r="5204">
      <c r="A5204" t="inlineStr">
        <is>
          <t>14944138</t>
        </is>
      </c>
      <c r="B5204" t="inlineStr">
        <is>
          <t>5c6ceafc-59bd-46f7-8ada-ddf06fb9d607</t>
        </is>
      </c>
      <c r="D5204" t="inlineStr">
        <is>
          <t>30001087</t>
        </is>
      </c>
      <c r="E5204" t="inlineStr">
        <is>
          <t>ussd_funeral_leads_altitude_20260619</t>
        </is>
      </c>
      <c r="J5204" t="inlineStr">
        <is>
          <t>ADC</t>
        </is>
      </c>
      <c r="K5204" t="inlineStr">
        <is>
          <t>Auto Dial Disconnected</t>
        </is>
      </c>
      <c r="L5204" t="n">
        <v>2</v>
      </c>
      <c r="M5204" t="inlineStr">
        <is>
          <t>2026-06-22 12:48:28</t>
        </is>
      </c>
      <c r="N5204" t="inlineStr">
        <is>
          <t>system</t>
        </is>
      </c>
      <c r="O5204" t="inlineStr">
        <is>
          <t>2026-06-19 07:10:32</t>
        </is>
      </c>
      <c r="P5204" t="inlineStr">
        <is>
          <t>2026-06-19 07:10:32</t>
        </is>
      </c>
      <c r="Y5204" t="inlineStr">
        <is>
          <t>27818225082</t>
        </is>
      </c>
    </row>
    <row r="5205">
      <c r="A5205" t="inlineStr">
        <is>
          <t>14944140</t>
        </is>
      </c>
      <c r="B5205" t="inlineStr">
        <is>
          <t>32cb5145-6179-455e-b08d-1d1f744e4d59</t>
        </is>
      </c>
      <c r="D5205" t="inlineStr">
        <is>
          <t>30001087</t>
        </is>
      </c>
      <c r="E5205" t="inlineStr">
        <is>
          <t>ussd_funeral_leads_altitude_20260619</t>
        </is>
      </c>
      <c r="J5205" t="inlineStr">
        <is>
          <t>DROP</t>
        </is>
      </c>
      <c r="K5205" t="inlineStr">
        <is>
          <t>Dropped</t>
        </is>
      </c>
      <c r="L5205" t="n">
        <v>2</v>
      </c>
      <c r="M5205" t="inlineStr">
        <is>
          <t>2026-06-22 12:48:28</t>
        </is>
      </c>
      <c r="N5205" t="inlineStr">
        <is>
          <t>system</t>
        </is>
      </c>
      <c r="O5205" t="inlineStr">
        <is>
          <t>2026-06-19 07:10:32</t>
        </is>
      </c>
      <c r="P5205" t="inlineStr">
        <is>
          <t>2026-06-19 07:10:32</t>
        </is>
      </c>
      <c r="Y5205" t="inlineStr">
        <is>
          <t>27647367100</t>
        </is>
      </c>
    </row>
    <row r="5206">
      <c r="A5206" t="inlineStr">
        <is>
          <t>14944136</t>
        </is>
      </c>
      <c r="B5206" t="inlineStr">
        <is>
          <t>280e4ea8-4002-4855-96df-a3a1cf964ad6</t>
        </is>
      </c>
      <c r="D5206" t="inlineStr">
        <is>
          <t>30001087</t>
        </is>
      </c>
      <c r="E5206" t="inlineStr">
        <is>
          <t>ussd_funeral_leads_altitude_20260619</t>
        </is>
      </c>
      <c r="J5206" t="inlineStr">
        <is>
          <t>NA</t>
        </is>
      </c>
      <c r="K5206" t="inlineStr">
        <is>
          <t>No Answer Autodial</t>
        </is>
      </c>
      <c r="L5206" t="n">
        <v>2</v>
      </c>
      <c r="M5206" t="inlineStr">
        <is>
          <t>2026-06-22 12:48:26</t>
        </is>
      </c>
      <c r="N5206" t="inlineStr">
        <is>
          <t>system</t>
        </is>
      </c>
      <c r="O5206" t="inlineStr">
        <is>
          <t>2026-06-19 07:10:32</t>
        </is>
      </c>
      <c r="P5206" t="inlineStr">
        <is>
          <t>2026-06-19 07:10:32</t>
        </is>
      </c>
      <c r="Y5206" t="inlineStr">
        <is>
          <t>27660573848</t>
        </is>
      </c>
    </row>
    <row r="5207">
      <c r="A5207" t="inlineStr">
        <is>
          <t>14944137</t>
        </is>
      </c>
      <c r="B5207" t="inlineStr">
        <is>
          <t>c900bfff-8604-4517-a29f-82b81da26e98</t>
        </is>
      </c>
      <c r="D5207" t="inlineStr">
        <is>
          <t>30001087</t>
        </is>
      </c>
      <c r="E5207" t="inlineStr">
        <is>
          <t>ussd_funeral_leads_altitude_20260619</t>
        </is>
      </c>
      <c r="J5207" t="inlineStr">
        <is>
          <t>CU</t>
        </is>
      </c>
      <c r="K5207" t="inlineStr">
        <is>
          <t>Client Hung Up</t>
        </is>
      </c>
      <c r="L5207" t="n">
        <v>2</v>
      </c>
      <c r="M5207" t="inlineStr">
        <is>
          <t>2026-06-22 12:48:26</t>
        </is>
      </c>
      <c r="N5207" t="inlineStr">
        <is>
          <t>Vuyiswa Nxumalo</t>
        </is>
      </c>
      <c r="O5207" t="inlineStr">
        <is>
          <t>2026-06-19 07:10:32</t>
        </is>
      </c>
      <c r="P5207" t="inlineStr">
        <is>
          <t>2026-06-19 07:10:32</t>
        </is>
      </c>
      <c r="Y5207" t="inlineStr">
        <is>
          <t>27765251519</t>
        </is>
      </c>
    </row>
    <row r="5208">
      <c r="A5208" t="inlineStr">
        <is>
          <t>14944133</t>
        </is>
      </c>
      <c r="B5208" t="inlineStr">
        <is>
          <t>94690afb-c747-4b33-a013-69259c293480</t>
        </is>
      </c>
      <c r="D5208" t="inlineStr">
        <is>
          <t>30001087</t>
        </is>
      </c>
      <c r="E5208" t="inlineStr">
        <is>
          <t>ussd_funeral_leads_altitude_20260619</t>
        </is>
      </c>
      <c r="J5208" t="inlineStr">
        <is>
          <t>AA</t>
        </is>
      </c>
      <c r="K5208" t="inlineStr">
        <is>
          <t>Answering Machine Autodial</t>
        </is>
      </c>
      <c r="L5208" t="n">
        <v>2</v>
      </c>
      <c r="M5208" t="inlineStr">
        <is>
          <t>2026-06-22 12:48:22</t>
        </is>
      </c>
      <c r="N5208" t="inlineStr">
        <is>
          <t>system</t>
        </is>
      </c>
      <c r="O5208" t="inlineStr">
        <is>
          <t>2026-06-19 07:10:32</t>
        </is>
      </c>
      <c r="P5208" t="inlineStr">
        <is>
          <t>2026-06-19 07:10:32</t>
        </is>
      </c>
      <c r="Y5208" t="inlineStr">
        <is>
          <t>27715680782</t>
        </is>
      </c>
    </row>
    <row r="5209">
      <c r="A5209" t="inlineStr">
        <is>
          <t>14944134</t>
        </is>
      </c>
      <c r="B5209" t="inlineStr">
        <is>
          <t>88f5cd9a-afb7-4d24-b2d4-aa16c7ec95fe</t>
        </is>
      </c>
      <c r="D5209" t="inlineStr">
        <is>
          <t>30001087</t>
        </is>
      </c>
      <c r="E5209" t="inlineStr">
        <is>
          <t>ussd_funeral_leads_altitude_20260619</t>
        </is>
      </c>
      <c r="J5209" t="inlineStr">
        <is>
          <t>AA</t>
        </is>
      </c>
      <c r="K5209" t="inlineStr">
        <is>
          <t>Answering Machine Autodial</t>
        </is>
      </c>
      <c r="L5209" t="n">
        <v>2</v>
      </c>
      <c r="M5209" t="inlineStr">
        <is>
          <t>2026-06-22 12:48:22</t>
        </is>
      </c>
      <c r="N5209" t="inlineStr">
        <is>
          <t>system</t>
        </is>
      </c>
      <c r="O5209" t="inlineStr">
        <is>
          <t>2026-06-19 07:10:32</t>
        </is>
      </c>
      <c r="P5209" t="inlineStr">
        <is>
          <t>2026-06-19 07:10:32</t>
        </is>
      </c>
      <c r="Y5209" t="inlineStr">
        <is>
          <t>27797827441</t>
        </is>
      </c>
    </row>
    <row r="5210">
      <c r="A5210" t="inlineStr">
        <is>
          <t>14944135</t>
        </is>
      </c>
      <c r="B5210" t="inlineStr">
        <is>
          <t>7fe402ff-5d8f-4c70-9c98-16d5d8314c7c</t>
        </is>
      </c>
      <c r="D5210" t="inlineStr">
        <is>
          <t>30001087</t>
        </is>
      </c>
      <c r="E5210" t="inlineStr">
        <is>
          <t>ussd_funeral_leads_altitude_20260619</t>
        </is>
      </c>
      <c r="J5210" t="inlineStr">
        <is>
          <t>AA</t>
        </is>
      </c>
      <c r="K5210" t="inlineStr">
        <is>
          <t>Answering Machine Autodial</t>
        </is>
      </c>
      <c r="L5210" t="n">
        <v>2</v>
      </c>
      <c r="M5210" t="inlineStr">
        <is>
          <t>2026-06-22 12:48:22</t>
        </is>
      </c>
      <c r="N5210" t="inlineStr">
        <is>
          <t>system</t>
        </is>
      </c>
      <c r="O5210" t="inlineStr">
        <is>
          <t>2026-06-19 07:10:32</t>
        </is>
      </c>
      <c r="P5210" t="inlineStr">
        <is>
          <t>2026-06-19 07:10:32</t>
        </is>
      </c>
      <c r="Y5210" t="inlineStr">
        <is>
          <t>27720597657</t>
        </is>
      </c>
    </row>
    <row r="5211">
      <c r="A5211" t="inlineStr">
        <is>
          <t>14945997</t>
        </is>
      </c>
      <c r="B5211" t="inlineStr">
        <is>
          <t>7dcaa466-1e96-41ea-ab74-434aa2e5b78a</t>
        </is>
      </c>
      <c r="D5211" t="inlineStr">
        <is>
          <t>30001087</t>
        </is>
      </c>
      <c r="E5211" t="inlineStr">
        <is>
          <t>ussd_funeral_leads_altitude_20260619</t>
        </is>
      </c>
      <c r="H5211" t="inlineStr">
        <is>
          <t>27714393887</t>
        </is>
      </c>
      <c r="J5211" t="inlineStr">
        <is>
          <t>CUA</t>
        </is>
      </c>
      <c r="K5211" t="inlineStr">
        <is>
          <t>Client Underage</t>
        </is>
      </c>
      <c r="L5211" t="n">
        <v>2</v>
      </c>
      <c r="M5211" t="inlineStr">
        <is>
          <t>2026-06-22 12:45:54</t>
        </is>
      </c>
      <c r="N5211" t="inlineStr">
        <is>
          <t>Virginia Letsatsi</t>
        </is>
      </c>
      <c r="O5211" t="inlineStr">
        <is>
          <t>2026-06-19 07:10:32</t>
        </is>
      </c>
      <c r="P5211" t="inlineStr">
        <is>
          <t>2026-06-19 07:10:32</t>
        </is>
      </c>
      <c r="Y5211" t="inlineStr">
        <is>
          <t>27714393887</t>
        </is>
      </c>
    </row>
    <row r="5212">
      <c r="A5212" t="inlineStr">
        <is>
          <t>14944305</t>
        </is>
      </c>
      <c r="B5212" t="inlineStr">
        <is>
          <t>0fb6cdd3-18b8-4c0f-8012-359f15794fad</t>
        </is>
      </c>
      <c r="D5212" t="inlineStr">
        <is>
          <t>30001087</t>
        </is>
      </c>
      <c r="E5212" t="inlineStr">
        <is>
          <t>ussd_funeral_leads_altitude_20260619</t>
        </is>
      </c>
      <c r="J5212" t="inlineStr">
        <is>
          <t>TDN</t>
        </is>
      </c>
      <c r="K5212" t="inlineStr">
        <is>
          <t>Temporary Disconnected Number</t>
        </is>
      </c>
      <c r="L5212" t="n">
        <v>2</v>
      </c>
      <c r="M5212" t="inlineStr">
        <is>
          <t>2026-06-22 12:44:42</t>
        </is>
      </c>
      <c r="N5212" t="inlineStr">
        <is>
          <t>system</t>
        </is>
      </c>
      <c r="O5212" t="inlineStr">
        <is>
          <t>2026-06-19 07:10:32</t>
        </is>
      </c>
      <c r="P5212" t="inlineStr">
        <is>
          <t>2026-06-19 07:10:32</t>
        </is>
      </c>
      <c r="Y5212" t="inlineStr">
        <is>
          <t>27609008331</t>
        </is>
      </c>
    </row>
    <row r="5213">
      <c r="A5213" t="inlineStr">
        <is>
          <t>14944299</t>
        </is>
      </c>
      <c r="B5213" t="inlineStr">
        <is>
          <t>748b9595-f00b-43b4-b566-26f689cebadd</t>
        </is>
      </c>
      <c r="D5213" t="inlineStr">
        <is>
          <t>30001087</t>
        </is>
      </c>
      <c r="E5213" t="inlineStr">
        <is>
          <t>ussd_funeral_leads_altitude_20260619</t>
        </is>
      </c>
      <c r="J5213" t="inlineStr">
        <is>
          <t>NA</t>
        </is>
      </c>
      <c r="K5213" t="inlineStr">
        <is>
          <t>No Answer Autodial</t>
        </is>
      </c>
      <c r="L5213" t="n">
        <v>2</v>
      </c>
      <c r="M5213" t="inlineStr">
        <is>
          <t>2026-06-22 12:44:37</t>
        </is>
      </c>
      <c r="N5213" t="inlineStr">
        <is>
          <t>system</t>
        </is>
      </c>
      <c r="O5213" t="inlineStr">
        <is>
          <t>2026-06-19 07:10:32</t>
        </is>
      </c>
      <c r="P5213" t="inlineStr">
        <is>
          <t>2026-06-19 07:10:32</t>
        </is>
      </c>
      <c r="Y5213" t="inlineStr">
        <is>
          <t>27713341024</t>
        </is>
      </c>
    </row>
    <row r="5214">
      <c r="A5214" t="inlineStr">
        <is>
          <t>14944300</t>
        </is>
      </c>
      <c r="B5214" t="inlineStr">
        <is>
          <t>bc7278c7-daa1-4f7d-9333-fb3bc7c5a1d7</t>
        </is>
      </c>
      <c r="D5214" t="inlineStr">
        <is>
          <t>30001087</t>
        </is>
      </c>
      <c r="E5214" t="inlineStr">
        <is>
          <t>ussd_funeral_leads_altitude_20260619</t>
        </is>
      </c>
      <c r="J5214" t="inlineStr">
        <is>
          <t>AA</t>
        </is>
      </c>
      <c r="K5214" t="inlineStr">
        <is>
          <t>Answering Machine Autodial</t>
        </is>
      </c>
      <c r="L5214" t="n">
        <v>2</v>
      </c>
      <c r="M5214" t="inlineStr">
        <is>
          <t>2026-06-22 12:44:37</t>
        </is>
      </c>
      <c r="N5214" t="inlineStr">
        <is>
          <t>system</t>
        </is>
      </c>
      <c r="O5214" t="inlineStr">
        <is>
          <t>2026-06-19 07:10:32</t>
        </is>
      </c>
      <c r="P5214" t="inlineStr">
        <is>
          <t>2026-06-19 07:10:32</t>
        </is>
      </c>
      <c r="Y5214" t="inlineStr">
        <is>
          <t>27722777160</t>
        </is>
      </c>
    </row>
    <row r="5215">
      <c r="A5215" t="inlineStr">
        <is>
          <t>14944301</t>
        </is>
      </c>
      <c r="B5215" t="inlineStr">
        <is>
          <t>27cc6a49-7f32-4791-8ba7-a30e192993c2</t>
        </is>
      </c>
      <c r="D5215" t="inlineStr">
        <is>
          <t>30001087</t>
        </is>
      </c>
      <c r="E5215" t="inlineStr">
        <is>
          <t>ussd_funeral_leads_altitude_20260619</t>
        </is>
      </c>
      <c r="J5215" t="inlineStr">
        <is>
          <t>AA</t>
        </is>
      </c>
      <c r="K5215" t="inlineStr">
        <is>
          <t>Answering Machine Autodial</t>
        </is>
      </c>
      <c r="L5215" t="n">
        <v>2</v>
      </c>
      <c r="M5215" t="inlineStr">
        <is>
          <t>2026-06-22 12:44:37</t>
        </is>
      </c>
      <c r="N5215" t="inlineStr">
        <is>
          <t>system</t>
        </is>
      </c>
      <c r="O5215" t="inlineStr">
        <is>
          <t>2026-06-19 07:10:32</t>
        </is>
      </c>
      <c r="P5215" t="inlineStr">
        <is>
          <t>2026-06-19 07:10:32</t>
        </is>
      </c>
      <c r="Y5215" t="inlineStr">
        <is>
          <t>27799795961</t>
        </is>
      </c>
    </row>
    <row r="5216">
      <c r="A5216" t="inlineStr">
        <is>
          <t>14944302</t>
        </is>
      </c>
      <c r="B5216" t="inlineStr">
        <is>
          <t>8c17d819-fd9b-454e-858f-ce2a62f91bfb</t>
        </is>
      </c>
      <c r="D5216" t="inlineStr">
        <is>
          <t>30001087</t>
        </is>
      </c>
      <c r="E5216" t="inlineStr">
        <is>
          <t>ussd_funeral_leads_altitude_20260619</t>
        </is>
      </c>
      <c r="J5216" t="inlineStr">
        <is>
          <t>AA</t>
        </is>
      </c>
      <c r="K5216" t="inlineStr">
        <is>
          <t>Answering Machine Autodial</t>
        </is>
      </c>
      <c r="L5216" t="n">
        <v>2</v>
      </c>
      <c r="M5216" t="inlineStr">
        <is>
          <t>2026-06-22 12:44:37</t>
        </is>
      </c>
      <c r="N5216" t="inlineStr">
        <is>
          <t>system</t>
        </is>
      </c>
      <c r="O5216" t="inlineStr">
        <is>
          <t>2026-06-19 07:10:32</t>
        </is>
      </c>
      <c r="P5216" t="inlineStr">
        <is>
          <t>2026-06-19 07:10:32</t>
        </is>
      </c>
      <c r="Y5216" t="inlineStr">
        <is>
          <t>27648207861</t>
        </is>
      </c>
    </row>
    <row r="5217">
      <c r="A5217" t="inlineStr">
        <is>
          <t>14944292</t>
        </is>
      </c>
      <c r="B5217" t="inlineStr">
        <is>
          <t>3ddadbbb-ec71-49e1-91e7-283655ca5878</t>
        </is>
      </c>
      <c r="D5217" t="inlineStr">
        <is>
          <t>30001087</t>
        </is>
      </c>
      <c r="E5217" t="inlineStr">
        <is>
          <t>ussd_funeral_leads_altitude_20260619</t>
        </is>
      </c>
      <c r="J5217" t="inlineStr">
        <is>
          <t>AA</t>
        </is>
      </c>
      <c r="K5217" t="inlineStr">
        <is>
          <t>Answering Machine Autodial</t>
        </is>
      </c>
      <c r="L5217" t="n">
        <v>2</v>
      </c>
      <c r="M5217" t="inlineStr">
        <is>
          <t>2026-06-22 12:44:36</t>
        </is>
      </c>
      <c r="N5217" t="inlineStr">
        <is>
          <t>system</t>
        </is>
      </c>
      <c r="O5217" t="inlineStr">
        <is>
          <t>2026-06-19 07:10:32</t>
        </is>
      </c>
      <c r="P5217" t="inlineStr">
        <is>
          <t>2026-06-19 07:10:32</t>
        </is>
      </c>
      <c r="Y5217" t="inlineStr">
        <is>
          <t>27827087837</t>
        </is>
      </c>
    </row>
    <row r="5218">
      <c r="A5218" t="inlineStr">
        <is>
          <t>14944293</t>
        </is>
      </c>
      <c r="B5218" t="inlineStr">
        <is>
          <t>03d0b912-523c-4863-8a08-3890e5b67da0</t>
        </is>
      </c>
      <c r="D5218" t="inlineStr">
        <is>
          <t>30001087</t>
        </is>
      </c>
      <c r="E5218" t="inlineStr">
        <is>
          <t>ussd_funeral_leads_altitude_20260619</t>
        </is>
      </c>
      <c r="J5218" t="inlineStr">
        <is>
          <t>NA</t>
        </is>
      </c>
      <c r="K5218" t="inlineStr">
        <is>
          <t>No Answer Autodial</t>
        </is>
      </c>
      <c r="L5218" t="n">
        <v>2</v>
      </c>
      <c r="M5218" t="inlineStr">
        <is>
          <t>2026-06-22 12:44:36</t>
        </is>
      </c>
      <c r="N5218" t="inlineStr">
        <is>
          <t>system</t>
        </is>
      </c>
      <c r="O5218" t="inlineStr">
        <is>
          <t>2026-06-19 07:10:32</t>
        </is>
      </c>
      <c r="P5218" t="inlineStr">
        <is>
          <t>2026-06-19 07:10:32</t>
        </is>
      </c>
      <c r="Y5218" t="inlineStr">
        <is>
          <t>27791907379</t>
        </is>
      </c>
    </row>
    <row r="5219">
      <c r="A5219" t="inlineStr">
        <is>
          <t>14944294</t>
        </is>
      </c>
      <c r="B5219" t="inlineStr">
        <is>
          <t>658bc09e-ad2e-47ba-871c-d12fabfb10f9</t>
        </is>
      </c>
      <c r="D5219" t="inlineStr">
        <is>
          <t>30001087</t>
        </is>
      </c>
      <c r="E5219" t="inlineStr">
        <is>
          <t>ussd_funeral_leads_altitude_20260619</t>
        </is>
      </c>
      <c r="J5219" t="inlineStr">
        <is>
          <t>AA</t>
        </is>
      </c>
      <c r="K5219" t="inlineStr">
        <is>
          <t>Answering Machine Autodial</t>
        </is>
      </c>
      <c r="L5219" t="n">
        <v>2</v>
      </c>
      <c r="M5219" t="inlineStr">
        <is>
          <t>2026-06-22 12:44:36</t>
        </is>
      </c>
      <c r="N5219" t="inlineStr">
        <is>
          <t>system</t>
        </is>
      </c>
      <c r="O5219" t="inlineStr">
        <is>
          <t>2026-06-19 07:10:32</t>
        </is>
      </c>
      <c r="P5219" t="inlineStr">
        <is>
          <t>2026-06-19 07:10:32</t>
        </is>
      </c>
      <c r="Y5219" t="inlineStr">
        <is>
          <t>27647234221</t>
        </is>
      </c>
    </row>
    <row r="5220">
      <c r="A5220" t="inlineStr">
        <is>
          <t>14944295</t>
        </is>
      </c>
      <c r="B5220" t="inlineStr">
        <is>
          <t>4696afb0-5692-44f8-952f-4f2f5b5227c0</t>
        </is>
      </c>
      <c r="D5220" t="inlineStr">
        <is>
          <t>30001087</t>
        </is>
      </c>
      <c r="E5220" t="inlineStr">
        <is>
          <t>ussd_funeral_leads_altitude_20260619</t>
        </is>
      </c>
      <c r="J5220" t="inlineStr">
        <is>
          <t>AA</t>
        </is>
      </c>
      <c r="K5220" t="inlineStr">
        <is>
          <t>Answering Machine Autodial</t>
        </is>
      </c>
      <c r="L5220" t="n">
        <v>2</v>
      </c>
      <c r="M5220" t="inlineStr">
        <is>
          <t>2026-06-22 12:44:36</t>
        </is>
      </c>
      <c r="N5220" t="inlineStr">
        <is>
          <t>system</t>
        </is>
      </c>
      <c r="O5220" t="inlineStr">
        <is>
          <t>2026-06-19 07:10:32</t>
        </is>
      </c>
      <c r="P5220" t="inlineStr">
        <is>
          <t>2026-06-19 07:10:32</t>
        </is>
      </c>
      <c r="Y5220" t="inlineStr">
        <is>
          <t>27764818490</t>
        </is>
      </c>
    </row>
    <row r="5221">
      <c r="A5221" t="inlineStr">
        <is>
          <t>14944296</t>
        </is>
      </c>
      <c r="B5221" t="inlineStr">
        <is>
          <t>150bef86-6cec-47f2-9ab2-ff09f4066556</t>
        </is>
      </c>
      <c r="D5221" t="inlineStr">
        <is>
          <t>30001087</t>
        </is>
      </c>
      <c r="E5221" t="inlineStr">
        <is>
          <t>ussd_funeral_leads_altitude_20260619</t>
        </is>
      </c>
      <c r="J5221" t="inlineStr">
        <is>
          <t>AA</t>
        </is>
      </c>
      <c r="K5221" t="inlineStr">
        <is>
          <t>Answering Machine Autodial</t>
        </is>
      </c>
      <c r="L5221" t="n">
        <v>2</v>
      </c>
      <c r="M5221" t="inlineStr">
        <is>
          <t>2026-06-22 12:44:36</t>
        </is>
      </c>
      <c r="N5221" t="inlineStr">
        <is>
          <t>system</t>
        </is>
      </c>
      <c r="O5221" t="inlineStr">
        <is>
          <t>2026-06-19 07:10:32</t>
        </is>
      </c>
      <c r="P5221" t="inlineStr">
        <is>
          <t>2026-06-19 07:10:32</t>
        </is>
      </c>
      <c r="Y5221" t="inlineStr">
        <is>
          <t>27799118870</t>
        </is>
      </c>
    </row>
    <row r="5222">
      <c r="A5222" t="inlineStr">
        <is>
          <t>14944297</t>
        </is>
      </c>
      <c r="B5222" t="inlineStr">
        <is>
          <t>44a6a5cc-b66a-4ff5-b7c8-ed5bf79b005d</t>
        </is>
      </c>
      <c r="D5222" t="inlineStr">
        <is>
          <t>30001087</t>
        </is>
      </c>
      <c r="E5222" t="inlineStr">
        <is>
          <t>ussd_funeral_leads_altitude_20260619</t>
        </is>
      </c>
      <c r="J5222" t="inlineStr">
        <is>
          <t>AA</t>
        </is>
      </c>
      <c r="K5222" t="inlineStr">
        <is>
          <t>Answering Machine Autodial</t>
        </is>
      </c>
      <c r="L5222" t="n">
        <v>2</v>
      </c>
      <c r="M5222" t="inlineStr">
        <is>
          <t>2026-06-22 12:44:36</t>
        </is>
      </c>
      <c r="N5222" t="inlineStr">
        <is>
          <t>system</t>
        </is>
      </c>
      <c r="O5222" t="inlineStr">
        <is>
          <t>2026-06-19 07:10:32</t>
        </is>
      </c>
      <c r="P5222" t="inlineStr">
        <is>
          <t>2026-06-19 07:10:32</t>
        </is>
      </c>
      <c r="Y5222" t="inlineStr">
        <is>
          <t>27762509815</t>
        </is>
      </c>
    </row>
    <row r="5223">
      <c r="A5223" t="inlineStr">
        <is>
          <t>14944303</t>
        </is>
      </c>
      <c r="B5223" t="inlineStr">
        <is>
          <t>2a1d0abf-9aac-43ea-b5d3-040bcb1539e0</t>
        </is>
      </c>
      <c r="D5223" t="inlineStr">
        <is>
          <t>30001087</t>
        </is>
      </c>
      <c r="E5223" t="inlineStr">
        <is>
          <t>ussd_funeral_leads_altitude_20260619</t>
        </is>
      </c>
      <c r="J5223" t="inlineStr">
        <is>
          <t>U</t>
        </is>
      </c>
      <c r="K5223" t="inlineStr">
        <is>
          <t>Unemployed</t>
        </is>
      </c>
      <c r="L5223" t="n">
        <v>2</v>
      </c>
      <c r="M5223" t="inlineStr">
        <is>
          <t>2026-06-22 12:44:36</t>
        </is>
      </c>
      <c r="N5223" t="inlineStr">
        <is>
          <t>Goitsimang Mogwasa</t>
        </is>
      </c>
      <c r="O5223" t="inlineStr">
        <is>
          <t>2026-06-19 07:10:32</t>
        </is>
      </c>
      <c r="P5223" t="inlineStr">
        <is>
          <t>2026-06-19 07:10:32</t>
        </is>
      </c>
      <c r="Y5223" t="inlineStr">
        <is>
          <t>27727771730</t>
        </is>
      </c>
    </row>
    <row r="5224">
      <c r="A5224" t="inlineStr">
        <is>
          <t>14944290</t>
        </is>
      </c>
      <c r="B5224" t="inlineStr">
        <is>
          <t>8f981027-a799-4157-b344-af0fa3fb3092</t>
        </is>
      </c>
      <c r="D5224" t="inlineStr">
        <is>
          <t>30001087</t>
        </is>
      </c>
      <c r="E5224" t="inlineStr">
        <is>
          <t>ussd_funeral_leads_altitude_20260619</t>
        </is>
      </c>
      <c r="J5224" t="inlineStr">
        <is>
          <t>ADC</t>
        </is>
      </c>
      <c r="K5224" t="inlineStr">
        <is>
          <t>Auto Dial Disconnected</t>
        </is>
      </c>
      <c r="L5224" t="n">
        <v>2</v>
      </c>
      <c r="M5224" t="inlineStr">
        <is>
          <t>2026-06-22 12:44:35</t>
        </is>
      </c>
      <c r="N5224" t="inlineStr">
        <is>
          <t>system</t>
        </is>
      </c>
      <c r="O5224" t="inlineStr">
        <is>
          <t>2026-06-19 07:10:32</t>
        </is>
      </c>
      <c r="P5224" t="inlineStr">
        <is>
          <t>2026-06-19 07:10:32</t>
        </is>
      </c>
      <c r="Y5224" t="inlineStr">
        <is>
          <t>27647668141</t>
        </is>
      </c>
    </row>
    <row r="5225">
      <c r="A5225" t="inlineStr">
        <is>
          <t>14944291</t>
        </is>
      </c>
      <c r="B5225" t="inlineStr">
        <is>
          <t>45114e18-785d-4888-82c7-5b7b3b90b659</t>
        </is>
      </c>
      <c r="D5225" t="inlineStr">
        <is>
          <t>30001087</t>
        </is>
      </c>
      <c r="E5225" t="inlineStr">
        <is>
          <t>ussd_funeral_leads_altitude_20260619</t>
        </is>
      </c>
      <c r="J5225" t="inlineStr">
        <is>
          <t>ADC</t>
        </is>
      </c>
      <c r="K5225" t="inlineStr">
        <is>
          <t>Auto Dial Disconnected</t>
        </is>
      </c>
      <c r="L5225" t="n">
        <v>2</v>
      </c>
      <c r="M5225" t="inlineStr">
        <is>
          <t>2026-06-22 12:44:35</t>
        </is>
      </c>
      <c r="N5225" t="inlineStr">
        <is>
          <t>system</t>
        </is>
      </c>
      <c r="O5225" t="inlineStr">
        <is>
          <t>2026-06-19 07:10:32</t>
        </is>
      </c>
      <c r="P5225" t="inlineStr">
        <is>
          <t>2026-06-19 07:10:32</t>
        </is>
      </c>
      <c r="Y5225" t="inlineStr">
        <is>
          <t>27818445126</t>
        </is>
      </c>
    </row>
    <row r="5226">
      <c r="A5226" t="inlineStr">
        <is>
          <t>14944288</t>
        </is>
      </c>
      <c r="B5226" t="inlineStr">
        <is>
          <t>d3720af2-cd06-47d8-89ea-f697ec5500ce</t>
        </is>
      </c>
      <c r="D5226" t="inlineStr">
        <is>
          <t>30001087</t>
        </is>
      </c>
      <c r="E5226" t="inlineStr">
        <is>
          <t>ussd_funeral_leads_altitude_20260619</t>
        </is>
      </c>
      <c r="J5226" t="inlineStr">
        <is>
          <t>AA</t>
        </is>
      </c>
      <c r="K5226" t="inlineStr">
        <is>
          <t>Answering Machine Autodial</t>
        </is>
      </c>
      <c r="L5226" t="n">
        <v>2</v>
      </c>
      <c r="M5226" t="inlineStr">
        <is>
          <t>2026-06-22 12:44:30</t>
        </is>
      </c>
      <c r="N5226" t="inlineStr">
        <is>
          <t>system</t>
        </is>
      </c>
      <c r="O5226" t="inlineStr">
        <is>
          <t>2026-06-19 07:10:32</t>
        </is>
      </c>
      <c r="P5226" t="inlineStr">
        <is>
          <t>2026-06-19 07:10:32</t>
        </is>
      </c>
      <c r="Y5226" t="inlineStr">
        <is>
          <t>27772495258</t>
        </is>
      </c>
    </row>
    <row r="5227">
      <c r="A5227" t="inlineStr">
        <is>
          <t>14944289</t>
        </is>
      </c>
      <c r="B5227" t="inlineStr">
        <is>
          <t>159cbaa6-7ab7-47b8-9d5f-169cdfaa956b</t>
        </is>
      </c>
      <c r="D5227" t="inlineStr">
        <is>
          <t>30001087</t>
        </is>
      </c>
      <c r="E5227" t="inlineStr">
        <is>
          <t>ussd_funeral_leads_altitude_20260619</t>
        </is>
      </c>
      <c r="J5227" t="inlineStr">
        <is>
          <t>AA</t>
        </is>
      </c>
      <c r="K5227" t="inlineStr">
        <is>
          <t>Answering Machine Autodial</t>
        </is>
      </c>
      <c r="L5227" t="n">
        <v>2</v>
      </c>
      <c r="M5227" t="inlineStr">
        <is>
          <t>2026-06-22 12:44:30</t>
        </is>
      </c>
      <c r="N5227" t="inlineStr">
        <is>
          <t>system</t>
        </is>
      </c>
      <c r="O5227" t="inlineStr">
        <is>
          <t>2026-06-19 07:10:32</t>
        </is>
      </c>
      <c r="P5227" t="inlineStr">
        <is>
          <t>2026-06-19 07:10:32</t>
        </is>
      </c>
      <c r="Y5227" t="inlineStr">
        <is>
          <t>27795690862</t>
        </is>
      </c>
    </row>
    <row r="5228">
      <c r="A5228" t="inlineStr">
        <is>
          <t>14944284</t>
        </is>
      </c>
      <c r="B5228" t="inlineStr">
        <is>
          <t>9b54d513-9272-41ac-9b0a-bd95a8cbd11c</t>
        </is>
      </c>
      <c r="D5228" t="inlineStr">
        <is>
          <t>30001087</t>
        </is>
      </c>
      <c r="E5228" t="inlineStr">
        <is>
          <t>ussd_funeral_leads_altitude_20260619</t>
        </is>
      </c>
      <c r="J5228" t="inlineStr">
        <is>
          <t>CU</t>
        </is>
      </c>
      <c r="K5228" t="inlineStr">
        <is>
          <t>Client Hung Up</t>
        </is>
      </c>
      <c r="L5228" t="n">
        <v>2</v>
      </c>
      <c r="M5228" t="inlineStr">
        <is>
          <t>2026-06-22 12:44:29</t>
        </is>
      </c>
      <c r="N5228" t="inlineStr">
        <is>
          <t>Gontse Monageng</t>
        </is>
      </c>
      <c r="O5228" t="inlineStr">
        <is>
          <t>2026-06-19 07:10:32</t>
        </is>
      </c>
      <c r="P5228" t="inlineStr">
        <is>
          <t>2026-06-19 07:10:32</t>
        </is>
      </c>
      <c r="Y5228" t="inlineStr">
        <is>
          <t>27673555845</t>
        </is>
      </c>
    </row>
    <row r="5229">
      <c r="A5229" t="inlineStr">
        <is>
          <t>14944285</t>
        </is>
      </c>
      <c r="B5229" t="inlineStr">
        <is>
          <t>2e5cf2b4-c894-437f-b5b0-21e0e49ca335</t>
        </is>
      </c>
      <c r="D5229" t="inlineStr">
        <is>
          <t>30001087</t>
        </is>
      </c>
      <c r="E5229" t="inlineStr">
        <is>
          <t>ussd_funeral_leads_altitude_20260619</t>
        </is>
      </c>
      <c r="J5229" t="inlineStr">
        <is>
          <t>NA</t>
        </is>
      </c>
      <c r="K5229" t="inlineStr">
        <is>
          <t>No Answer Autodial</t>
        </is>
      </c>
      <c r="L5229" t="n">
        <v>2</v>
      </c>
      <c r="M5229" t="inlineStr">
        <is>
          <t>2026-06-22 12:44:29</t>
        </is>
      </c>
      <c r="N5229" t="inlineStr">
        <is>
          <t>system</t>
        </is>
      </c>
      <c r="O5229" t="inlineStr">
        <is>
          <t>2026-06-19 07:10:32</t>
        </is>
      </c>
      <c r="P5229" t="inlineStr">
        <is>
          <t>2026-06-19 07:10:32</t>
        </is>
      </c>
      <c r="Y5229" t="inlineStr">
        <is>
          <t>27773592993</t>
        </is>
      </c>
    </row>
    <row r="5230">
      <c r="A5230" t="inlineStr">
        <is>
          <t>14944286</t>
        </is>
      </c>
      <c r="B5230" t="inlineStr">
        <is>
          <t>42f478f5-3f42-4778-9264-671b4dfd6f8b</t>
        </is>
      </c>
      <c r="D5230" t="inlineStr">
        <is>
          <t>30001087</t>
        </is>
      </c>
      <c r="E5230" t="inlineStr">
        <is>
          <t>ussd_funeral_leads_altitude_20260619</t>
        </is>
      </c>
      <c r="J5230" t="inlineStr">
        <is>
          <t>AA</t>
        </is>
      </c>
      <c r="K5230" t="inlineStr">
        <is>
          <t>Answering Machine Autodial</t>
        </is>
      </c>
      <c r="L5230" t="n">
        <v>2</v>
      </c>
      <c r="M5230" t="inlineStr">
        <is>
          <t>2026-06-22 12:44:29</t>
        </is>
      </c>
      <c r="N5230" t="inlineStr">
        <is>
          <t>system</t>
        </is>
      </c>
      <c r="O5230" t="inlineStr">
        <is>
          <t>2026-06-19 07:10:32</t>
        </is>
      </c>
      <c r="P5230" t="inlineStr">
        <is>
          <t>2026-06-19 07:10:32</t>
        </is>
      </c>
      <c r="Y5230" t="inlineStr">
        <is>
          <t>27791451615</t>
        </is>
      </c>
    </row>
    <row r="5231">
      <c r="A5231" t="inlineStr">
        <is>
          <t>14944287</t>
        </is>
      </c>
      <c r="B5231" t="inlineStr">
        <is>
          <t>01e87f5f-da32-4b4a-8886-7b6303be1304</t>
        </is>
      </c>
      <c r="D5231" t="inlineStr">
        <is>
          <t>30001087</t>
        </is>
      </c>
      <c r="E5231" t="inlineStr">
        <is>
          <t>ussd_funeral_leads_altitude_20260619</t>
        </is>
      </c>
      <c r="J5231" t="inlineStr">
        <is>
          <t>AA</t>
        </is>
      </c>
      <c r="K5231" t="inlineStr">
        <is>
          <t>Answering Machine Autodial</t>
        </is>
      </c>
      <c r="L5231" t="n">
        <v>2</v>
      </c>
      <c r="M5231" t="inlineStr">
        <is>
          <t>2026-06-22 12:44:29</t>
        </is>
      </c>
      <c r="N5231" t="inlineStr">
        <is>
          <t>system</t>
        </is>
      </c>
      <c r="O5231" t="inlineStr">
        <is>
          <t>2026-06-19 07:10:32</t>
        </is>
      </c>
      <c r="P5231" t="inlineStr">
        <is>
          <t>2026-06-19 07:10:32</t>
        </is>
      </c>
      <c r="Y5231" t="inlineStr">
        <is>
          <t>27791054782</t>
        </is>
      </c>
    </row>
    <row r="5232">
      <c r="A5232" t="inlineStr">
        <is>
          <t>14944283</t>
        </is>
      </c>
      <c r="B5232" t="inlineStr">
        <is>
          <t>f70225ec-6b60-4596-9558-78833ea4b5c3</t>
        </is>
      </c>
      <c r="D5232" t="inlineStr">
        <is>
          <t>30001087</t>
        </is>
      </c>
      <c r="E5232" t="inlineStr">
        <is>
          <t>ussd_funeral_leads_altitude_20260619</t>
        </is>
      </c>
      <c r="J5232" t="inlineStr">
        <is>
          <t>AA</t>
        </is>
      </c>
      <c r="K5232" t="inlineStr">
        <is>
          <t>Answering Machine Autodial</t>
        </is>
      </c>
      <c r="L5232" t="n">
        <v>2</v>
      </c>
      <c r="M5232" t="inlineStr">
        <is>
          <t>2026-06-22 12:43:51</t>
        </is>
      </c>
      <c r="N5232" t="inlineStr">
        <is>
          <t>system</t>
        </is>
      </c>
      <c r="O5232" t="inlineStr">
        <is>
          <t>2026-06-19 07:10:32</t>
        </is>
      </c>
      <c r="P5232" t="inlineStr">
        <is>
          <t>2026-06-19 07:10:32</t>
        </is>
      </c>
      <c r="Y5232" t="inlineStr">
        <is>
          <t>27725868156</t>
        </is>
      </c>
    </row>
    <row r="5233">
      <c r="A5233" t="inlineStr">
        <is>
          <t>14944282</t>
        </is>
      </c>
      <c r="B5233" t="inlineStr">
        <is>
          <t>faee4dcf-733f-4d35-8143-37ce180a78a2</t>
        </is>
      </c>
      <c r="D5233" t="inlineStr">
        <is>
          <t>30001087</t>
        </is>
      </c>
      <c r="E5233" t="inlineStr">
        <is>
          <t>ussd_funeral_leads_altitude_20260619</t>
        </is>
      </c>
      <c r="J5233" t="inlineStr">
        <is>
          <t>AA</t>
        </is>
      </c>
      <c r="K5233" t="inlineStr">
        <is>
          <t>Answering Machine Autodial</t>
        </is>
      </c>
      <c r="L5233" t="n">
        <v>2</v>
      </c>
      <c r="M5233" t="inlineStr">
        <is>
          <t>2026-06-22 12:43:46</t>
        </is>
      </c>
      <c r="N5233" t="inlineStr">
        <is>
          <t>system</t>
        </is>
      </c>
      <c r="O5233" t="inlineStr">
        <is>
          <t>2026-06-19 07:10:32</t>
        </is>
      </c>
      <c r="P5233" t="inlineStr">
        <is>
          <t>2026-06-19 07:10:32</t>
        </is>
      </c>
      <c r="Y5233" t="inlineStr">
        <is>
          <t>27793664835</t>
        </is>
      </c>
    </row>
    <row r="5234">
      <c r="A5234" t="inlineStr">
        <is>
          <t>14945979</t>
        </is>
      </c>
      <c r="B5234" t="inlineStr">
        <is>
          <t>f944acf7-bb40-47c2-8ed0-9012284e1b4a</t>
        </is>
      </c>
      <c r="D5234" t="inlineStr">
        <is>
          <t>30001087</t>
        </is>
      </c>
      <c r="E5234" t="inlineStr">
        <is>
          <t>ussd_funeral_leads_altitude_20260619</t>
        </is>
      </c>
      <c r="J5234" t="inlineStr">
        <is>
          <t>QAVER</t>
        </is>
      </c>
      <c r="K5234" t="inlineStr">
        <is>
          <t>Sale Made</t>
        </is>
      </c>
      <c r="L5234" t="n">
        <v>3</v>
      </c>
      <c r="M5234" t="inlineStr">
        <is>
          <t>2026-06-22 12:42:22</t>
        </is>
      </c>
      <c r="N5234" t="inlineStr">
        <is>
          <t>Dimakatso Nkomo</t>
        </is>
      </c>
      <c r="O5234" t="inlineStr">
        <is>
          <t>2026-06-19 07:10:32</t>
        </is>
      </c>
      <c r="P5234" t="inlineStr">
        <is>
          <t>2026-06-19 07:10:32</t>
        </is>
      </c>
      <c r="Y5234" t="inlineStr">
        <is>
          <t>27826613688</t>
        </is>
      </c>
    </row>
    <row r="5235">
      <c r="A5235" t="inlineStr">
        <is>
          <t>14944382</t>
        </is>
      </c>
      <c r="B5235" t="inlineStr">
        <is>
          <t>5492a7f9-7fb6-45ce-b85f-f6288b3d9ad5</t>
        </is>
      </c>
      <c r="D5235" t="inlineStr">
        <is>
          <t>30001087</t>
        </is>
      </c>
      <c r="E5235" t="inlineStr">
        <is>
          <t>ussd_funeral_leads_altitude_20260619</t>
        </is>
      </c>
      <c r="J5235" t="inlineStr">
        <is>
          <t>U</t>
        </is>
      </c>
      <c r="K5235" t="inlineStr">
        <is>
          <t>Unemployed</t>
        </is>
      </c>
      <c r="L5235" t="n">
        <v>2</v>
      </c>
      <c r="M5235" t="inlineStr">
        <is>
          <t>2026-06-22 12:42:04</t>
        </is>
      </c>
      <c r="N5235" t="inlineStr">
        <is>
          <t>Vuyiswa Nxumalo</t>
        </is>
      </c>
      <c r="O5235" t="inlineStr">
        <is>
          <t>2026-06-19 07:10:32</t>
        </is>
      </c>
      <c r="P5235" t="inlineStr">
        <is>
          <t>2026-06-19 07:10:32</t>
        </is>
      </c>
      <c r="Y5235" t="inlineStr">
        <is>
          <t>27728530233</t>
        </is>
      </c>
    </row>
    <row r="5236">
      <c r="A5236" t="inlineStr">
        <is>
          <t>14944370</t>
        </is>
      </c>
      <c r="B5236" t="inlineStr">
        <is>
          <t>5d0295a8-5cd3-4979-9737-37d702aa24ad</t>
        </is>
      </c>
      <c r="D5236" t="inlineStr">
        <is>
          <t>30001087</t>
        </is>
      </c>
      <c r="E5236" t="inlineStr">
        <is>
          <t>ussd_funeral_leads_altitude_20260619</t>
        </is>
      </c>
      <c r="J5236" t="inlineStr">
        <is>
          <t>AA</t>
        </is>
      </c>
      <c r="K5236" t="inlineStr">
        <is>
          <t>Answering Machine Autodial</t>
        </is>
      </c>
      <c r="L5236" t="n">
        <v>2</v>
      </c>
      <c r="M5236" t="inlineStr">
        <is>
          <t>2026-06-22 12:41:43</t>
        </is>
      </c>
      <c r="N5236" t="inlineStr">
        <is>
          <t>system</t>
        </is>
      </c>
      <c r="O5236" t="inlineStr">
        <is>
          <t>2026-06-19 07:10:32</t>
        </is>
      </c>
      <c r="P5236" t="inlineStr">
        <is>
          <t>2026-06-19 07:10:32</t>
        </is>
      </c>
      <c r="Y5236" t="inlineStr">
        <is>
          <t>27768584292</t>
        </is>
      </c>
    </row>
    <row r="5237">
      <c r="A5237" t="inlineStr">
        <is>
          <t>14944366</t>
        </is>
      </c>
      <c r="B5237" t="inlineStr">
        <is>
          <t>711ba4ef-4b86-415c-8aac-4dfd776ed2e7</t>
        </is>
      </c>
      <c r="D5237" t="inlineStr">
        <is>
          <t>30001087</t>
        </is>
      </c>
      <c r="E5237" t="inlineStr">
        <is>
          <t>ussd_funeral_leads_altitude_20260619</t>
        </is>
      </c>
      <c r="J5237" t="inlineStr">
        <is>
          <t>AA</t>
        </is>
      </c>
      <c r="K5237" t="inlineStr">
        <is>
          <t>Answering Machine Autodial</t>
        </is>
      </c>
      <c r="L5237" t="n">
        <v>2</v>
      </c>
      <c r="M5237" t="inlineStr">
        <is>
          <t>2026-06-22 12:41:42</t>
        </is>
      </c>
      <c r="N5237" t="inlineStr">
        <is>
          <t>system</t>
        </is>
      </c>
      <c r="O5237" t="inlineStr">
        <is>
          <t>2026-06-19 07:10:32</t>
        </is>
      </c>
      <c r="P5237" t="inlineStr">
        <is>
          <t>2026-06-19 07:10:32</t>
        </is>
      </c>
      <c r="Y5237" t="inlineStr">
        <is>
          <t>27729408679</t>
        </is>
      </c>
    </row>
    <row r="5238">
      <c r="A5238" t="inlineStr">
        <is>
          <t>14944367</t>
        </is>
      </c>
      <c r="B5238" t="inlineStr">
        <is>
          <t>8c8bbe34-80ed-4846-8c15-c049c88e5b57</t>
        </is>
      </c>
      <c r="D5238" t="inlineStr">
        <is>
          <t>30001087</t>
        </is>
      </c>
      <c r="E5238" t="inlineStr">
        <is>
          <t>ussd_funeral_leads_altitude_20260619</t>
        </is>
      </c>
      <c r="J5238" t="inlineStr">
        <is>
          <t>AA</t>
        </is>
      </c>
      <c r="K5238" t="inlineStr">
        <is>
          <t>Answering Machine Autodial</t>
        </is>
      </c>
      <c r="L5238" t="n">
        <v>2</v>
      </c>
      <c r="M5238" t="inlineStr">
        <is>
          <t>2026-06-22 12:41:42</t>
        </is>
      </c>
      <c r="N5238" t="inlineStr">
        <is>
          <t>system</t>
        </is>
      </c>
      <c r="O5238" t="inlineStr">
        <is>
          <t>2026-06-19 07:10:32</t>
        </is>
      </c>
      <c r="P5238" t="inlineStr">
        <is>
          <t>2026-06-19 07:10:32</t>
        </is>
      </c>
      <c r="Y5238" t="inlineStr">
        <is>
          <t>27772892080</t>
        </is>
      </c>
    </row>
    <row r="5239">
      <c r="A5239" t="inlineStr">
        <is>
          <t>14944368</t>
        </is>
      </c>
      <c r="B5239" t="inlineStr">
        <is>
          <t>336904e7-0197-48d1-90c6-a40100b984e9</t>
        </is>
      </c>
      <c r="D5239" t="inlineStr">
        <is>
          <t>30001087</t>
        </is>
      </c>
      <c r="E5239" t="inlineStr">
        <is>
          <t>ussd_funeral_leads_altitude_20260619</t>
        </is>
      </c>
      <c r="J5239" t="inlineStr">
        <is>
          <t>AA</t>
        </is>
      </c>
      <c r="K5239" t="inlineStr">
        <is>
          <t>Answering Machine Autodial</t>
        </is>
      </c>
      <c r="L5239" t="n">
        <v>2</v>
      </c>
      <c r="M5239" t="inlineStr">
        <is>
          <t>2026-06-22 12:41:42</t>
        </is>
      </c>
      <c r="N5239" t="inlineStr">
        <is>
          <t>system</t>
        </is>
      </c>
      <c r="O5239" t="inlineStr">
        <is>
          <t>2026-06-19 07:10:32</t>
        </is>
      </c>
      <c r="P5239" t="inlineStr">
        <is>
          <t>2026-06-19 07:10:32</t>
        </is>
      </c>
      <c r="Y5239" t="inlineStr">
        <is>
          <t>27726088551</t>
        </is>
      </c>
    </row>
    <row r="5240">
      <c r="A5240" t="inlineStr">
        <is>
          <t>14944415</t>
        </is>
      </c>
      <c r="B5240" t="inlineStr">
        <is>
          <t>f4cd2d33-9341-49d7-a501-5edbca41ac87</t>
        </is>
      </c>
      <c r="D5240" t="inlineStr">
        <is>
          <t>30001087</t>
        </is>
      </c>
      <c r="E5240" t="inlineStr">
        <is>
          <t>ussd_funeral_leads_altitude_20260619</t>
        </is>
      </c>
      <c r="J5240" t="inlineStr">
        <is>
          <t>CUA</t>
        </is>
      </c>
      <c r="K5240" t="inlineStr">
        <is>
          <t>Client Underage</t>
        </is>
      </c>
      <c r="L5240" t="n">
        <v>2</v>
      </c>
      <c r="M5240" t="inlineStr">
        <is>
          <t>2026-06-22 12:39:42</t>
        </is>
      </c>
      <c r="N5240" t="inlineStr">
        <is>
          <t>Lebohang Mabotja</t>
        </is>
      </c>
      <c r="O5240" t="inlineStr">
        <is>
          <t>2026-06-19 07:10:32</t>
        </is>
      </c>
      <c r="P5240" t="inlineStr">
        <is>
          <t>2026-06-19 07:10:32</t>
        </is>
      </c>
      <c r="Y5240" t="inlineStr">
        <is>
          <t>27791465512</t>
        </is>
      </c>
    </row>
    <row r="5241">
      <c r="A5241" t="inlineStr">
        <is>
          <t>14900000</t>
        </is>
      </c>
      <c r="B5241" t="inlineStr">
        <is>
          <t>5e642868-ecb7-4923-8194-4903b869b0e1</t>
        </is>
      </c>
      <c r="D5241" t="inlineStr">
        <is>
          <t>30001087</t>
        </is>
      </c>
      <c r="E5241" t="inlineStr">
        <is>
          <t>ussd_funeral_leads_altitude_20260619</t>
        </is>
      </c>
      <c r="J5241" t="inlineStr">
        <is>
          <t>NI</t>
        </is>
      </c>
      <c r="K5241" t="inlineStr">
        <is>
          <t>Not Interested</t>
        </is>
      </c>
      <c r="L5241" t="n">
        <v>2</v>
      </c>
      <c r="M5241" t="inlineStr">
        <is>
          <t>2026-06-22 12:38:12</t>
        </is>
      </c>
      <c r="N5241" t="inlineStr">
        <is>
          <t>Vuyiswa Nxumalo</t>
        </is>
      </c>
      <c r="O5241" t="inlineStr">
        <is>
          <t>2026-06-19 07:10:32</t>
        </is>
      </c>
      <c r="P5241" t="inlineStr">
        <is>
          <t>2026-06-19 07:10:32</t>
        </is>
      </c>
      <c r="Y5241" t="inlineStr">
        <is>
          <t>27662039871</t>
        </is>
      </c>
    </row>
    <row r="5242">
      <c r="A5242" t="inlineStr">
        <is>
          <t>14900000</t>
        </is>
      </c>
      <c r="B5242" t="inlineStr">
        <is>
          <t>5e777884-a7a6-4b02-9327-8acf94e0ea8f</t>
        </is>
      </c>
      <c r="D5242" t="inlineStr">
        <is>
          <t>30001087</t>
        </is>
      </c>
      <c r="E5242" t="inlineStr">
        <is>
          <t>ussd_funeral_leads_altitude_20260619</t>
        </is>
      </c>
      <c r="J5242" t="inlineStr">
        <is>
          <t>NI</t>
        </is>
      </c>
      <c r="K5242" t="inlineStr">
        <is>
          <t>Not Interested</t>
        </is>
      </c>
      <c r="L5242" t="n">
        <v>2</v>
      </c>
      <c r="M5242" t="inlineStr">
        <is>
          <t>2026-06-22 12:34:37</t>
        </is>
      </c>
      <c r="N5242" t="inlineStr">
        <is>
          <t>Vuyiswa Nxumalo</t>
        </is>
      </c>
      <c r="O5242" t="inlineStr">
        <is>
          <t>2026-06-19 07:10:32</t>
        </is>
      </c>
      <c r="P5242" t="inlineStr">
        <is>
          <t>2026-06-19 07:10:32</t>
        </is>
      </c>
      <c r="Y5242" t="inlineStr">
        <is>
          <t>27648927554</t>
        </is>
      </c>
    </row>
    <row r="5243">
      <c r="A5243" t="inlineStr">
        <is>
          <t>14944592</t>
        </is>
      </c>
      <c r="B5243" t="inlineStr">
        <is>
          <t>053946a7-fc80-46d8-a17c-a0fdcd66d2b7</t>
        </is>
      </c>
      <c r="D5243" t="inlineStr">
        <is>
          <t>30001087</t>
        </is>
      </c>
      <c r="E5243" t="inlineStr">
        <is>
          <t>ussd_funeral_leads_altitude_20260619</t>
        </is>
      </c>
      <c r="J5243" t="inlineStr">
        <is>
          <t>ADC</t>
        </is>
      </c>
      <c r="K5243" t="inlineStr">
        <is>
          <t>Auto Dial Disconnected</t>
        </is>
      </c>
      <c r="L5243" t="n">
        <v>2</v>
      </c>
      <c r="M5243" t="inlineStr">
        <is>
          <t>2026-06-22 12:34:37</t>
        </is>
      </c>
      <c r="N5243" t="inlineStr">
        <is>
          <t>system</t>
        </is>
      </c>
      <c r="O5243" t="inlineStr">
        <is>
          <t>2026-06-19 07:10:32</t>
        </is>
      </c>
      <c r="P5243" t="inlineStr">
        <is>
          <t>2026-06-19 07:10:32</t>
        </is>
      </c>
      <c r="Y5243" t="inlineStr">
        <is>
          <t>27714381718</t>
        </is>
      </c>
    </row>
    <row r="5244">
      <c r="A5244" t="inlineStr">
        <is>
          <t>14944593</t>
        </is>
      </c>
      <c r="B5244" t="inlineStr">
        <is>
          <t>39aaf842-cd0b-4016-8907-9ee9a5a63dc3</t>
        </is>
      </c>
      <c r="D5244" t="inlineStr">
        <is>
          <t>30001087</t>
        </is>
      </c>
      <c r="E5244" t="inlineStr">
        <is>
          <t>ussd_funeral_leads_altitude_20260619</t>
        </is>
      </c>
      <c r="J5244" t="inlineStr">
        <is>
          <t>DROP</t>
        </is>
      </c>
      <c r="K5244" t="inlineStr">
        <is>
          <t>Dropped</t>
        </is>
      </c>
      <c r="L5244" t="n">
        <v>2</v>
      </c>
      <c r="M5244" t="inlineStr">
        <is>
          <t>2026-06-22 12:34:37</t>
        </is>
      </c>
      <c r="N5244" t="inlineStr">
        <is>
          <t>system</t>
        </is>
      </c>
      <c r="O5244" t="inlineStr">
        <is>
          <t>2026-06-19 07:10:32</t>
        </is>
      </c>
      <c r="P5244" t="inlineStr">
        <is>
          <t>2026-06-19 07:10:32</t>
        </is>
      </c>
      <c r="Y5244" t="inlineStr">
        <is>
          <t>27818522648</t>
        </is>
      </c>
    </row>
    <row r="5245">
      <c r="A5245" t="inlineStr">
        <is>
          <t>14944585</t>
        </is>
      </c>
      <c r="B5245" t="inlineStr">
        <is>
          <t>1c775c00-f092-4840-95ef-65283a9ba23d</t>
        </is>
      </c>
      <c r="D5245" t="inlineStr">
        <is>
          <t>30001087</t>
        </is>
      </c>
      <c r="E5245" t="inlineStr">
        <is>
          <t>ussd_funeral_leads_altitude_20260619</t>
        </is>
      </c>
      <c r="J5245" t="inlineStr">
        <is>
          <t>A</t>
        </is>
      </c>
      <c r="K5245" t="inlineStr">
        <is>
          <t>Answering Machine</t>
        </is>
      </c>
      <c r="L5245" t="n">
        <v>2</v>
      </c>
      <c r="M5245" t="inlineStr">
        <is>
          <t>2026-06-22 12:34:36</t>
        </is>
      </c>
      <c r="N5245" t="inlineStr">
        <is>
          <t>Vuyiswa Nxumalo</t>
        </is>
      </c>
      <c r="O5245" t="inlineStr">
        <is>
          <t>2026-06-19 07:10:32</t>
        </is>
      </c>
      <c r="P5245" t="inlineStr">
        <is>
          <t>2026-06-19 07:10:32</t>
        </is>
      </c>
      <c r="Y5245" t="inlineStr">
        <is>
          <t>27662466957</t>
        </is>
      </c>
    </row>
    <row r="5246">
      <c r="A5246" t="inlineStr">
        <is>
          <t>14944586</t>
        </is>
      </c>
      <c r="B5246" t="inlineStr">
        <is>
          <t>ef8ca7a7-35d9-4c4f-8007-1d3c5275d163</t>
        </is>
      </c>
      <c r="D5246" t="inlineStr">
        <is>
          <t>30001087</t>
        </is>
      </c>
      <c r="E5246" t="inlineStr">
        <is>
          <t>ussd_funeral_leads_altitude_20260619</t>
        </is>
      </c>
      <c r="J5246" t="inlineStr">
        <is>
          <t>AA</t>
        </is>
      </c>
      <c r="K5246" t="inlineStr">
        <is>
          <t>Answering Machine Autodial</t>
        </is>
      </c>
      <c r="L5246" t="n">
        <v>2</v>
      </c>
      <c r="M5246" t="inlineStr">
        <is>
          <t>2026-06-22 12:34:36</t>
        </is>
      </c>
      <c r="N5246" t="inlineStr">
        <is>
          <t>system</t>
        </is>
      </c>
      <c r="O5246" t="inlineStr">
        <is>
          <t>2026-06-19 07:10:32</t>
        </is>
      </c>
      <c r="P5246" t="inlineStr">
        <is>
          <t>2026-06-19 07:10:32</t>
        </is>
      </c>
      <c r="Y5246" t="inlineStr">
        <is>
          <t>27760423990</t>
        </is>
      </c>
    </row>
    <row r="5247">
      <c r="A5247" t="inlineStr">
        <is>
          <t>14944587</t>
        </is>
      </c>
      <c r="B5247" t="inlineStr">
        <is>
          <t>ea50e8ba-fa97-4121-8cb4-f65103c4f55e</t>
        </is>
      </c>
      <c r="D5247" t="inlineStr">
        <is>
          <t>30001087</t>
        </is>
      </c>
      <c r="E5247" t="inlineStr">
        <is>
          <t>ussd_funeral_leads_altitude_20260619</t>
        </is>
      </c>
      <c r="J5247" t="inlineStr">
        <is>
          <t>ADC</t>
        </is>
      </c>
      <c r="K5247" t="inlineStr">
        <is>
          <t>Auto Dial Disconnected</t>
        </is>
      </c>
      <c r="L5247" t="n">
        <v>2</v>
      </c>
      <c r="M5247" t="inlineStr">
        <is>
          <t>2026-06-22 12:34:36</t>
        </is>
      </c>
      <c r="N5247" t="inlineStr">
        <is>
          <t>system</t>
        </is>
      </c>
      <c r="O5247" t="inlineStr">
        <is>
          <t>2026-06-19 07:10:32</t>
        </is>
      </c>
      <c r="P5247" t="inlineStr">
        <is>
          <t>2026-06-19 07:10:32</t>
        </is>
      </c>
      <c r="Y5247" t="inlineStr">
        <is>
          <t>27724378291</t>
        </is>
      </c>
    </row>
    <row r="5248">
      <c r="A5248" t="inlineStr">
        <is>
          <t>14944588</t>
        </is>
      </c>
      <c r="B5248" t="inlineStr">
        <is>
          <t>9ac290a6-97e1-4488-b2f9-9e052b370e82</t>
        </is>
      </c>
      <c r="D5248" t="inlineStr">
        <is>
          <t>30001087</t>
        </is>
      </c>
      <c r="E5248" t="inlineStr">
        <is>
          <t>ussd_funeral_leads_altitude_20260619</t>
        </is>
      </c>
      <c r="J5248" t="inlineStr">
        <is>
          <t>ADC</t>
        </is>
      </c>
      <c r="K5248" t="inlineStr">
        <is>
          <t>Auto Dial Disconnected</t>
        </is>
      </c>
      <c r="L5248" t="n">
        <v>2</v>
      </c>
      <c r="M5248" t="inlineStr">
        <is>
          <t>2026-06-22 12:34:36</t>
        </is>
      </c>
      <c r="N5248" t="inlineStr">
        <is>
          <t>system</t>
        </is>
      </c>
      <c r="O5248" t="inlineStr">
        <is>
          <t>2026-06-19 07:10:32</t>
        </is>
      </c>
      <c r="P5248" t="inlineStr">
        <is>
          <t>2026-06-19 07:10:32</t>
        </is>
      </c>
      <c r="Y5248" t="inlineStr">
        <is>
          <t>27660122147</t>
        </is>
      </c>
    </row>
    <row r="5249">
      <c r="A5249" t="inlineStr">
        <is>
          <t>14944589</t>
        </is>
      </c>
      <c r="B5249" t="inlineStr">
        <is>
          <t>a41875e5-2ec4-47cc-a415-e33f4ccdf447</t>
        </is>
      </c>
      <c r="D5249" t="inlineStr">
        <is>
          <t>30001087</t>
        </is>
      </c>
      <c r="E5249" t="inlineStr">
        <is>
          <t>ussd_funeral_leads_altitude_20260619</t>
        </is>
      </c>
      <c r="J5249" t="inlineStr">
        <is>
          <t>AA</t>
        </is>
      </c>
      <c r="K5249" t="inlineStr">
        <is>
          <t>Answering Machine Autodial</t>
        </is>
      </c>
      <c r="L5249" t="n">
        <v>2</v>
      </c>
      <c r="M5249" t="inlineStr">
        <is>
          <t>2026-06-22 12:34:36</t>
        </is>
      </c>
      <c r="N5249" t="inlineStr">
        <is>
          <t>system</t>
        </is>
      </c>
      <c r="O5249" t="inlineStr">
        <is>
          <t>2026-06-19 07:10:32</t>
        </is>
      </c>
      <c r="P5249" t="inlineStr">
        <is>
          <t>2026-06-19 07:10:32</t>
        </is>
      </c>
      <c r="Y5249" t="inlineStr">
        <is>
          <t>27609093601</t>
        </is>
      </c>
    </row>
    <row r="5250">
      <c r="A5250" t="inlineStr">
        <is>
          <t>14944584</t>
        </is>
      </c>
      <c r="B5250" t="inlineStr">
        <is>
          <t>647f8f06-c8e8-4351-9e09-7a824bb2f0c3</t>
        </is>
      </c>
      <c r="D5250" t="inlineStr">
        <is>
          <t>30001087</t>
        </is>
      </c>
      <c r="E5250" t="inlineStr">
        <is>
          <t>ussd_funeral_leads_altitude_20260619</t>
        </is>
      </c>
      <c r="J5250" t="inlineStr">
        <is>
          <t>NA</t>
        </is>
      </c>
      <c r="K5250" t="inlineStr">
        <is>
          <t>No Answer Autodial</t>
        </is>
      </c>
      <c r="L5250" t="n">
        <v>2</v>
      </c>
      <c r="M5250" t="inlineStr">
        <is>
          <t>2026-06-22 12:34:35</t>
        </is>
      </c>
      <c r="N5250" t="inlineStr">
        <is>
          <t>system</t>
        </is>
      </c>
      <c r="O5250" t="inlineStr">
        <is>
          <t>2026-06-19 07:10:32</t>
        </is>
      </c>
      <c r="P5250" t="inlineStr">
        <is>
          <t>2026-06-19 07:10:32</t>
        </is>
      </c>
      <c r="Y5250" t="inlineStr">
        <is>
          <t>27762043060</t>
        </is>
      </c>
    </row>
    <row r="5251">
      <c r="A5251" t="inlineStr">
        <is>
          <t>14944583</t>
        </is>
      </c>
      <c r="B5251" t="inlineStr">
        <is>
          <t>ef518d59-8b51-4804-8f83-0feb82eb9816</t>
        </is>
      </c>
      <c r="D5251" t="inlineStr">
        <is>
          <t>30001087</t>
        </is>
      </c>
      <c r="E5251" t="inlineStr">
        <is>
          <t>ussd_funeral_leads_altitude_20260619</t>
        </is>
      </c>
      <c r="J5251" t="inlineStr">
        <is>
          <t>AA</t>
        </is>
      </c>
      <c r="K5251" t="inlineStr">
        <is>
          <t>Answering Machine Autodial</t>
        </is>
      </c>
      <c r="L5251" t="n">
        <v>2</v>
      </c>
      <c r="M5251" t="inlineStr">
        <is>
          <t>2026-06-22 12:34:23</t>
        </is>
      </c>
      <c r="N5251" t="inlineStr">
        <is>
          <t>system</t>
        </is>
      </c>
      <c r="O5251" t="inlineStr">
        <is>
          <t>2026-06-19 07:10:32</t>
        </is>
      </c>
      <c r="P5251" t="inlineStr">
        <is>
          <t>2026-06-19 07:10:32</t>
        </is>
      </c>
      <c r="Y5251" t="inlineStr">
        <is>
          <t>27764753261</t>
        </is>
      </c>
    </row>
    <row r="5252">
      <c r="A5252" t="inlineStr">
        <is>
          <t>14944582</t>
        </is>
      </c>
      <c r="B5252" t="inlineStr">
        <is>
          <t>24573da1-1c9f-49ac-b0f1-2ebd849a2a1f</t>
        </is>
      </c>
      <c r="D5252" t="inlineStr">
        <is>
          <t>30001087</t>
        </is>
      </c>
      <c r="E5252" t="inlineStr">
        <is>
          <t>ussd_funeral_leads_altitude_20260619</t>
        </is>
      </c>
      <c r="J5252" t="inlineStr">
        <is>
          <t>AE</t>
        </is>
      </c>
      <c r="K5252" t="inlineStr">
        <is>
          <t>Auto Engaged</t>
        </is>
      </c>
      <c r="L5252" t="n">
        <v>2</v>
      </c>
      <c r="M5252" t="inlineStr">
        <is>
          <t>2026-06-22 12:34:22</t>
        </is>
      </c>
      <c r="N5252" t="inlineStr">
        <is>
          <t>system</t>
        </is>
      </c>
      <c r="O5252" t="inlineStr">
        <is>
          <t>2026-06-19 07:10:32</t>
        </is>
      </c>
      <c r="P5252" t="inlineStr">
        <is>
          <t>2026-06-19 07:10:32</t>
        </is>
      </c>
      <c r="Y5252" t="inlineStr">
        <is>
          <t>27637569922</t>
        </is>
      </c>
    </row>
    <row r="5253">
      <c r="A5253" t="inlineStr">
        <is>
          <t>14944936</t>
        </is>
      </c>
      <c r="B5253" t="inlineStr">
        <is>
          <t>b0a78bbb-ccd6-49f0-8eef-6b1ad1b6e33c</t>
        </is>
      </c>
      <c r="D5253" t="inlineStr">
        <is>
          <t>30001087</t>
        </is>
      </c>
      <c r="E5253" t="inlineStr">
        <is>
          <t>ussd_funeral_leads_altitude_20260619</t>
        </is>
      </c>
      <c r="H5253" t="inlineStr">
        <is>
          <t>27791905341</t>
        </is>
      </c>
      <c r="J5253" t="inlineStr">
        <is>
          <t>CBACK</t>
        </is>
      </c>
      <c r="K5253" t="inlineStr">
        <is>
          <t>Callback</t>
        </is>
      </c>
      <c r="L5253" t="n">
        <v>2</v>
      </c>
      <c r="M5253" t="inlineStr">
        <is>
          <t>2026-06-22 12:29:50</t>
        </is>
      </c>
      <c r="N5253" t="inlineStr">
        <is>
          <t>Gontse Monageng</t>
        </is>
      </c>
      <c r="O5253" t="inlineStr">
        <is>
          <t>2026-06-19 07:10:32</t>
        </is>
      </c>
      <c r="P5253" t="inlineStr">
        <is>
          <t>2026-06-19 07:10:32</t>
        </is>
      </c>
      <c r="Y5253" t="inlineStr">
        <is>
          <t>27791905341</t>
        </is>
      </c>
    </row>
    <row r="5254">
      <c r="A5254" t="inlineStr">
        <is>
          <t>14946082</t>
        </is>
      </c>
      <c r="B5254" t="inlineStr">
        <is>
          <t>c4ea93f1-8069-46db-b48c-3e6664f0e753</t>
        </is>
      </c>
      <c r="D5254" t="inlineStr">
        <is>
          <t>30001087</t>
        </is>
      </c>
      <c r="E5254" t="inlineStr">
        <is>
          <t>ussd_funeral_leads_altitude_20260619</t>
        </is>
      </c>
      <c r="J5254" t="inlineStr">
        <is>
          <t>NI</t>
        </is>
      </c>
      <c r="K5254" t="inlineStr">
        <is>
          <t>Not Interested</t>
        </is>
      </c>
      <c r="L5254" t="n">
        <v>2</v>
      </c>
      <c r="M5254" t="inlineStr">
        <is>
          <t>2026-06-22 12:27:06</t>
        </is>
      </c>
      <c r="N5254" t="inlineStr">
        <is>
          <t>Goitsimang Mogwasa</t>
        </is>
      </c>
      <c r="O5254" t="inlineStr">
        <is>
          <t>2026-06-19 07:10:32</t>
        </is>
      </c>
      <c r="P5254" t="inlineStr">
        <is>
          <t>2026-06-19 07:10:32</t>
        </is>
      </c>
      <c r="Y5254" t="inlineStr">
        <is>
          <t>27673550150</t>
        </is>
      </c>
    </row>
    <row r="5255">
      <c r="A5255" t="inlineStr">
        <is>
          <t>14946155</t>
        </is>
      </c>
      <c r="B5255" t="inlineStr">
        <is>
          <t>7282c192-d2c3-40f8-97c8-78f58c5fbf5c</t>
        </is>
      </c>
      <c r="D5255" t="inlineStr">
        <is>
          <t>30001087</t>
        </is>
      </c>
      <c r="E5255" t="inlineStr">
        <is>
          <t>ussd_funeral_leads_altitude_20260619</t>
        </is>
      </c>
      <c r="J5255" t="inlineStr">
        <is>
          <t>CU</t>
        </is>
      </c>
      <c r="K5255" t="inlineStr">
        <is>
          <t>Client Hung Up</t>
        </is>
      </c>
      <c r="L5255" t="n">
        <v>3</v>
      </c>
      <c r="M5255" t="inlineStr">
        <is>
          <t>2026-06-22 12:26:10</t>
        </is>
      </c>
      <c r="N5255" t="inlineStr">
        <is>
          <t>Virginia Letsatsi</t>
        </is>
      </c>
      <c r="O5255" t="inlineStr">
        <is>
          <t>2026-06-19 07:10:32</t>
        </is>
      </c>
      <c r="P5255" t="inlineStr">
        <is>
          <t>2026-06-19 07:10:32</t>
        </is>
      </c>
      <c r="Y5255" t="inlineStr">
        <is>
          <t>27661737147</t>
        </is>
      </c>
    </row>
    <row r="5256">
      <c r="A5256" t="inlineStr">
        <is>
          <t>14946138</t>
        </is>
      </c>
      <c r="B5256" t="inlineStr">
        <is>
          <t>80e6f101-b967-4d60-8f6c-51e95df69d9f</t>
        </is>
      </c>
      <c r="D5256" t="inlineStr">
        <is>
          <t>30001087</t>
        </is>
      </c>
      <c r="E5256" t="inlineStr">
        <is>
          <t>ussd_funeral_leads_altitude_20260619</t>
        </is>
      </c>
      <c r="J5256" t="inlineStr">
        <is>
          <t>N</t>
        </is>
      </c>
      <c r="K5256" t="inlineStr">
        <is>
          <t>No Answer</t>
        </is>
      </c>
      <c r="L5256" t="n">
        <v>3</v>
      </c>
      <c r="M5256" t="inlineStr">
        <is>
          <t>2026-06-22 12:24:31</t>
        </is>
      </c>
      <c r="N5256" t="inlineStr">
        <is>
          <t>Lebohang Mabotja</t>
        </is>
      </c>
      <c r="O5256" t="inlineStr">
        <is>
          <t>2026-06-19 07:10:32</t>
        </is>
      </c>
      <c r="P5256" t="inlineStr">
        <is>
          <t>2026-06-19 07:10:32</t>
        </is>
      </c>
      <c r="Y5256" t="inlineStr">
        <is>
          <t>27765522647</t>
        </is>
      </c>
    </row>
    <row r="5257">
      <c r="A5257" t="inlineStr">
        <is>
          <t>14945972</t>
        </is>
      </c>
      <c r="B5257" t="inlineStr">
        <is>
          <t>700c69d5-50b2-4ca8-8ec6-5c9e1c0c75b1</t>
        </is>
      </c>
      <c r="D5257" t="inlineStr">
        <is>
          <t>30001087</t>
        </is>
      </c>
      <c r="E5257" t="inlineStr">
        <is>
          <t>ussd_funeral_leads_altitude_20260619</t>
        </is>
      </c>
      <c r="J5257" t="inlineStr">
        <is>
          <t>NI</t>
        </is>
      </c>
      <c r="K5257" t="inlineStr">
        <is>
          <t>Not Interested</t>
        </is>
      </c>
      <c r="L5257" t="n">
        <v>2</v>
      </c>
      <c r="M5257" t="inlineStr">
        <is>
          <t>2026-06-22 12:22:13</t>
        </is>
      </c>
      <c r="N5257" t="inlineStr">
        <is>
          <t>Lebohang Mabotja</t>
        </is>
      </c>
      <c r="O5257" t="inlineStr">
        <is>
          <t>2026-06-19 07:10:32</t>
        </is>
      </c>
      <c r="P5257" t="inlineStr">
        <is>
          <t>2026-06-19 07:10:32</t>
        </is>
      </c>
      <c r="Y5257" t="inlineStr">
        <is>
          <t>27822328150</t>
        </is>
      </c>
    </row>
    <row r="5258">
      <c r="A5258" t="inlineStr">
        <is>
          <t>14946306</t>
        </is>
      </c>
      <c r="B5258" t="inlineStr">
        <is>
          <t>5af89e6e-9634-48e0-852d-95552d31535e</t>
        </is>
      </c>
      <c r="D5258" t="inlineStr">
        <is>
          <t>30001087</t>
        </is>
      </c>
      <c r="E5258" t="inlineStr">
        <is>
          <t>ussd_funeral_leads_altitude_20260619</t>
        </is>
      </c>
      <c r="J5258" t="inlineStr">
        <is>
          <t>NI</t>
        </is>
      </c>
      <c r="K5258" t="inlineStr">
        <is>
          <t>Not Interested</t>
        </is>
      </c>
      <c r="L5258" t="n">
        <v>2</v>
      </c>
      <c r="M5258" t="inlineStr">
        <is>
          <t>2026-06-22 12:21:59</t>
        </is>
      </c>
      <c r="N5258" t="inlineStr">
        <is>
          <t>Goitsimang Mogwasa</t>
        </is>
      </c>
      <c r="O5258" t="inlineStr">
        <is>
          <t>2026-06-19 07:10:32</t>
        </is>
      </c>
      <c r="P5258" t="inlineStr">
        <is>
          <t>2026-06-19 07:10:32</t>
        </is>
      </c>
      <c r="Y5258" t="inlineStr">
        <is>
          <t>27711789792</t>
        </is>
      </c>
    </row>
    <row r="5259">
      <c r="A5259" t="inlineStr">
        <is>
          <t>14946214</t>
        </is>
      </c>
      <c r="B5259" t="inlineStr">
        <is>
          <t>aa551f03-5887-499d-8e24-fe09174445bb</t>
        </is>
      </c>
      <c r="D5259" t="inlineStr">
        <is>
          <t>30001087</t>
        </is>
      </c>
      <c r="E5259" t="inlineStr">
        <is>
          <t>ussd_funeral_leads_altitude_20260619</t>
        </is>
      </c>
      <c r="J5259" t="inlineStr">
        <is>
          <t>NI</t>
        </is>
      </c>
      <c r="K5259" t="inlineStr">
        <is>
          <t>Not Interested</t>
        </is>
      </c>
      <c r="L5259" t="n">
        <v>2</v>
      </c>
      <c r="M5259" t="inlineStr">
        <is>
          <t>2026-06-22 12:21:14</t>
        </is>
      </c>
      <c r="N5259" t="inlineStr">
        <is>
          <t>Vuyiswa Nxumalo</t>
        </is>
      </c>
      <c r="O5259" t="inlineStr">
        <is>
          <t>2026-06-19 07:10:32</t>
        </is>
      </c>
      <c r="P5259" t="inlineStr">
        <is>
          <t>2026-06-19 07:10:32</t>
        </is>
      </c>
      <c r="Y5259" t="inlineStr">
        <is>
          <t>27763380800</t>
        </is>
      </c>
    </row>
    <row r="5260">
      <c r="A5260" t="inlineStr">
        <is>
          <t>14946260</t>
        </is>
      </c>
      <c r="B5260" t="inlineStr">
        <is>
          <t>594507ea-e534-4d3d-9594-33940bb6dbcd</t>
        </is>
      </c>
      <c r="D5260" t="inlineStr">
        <is>
          <t>30001087</t>
        </is>
      </c>
      <c r="E5260" t="inlineStr">
        <is>
          <t>ussd_funeral_leads_altitude_20260619</t>
        </is>
      </c>
      <c r="J5260" t="inlineStr">
        <is>
          <t>NI</t>
        </is>
      </c>
      <c r="K5260" t="inlineStr">
        <is>
          <t>Not Interested</t>
        </is>
      </c>
      <c r="L5260" t="n">
        <v>2</v>
      </c>
      <c r="M5260" t="inlineStr">
        <is>
          <t>2026-06-22 12:19:51</t>
        </is>
      </c>
      <c r="N5260" t="inlineStr">
        <is>
          <t>Lebohang Mabotja</t>
        </is>
      </c>
      <c r="O5260" t="inlineStr">
        <is>
          <t>2026-06-19 07:10:32</t>
        </is>
      </c>
      <c r="P5260" t="inlineStr">
        <is>
          <t>2026-06-19 07:10:32</t>
        </is>
      </c>
      <c r="Y5260" t="inlineStr">
        <is>
          <t>27774893691</t>
        </is>
      </c>
    </row>
    <row r="5261">
      <c r="A5261" t="inlineStr">
        <is>
          <t>14946257</t>
        </is>
      </c>
      <c r="B5261" t="inlineStr">
        <is>
          <t>98d78703-a725-44ae-98d9-dd109dee09d3</t>
        </is>
      </c>
      <c r="D5261" t="inlineStr">
        <is>
          <t>30001087</t>
        </is>
      </c>
      <c r="E5261" t="inlineStr">
        <is>
          <t>ussd_funeral_leads_altitude_20260619</t>
        </is>
      </c>
      <c r="J5261" t="inlineStr">
        <is>
          <t>CBACK</t>
        </is>
      </c>
      <c r="K5261" t="inlineStr">
        <is>
          <t>Callback</t>
        </is>
      </c>
      <c r="L5261" t="n">
        <v>2</v>
      </c>
      <c r="M5261" t="inlineStr">
        <is>
          <t>2026-06-22 12:19:39</t>
        </is>
      </c>
      <c r="N5261" t="inlineStr">
        <is>
          <t>Gontse Monageng</t>
        </is>
      </c>
      <c r="O5261" t="inlineStr">
        <is>
          <t>2026-06-19 07:10:32</t>
        </is>
      </c>
      <c r="P5261" t="inlineStr">
        <is>
          <t>2026-06-19 07:10:32</t>
        </is>
      </c>
      <c r="Y5261" t="inlineStr">
        <is>
          <t>27661252342</t>
        </is>
      </c>
    </row>
    <row r="5262">
      <c r="A5262" t="inlineStr">
        <is>
          <t>14944037</t>
        </is>
      </c>
      <c r="B5262" t="inlineStr">
        <is>
          <t>d2c86f93-b66f-4012-abdb-3a77f519b4f4</t>
        </is>
      </c>
      <c r="D5262" t="inlineStr">
        <is>
          <t>30001087</t>
        </is>
      </c>
      <c r="E5262" t="inlineStr">
        <is>
          <t>ussd_funeral_leads_altitude_20260619</t>
        </is>
      </c>
      <c r="H5262" t="inlineStr">
        <is>
          <t>27792909304</t>
        </is>
      </c>
      <c r="J5262" t="inlineStr">
        <is>
          <t>N</t>
        </is>
      </c>
      <c r="K5262" t="inlineStr">
        <is>
          <t>No Answer</t>
        </is>
      </c>
      <c r="L5262" t="n">
        <v>5</v>
      </c>
      <c r="M5262" t="inlineStr">
        <is>
          <t>2026-06-22 11:32:33</t>
        </is>
      </c>
      <c r="N5262" t="inlineStr">
        <is>
          <t>Lebohang Mabotja</t>
        </is>
      </c>
      <c r="O5262" t="inlineStr">
        <is>
          <t>2026-06-19 07:10:32</t>
        </is>
      </c>
      <c r="P5262" t="inlineStr">
        <is>
          <t>2026-06-19 07:10:32</t>
        </is>
      </c>
      <c r="Y5262" t="inlineStr">
        <is>
          <t>27792909304</t>
        </is>
      </c>
    </row>
    <row r="5263">
      <c r="A5263" t="inlineStr">
        <is>
          <t>14946419</t>
        </is>
      </c>
      <c r="B5263" t="inlineStr">
        <is>
          <t>4f274500-3671-4cd0-a224-4f6a80589ff4</t>
        </is>
      </c>
      <c r="D5263" t="inlineStr">
        <is>
          <t>30001087</t>
        </is>
      </c>
      <c r="E5263" t="inlineStr">
        <is>
          <t>ussd_funeral_leads_altitude_20260619</t>
        </is>
      </c>
      <c r="J5263" t="inlineStr">
        <is>
          <t>CB</t>
        </is>
      </c>
      <c r="K5263" t="inlineStr">
        <is>
          <t>Busy Tone</t>
        </is>
      </c>
      <c r="L5263" t="n">
        <v>3</v>
      </c>
      <c r="M5263" t="inlineStr">
        <is>
          <t>2026-06-22 11:28:29</t>
        </is>
      </c>
      <c r="N5263" t="inlineStr">
        <is>
          <t>Dimakatso Nkomo</t>
        </is>
      </c>
      <c r="O5263" t="inlineStr">
        <is>
          <t>2026-06-19 07:10:32</t>
        </is>
      </c>
      <c r="P5263" t="inlineStr">
        <is>
          <t>2026-06-19 07:10:32</t>
        </is>
      </c>
      <c r="Y5263" t="inlineStr">
        <is>
          <t>27820979178</t>
        </is>
      </c>
    </row>
    <row r="5264">
      <c r="A5264" t="inlineStr">
        <is>
          <t>14947042</t>
        </is>
      </c>
      <c r="B5264" t="inlineStr">
        <is>
          <t>ae5360f9-8a2b-4c34-8390-aa80615cb040</t>
        </is>
      </c>
      <c r="D5264" t="inlineStr">
        <is>
          <t>30001087</t>
        </is>
      </c>
      <c r="E5264" t="inlineStr">
        <is>
          <t>ussd_funeral_leads_altitude_20260619</t>
        </is>
      </c>
      <c r="J5264" t="inlineStr">
        <is>
          <t>CU</t>
        </is>
      </c>
      <c r="K5264" t="inlineStr">
        <is>
          <t>Client Hung Up</t>
        </is>
      </c>
      <c r="L5264" t="n">
        <v>3</v>
      </c>
      <c r="M5264" t="inlineStr">
        <is>
          <t>2026-06-22 11:15:27</t>
        </is>
      </c>
      <c r="N5264" t="inlineStr">
        <is>
          <t>Lebohang Mabotja</t>
        </is>
      </c>
      <c r="O5264" t="inlineStr">
        <is>
          <t>2026-06-19 07:10:32</t>
        </is>
      </c>
      <c r="P5264" t="inlineStr">
        <is>
          <t>2026-06-19 07:10:32</t>
        </is>
      </c>
      <c r="Y5264" t="inlineStr">
        <is>
          <t>27660047946</t>
        </is>
      </c>
    </row>
    <row r="5265">
      <c r="A5265" t="inlineStr">
        <is>
          <t>14946457</t>
        </is>
      </c>
      <c r="B5265" t="inlineStr">
        <is>
          <t>fdcde5a1-4ac7-4df1-b283-4f0d97a370a9</t>
        </is>
      </c>
      <c r="D5265" t="inlineStr">
        <is>
          <t>30001087</t>
        </is>
      </c>
      <c r="E5265" t="inlineStr">
        <is>
          <t>ussd_funeral_leads_altitude_20260619</t>
        </is>
      </c>
      <c r="J5265" t="inlineStr">
        <is>
          <t>QAVER</t>
        </is>
      </c>
      <c r="K5265" t="inlineStr">
        <is>
          <t>Sale Made</t>
        </is>
      </c>
      <c r="L5265" t="n">
        <v>3</v>
      </c>
      <c r="M5265" t="inlineStr">
        <is>
          <t>2026-06-22 11:09:52</t>
        </is>
      </c>
      <c r="N5265" t="inlineStr">
        <is>
          <t>Virginia Letsatsi</t>
        </is>
      </c>
      <c r="O5265" t="inlineStr">
        <is>
          <t>2026-06-19 07:10:32</t>
        </is>
      </c>
      <c r="P5265" t="inlineStr">
        <is>
          <t>2026-06-19 07:10:32</t>
        </is>
      </c>
      <c r="Y5265" t="inlineStr">
        <is>
          <t>27727229534</t>
        </is>
      </c>
    </row>
    <row r="5266">
      <c r="A5266" t="inlineStr">
        <is>
          <t>14900000</t>
        </is>
      </c>
      <c r="B5266" t="inlineStr">
        <is>
          <t>55e65702-fac0-4d42-9a8d-45c5ad082796</t>
        </is>
      </c>
      <c r="D5266" t="inlineStr">
        <is>
          <t>30001087</t>
        </is>
      </c>
      <c r="E5266" t="inlineStr">
        <is>
          <t>ussd_funeral_leads_altitude_20260619</t>
        </is>
      </c>
      <c r="J5266" t="inlineStr">
        <is>
          <t>CBACK</t>
        </is>
      </c>
      <c r="K5266" t="inlineStr">
        <is>
          <t>Callback</t>
        </is>
      </c>
      <c r="L5266" t="n">
        <v>3</v>
      </c>
      <c r="M5266" t="inlineStr">
        <is>
          <t>2026-06-22 10:39:38</t>
        </is>
      </c>
      <c r="N5266" t="inlineStr">
        <is>
          <t>Gontse Monageng</t>
        </is>
      </c>
      <c r="O5266" t="inlineStr">
        <is>
          <t>2026-06-19 07:10:32</t>
        </is>
      </c>
      <c r="P5266" t="inlineStr">
        <is>
          <t>2026-06-19 07:10:32</t>
        </is>
      </c>
      <c r="Y5266" t="inlineStr">
        <is>
          <t>27728519939</t>
        </is>
      </c>
    </row>
    <row r="5267">
      <c r="A5267" t="inlineStr">
        <is>
          <t>14946984</t>
        </is>
      </c>
      <c r="B5267" t="inlineStr">
        <is>
          <t>95b2c588-b611-46ea-a242-92bd1288e4e1</t>
        </is>
      </c>
      <c r="D5267" t="inlineStr">
        <is>
          <t>30001087</t>
        </is>
      </c>
      <c r="E5267" t="inlineStr">
        <is>
          <t>ussd_funeral_leads_altitude_20260619</t>
        </is>
      </c>
      <c r="J5267" t="inlineStr">
        <is>
          <t>A</t>
        </is>
      </c>
      <c r="K5267" t="inlineStr">
        <is>
          <t>Answering Machine</t>
        </is>
      </c>
      <c r="L5267" t="n">
        <v>3</v>
      </c>
      <c r="M5267" t="inlineStr">
        <is>
          <t>2026-06-22 10:37:48</t>
        </is>
      </c>
      <c r="N5267" t="inlineStr">
        <is>
          <t>Goitsimang Mogwasa</t>
        </is>
      </c>
      <c r="O5267" t="inlineStr">
        <is>
          <t>2026-06-19 07:10:32</t>
        </is>
      </c>
      <c r="P5267" t="inlineStr">
        <is>
          <t>2026-06-19 07:10:32</t>
        </is>
      </c>
      <c r="Y5267" t="inlineStr">
        <is>
          <t>27674004054</t>
        </is>
      </c>
    </row>
    <row r="5268">
      <c r="A5268" t="inlineStr">
        <is>
          <t>14944161</t>
        </is>
      </c>
      <c r="B5268" t="inlineStr">
        <is>
          <t>20cad041-c3ae-4bea-b7fd-0127f577a7db</t>
        </is>
      </c>
      <c r="D5268" t="inlineStr">
        <is>
          <t>30001087</t>
        </is>
      </c>
      <c r="E5268" t="inlineStr">
        <is>
          <t>ussd_funeral_leads_altitude_20260619</t>
        </is>
      </c>
      <c r="J5268" t="inlineStr">
        <is>
          <t>NI</t>
        </is>
      </c>
      <c r="K5268" t="inlineStr">
        <is>
          <t>Not Interested</t>
        </is>
      </c>
      <c r="L5268" t="n">
        <v>2</v>
      </c>
      <c r="M5268" t="inlineStr">
        <is>
          <t>2026-06-22 10:23:47</t>
        </is>
      </c>
      <c r="N5268" t="inlineStr">
        <is>
          <t>Goitsimang Mogwasa</t>
        </is>
      </c>
      <c r="O5268" t="inlineStr">
        <is>
          <t>2026-06-19 07:10:32</t>
        </is>
      </c>
      <c r="P5268" t="inlineStr">
        <is>
          <t>2026-06-19 07:10:32</t>
        </is>
      </c>
      <c r="Y5268" t="inlineStr">
        <is>
          <t>27762909579</t>
        </is>
      </c>
    </row>
    <row r="5269">
      <c r="A5269" t="inlineStr">
        <is>
          <t>14946416</t>
        </is>
      </c>
      <c r="B5269" t="inlineStr">
        <is>
          <t>4bfec760-80a8-4223-86e3-30ad7d822582</t>
        </is>
      </c>
      <c r="D5269" t="inlineStr">
        <is>
          <t>30001087</t>
        </is>
      </c>
      <c r="E5269" t="inlineStr">
        <is>
          <t>ussd_funeral_leads_altitude_20260619</t>
        </is>
      </c>
      <c r="J5269" t="inlineStr">
        <is>
          <t>SELECTED</t>
        </is>
      </c>
      <c r="K5269" t="inlineStr">
        <is>
          <t>Selected</t>
        </is>
      </c>
      <c r="L5269" t="n">
        <v>3</v>
      </c>
      <c r="M5269" t="inlineStr">
        <is>
          <t>2026-06-22 10:22:11</t>
        </is>
      </c>
      <c r="N5269" t="inlineStr">
        <is>
          <t>system</t>
        </is>
      </c>
      <c r="O5269" t="inlineStr">
        <is>
          <t>2026-06-19 07:10:32</t>
        </is>
      </c>
      <c r="P5269" t="inlineStr">
        <is>
          <t>2026-06-19 07:10:32</t>
        </is>
      </c>
      <c r="Y5269" t="inlineStr">
        <is>
          <t>27765851316</t>
        </is>
      </c>
    </row>
    <row r="5270">
      <c r="A5270" t="inlineStr">
        <is>
          <t>14946153</t>
        </is>
      </c>
      <c r="B5270" t="inlineStr">
        <is>
          <t>9ba07465-6d6f-47ad-aab8-5122a001dc3a</t>
        </is>
      </c>
      <c r="D5270" t="inlineStr">
        <is>
          <t>30001087</t>
        </is>
      </c>
      <c r="E5270" t="inlineStr">
        <is>
          <t>ussd_funeral_leads_altitude_20260619</t>
        </is>
      </c>
      <c r="J5270" t="inlineStr">
        <is>
          <t>AC</t>
        </is>
      </c>
      <c r="K5270" t="inlineStr">
        <is>
          <t>Already Contacted</t>
        </is>
      </c>
      <c r="L5270" t="n">
        <v>2</v>
      </c>
      <c r="M5270" t="inlineStr">
        <is>
          <t>2026-06-22 10:21:29</t>
        </is>
      </c>
      <c r="N5270" t="inlineStr">
        <is>
          <t>Lebohang Mabotja</t>
        </is>
      </c>
      <c r="O5270" t="inlineStr">
        <is>
          <t>2026-06-19 07:10:32</t>
        </is>
      </c>
      <c r="P5270" t="inlineStr">
        <is>
          <t>2026-06-19 07:10:32</t>
        </is>
      </c>
      <c r="Y5270" t="inlineStr">
        <is>
          <t>27794822032</t>
        </is>
      </c>
    </row>
    <row r="5271">
      <c r="A5271" t="inlineStr">
        <is>
          <t>14946577</t>
        </is>
      </c>
      <c r="B5271" t="inlineStr">
        <is>
          <t>cdf77a7c-f5bb-404f-8e38-dc534783bd79</t>
        </is>
      </c>
      <c r="D5271" t="inlineStr">
        <is>
          <t>30001087</t>
        </is>
      </c>
      <c r="E5271" t="inlineStr">
        <is>
          <t>ussd_funeral_leads_altitude_20260619</t>
        </is>
      </c>
      <c r="J5271" t="inlineStr">
        <is>
          <t>AF</t>
        </is>
      </c>
      <c r="K5271" t="inlineStr">
        <is>
          <t>Cannot Afford</t>
        </is>
      </c>
      <c r="L5271" t="n">
        <v>2</v>
      </c>
      <c r="M5271" t="inlineStr">
        <is>
          <t>2026-06-22 10:06:13</t>
        </is>
      </c>
      <c r="N5271" t="inlineStr">
        <is>
          <t>Tebogo Chauke</t>
        </is>
      </c>
      <c r="O5271" t="inlineStr">
        <is>
          <t>2026-06-19 07:10:32</t>
        </is>
      </c>
      <c r="P5271" t="inlineStr">
        <is>
          <t>2026-06-19 07:10:32</t>
        </is>
      </c>
      <c r="Y5271" t="inlineStr">
        <is>
          <t>27726929569</t>
        </is>
      </c>
    </row>
    <row r="5272">
      <c r="A5272" t="inlineStr">
        <is>
          <t>14946669</t>
        </is>
      </c>
      <c r="B5272" t="inlineStr">
        <is>
          <t>db60c303-d218-4807-b4fa-377311930c5f</t>
        </is>
      </c>
      <c r="D5272" t="inlineStr">
        <is>
          <t>30001087</t>
        </is>
      </c>
      <c r="E5272" t="inlineStr">
        <is>
          <t>ussd_funeral_leads_altitude_20260619</t>
        </is>
      </c>
      <c r="J5272" t="inlineStr">
        <is>
          <t>BLQ</t>
        </is>
      </c>
      <c r="K5272" t="inlineStr">
        <is>
          <t>Bad Line Quality</t>
        </is>
      </c>
      <c r="L5272" t="n">
        <v>3</v>
      </c>
      <c r="M5272" t="inlineStr">
        <is>
          <t>2026-06-22 10:05:42</t>
        </is>
      </c>
      <c r="N5272" t="inlineStr">
        <is>
          <t>Virginia Letsatsi</t>
        </is>
      </c>
      <c r="O5272" t="inlineStr">
        <is>
          <t>2026-06-19 07:10:32</t>
        </is>
      </c>
      <c r="P5272" t="inlineStr">
        <is>
          <t>2026-06-19 07:10:32</t>
        </is>
      </c>
      <c r="Y5272" t="inlineStr">
        <is>
          <t>27768462492</t>
        </is>
      </c>
    </row>
    <row r="5273">
      <c r="A5273" t="inlineStr">
        <is>
          <t>14944728</t>
        </is>
      </c>
      <c r="B5273" t="inlineStr">
        <is>
          <t>7bdc3602-a763-42c7-83fc-89757b53918a</t>
        </is>
      </c>
      <c r="D5273" t="inlineStr">
        <is>
          <t>30001087</t>
        </is>
      </c>
      <c r="E5273" t="inlineStr">
        <is>
          <t>ussd_funeral_leads_altitude_20260619</t>
        </is>
      </c>
      <c r="J5273" t="inlineStr">
        <is>
          <t>N</t>
        </is>
      </c>
      <c r="K5273" t="inlineStr">
        <is>
          <t>No Answer</t>
        </is>
      </c>
      <c r="L5273" t="n">
        <v>4</v>
      </c>
      <c r="M5273" t="inlineStr">
        <is>
          <t>2026-06-22 10:05:32</t>
        </is>
      </c>
      <c r="N5273" t="inlineStr">
        <is>
          <t>Lebohang Mabotja</t>
        </is>
      </c>
      <c r="O5273" t="inlineStr">
        <is>
          <t>2026-06-19 07:10:32</t>
        </is>
      </c>
      <c r="P5273" t="inlineStr">
        <is>
          <t>2026-06-19 07:10:32</t>
        </is>
      </c>
      <c r="Y5273" t="inlineStr">
        <is>
          <t>27773733003</t>
        </is>
      </c>
    </row>
    <row r="5274">
      <c r="A5274" t="inlineStr">
        <is>
          <t>14947317</t>
        </is>
      </c>
      <c r="B5274" t="inlineStr">
        <is>
          <t>79c0862c-7529-4fee-93b0-07c7d310f4c1</t>
        </is>
      </c>
      <c r="D5274" t="inlineStr">
        <is>
          <t>30001087</t>
        </is>
      </c>
      <c r="E5274" t="inlineStr">
        <is>
          <t>ussd_funeral_leads_altitude_20260619</t>
        </is>
      </c>
      <c r="J5274" t="inlineStr">
        <is>
          <t>AA</t>
        </is>
      </c>
      <c r="K5274" t="inlineStr">
        <is>
          <t>Answering Machine Autodial</t>
        </is>
      </c>
      <c r="L5274" t="n">
        <v>2</v>
      </c>
      <c r="M5274" t="inlineStr">
        <is>
          <t>2026-06-22 10:04:22</t>
        </is>
      </c>
      <c r="N5274" t="inlineStr">
        <is>
          <t>system</t>
        </is>
      </c>
      <c r="O5274" t="inlineStr">
        <is>
          <t>2026-06-19 07:10:32</t>
        </is>
      </c>
      <c r="P5274" t="inlineStr">
        <is>
          <t>2026-06-19 07:10:32</t>
        </is>
      </c>
      <c r="Y5274" t="inlineStr">
        <is>
          <t>27723769174</t>
        </is>
      </c>
    </row>
    <row r="5275">
      <c r="A5275" t="inlineStr">
        <is>
          <t>14947316</t>
        </is>
      </c>
      <c r="B5275" t="inlineStr">
        <is>
          <t>901f824a-037f-47c5-8497-dd0e6413a700</t>
        </is>
      </c>
      <c r="D5275" t="inlineStr">
        <is>
          <t>30001087</t>
        </is>
      </c>
      <c r="E5275" t="inlineStr">
        <is>
          <t>ussd_funeral_leads_altitude_20260619</t>
        </is>
      </c>
      <c r="J5275" t="inlineStr">
        <is>
          <t>CU</t>
        </is>
      </c>
      <c r="K5275" t="inlineStr">
        <is>
          <t>Client Hung Up</t>
        </is>
      </c>
      <c r="L5275" t="n">
        <v>2</v>
      </c>
      <c r="M5275" t="inlineStr">
        <is>
          <t>2026-06-22 10:04:19</t>
        </is>
      </c>
      <c r="N5275" t="inlineStr">
        <is>
          <t>Gontse Monageng</t>
        </is>
      </c>
      <c r="O5275" t="inlineStr">
        <is>
          <t>2026-06-19 07:10:32</t>
        </is>
      </c>
      <c r="P5275" t="inlineStr">
        <is>
          <t>2026-06-19 07:10:32</t>
        </is>
      </c>
      <c r="Y5275" t="inlineStr">
        <is>
          <t>27828615141</t>
        </is>
      </c>
    </row>
    <row r="5276">
      <c r="A5276" t="inlineStr">
        <is>
          <t>14947315</t>
        </is>
      </c>
      <c r="B5276" t="inlineStr">
        <is>
          <t>6f495d62-125d-46d1-a8ec-dde6bdbad184</t>
        </is>
      </c>
      <c r="D5276" t="inlineStr">
        <is>
          <t>30001087</t>
        </is>
      </c>
      <c r="E5276" t="inlineStr">
        <is>
          <t>ussd_funeral_leads_altitude_20260619</t>
        </is>
      </c>
      <c r="J5276" t="inlineStr">
        <is>
          <t>AA</t>
        </is>
      </c>
      <c r="K5276" t="inlineStr">
        <is>
          <t>Answering Machine Autodial</t>
        </is>
      </c>
      <c r="L5276" t="n">
        <v>2</v>
      </c>
      <c r="M5276" t="inlineStr">
        <is>
          <t>2026-06-22 10:04:17</t>
        </is>
      </c>
      <c r="N5276" t="inlineStr">
        <is>
          <t>system</t>
        </is>
      </c>
      <c r="O5276" t="inlineStr">
        <is>
          <t>2026-06-19 07:10:32</t>
        </is>
      </c>
      <c r="P5276" t="inlineStr">
        <is>
          <t>2026-06-19 07:10:32</t>
        </is>
      </c>
      <c r="Y5276" t="inlineStr">
        <is>
          <t>27799448351</t>
        </is>
      </c>
    </row>
    <row r="5277">
      <c r="A5277" t="inlineStr">
        <is>
          <t>14947314</t>
        </is>
      </c>
      <c r="B5277" t="inlineStr">
        <is>
          <t>8104bebd-07bc-4619-9597-575f3925c43a</t>
        </is>
      </c>
      <c r="D5277" t="inlineStr">
        <is>
          <t>30001087</t>
        </is>
      </c>
      <c r="E5277" t="inlineStr">
        <is>
          <t>ussd_funeral_leads_altitude_20260619</t>
        </is>
      </c>
      <c r="J5277" t="inlineStr">
        <is>
          <t>ADC</t>
        </is>
      </c>
      <c r="K5277" t="inlineStr">
        <is>
          <t>Auto Dial Disconnected</t>
        </is>
      </c>
      <c r="L5277" t="n">
        <v>2</v>
      </c>
      <c r="M5277" t="inlineStr">
        <is>
          <t>2026-06-22 10:04:14</t>
        </is>
      </c>
      <c r="N5277" t="inlineStr">
        <is>
          <t>system</t>
        </is>
      </c>
      <c r="O5277" t="inlineStr">
        <is>
          <t>2026-06-19 07:10:32</t>
        </is>
      </c>
      <c r="P5277" t="inlineStr">
        <is>
          <t>2026-06-19 07:10:32</t>
        </is>
      </c>
      <c r="Y5277" t="inlineStr">
        <is>
          <t>27763368366</t>
        </is>
      </c>
    </row>
    <row r="5278">
      <c r="A5278" t="inlineStr">
        <is>
          <t>14947312</t>
        </is>
      </c>
      <c r="B5278" t="inlineStr">
        <is>
          <t>e4d624f1-3b1c-465c-84d7-ce196f203c74</t>
        </is>
      </c>
      <c r="D5278" t="inlineStr">
        <is>
          <t>30001087</t>
        </is>
      </c>
      <c r="E5278" t="inlineStr">
        <is>
          <t>ussd_funeral_leads_altitude_20260619</t>
        </is>
      </c>
      <c r="J5278" t="inlineStr">
        <is>
          <t>AA</t>
        </is>
      </c>
      <c r="K5278" t="inlineStr">
        <is>
          <t>Answering Machine Autodial</t>
        </is>
      </c>
      <c r="L5278" t="n">
        <v>2</v>
      </c>
      <c r="M5278" t="inlineStr">
        <is>
          <t>2026-06-22 10:04:12</t>
        </is>
      </c>
      <c r="N5278" t="inlineStr">
        <is>
          <t>system</t>
        </is>
      </c>
      <c r="O5278" t="inlineStr">
        <is>
          <t>2026-06-19 07:10:32</t>
        </is>
      </c>
      <c r="P5278" t="inlineStr">
        <is>
          <t>2026-06-19 07:10:32</t>
        </is>
      </c>
      <c r="Y5278" t="inlineStr">
        <is>
          <t>27662001696</t>
        </is>
      </c>
    </row>
    <row r="5279">
      <c r="A5279" t="inlineStr">
        <is>
          <t>14947267</t>
        </is>
      </c>
      <c r="B5279" t="inlineStr">
        <is>
          <t>8aa386d2-666a-4e78-b48f-1019edba7c74</t>
        </is>
      </c>
      <c r="D5279" t="inlineStr">
        <is>
          <t>30001087</t>
        </is>
      </c>
      <c r="E5279" t="inlineStr">
        <is>
          <t>ussd_funeral_leads_altitude_20260619</t>
        </is>
      </c>
      <c r="J5279" t="inlineStr">
        <is>
          <t>AA</t>
        </is>
      </c>
      <c r="K5279" t="inlineStr">
        <is>
          <t>Answering Machine Autodial</t>
        </is>
      </c>
      <c r="L5279" t="n">
        <v>2</v>
      </c>
      <c r="M5279" t="inlineStr">
        <is>
          <t>2026-06-22 10:04:06</t>
        </is>
      </c>
      <c r="N5279" t="inlineStr">
        <is>
          <t>system</t>
        </is>
      </c>
      <c r="O5279" t="inlineStr">
        <is>
          <t>2026-06-19 07:10:32</t>
        </is>
      </c>
      <c r="P5279" t="inlineStr">
        <is>
          <t>2026-06-19 07:10:32</t>
        </is>
      </c>
      <c r="Y5279" t="inlineStr">
        <is>
          <t>27791708646</t>
        </is>
      </c>
    </row>
    <row r="5280">
      <c r="A5280" t="inlineStr">
        <is>
          <t>14947266</t>
        </is>
      </c>
      <c r="B5280" t="inlineStr">
        <is>
          <t>42c45b91-3dca-4376-b176-543d4c8e04fc</t>
        </is>
      </c>
      <c r="D5280" t="inlineStr">
        <is>
          <t>30001087</t>
        </is>
      </c>
      <c r="E5280" t="inlineStr">
        <is>
          <t>ussd_funeral_leads_altitude_20260619</t>
        </is>
      </c>
      <c r="J5280" t="inlineStr">
        <is>
          <t>NA</t>
        </is>
      </c>
      <c r="K5280" t="inlineStr">
        <is>
          <t>No Answer Autodial</t>
        </is>
      </c>
      <c r="L5280" t="n">
        <v>2</v>
      </c>
      <c r="M5280" t="inlineStr">
        <is>
          <t>2026-06-22 10:04:05</t>
        </is>
      </c>
      <c r="N5280" t="inlineStr">
        <is>
          <t>system</t>
        </is>
      </c>
      <c r="O5280" t="inlineStr">
        <is>
          <t>2026-06-19 07:10:32</t>
        </is>
      </c>
      <c r="P5280" t="inlineStr">
        <is>
          <t>2026-06-19 07:10:32</t>
        </is>
      </c>
      <c r="Y5280" t="inlineStr">
        <is>
          <t>27822267358</t>
        </is>
      </c>
    </row>
    <row r="5281">
      <c r="A5281" t="inlineStr">
        <is>
          <t>14947263</t>
        </is>
      </c>
      <c r="B5281" t="inlineStr">
        <is>
          <t>80129e46-7b4b-4c42-bf2e-6b19dae41b4f</t>
        </is>
      </c>
      <c r="D5281" t="inlineStr">
        <is>
          <t>30001087</t>
        </is>
      </c>
      <c r="E5281" t="inlineStr">
        <is>
          <t>ussd_funeral_leads_altitude_20260619</t>
        </is>
      </c>
      <c r="J5281" t="inlineStr">
        <is>
          <t>AA</t>
        </is>
      </c>
      <c r="K5281" t="inlineStr">
        <is>
          <t>Answering Machine Autodial</t>
        </is>
      </c>
      <c r="L5281" t="n">
        <v>2</v>
      </c>
      <c r="M5281" t="inlineStr">
        <is>
          <t>2026-06-22 10:04:04</t>
        </is>
      </c>
      <c r="N5281" t="inlineStr">
        <is>
          <t>system</t>
        </is>
      </c>
      <c r="O5281" t="inlineStr">
        <is>
          <t>2026-06-19 07:10:32</t>
        </is>
      </c>
      <c r="P5281" t="inlineStr">
        <is>
          <t>2026-06-19 07:10:32</t>
        </is>
      </c>
      <c r="Y5281" t="inlineStr">
        <is>
          <t>27663992799</t>
        </is>
      </c>
    </row>
    <row r="5282">
      <c r="A5282" t="inlineStr">
        <is>
          <t>14947262</t>
        </is>
      </c>
      <c r="B5282" t="inlineStr">
        <is>
          <t>507baf9f-2de9-4b47-962e-7b812850f569</t>
        </is>
      </c>
      <c r="D5282" t="inlineStr">
        <is>
          <t>30001087</t>
        </is>
      </c>
      <c r="E5282" t="inlineStr">
        <is>
          <t>ussd_funeral_leads_altitude_20260619</t>
        </is>
      </c>
      <c r="J5282" t="inlineStr">
        <is>
          <t>ADC</t>
        </is>
      </c>
      <c r="K5282" t="inlineStr">
        <is>
          <t>Auto Dial Disconnected</t>
        </is>
      </c>
      <c r="L5282" t="n">
        <v>2</v>
      </c>
      <c r="M5282" t="inlineStr">
        <is>
          <t>2026-06-22 10:04:01</t>
        </is>
      </c>
      <c r="N5282" t="inlineStr">
        <is>
          <t>system</t>
        </is>
      </c>
      <c r="O5282" t="inlineStr">
        <is>
          <t>2026-06-19 07:10:32</t>
        </is>
      </c>
      <c r="P5282" t="inlineStr">
        <is>
          <t>2026-06-19 07:10:32</t>
        </is>
      </c>
      <c r="Y5282" t="inlineStr">
        <is>
          <t>27720594255</t>
        </is>
      </c>
    </row>
    <row r="5283">
      <c r="A5283" t="inlineStr">
        <is>
          <t>14947260</t>
        </is>
      </c>
      <c r="B5283" t="inlineStr">
        <is>
          <t>7b408e2b-45fa-4e46-9321-b0b00bc008de</t>
        </is>
      </c>
      <c r="D5283" t="inlineStr">
        <is>
          <t>30001087</t>
        </is>
      </c>
      <c r="E5283" t="inlineStr">
        <is>
          <t>ussd_funeral_leads_altitude_20260619</t>
        </is>
      </c>
      <c r="J5283" t="inlineStr">
        <is>
          <t>AA</t>
        </is>
      </c>
      <c r="K5283" t="inlineStr">
        <is>
          <t>Answering Machine Autodial</t>
        </is>
      </c>
      <c r="L5283" t="n">
        <v>2</v>
      </c>
      <c r="M5283" t="inlineStr">
        <is>
          <t>2026-06-22 10:04:00</t>
        </is>
      </c>
      <c r="N5283" t="inlineStr">
        <is>
          <t>system</t>
        </is>
      </c>
      <c r="O5283" t="inlineStr">
        <is>
          <t>2026-06-19 07:10:32</t>
        </is>
      </c>
      <c r="P5283" t="inlineStr">
        <is>
          <t>2026-06-19 07:10:32</t>
        </is>
      </c>
      <c r="Y5283" t="inlineStr">
        <is>
          <t>27766443866</t>
        </is>
      </c>
    </row>
    <row r="5284">
      <c r="A5284" t="inlineStr">
        <is>
          <t>14947261</t>
        </is>
      </c>
      <c r="B5284" t="inlineStr">
        <is>
          <t>5baf48a4-8fde-4a00-ba49-e68d8001129c</t>
        </is>
      </c>
      <c r="D5284" t="inlineStr">
        <is>
          <t>30001087</t>
        </is>
      </c>
      <c r="E5284" t="inlineStr">
        <is>
          <t>ussd_funeral_leads_altitude_20260619</t>
        </is>
      </c>
      <c r="J5284" t="inlineStr">
        <is>
          <t>AA</t>
        </is>
      </c>
      <c r="K5284" t="inlineStr">
        <is>
          <t>Answering Machine Autodial</t>
        </is>
      </c>
      <c r="L5284" t="n">
        <v>2</v>
      </c>
      <c r="M5284" t="inlineStr">
        <is>
          <t>2026-06-22 10:04:00</t>
        </is>
      </c>
      <c r="N5284" t="inlineStr">
        <is>
          <t>system</t>
        </is>
      </c>
      <c r="O5284" t="inlineStr">
        <is>
          <t>2026-06-19 07:10:32</t>
        </is>
      </c>
      <c r="P5284" t="inlineStr">
        <is>
          <t>2026-06-19 07:10:32</t>
        </is>
      </c>
      <c r="Y5284" t="inlineStr">
        <is>
          <t>27725208204</t>
        </is>
      </c>
    </row>
    <row r="5285">
      <c r="A5285" t="inlineStr">
        <is>
          <t>14946807</t>
        </is>
      </c>
      <c r="B5285" t="inlineStr">
        <is>
          <t>f23ccc40-d8c7-441d-ab36-8bbe341537d6</t>
        </is>
      </c>
      <c r="D5285" t="inlineStr">
        <is>
          <t>30001087</t>
        </is>
      </c>
      <c r="E5285" t="inlineStr">
        <is>
          <t>ussd_funeral_leads_altitude_20260619</t>
        </is>
      </c>
      <c r="H5285" t="inlineStr">
        <is>
          <t>27712352753</t>
        </is>
      </c>
      <c r="J5285" t="inlineStr">
        <is>
          <t>A</t>
        </is>
      </c>
      <c r="K5285" t="inlineStr">
        <is>
          <t>Answering Machine</t>
        </is>
      </c>
      <c r="L5285" t="n">
        <v>3</v>
      </c>
      <c r="M5285" t="inlineStr">
        <is>
          <t>2026-06-22 10:01:32</t>
        </is>
      </c>
      <c r="N5285" t="inlineStr">
        <is>
          <t>Virginia Letsatsi</t>
        </is>
      </c>
      <c r="O5285" t="inlineStr">
        <is>
          <t>2026-06-19 07:10:32</t>
        </is>
      </c>
      <c r="P5285" t="inlineStr">
        <is>
          <t>2026-06-19 07:10:32</t>
        </is>
      </c>
      <c r="Y5285" t="inlineStr">
        <is>
          <t>27712352753</t>
        </is>
      </c>
    </row>
    <row r="5286">
      <c r="A5286" t="inlineStr">
        <is>
          <t>14946749</t>
        </is>
      </c>
      <c r="B5286" t="inlineStr">
        <is>
          <t>88c59ba7-71af-4904-b716-45abba207464</t>
        </is>
      </c>
      <c r="D5286" t="inlineStr">
        <is>
          <t>30001087</t>
        </is>
      </c>
      <c r="E5286" t="inlineStr">
        <is>
          <t>ussd_funeral_leads_altitude_20260619</t>
        </is>
      </c>
      <c r="J5286" t="inlineStr">
        <is>
          <t>OAL</t>
        </is>
      </c>
      <c r="K5286" t="inlineStr">
        <is>
          <t>Over Age Limit</t>
        </is>
      </c>
      <c r="L5286" t="n">
        <v>2</v>
      </c>
      <c r="M5286" t="inlineStr">
        <is>
          <t>2026-06-22 10:01:29</t>
        </is>
      </c>
      <c r="N5286" t="inlineStr">
        <is>
          <t>Virginia Letsatsi</t>
        </is>
      </c>
      <c r="O5286" t="inlineStr">
        <is>
          <t>2026-06-19 07:10:32</t>
        </is>
      </c>
      <c r="P5286" t="inlineStr">
        <is>
          <t>2026-06-19 07:10:32</t>
        </is>
      </c>
      <c r="Y5286" t="inlineStr">
        <is>
          <t>27712903991</t>
        </is>
      </c>
    </row>
    <row r="5287">
      <c r="A5287" t="inlineStr">
        <is>
          <t>14946733</t>
        </is>
      </c>
      <c r="B5287" t="inlineStr">
        <is>
          <t>f9f2ddce-019d-4c14-93f6-a8108dc77e73</t>
        </is>
      </c>
      <c r="D5287" t="inlineStr">
        <is>
          <t>30001087</t>
        </is>
      </c>
      <c r="E5287" t="inlineStr">
        <is>
          <t>ussd_funeral_leads_altitude_20260619</t>
        </is>
      </c>
      <c r="J5287" t="inlineStr">
        <is>
          <t>NI</t>
        </is>
      </c>
      <c r="K5287" t="inlineStr">
        <is>
          <t>Not Interested</t>
        </is>
      </c>
      <c r="L5287" t="n">
        <v>2</v>
      </c>
      <c r="M5287" t="inlineStr">
        <is>
          <t>2026-06-22 10:01:15</t>
        </is>
      </c>
      <c r="N5287" t="inlineStr">
        <is>
          <t>Tebogo Chauke</t>
        </is>
      </c>
      <c r="O5287" t="inlineStr">
        <is>
          <t>2026-06-19 07:10:32</t>
        </is>
      </c>
      <c r="P5287" t="inlineStr">
        <is>
          <t>2026-06-19 07:10:32</t>
        </is>
      </c>
      <c r="Y5287" t="inlineStr">
        <is>
          <t>27792959270</t>
        </is>
      </c>
    </row>
    <row r="5288">
      <c r="A5288" t="inlineStr">
        <is>
          <t>14946723</t>
        </is>
      </c>
      <c r="B5288" t="inlineStr">
        <is>
          <t>4ed2663d-f68f-44bc-af92-103f74587e68</t>
        </is>
      </c>
      <c r="D5288" t="inlineStr">
        <is>
          <t>30001087</t>
        </is>
      </c>
      <c r="E5288" t="inlineStr">
        <is>
          <t>ussd_funeral_leads_altitude_20260619</t>
        </is>
      </c>
      <c r="J5288" t="inlineStr">
        <is>
          <t>SELECTED</t>
        </is>
      </c>
      <c r="K5288" t="inlineStr">
        <is>
          <t>Selected</t>
        </is>
      </c>
      <c r="L5288" t="n">
        <v>3</v>
      </c>
      <c r="M5288" t="inlineStr">
        <is>
          <t>2026-06-22 10:01:14</t>
        </is>
      </c>
      <c r="N5288" t="inlineStr">
        <is>
          <t>system</t>
        </is>
      </c>
      <c r="O5288" t="inlineStr">
        <is>
          <t>2026-06-19 07:10:32</t>
        </is>
      </c>
      <c r="P5288" t="inlineStr">
        <is>
          <t>2026-06-19 07:10:32</t>
        </is>
      </c>
      <c r="Y5288" t="inlineStr">
        <is>
          <t>27711592112</t>
        </is>
      </c>
    </row>
    <row r="5289">
      <c r="A5289" t="inlineStr">
        <is>
          <t>14945212</t>
        </is>
      </c>
      <c r="B5289" t="inlineStr">
        <is>
          <t>45fac6d2-f6a8-4833-8258-b71d94982a58</t>
        </is>
      </c>
      <c r="D5289" t="inlineStr">
        <is>
          <t>30001087</t>
        </is>
      </c>
      <c r="E5289" t="inlineStr">
        <is>
          <t>ussd_funeral_leads_altitude_20260619</t>
        </is>
      </c>
      <c r="J5289" t="inlineStr">
        <is>
          <t>NI</t>
        </is>
      </c>
      <c r="K5289" t="inlineStr">
        <is>
          <t>Not Interested</t>
        </is>
      </c>
      <c r="L5289" t="n">
        <v>4</v>
      </c>
      <c r="M5289" t="inlineStr">
        <is>
          <t>2026-06-22 09:56:06</t>
        </is>
      </c>
      <c r="N5289" t="inlineStr">
        <is>
          <t>Virginia Letsatsi</t>
        </is>
      </c>
      <c r="O5289" t="inlineStr">
        <is>
          <t>2026-06-19 07:10:32</t>
        </is>
      </c>
      <c r="P5289" t="inlineStr">
        <is>
          <t>2026-06-19 07:10:32</t>
        </is>
      </c>
      <c r="Y5289" t="inlineStr">
        <is>
          <t>27791531613</t>
        </is>
      </c>
    </row>
    <row r="5290">
      <c r="A5290" t="inlineStr">
        <is>
          <t>14947651</t>
        </is>
      </c>
      <c r="B5290" t="inlineStr">
        <is>
          <t>f5276c77-ebf3-4f0f-ae5e-f41d35249512</t>
        </is>
      </c>
      <c r="D5290" t="inlineStr">
        <is>
          <t>30001087</t>
        </is>
      </c>
      <c r="E5290" t="inlineStr">
        <is>
          <t>ussd_funeral_leads_altitude_20260619</t>
        </is>
      </c>
      <c r="J5290" t="inlineStr">
        <is>
          <t>AA</t>
        </is>
      </c>
      <c r="K5290" t="inlineStr">
        <is>
          <t>Answering Machine Autodial</t>
        </is>
      </c>
      <c r="L5290" t="n">
        <v>2</v>
      </c>
      <c r="M5290" t="inlineStr">
        <is>
          <t>2026-06-22 09:54:52</t>
        </is>
      </c>
      <c r="N5290" t="inlineStr">
        <is>
          <t>system</t>
        </is>
      </c>
      <c r="O5290" t="inlineStr">
        <is>
          <t>2026-06-19 07:10:32</t>
        </is>
      </c>
      <c r="P5290" t="inlineStr">
        <is>
          <t>2026-06-19 07:10:32</t>
        </is>
      </c>
      <c r="Y5290" t="inlineStr">
        <is>
          <t>27636409978</t>
        </is>
      </c>
    </row>
    <row r="5291">
      <c r="A5291" t="inlineStr">
        <is>
          <t>14946856</t>
        </is>
      </c>
      <c r="B5291" t="inlineStr">
        <is>
          <t>49753340-417d-49ad-b785-b39ea8eca053</t>
        </is>
      </c>
      <c r="D5291" t="inlineStr">
        <is>
          <t>30001087</t>
        </is>
      </c>
      <c r="E5291" t="inlineStr">
        <is>
          <t>ussd_funeral_leads_altitude_20260619</t>
        </is>
      </c>
      <c r="J5291" t="inlineStr">
        <is>
          <t>CBACK</t>
        </is>
      </c>
      <c r="K5291" t="inlineStr">
        <is>
          <t>Callback</t>
        </is>
      </c>
      <c r="L5291" t="n">
        <v>2</v>
      </c>
      <c r="M5291" t="inlineStr">
        <is>
          <t>2026-06-22 09:53:53</t>
        </is>
      </c>
      <c r="N5291" t="inlineStr">
        <is>
          <t>Tebogo Chauke</t>
        </is>
      </c>
      <c r="O5291" t="inlineStr">
        <is>
          <t>2026-06-19 07:10:32</t>
        </is>
      </c>
      <c r="P5291" t="inlineStr">
        <is>
          <t>2026-06-19 07:10:32</t>
        </is>
      </c>
      <c r="Y5291" t="inlineStr">
        <is>
          <t>27767621814</t>
        </is>
      </c>
    </row>
    <row r="5292">
      <c r="A5292" t="inlineStr">
        <is>
          <t>14947652</t>
        </is>
      </c>
      <c r="B5292" t="inlineStr">
        <is>
          <t>b4e4e7c3-7016-4e56-9648-3efd4292b6c4</t>
        </is>
      </c>
      <c r="D5292" t="inlineStr">
        <is>
          <t>30001087</t>
        </is>
      </c>
      <c r="E5292" t="inlineStr">
        <is>
          <t>ussd_funeral_leads_altitude_20260619</t>
        </is>
      </c>
      <c r="J5292" t="inlineStr">
        <is>
          <t>AA</t>
        </is>
      </c>
      <c r="K5292" t="inlineStr">
        <is>
          <t>Answering Machine Autodial</t>
        </is>
      </c>
      <c r="L5292" t="n">
        <v>2</v>
      </c>
      <c r="M5292" t="inlineStr">
        <is>
          <t>2026-06-22 09:52:54</t>
        </is>
      </c>
      <c r="N5292" t="inlineStr">
        <is>
          <t>system</t>
        </is>
      </c>
      <c r="O5292" t="inlineStr">
        <is>
          <t>2026-06-19 07:10:32</t>
        </is>
      </c>
      <c r="P5292" t="inlineStr">
        <is>
          <t>2026-06-19 07:10:32</t>
        </is>
      </c>
      <c r="Y5292" t="inlineStr">
        <is>
          <t>27767314767</t>
        </is>
      </c>
    </row>
    <row r="5293">
      <c r="A5293" t="inlineStr">
        <is>
          <t>14946947</t>
        </is>
      </c>
      <c r="B5293" t="inlineStr">
        <is>
          <t>9d0f01c3-c4f3-4cd4-8799-64ecdd060e88</t>
        </is>
      </c>
      <c r="D5293" t="inlineStr">
        <is>
          <t>30001087</t>
        </is>
      </c>
      <c r="E5293" t="inlineStr">
        <is>
          <t>ussd_funeral_leads_altitude_20260619</t>
        </is>
      </c>
      <c r="J5293" t="inlineStr">
        <is>
          <t>CBACK</t>
        </is>
      </c>
      <c r="K5293" t="inlineStr">
        <is>
          <t>Callback</t>
        </is>
      </c>
      <c r="L5293" t="n">
        <v>2</v>
      </c>
      <c r="M5293" t="inlineStr">
        <is>
          <t>2026-06-22 09:52:13</t>
        </is>
      </c>
      <c r="N5293" t="inlineStr">
        <is>
          <t>Goitsimang Mogwasa</t>
        </is>
      </c>
      <c r="O5293" t="inlineStr">
        <is>
          <t>2026-06-19 07:10:32</t>
        </is>
      </c>
      <c r="P5293" t="inlineStr">
        <is>
          <t>2026-06-19 07:10:32</t>
        </is>
      </c>
      <c r="Y5293" t="inlineStr">
        <is>
          <t>27793090361</t>
        </is>
      </c>
    </row>
    <row r="5294">
      <c r="A5294" t="inlineStr">
        <is>
          <t>14947653</t>
        </is>
      </c>
      <c r="B5294" t="inlineStr">
        <is>
          <t>ae658170-04c3-4a7d-a518-65bcc51d4931</t>
        </is>
      </c>
      <c r="D5294" t="inlineStr">
        <is>
          <t>30001087</t>
        </is>
      </c>
      <c r="E5294" t="inlineStr">
        <is>
          <t>ussd_funeral_leads_altitude_20260619</t>
        </is>
      </c>
      <c r="J5294" t="inlineStr">
        <is>
          <t>AA</t>
        </is>
      </c>
      <c r="K5294" t="inlineStr">
        <is>
          <t>Answering Machine Autodial</t>
        </is>
      </c>
      <c r="L5294" t="n">
        <v>2</v>
      </c>
      <c r="M5294" t="inlineStr">
        <is>
          <t>2026-06-22 09:51:50</t>
        </is>
      </c>
      <c r="N5294" t="inlineStr">
        <is>
          <t>system</t>
        </is>
      </c>
      <c r="O5294" t="inlineStr">
        <is>
          <t>2026-06-19 07:10:32</t>
        </is>
      </c>
      <c r="P5294" t="inlineStr">
        <is>
          <t>2026-06-19 07:10:32</t>
        </is>
      </c>
      <c r="Y5294" t="inlineStr">
        <is>
          <t>27665113358</t>
        </is>
      </c>
    </row>
    <row r="5295">
      <c r="A5295" t="inlineStr">
        <is>
          <t>14946920</t>
        </is>
      </c>
      <c r="B5295" t="inlineStr">
        <is>
          <t>21687a3b-0bc9-4d4c-9a6b-b28ac7fe63bb</t>
        </is>
      </c>
      <c r="D5295" t="inlineStr">
        <is>
          <t>30001087</t>
        </is>
      </c>
      <c r="E5295" t="inlineStr">
        <is>
          <t>ussd_funeral_leads_altitude_20260619</t>
        </is>
      </c>
      <c r="J5295" t="inlineStr">
        <is>
          <t>NI</t>
        </is>
      </c>
      <c r="K5295" t="inlineStr">
        <is>
          <t>Not Interested</t>
        </is>
      </c>
      <c r="L5295" t="n">
        <v>2</v>
      </c>
      <c r="M5295" t="inlineStr">
        <is>
          <t>2026-06-22 09:51:09</t>
        </is>
      </c>
      <c r="N5295" t="inlineStr">
        <is>
          <t>Vuyiswa Nxumalo</t>
        </is>
      </c>
      <c r="O5295" t="inlineStr">
        <is>
          <t>2026-06-19 07:10:32</t>
        </is>
      </c>
      <c r="P5295" t="inlineStr">
        <is>
          <t>2026-06-19 07:10:32</t>
        </is>
      </c>
      <c r="Y5295" t="inlineStr">
        <is>
          <t>27715820375</t>
        </is>
      </c>
    </row>
    <row r="5296">
      <c r="A5296" t="inlineStr">
        <is>
          <t>14947654</t>
        </is>
      </c>
      <c r="B5296" t="inlineStr">
        <is>
          <t>3251c257-c0bc-41e4-a04f-fea9ebd71484</t>
        </is>
      </c>
      <c r="D5296" t="inlineStr">
        <is>
          <t>30001087</t>
        </is>
      </c>
      <c r="E5296" t="inlineStr">
        <is>
          <t>ussd_funeral_leads_altitude_20260619</t>
        </is>
      </c>
      <c r="J5296" t="inlineStr">
        <is>
          <t>ADC</t>
        </is>
      </c>
      <c r="K5296" t="inlineStr">
        <is>
          <t>Auto Dial Disconnected</t>
        </is>
      </c>
      <c r="L5296" t="n">
        <v>2</v>
      </c>
      <c r="M5296" t="inlineStr">
        <is>
          <t>2026-06-22 09:50:59</t>
        </is>
      </c>
      <c r="N5296" t="inlineStr">
        <is>
          <t>system</t>
        </is>
      </c>
      <c r="O5296" t="inlineStr">
        <is>
          <t>2026-06-19 07:10:32</t>
        </is>
      </c>
      <c r="P5296" t="inlineStr">
        <is>
          <t>2026-06-19 07:10:32</t>
        </is>
      </c>
      <c r="Y5296" t="inlineStr">
        <is>
          <t>27608795081</t>
        </is>
      </c>
    </row>
    <row r="5297">
      <c r="A5297" t="inlineStr">
        <is>
          <t>14946988</t>
        </is>
      </c>
      <c r="B5297" t="inlineStr">
        <is>
          <t>a9400dd7-58fa-4a67-8fdc-1a0a7441a15d</t>
        </is>
      </c>
      <c r="D5297" t="inlineStr">
        <is>
          <t>30001087</t>
        </is>
      </c>
      <c r="E5297" t="inlineStr">
        <is>
          <t>ussd_funeral_leads_altitude_20260619</t>
        </is>
      </c>
      <c r="J5297" t="inlineStr">
        <is>
          <t>CBACK</t>
        </is>
      </c>
      <c r="K5297" t="inlineStr">
        <is>
          <t>Callback</t>
        </is>
      </c>
      <c r="L5297" t="n">
        <v>2</v>
      </c>
      <c r="M5297" t="inlineStr">
        <is>
          <t>2026-06-22 09:49:01</t>
        </is>
      </c>
      <c r="N5297" t="inlineStr">
        <is>
          <t>Tebogo Chauke</t>
        </is>
      </c>
      <c r="O5297" t="inlineStr">
        <is>
          <t>2026-06-19 07:10:32</t>
        </is>
      </c>
      <c r="P5297" t="inlineStr">
        <is>
          <t>2026-06-19 07:10:32</t>
        </is>
      </c>
      <c r="Y5297" t="inlineStr">
        <is>
          <t>27791988293</t>
        </is>
      </c>
    </row>
    <row r="5298">
      <c r="A5298" t="inlineStr">
        <is>
          <t>14947655</t>
        </is>
      </c>
      <c r="B5298" t="inlineStr">
        <is>
          <t>dd6ca32c-b20e-4098-85ec-732fcdf0b1c2</t>
        </is>
      </c>
      <c r="D5298" t="inlineStr">
        <is>
          <t>30001087</t>
        </is>
      </c>
      <c r="E5298" t="inlineStr">
        <is>
          <t>ussd_funeral_leads_altitude_20260619</t>
        </is>
      </c>
      <c r="J5298" t="inlineStr">
        <is>
          <t>NA</t>
        </is>
      </c>
      <c r="K5298" t="inlineStr">
        <is>
          <t>No Answer Autodial</t>
        </is>
      </c>
      <c r="L5298" t="n">
        <v>2</v>
      </c>
      <c r="M5298" t="inlineStr">
        <is>
          <t>2026-06-22 09:48:46</t>
        </is>
      </c>
      <c r="N5298" t="inlineStr">
        <is>
          <t>system</t>
        </is>
      </c>
      <c r="O5298" t="inlineStr">
        <is>
          <t>2026-06-19 07:10:32</t>
        </is>
      </c>
      <c r="P5298" t="inlineStr">
        <is>
          <t>2026-06-19 07:10:32</t>
        </is>
      </c>
      <c r="Y5298" t="inlineStr">
        <is>
          <t>27715827139</t>
        </is>
      </c>
    </row>
    <row r="5299">
      <c r="A5299" t="inlineStr">
        <is>
          <t>14947656</t>
        </is>
      </c>
      <c r="B5299" t="inlineStr">
        <is>
          <t>b046f4a9-efd2-43b3-b7d4-775f17e52ace</t>
        </is>
      </c>
      <c r="D5299" t="inlineStr">
        <is>
          <t>30001087</t>
        </is>
      </c>
      <c r="E5299" t="inlineStr">
        <is>
          <t>ussd_funeral_leads_altitude_20260619</t>
        </is>
      </c>
      <c r="J5299" t="inlineStr">
        <is>
          <t>TDN</t>
        </is>
      </c>
      <c r="K5299" t="inlineStr">
        <is>
          <t>Temporary Disconnected Number</t>
        </is>
      </c>
      <c r="L5299" t="n">
        <v>2</v>
      </c>
      <c r="M5299" t="inlineStr">
        <is>
          <t>2026-06-22 09:48:16</t>
        </is>
      </c>
      <c r="N5299" t="inlineStr">
        <is>
          <t>system</t>
        </is>
      </c>
      <c r="O5299" t="inlineStr">
        <is>
          <t>2026-06-19 07:10:32</t>
        </is>
      </c>
      <c r="P5299" t="inlineStr">
        <is>
          <t>2026-06-19 07:10:32</t>
        </is>
      </c>
      <c r="Y5299" t="inlineStr">
        <is>
          <t>27647757203</t>
        </is>
      </c>
    </row>
    <row r="5300">
      <c r="A5300" t="inlineStr">
        <is>
          <t>14947014</t>
        </is>
      </c>
      <c r="B5300" t="inlineStr">
        <is>
          <t>861834c0-ec6c-451b-a98a-1f7a9a2546a2</t>
        </is>
      </c>
      <c r="D5300" t="inlineStr">
        <is>
          <t>30001087</t>
        </is>
      </c>
      <c r="E5300" t="inlineStr">
        <is>
          <t>ussd_funeral_leads_altitude_20260619</t>
        </is>
      </c>
      <c r="J5300" t="inlineStr">
        <is>
          <t>NI</t>
        </is>
      </c>
      <c r="K5300" t="inlineStr">
        <is>
          <t>Not Interested</t>
        </is>
      </c>
      <c r="L5300" t="n">
        <v>2</v>
      </c>
      <c r="M5300" t="inlineStr">
        <is>
          <t>2026-06-22 09:46:04</t>
        </is>
      </c>
      <c r="N5300" t="inlineStr">
        <is>
          <t>Tebogo Chauke</t>
        </is>
      </c>
      <c r="O5300" t="inlineStr">
        <is>
          <t>2026-06-19 07:10:32</t>
        </is>
      </c>
      <c r="P5300" t="inlineStr">
        <is>
          <t>2026-06-19 07:10:32</t>
        </is>
      </c>
      <c r="Y5300" t="inlineStr">
        <is>
          <t>27766093742</t>
        </is>
      </c>
    </row>
    <row r="5301">
      <c r="A5301" t="inlineStr">
        <is>
          <t>14947657</t>
        </is>
      </c>
      <c r="B5301" t="inlineStr">
        <is>
          <t>755f7d6a-0e2e-4860-9678-882ba8d69c94</t>
        </is>
      </c>
      <c r="D5301" t="inlineStr">
        <is>
          <t>30001087</t>
        </is>
      </c>
      <c r="E5301" t="inlineStr">
        <is>
          <t>ussd_funeral_leads_altitude_20260619</t>
        </is>
      </c>
      <c r="J5301" t="inlineStr">
        <is>
          <t>AA</t>
        </is>
      </c>
      <c r="K5301" t="inlineStr">
        <is>
          <t>Answering Machine Autodial</t>
        </is>
      </c>
      <c r="L5301" t="n">
        <v>2</v>
      </c>
      <c r="M5301" t="inlineStr">
        <is>
          <t>2026-06-22 09:45:59</t>
        </is>
      </c>
      <c r="N5301" t="inlineStr">
        <is>
          <t>system</t>
        </is>
      </c>
      <c r="O5301" t="inlineStr">
        <is>
          <t>2026-06-19 07:10:32</t>
        </is>
      </c>
      <c r="P5301" t="inlineStr">
        <is>
          <t>2026-06-19 07:10:32</t>
        </is>
      </c>
      <c r="Y5301" t="inlineStr">
        <is>
          <t>27725817297</t>
        </is>
      </c>
    </row>
    <row r="5302">
      <c r="A5302" t="inlineStr">
        <is>
          <t>14947195</t>
        </is>
      </c>
      <c r="B5302" t="inlineStr">
        <is>
          <t>a921bc7c-a791-4b03-9ffb-46233fda12f7</t>
        </is>
      </c>
      <c r="D5302" t="inlineStr">
        <is>
          <t>30001087</t>
        </is>
      </c>
      <c r="E5302" t="inlineStr">
        <is>
          <t>ussd_funeral_leads_altitude_20260619</t>
        </is>
      </c>
      <c r="J5302" t="inlineStr">
        <is>
          <t>AF</t>
        </is>
      </c>
      <c r="K5302" t="inlineStr">
        <is>
          <t>Cannot Afford</t>
        </is>
      </c>
      <c r="L5302" t="n">
        <v>3</v>
      </c>
      <c r="M5302" t="inlineStr">
        <is>
          <t>2026-06-22 09:45:42</t>
        </is>
      </c>
      <c r="N5302" t="inlineStr">
        <is>
          <t>Virginia Letsatsi</t>
        </is>
      </c>
      <c r="O5302" t="inlineStr">
        <is>
          <t>2026-06-19 07:10:32</t>
        </is>
      </c>
      <c r="P5302" t="inlineStr">
        <is>
          <t>2026-06-19 07:10:32</t>
        </is>
      </c>
      <c r="Y5302" t="inlineStr">
        <is>
          <t>27636067086</t>
        </is>
      </c>
    </row>
    <row r="5303">
      <c r="A5303" t="inlineStr">
        <is>
          <t>14943559</t>
        </is>
      </c>
      <c r="B5303" t="inlineStr">
        <is>
          <t>d556ddb4-423d-44e9-861e-fb70120d3caf</t>
        </is>
      </c>
      <c r="D5303" t="inlineStr">
        <is>
          <t>30001087</t>
        </is>
      </c>
      <c r="E5303" t="inlineStr">
        <is>
          <t>ussd_funeral_leads_altitude_20260619</t>
        </is>
      </c>
      <c r="J5303" t="inlineStr">
        <is>
          <t>ADC</t>
        </is>
      </c>
      <c r="K5303" t="inlineStr">
        <is>
          <t>Auto Dial Disconnected</t>
        </is>
      </c>
      <c r="L5303" t="n">
        <v>2</v>
      </c>
      <c r="M5303" t="inlineStr">
        <is>
          <t>2026-06-22 09:45:32</t>
        </is>
      </c>
      <c r="N5303" t="inlineStr">
        <is>
          <t>system</t>
        </is>
      </c>
      <c r="O5303" t="inlineStr">
        <is>
          <t>2026-06-19 07:10:32</t>
        </is>
      </c>
      <c r="P5303" t="inlineStr">
        <is>
          <t>2026-06-19 07:10:32</t>
        </is>
      </c>
      <c r="Y5303" t="inlineStr">
        <is>
          <t>27675871375</t>
        </is>
      </c>
    </row>
    <row r="5304">
      <c r="A5304" t="inlineStr">
        <is>
          <t>14947258</t>
        </is>
      </c>
      <c r="B5304" t="inlineStr">
        <is>
          <t>b65fa679-b44b-4c76-a51a-d9b3bd2632d2</t>
        </is>
      </c>
      <c r="D5304" t="inlineStr">
        <is>
          <t>30001087</t>
        </is>
      </c>
      <c r="E5304" t="inlineStr">
        <is>
          <t>ussd_funeral_leads_altitude_20260619</t>
        </is>
      </c>
      <c r="J5304" t="inlineStr">
        <is>
          <t>AA</t>
        </is>
      </c>
      <c r="K5304" t="inlineStr">
        <is>
          <t>Answering Machine Autodial</t>
        </is>
      </c>
      <c r="L5304" t="n">
        <v>2</v>
      </c>
      <c r="M5304" t="inlineStr">
        <is>
          <t>2026-06-22 09:44:02</t>
        </is>
      </c>
      <c r="N5304" t="inlineStr">
        <is>
          <t>system</t>
        </is>
      </c>
      <c r="O5304" t="inlineStr">
        <is>
          <t>2026-06-19 07:10:32</t>
        </is>
      </c>
      <c r="P5304" t="inlineStr">
        <is>
          <t>2026-06-19 07:10:32</t>
        </is>
      </c>
      <c r="Y5304" t="inlineStr">
        <is>
          <t>27725473382</t>
        </is>
      </c>
    </row>
    <row r="5305">
      <c r="A5305" t="inlineStr">
        <is>
          <t>14947259</t>
        </is>
      </c>
      <c r="B5305" t="inlineStr">
        <is>
          <t>d8c39789-dc44-4d55-a8cc-566470005a38</t>
        </is>
      </c>
      <c r="D5305" t="inlineStr">
        <is>
          <t>30001087</t>
        </is>
      </c>
      <c r="E5305" t="inlineStr">
        <is>
          <t>ussd_funeral_leads_altitude_20260619</t>
        </is>
      </c>
      <c r="J5305" t="inlineStr">
        <is>
          <t>AA</t>
        </is>
      </c>
      <c r="K5305" t="inlineStr">
        <is>
          <t>Answering Machine Autodial</t>
        </is>
      </c>
      <c r="L5305" t="n">
        <v>2</v>
      </c>
      <c r="M5305" t="inlineStr">
        <is>
          <t>2026-06-22 09:44:02</t>
        </is>
      </c>
      <c r="N5305" t="inlineStr">
        <is>
          <t>system</t>
        </is>
      </c>
      <c r="O5305" t="inlineStr">
        <is>
          <t>2026-06-19 07:10:32</t>
        </is>
      </c>
      <c r="P5305" t="inlineStr">
        <is>
          <t>2026-06-19 07:10:32</t>
        </is>
      </c>
      <c r="Y5305" t="inlineStr">
        <is>
          <t>27724801964</t>
        </is>
      </c>
    </row>
    <row r="5306">
      <c r="A5306" t="inlineStr">
        <is>
          <t>14947257</t>
        </is>
      </c>
      <c r="B5306" t="inlineStr">
        <is>
          <t>cf5ea6be-766a-4ac7-81e7-9d254c678046</t>
        </is>
      </c>
      <c r="D5306" t="inlineStr">
        <is>
          <t>30001087</t>
        </is>
      </c>
      <c r="E5306" t="inlineStr">
        <is>
          <t>ussd_funeral_leads_altitude_20260619</t>
        </is>
      </c>
      <c r="J5306" t="inlineStr">
        <is>
          <t>ADC</t>
        </is>
      </c>
      <c r="K5306" t="inlineStr">
        <is>
          <t>Auto Dial Disconnected</t>
        </is>
      </c>
      <c r="L5306" t="n">
        <v>2</v>
      </c>
      <c r="M5306" t="inlineStr">
        <is>
          <t>2026-06-22 09:44:00</t>
        </is>
      </c>
      <c r="N5306" t="inlineStr">
        <is>
          <t>system</t>
        </is>
      </c>
      <c r="O5306" t="inlineStr">
        <is>
          <t>2026-06-19 07:10:32</t>
        </is>
      </c>
      <c r="P5306" t="inlineStr">
        <is>
          <t>2026-06-19 07:10:32</t>
        </is>
      </c>
      <c r="Y5306" t="inlineStr">
        <is>
          <t>27609728847</t>
        </is>
      </c>
    </row>
    <row r="5307">
      <c r="A5307" t="inlineStr">
        <is>
          <t>14947253</t>
        </is>
      </c>
      <c r="B5307" t="inlineStr">
        <is>
          <t>2a68e755-8f0c-4da6-8622-fd174797469a</t>
        </is>
      </c>
      <c r="D5307" t="inlineStr">
        <is>
          <t>30001087</t>
        </is>
      </c>
      <c r="E5307" t="inlineStr">
        <is>
          <t>ussd_funeral_leads_altitude_20260619</t>
        </is>
      </c>
      <c r="J5307" t="inlineStr">
        <is>
          <t>ADC</t>
        </is>
      </c>
      <c r="K5307" t="inlineStr">
        <is>
          <t>Auto Dial Disconnected</t>
        </is>
      </c>
      <c r="L5307" t="n">
        <v>2</v>
      </c>
      <c r="M5307" t="inlineStr">
        <is>
          <t>2026-06-22 09:43:58</t>
        </is>
      </c>
      <c r="N5307" t="inlineStr">
        <is>
          <t>system</t>
        </is>
      </c>
      <c r="O5307" t="inlineStr">
        <is>
          <t>2026-06-19 07:10:32</t>
        </is>
      </c>
      <c r="P5307" t="inlineStr">
        <is>
          <t>2026-06-19 07:10:32</t>
        </is>
      </c>
      <c r="Y5307" t="inlineStr">
        <is>
          <t>27665348984</t>
        </is>
      </c>
    </row>
    <row r="5308">
      <c r="A5308" t="inlineStr">
        <is>
          <t>14947255</t>
        </is>
      </c>
      <c r="B5308" t="inlineStr">
        <is>
          <t>4f3c093c-bd2d-439d-b00d-0a3646d23e54</t>
        </is>
      </c>
      <c r="D5308" t="inlineStr">
        <is>
          <t>30001087</t>
        </is>
      </c>
      <c r="E5308" t="inlineStr">
        <is>
          <t>ussd_funeral_leads_altitude_20260619</t>
        </is>
      </c>
      <c r="J5308" t="inlineStr">
        <is>
          <t>ADC</t>
        </is>
      </c>
      <c r="K5308" t="inlineStr">
        <is>
          <t>Auto Dial Disconnected</t>
        </is>
      </c>
      <c r="L5308" t="n">
        <v>2</v>
      </c>
      <c r="M5308" t="inlineStr">
        <is>
          <t>2026-06-22 09:43:58</t>
        </is>
      </c>
      <c r="N5308" t="inlineStr">
        <is>
          <t>system</t>
        </is>
      </c>
      <c r="O5308" t="inlineStr">
        <is>
          <t>2026-06-19 07:10:32</t>
        </is>
      </c>
      <c r="P5308" t="inlineStr">
        <is>
          <t>2026-06-19 07:10:32</t>
        </is>
      </c>
      <c r="Y5308" t="inlineStr">
        <is>
          <t>27827464369</t>
        </is>
      </c>
    </row>
    <row r="5309">
      <c r="A5309" t="inlineStr">
        <is>
          <t>14947256</t>
        </is>
      </c>
      <c r="B5309" t="inlineStr">
        <is>
          <t>88a73be4-b041-447d-ad54-7bfc2accd777</t>
        </is>
      </c>
      <c r="D5309" t="inlineStr">
        <is>
          <t>30001087</t>
        </is>
      </c>
      <c r="E5309" t="inlineStr">
        <is>
          <t>ussd_funeral_leads_altitude_20260619</t>
        </is>
      </c>
      <c r="J5309" t="inlineStr">
        <is>
          <t>NA</t>
        </is>
      </c>
      <c r="K5309" t="inlineStr">
        <is>
          <t>No Answer Autodial</t>
        </is>
      </c>
      <c r="L5309" t="n">
        <v>2</v>
      </c>
      <c r="M5309" t="inlineStr">
        <is>
          <t>2026-06-22 09:43:58</t>
        </is>
      </c>
      <c r="N5309" t="inlineStr">
        <is>
          <t>system</t>
        </is>
      </c>
      <c r="O5309" t="inlineStr">
        <is>
          <t>2026-06-19 07:10:32</t>
        </is>
      </c>
      <c r="P5309" t="inlineStr">
        <is>
          <t>2026-06-19 07:10:32</t>
        </is>
      </c>
      <c r="Y5309" t="inlineStr">
        <is>
          <t>27637313215</t>
        </is>
      </c>
    </row>
    <row r="5310">
      <c r="A5310" t="inlineStr">
        <is>
          <t>14947254</t>
        </is>
      </c>
      <c r="B5310" t="inlineStr">
        <is>
          <t>3a9eb589-211c-4782-90b5-d062dbd55223</t>
        </is>
      </c>
      <c r="D5310" t="inlineStr">
        <is>
          <t>30001087</t>
        </is>
      </c>
      <c r="E5310" t="inlineStr">
        <is>
          <t>ussd_funeral_leads_altitude_20260619</t>
        </is>
      </c>
      <c r="J5310" t="inlineStr">
        <is>
          <t>AA</t>
        </is>
      </c>
      <c r="K5310" t="inlineStr">
        <is>
          <t>Answering Machine Autodial</t>
        </is>
      </c>
      <c r="L5310" t="n">
        <v>2</v>
      </c>
      <c r="M5310" t="inlineStr">
        <is>
          <t>2026-06-22 09:43:57</t>
        </is>
      </c>
      <c r="N5310" t="inlineStr">
        <is>
          <t>system</t>
        </is>
      </c>
      <c r="O5310" t="inlineStr">
        <is>
          <t>2026-06-19 07:10:32</t>
        </is>
      </c>
      <c r="P5310" t="inlineStr">
        <is>
          <t>2026-06-19 07:10:32</t>
        </is>
      </c>
      <c r="Y5310" t="inlineStr">
        <is>
          <t>27716595123</t>
        </is>
      </c>
    </row>
    <row r="5311">
      <c r="A5311" t="inlineStr">
        <is>
          <t>14947252</t>
        </is>
      </c>
      <c r="B5311" t="inlineStr">
        <is>
          <t>0ed239e8-6fb0-4a86-8afd-2b219e35c73d</t>
        </is>
      </c>
      <c r="D5311" t="inlineStr">
        <is>
          <t>30001087</t>
        </is>
      </c>
      <c r="E5311" t="inlineStr">
        <is>
          <t>ussd_funeral_leads_altitude_20260619</t>
        </is>
      </c>
      <c r="J5311" t="inlineStr">
        <is>
          <t>NA</t>
        </is>
      </c>
      <c r="K5311" t="inlineStr">
        <is>
          <t>No Answer Autodial</t>
        </is>
      </c>
      <c r="L5311" t="n">
        <v>2</v>
      </c>
      <c r="M5311" t="inlineStr">
        <is>
          <t>2026-06-22 09:43:53</t>
        </is>
      </c>
      <c r="N5311" t="inlineStr">
        <is>
          <t>system</t>
        </is>
      </c>
      <c r="O5311" t="inlineStr">
        <is>
          <t>2026-06-19 07:10:32</t>
        </is>
      </c>
      <c r="P5311" t="inlineStr">
        <is>
          <t>2026-06-19 07:10:32</t>
        </is>
      </c>
      <c r="Y5311" t="inlineStr">
        <is>
          <t>27713899544</t>
        </is>
      </c>
    </row>
    <row r="5312">
      <c r="A5312" t="inlineStr">
        <is>
          <t>14947249</t>
        </is>
      </c>
      <c r="B5312" t="inlineStr">
        <is>
          <t>c3484d64-6d38-4383-967d-8a2a99ac63ff</t>
        </is>
      </c>
      <c r="D5312" t="inlineStr">
        <is>
          <t>30001087</t>
        </is>
      </c>
      <c r="E5312" t="inlineStr">
        <is>
          <t>ussd_funeral_leads_altitude_20260619</t>
        </is>
      </c>
      <c r="J5312" t="inlineStr">
        <is>
          <t>AA</t>
        </is>
      </c>
      <c r="K5312" t="inlineStr">
        <is>
          <t>Answering Machine Autodial</t>
        </is>
      </c>
      <c r="L5312" t="n">
        <v>2</v>
      </c>
      <c r="M5312" t="inlineStr">
        <is>
          <t>2026-06-22 09:43:51</t>
        </is>
      </c>
      <c r="N5312" t="inlineStr">
        <is>
          <t>system</t>
        </is>
      </c>
      <c r="O5312" t="inlineStr">
        <is>
          <t>2026-06-19 07:10:32</t>
        </is>
      </c>
      <c r="P5312" t="inlineStr">
        <is>
          <t>2026-06-19 07:10:32</t>
        </is>
      </c>
      <c r="Y5312" t="inlineStr">
        <is>
          <t>27795790786</t>
        </is>
      </c>
    </row>
    <row r="5313">
      <c r="A5313" t="inlineStr">
        <is>
          <t>14947251</t>
        </is>
      </c>
      <c r="B5313" t="inlineStr">
        <is>
          <t>62c9f196-88e5-4211-b92d-9126013c108b</t>
        </is>
      </c>
      <c r="D5313" t="inlineStr">
        <is>
          <t>30001087</t>
        </is>
      </c>
      <c r="E5313" t="inlineStr">
        <is>
          <t>ussd_funeral_leads_altitude_20260619</t>
        </is>
      </c>
      <c r="J5313" t="inlineStr">
        <is>
          <t>NA</t>
        </is>
      </c>
      <c r="K5313" t="inlineStr">
        <is>
          <t>No Answer Autodial</t>
        </is>
      </c>
      <c r="L5313" t="n">
        <v>2</v>
      </c>
      <c r="M5313" t="inlineStr">
        <is>
          <t>2026-06-22 09:43:51</t>
        </is>
      </c>
      <c r="N5313" t="inlineStr">
        <is>
          <t>system</t>
        </is>
      </c>
      <c r="O5313" t="inlineStr">
        <is>
          <t>2026-06-19 07:10:32</t>
        </is>
      </c>
      <c r="P5313" t="inlineStr">
        <is>
          <t>2026-06-19 07:10:32</t>
        </is>
      </c>
      <c r="Y5313" t="inlineStr">
        <is>
          <t>27661184447</t>
        </is>
      </c>
    </row>
    <row r="5314">
      <c r="A5314" t="inlineStr">
        <is>
          <t>14947163</t>
        </is>
      </c>
      <c r="B5314" t="inlineStr">
        <is>
          <t>420ddd5d-99fb-474c-bbe7-1bd130ff5646</t>
        </is>
      </c>
      <c r="D5314" t="inlineStr">
        <is>
          <t>30001087</t>
        </is>
      </c>
      <c r="E5314" t="inlineStr">
        <is>
          <t>ussd_funeral_leads_altitude_20260619</t>
        </is>
      </c>
      <c r="J5314" t="inlineStr">
        <is>
          <t>AF</t>
        </is>
      </c>
      <c r="K5314" t="inlineStr">
        <is>
          <t>Cannot Afford</t>
        </is>
      </c>
      <c r="L5314" t="n">
        <v>2</v>
      </c>
      <c r="M5314" t="inlineStr">
        <is>
          <t>2026-06-22 09:42:54</t>
        </is>
      </c>
      <c r="N5314" t="inlineStr">
        <is>
          <t>Vuyiswa Nxumalo</t>
        </is>
      </c>
      <c r="O5314" t="inlineStr">
        <is>
          <t>2026-06-19 07:10:32</t>
        </is>
      </c>
      <c r="P5314" t="inlineStr">
        <is>
          <t>2026-06-19 07:10:32</t>
        </is>
      </c>
      <c r="Y5314" t="inlineStr">
        <is>
          <t>27722636499</t>
        </is>
      </c>
    </row>
    <row r="5315">
      <c r="A5315" t="inlineStr">
        <is>
          <t>14944900</t>
        </is>
      </c>
      <c r="B5315" t="inlineStr">
        <is>
          <t>66bf654e-acfe-4a78-b431-4ab39052bc71</t>
        </is>
      </c>
      <c r="D5315" t="inlineStr">
        <is>
          <t>30001087</t>
        </is>
      </c>
      <c r="E5315" t="inlineStr">
        <is>
          <t>ussd_funeral_leads_altitude_20260619</t>
        </is>
      </c>
      <c r="J5315" t="inlineStr">
        <is>
          <t>NI</t>
        </is>
      </c>
      <c r="K5315" t="inlineStr">
        <is>
          <t>Not Interested</t>
        </is>
      </c>
      <c r="L5315" t="n">
        <v>2</v>
      </c>
      <c r="M5315" t="inlineStr">
        <is>
          <t>2026-06-22 09:41:02</t>
        </is>
      </c>
      <c r="N5315" t="inlineStr">
        <is>
          <t>Vuyiswa Nxumalo</t>
        </is>
      </c>
      <c r="O5315" t="inlineStr">
        <is>
          <t>2026-06-19 07:10:32</t>
        </is>
      </c>
      <c r="P5315" t="inlineStr">
        <is>
          <t>2026-06-19 07:10:32</t>
        </is>
      </c>
      <c r="Y5315" t="inlineStr">
        <is>
          <t>27728347020</t>
        </is>
      </c>
    </row>
    <row r="5316">
      <c r="A5316" t="inlineStr">
        <is>
          <t>14944779</t>
        </is>
      </c>
      <c r="B5316" t="inlineStr">
        <is>
          <t>196135c3-19a4-4105-8a8b-307821751a63</t>
        </is>
      </c>
      <c r="D5316" t="inlineStr">
        <is>
          <t>30001087</t>
        </is>
      </c>
      <c r="E5316" t="inlineStr">
        <is>
          <t>ussd_funeral_leads_altitude_20260619</t>
        </is>
      </c>
      <c r="J5316" t="inlineStr">
        <is>
          <t>U</t>
        </is>
      </c>
      <c r="K5316" t="inlineStr">
        <is>
          <t>Unemployed</t>
        </is>
      </c>
      <c r="L5316" t="n">
        <v>2</v>
      </c>
      <c r="M5316" t="inlineStr">
        <is>
          <t>2026-06-22 09:40:28</t>
        </is>
      </c>
      <c r="N5316" t="inlineStr">
        <is>
          <t>Virginia Letsatsi</t>
        </is>
      </c>
      <c r="O5316" t="inlineStr">
        <is>
          <t>2026-06-19 07:10:32</t>
        </is>
      </c>
      <c r="P5316" t="inlineStr">
        <is>
          <t>2026-06-19 07:10:32</t>
        </is>
      </c>
      <c r="Y5316" t="inlineStr">
        <is>
          <t>27726894363</t>
        </is>
      </c>
    </row>
    <row r="5317">
      <c r="A5317" t="inlineStr">
        <is>
          <t>14944727</t>
        </is>
      </c>
      <c r="B5317" t="inlineStr">
        <is>
          <t>ce03a04f-4049-4be2-98b1-87d2e73e1a3e</t>
        </is>
      </c>
      <c r="D5317" t="inlineStr">
        <is>
          <t>30001087</t>
        </is>
      </c>
      <c r="E5317" t="inlineStr">
        <is>
          <t>ussd_funeral_leads_altitude_20260619</t>
        </is>
      </c>
      <c r="J5317" t="inlineStr">
        <is>
          <t>CBACK</t>
        </is>
      </c>
      <c r="K5317" t="inlineStr">
        <is>
          <t>Callback</t>
        </is>
      </c>
      <c r="L5317" t="n">
        <v>2</v>
      </c>
      <c r="M5317" t="inlineStr">
        <is>
          <t>2026-06-22 09:39:28</t>
        </is>
      </c>
      <c r="N5317" t="inlineStr">
        <is>
          <t>Bongiwe Precious Cele</t>
        </is>
      </c>
      <c r="O5317" t="inlineStr">
        <is>
          <t>2026-06-19 07:10:32</t>
        </is>
      </c>
      <c r="P5317" t="inlineStr">
        <is>
          <t>2026-06-19 07:10:32</t>
        </is>
      </c>
      <c r="Y5317" t="inlineStr">
        <is>
          <t>27637674877</t>
        </is>
      </c>
    </row>
    <row r="5318">
      <c r="A5318" t="inlineStr">
        <is>
          <t>14944810</t>
        </is>
      </c>
      <c r="B5318" t="inlineStr">
        <is>
          <t>dac4beb3-77db-4163-af1f-4e601cbbb080</t>
        </is>
      </c>
      <c r="D5318" t="inlineStr">
        <is>
          <t>30001087</t>
        </is>
      </c>
      <c r="E5318" t="inlineStr">
        <is>
          <t>ussd_funeral_leads_altitude_20260619</t>
        </is>
      </c>
      <c r="J5318" t="inlineStr">
        <is>
          <t>AF</t>
        </is>
      </c>
      <c r="K5318" t="inlineStr">
        <is>
          <t>Cannot Afford</t>
        </is>
      </c>
      <c r="L5318" t="n">
        <v>2</v>
      </c>
      <c r="M5318" t="inlineStr">
        <is>
          <t>2026-06-22 09:36:01</t>
        </is>
      </c>
      <c r="N5318" t="inlineStr">
        <is>
          <t>Vuyiswa Nxumalo</t>
        </is>
      </c>
      <c r="O5318" t="inlineStr">
        <is>
          <t>2026-06-19 07:10:32</t>
        </is>
      </c>
      <c r="P5318" t="inlineStr">
        <is>
          <t>2026-06-19 07:10:32</t>
        </is>
      </c>
      <c r="Y5318" t="inlineStr">
        <is>
          <t>27793150750</t>
        </is>
      </c>
    </row>
    <row r="5319">
      <c r="A5319" t="inlineStr">
        <is>
          <t>14944868</t>
        </is>
      </c>
      <c r="B5319" t="inlineStr">
        <is>
          <t>c12c46d4-26d6-4dcf-a429-5caeb9c1f621</t>
        </is>
      </c>
      <c r="D5319" t="inlineStr">
        <is>
          <t>30001087</t>
        </is>
      </c>
      <c r="E5319" t="inlineStr">
        <is>
          <t>ussd_funeral_leads_altitude_20260619</t>
        </is>
      </c>
      <c r="J5319" t="inlineStr">
        <is>
          <t>NI</t>
        </is>
      </c>
      <c r="K5319" t="inlineStr">
        <is>
          <t>Not Interested</t>
        </is>
      </c>
      <c r="L5319" t="n">
        <v>2</v>
      </c>
      <c r="M5319" t="inlineStr">
        <is>
          <t>2026-06-22 09:34:48</t>
        </is>
      </c>
      <c r="N5319" t="inlineStr">
        <is>
          <t>Lebohang Mabotja</t>
        </is>
      </c>
      <c r="O5319" t="inlineStr">
        <is>
          <t>2026-06-19 07:10:32</t>
        </is>
      </c>
      <c r="P5319" t="inlineStr">
        <is>
          <t>2026-06-19 07:10:32</t>
        </is>
      </c>
      <c r="Y5319" t="inlineStr">
        <is>
          <t>27765822430</t>
        </is>
      </c>
    </row>
    <row r="5320">
      <c r="A5320" t="inlineStr">
        <is>
          <t>14900000</t>
        </is>
      </c>
      <c r="B5320" t="inlineStr">
        <is>
          <t>e08095ae-d461-490f-ba72-7ee9bc79a6db</t>
        </is>
      </c>
      <c r="D5320" t="inlineStr">
        <is>
          <t>30001087</t>
        </is>
      </c>
      <c r="E5320" t="inlineStr">
        <is>
          <t>ussd_funeral_leads_altitude_20260619</t>
        </is>
      </c>
      <c r="J5320" t="inlineStr">
        <is>
          <t>AF</t>
        </is>
      </c>
      <c r="K5320" t="inlineStr">
        <is>
          <t>Cannot Afford</t>
        </is>
      </c>
      <c r="L5320" t="n">
        <v>2</v>
      </c>
      <c r="M5320" t="inlineStr">
        <is>
          <t>2026-06-22 09:32:14</t>
        </is>
      </c>
      <c r="N5320" t="inlineStr">
        <is>
          <t>Vuyiswa Nxumalo</t>
        </is>
      </c>
      <c r="O5320" t="inlineStr">
        <is>
          <t>2026-06-19 07:10:32</t>
        </is>
      </c>
      <c r="P5320" t="inlineStr">
        <is>
          <t>2026-06-19 07:10:32</t>
        </is>
      </c>
      <c r="Y5320" t="inlineStr">
        <is>
          <t>27764495762</t>
        </is>
      </c>
    </row>
    <row r="5321">
      <c r="A5321" t="inlineStr">
        <is>
          <t>14944943</t>
        </is>
      </c>
      <c r="B5321" t="inlineStr">
        <is>
          <t>31252671-2d97-41af-913c-b35c4a3adb2f</t>
        </is>
      </c>
      <c r="D5321" t="inlineStr">
        <is>
          <t>30001087</t>
        </is>
      </c>
      <c r="E5321" t="inlineStr">
        <is>
          <t>ussd_funeral_leads_altitude_20260619</t>
        </is>
      </c>
      <c r="J5321" t="inlineStr">
        <is>
          <t>NI</t>
        </is>
      </c>
      <c r="K5321" t="inlineStr">
        <is>
          <t>Not Interested</t>
        </is>
      </c>
      <c r="L5321" t="n">
        <v>2</v>
      </c>
      <c r="M5321" t="inlineStr">
        <is>
          <t>2026-06-22 09:29:35</t>
        </is>
      </c>
      <c r="N5321" t="inlineStr">
        <is>
          <t>Gontse Monageng</t>
        </is>
      </c>
      <c r="O5321" t="inlineStr">
        <is>
          <t>2026-06-19 07:10:32</t>
        </is>
      </c>
      <c r="P5321" t="inlineStr">
        <is>
          <t>2026-06-19 07:10:32</t>
        </is>
      </c>
      <c r="Y5321" t="inlineStr">
        <is>
          <t>27662301254</t>
        </is>
      </c>
    </row>
    <row r="5322">
      <c r="A5322" t="inlineStr">
        <is>
          <t>14944989</t>
        </is>
      </c>
      <c r="B5322" t="inlineStr">
        <is>
          <t>a12c3c04-762a-462a-b003-3cf28e544788</t>
        </is>
      </c>
      <c r="D5322" t="inlineStr">
        <is>
          <t>30001087</t>
        </is>
      </c>
      <c r="E5322" t="inlineStr">
        <is>
          <t>ussd_funeral_leads_altitude_20260619</t>
        </is>
      </c>
      <c r="J5322" t="inlineStr">
        <is>
          <t>NI</t>
        </is>
      </c>
      <c r="K5322" t="inlineStr">
        <is>
          <t>Not Interested</t>
        </is>
      </c>
      <c r="L5322" t="n">
        <v>2</v>
      </c>
      <c r="M5322" t="inlineStr">
        <is>
          <t>2026-06-22 09:27:06</t>
        </is>
      </c>
      <c r="N5322" t="inlineStr">
        <is>
          <t>Vuyiswa Nxumalo</t>
        </is>
      </c>
      <c r="O5322" t="inlineStr">
        <is>
          <t>2026-06-19 07:10:32</t>
        </is>
      </c>
      <c r="P5322" t="inlineStr">
        <is>
          <t>2026-06-19 07:10:32</t>
        </is>
      </c>
      <c r="Y5322" t="inlineStr">
        <is>
          <t>27636539536</t>
        </is>
      </c>
    </row>
    <row r="5323">
      <c r="A5323" t="inlineStr">
        <is>
          <t>14945081</t>
        </is>
      </c>
      <c r="B5323" t="inlineStr">
        <is>
          <t>52a46fea-8fc6-4c1e-8ce6-c94bb5e9c6d2</t>
        </is>
      </c>
      <c r="D5323" t="inlineStr">
        <is>
          <t>30001087</t>
        </is>
      </c>
      <c r="E5323" t="inlineStr">
        <is>
          <t>ussd_funeral_leads_altitude_20260619</t>
        </is>
      </c>
      <c r="J5323" t="inlineStr">
        <is>
          <t>NI</t>
        </is>
      </c>
      <c r="K5323" t="inlineStr">
        <is>
          <t>Not Interested</t>
        </is>
      </c>
      <c r="L5323" t="n">
        <v>2</v>
      </c>
      <c r="M5323" t="inlineStr">
        <is>
          <t>2026-06-22 09:21:45</t>
        </is>
      </c>
      <c r="N5323" t="inlineStr">
        <is>
          <t>Vuyiswa Nxumalo</t>
        </is>
      </c>
      <c r="O5323" t="inlineStr">
        <is>
          <t>2026-06-19 07:10:32</t>
        </is>
      </c>
      <c r="P5323" t="inlineStr">
        <is>
          <t>2026-06-19 07:10:32</t>
        </is>
      </c>
      <c r="Y5323" t="inlineStr">
        <is>
          <t>27799213846</t>
        </is>
      </c>
    </row>
    <row r="5324">
      <c r="A5324" t="inlineStr">
        <is>
          <t>14945117</t>
        </is>
      </c>
      <c r="B5324" t="inlineStr">
        <is>
          <t>e0c6fd44-ed9f-411a-be6b-086a9c5d15b4</t>
        </is>
      </c>
      <c r="D5324" t="inlineStr">
        <is>
          <t>30001087</t>
        </is>
      </c>
      <c r="E5324" t="inlineStr">
        <is>
          <t>ussd_funeral_leads_altitude_20260619</t>
        </is>
      </c>
      <c r="J5324" t="inlineStr">
        <is>
          <t>CBACK</t>
        </is>
      </c>
      <c r="K5324" t="inlineStr">
        <is>
          <t>Callback</t>
        </is>
      </c>
      <c r="L5324" t="n">
        <v>2</v>
      </c>
      <c r="M5324" t="inlineStr">
        <is>
          <t>2026-06-22 09:20:31</t>
        </is>
      </c>
      <c r="N5324" t="inlineStr">
        <is>
          <t>Bongiwe Precious Cele</t>
        </is>
      </c>
      <c r="O5324" t="inlineStr">
        <is>
          <t>2026-06-19 07:10:32</t>
        </is>
      </c>
      <c r="P5324" t="inlineStr">
        <is>
          <t>2026-06-19 07:10:32</t>
        </is>
      </c>
      <c r="Y5324" t="inlineStr">
        <is>
          <t>27797209986</t>
        </is>
      </c>
    </row>
    <row r="5325">
      <c r="A5325" t="inlineStr">
        <is>
          <t>14945225</t>
        </is>
      </c>
      <c r="B5325" t="inlineStr">
        <is>
          <t>d8e6b671-1f57-44bb-b794-81a851627956</t>
        </is>
      </c>
      <c r="D5325" t="inlineStr">
        <is>
          <t>30001087</t>
        </is>
      </c>
      <c r="E5325" t="inlineStr">
        <is>
          <t>ussd_funeral_leads_altitude_20260619</t>
        </is>
      </c>
      <c r="J5325" t="inlineStr">
        <is>
          <t>CUA</t>
        </is>
      </c>
      <c r="K5325" t="inlineStr">
        <is>
          <t>Client Underage</t>
        </is>
      </c>
      <c r="L5325" t="n">
        <v>2</v>
      </c>
      <c r="M5325" t="inlineStr">
        <is>
          <t>2026-06-22 09:17:07</t>
        </is>
      </c>
      <c r="N5325" t="inlineStr">
        <is>
          <t>Lebohang Mabotja</t>
        </is>
      </c>
      <c r="O5325" t="inlineStr">
        <is>
          <t>2026-06-19 07:10:32</t>
        </is>
      </c>
      <c r="P5325" t="inlineStr">
        <is>
          <t>2026-06-19 07:10:32</t>
        </is>
      </c>
      <c r="Y5325" t="inlineStr">
        <is>
          <t>27772819934</t>
        </is>
      </c>
    </row>
    <row r="5326">
      <c r="A5326" t="inlineStr">
        <is>
          <t>14945173</t>
        </is>
      </c>
      <c r="B5326" t="inlineStr">
        <is>
          <t>eeca6d5f-dfee-42d9-b1ea-7ba083869ef2</t>
        </is>
      </c>
      <c r="D5326" t="inlineStr">
        <is>
          <t>30001087</t>
        </is>
      </c>
      <c r="E5326" t="inlineStr">
        <is>
          <t>ussd_funeral_leads_altitude_20260619</t>
        </is>
      </c>
      <c r="J5326" t="inlineStr">
        <is>
          <t>U</t>
        </is>
      </c>
      <c r="K5326" t="inlineStr">
        <is>
          <t>Unemployed</t>
        </is>
      </c>
      <c r="L5326" t="n">
        <v>2</v>
      </c>
      <c r="M5326" t="inlineStr">
        <is>
          <t>2026-06-22 09:16:13</t>
        </is>
      </c>
      <c r="N5326" t="inlineStr">
        <is>
          <t>Bongiwe Precious Cele</t>
        </is>
      </c>
      <c r="O5326" t="inlineStr">
        <is>
          <t>2026-06-19 07:10:32</t>
        </is>
      </c>
      <c r="P5326" t="inlineStr">
        <is>
          <t>2026-06-19 07:10:32</t>
        </is>
      </c>
      <c r="Y5326" t="inlineStr">
        <is>
          <t>27797416759</t>
        </is>
      </c>
    </row>
    <row r="5327">
      <c r="A5327" t="inlineStr">
        <is>
          <t>14945170</t>
        </is>
      </c>
      <c r="B5327" t="inlineStr">
        <is>
          <t>3ad9a3c1-ef0c-44b6-a37a-9497ca4790e1</t>
        </is>
      </c>
      <c r="D5327" t="inlineStr">
        <is>
          <t>30001087</t>
        </is>
      </c>
      <c r="E5327" t="inlineStr">
        <is>
          <t>ussd_funeral_leads_altitude_20260619</t>
        </is>
      </c>
      <c r="J5327" t="inlineStr">
        <is>
          <t>CBACK</t>
        </is>
      </c>
      <c r="K5327" t="inlineStr">
        <is>
          <t>Callback</t>
        </is>
      </c>
      <c r="L5327" t="n">
        <v>2</v>
      </c>
      <c r="M5327" t="inlineStr">
        <is>
          <t>2026-06-22 09:15:37</t>
        </is>
      </c>
      <c r="N5327" t="inlineStr">
        <is>
          <t>Vuyiswa Nxumalo</t>
        </is>
      </c>
      <c r="O5327" t="inlineStr">
        <is>
          <t>2026-06-19 07:10:32</t>
        </is>
      </c>
      <c r="P5327" t="inlineStr">
        <is>
          <t>2026-06-19 07:10:32</t>
        </is>
      </c>
      <c r="Y5327" t="inlineStr">
        <is>
          <t>27774455121</t>
        </is>
      </c>
    </row>
    <row r="5328">
      <c r="A5328" t="inlineStr">
        <is>
          <t>14945555</t>
        </is>
      </c>
      <c r="B5328" t="inlineStr">
        <is>
          <t>65ea261f-888d-4601-969c-940512375f41</t>
        </is>
      </c>
      <c r="D5328" t="inlineStr">
        <is>
          <t>30001087</t>
        </is>
      </c>
      <c r="E5328" t="inlineStr">
        <is>
          <t>ussd_funeral_leads_altitude_20260619</t>
        </is>
      </c>
      <c r="J5328" t="inlineStr">
        <is>
          <t>QAVER</t>
        </is>
      </c>
      <c r="K5328" t="inlineStr">
        <is>
          <t>Sale Made</t>
        </is>
      </c>
      <c r="L5328" t="n">
        <v>3</v>
      </c>
      <c r="M5328" t="inlineStr">
        <is>
          <t>2026-06-22 09:14:59</t>
        </is>
      </c>
      <c r="N5328" t="inlineStr">
        <is>
          <t>Dimakatso Nkomo</t>
        </is>
      </c>
      <c r="O5328" t="inlineStr">
        <is>
          <t>2026-06-19 07:10:32</t>
        </is>
      </c>
      <c r="P5328" t="inlineStr">
        <is>
          <t>2026-06-19 07:10:32</t>
        </is>
      </c>
      <c r="Y5328" t="inlineStr">
        <is>
          <t>27646007182</t>
        </is>
      </c>
    </row>
    <row r="5329">
      <c r="A5329" t="inlineStr">
        <is>
          <t>14945319</t>
        </is>
      </c>
      <c r="B5329" t="inlineStr">
        <is>
          <t>33625771-c06c-47d7-b39b-82e3e2066ccd</t>
        </is>
      </c>
      <c r="D5329" t="inlineStr">
        <is>
          <t>30001087</t>
        </is>
      </c>
      <c r="E5329" t="inlineStr">
        <is>
          <t>ussd_funeral_leads_altitude_20260619</t>
        </is>
      </c>
      <c r="J5329" t="inlineStr">
        <is>
          <t>CBACK</t>
        </is>
      </c>
      <c r="K5329" t="inlineStr">
        <is>
          <t>Callback</t>
        </is>
      </c>
      <c r="L5329" t="n">
        <v>2</v>
      </c>
      <c r="M5329" t="inlineStr">
        <is>
          <t>2026-06-22 09:09:56</t>
        </is>
      </c>
      <c r="N5329" t="inlineStr">
        <is>
          <t>Gontse Monageng</t>
        </is>
      </c>
      <c r="O5329" t="inlineStr">
        <is>
          <t>2026-06-19 07:10:32</t>
        </is>
      </c>
      <c r="P5329" t="inlineStr">
        <is>
          <t>2026-06-19 07:10:32</t>
        </is>
      </c>
      <c r="Y5329" t="inlineStr">
        <is>
          <t>27713047991</t>
        </is>
      </c>
    </row>
    <row r="5330">
      <c r="A5330" t="inlineStr">
        <is>
          <t>14945305</t>
        </is>
      </c>
      <c r="B5330" t="inlineStr">
        <is>
          <t>0d43a77f-7c98-4196-b363-7882fd200109</t>
        </is>
      </c>
      <c r="D5330" t="inlineStr">
        <is>
          <t>30001087</t>
        </is>
      </c>
      <c r="E5330" t="inlineStr">
        <is>
          <t>ussd_funeral_leads_altitude_20260619</t>
        </is>
      </c>
      <c r="J5330" t="inlineStr">
        <is>
          <t>CUA</t>
        </is>
      </c>
      <c r="K5330" t="inlineStr">
        <is>
          <t>Client Underage</t>
        </is>
      </c>
      <c r="L5330" t="n">
        <v>2</v>
      </c>
      <c r="M5330" t="inlineStr">
        <is>
          <t>2026-06-22 09:09:39</t>
        </is>
      </c>
      <c r="N5330" t="inlineStr">
        <is>
          <t>Lebohang Mabotja</t>
        </is>
      </c>
      <c r="O5330" t="inlineStr">
        <is>
          <t>2026-06-19 07:10:32</t>
        </is>
      </c>
      <c r="P5330" t="inlineStr">
        <is>
          <t>2026-06-19 07:10:32</t>
        </is>
      </c>
      <c r="Y5330" t="inlineStr">
        <is>
          <t>27646035250</t>
        </is>
      </c>
    </row>
    <row r="5331">
      <c r="A5331" t="inlineStr">
        <is>
          <t>14945359</t>
        </is>
      </c>
      <c r="B5331" t="inlineStr">
        <is>
          <t>b72df8ee-590b-4e4c-adef-765a87b098cc</t>
        </is>
      </c>
      <c r="D5331" t="inlineStr">
        <is>
          <t>30001087</t>
        </is>
      </c>
      <c r="E5331" t="inlineStr">
        <is>
          <t>ussd_funeral_leads_altitude_20260619</t>
        </is>
      </c>
      <c r="J5331" t="inlineStr">
        <is>
          <t>U</t>
        </is>
      </c>
      <c r="K5331" t="inlineStr">
        <is>
          <t>Unemployed</t>
        </is>
      </c>
      <c r="L5331" t="n">
        <v>2</v>
      </c>
      <c r="M5331" t="inlineStr">
        <is>
          <t>2026-06-22 09:06:55</t>
        </is>
      </c>
      <c r="N5331" t="inlineStr">
        <is>
          <t>Lebohang Mabotja</t>
        </is>
      </c>
      <c r="O5331" t="inlineStr">
        <is>
          <t>2026-06-19 07:10:32</t>
        </is>
      </c>
      <c r="P5331" t="inlineStr">
        <is>
          <t>2026-06-19 07:10:32</t>
        </is>
      </c>
      <c r="Y5331" t="inlineStr">
        <is>
          <t>27799742411</t>
        </is>
      </c>
    </row>
    <row r="5332">
      <c r="A5332" t="inlineStr">
        <is>
          <t>14900000</t>
        </is>
      </c>
      <c r="B5332" t="inlineStr">
        <is>
          <t>16e0949a-80ef-46fc-bb5d-f0f9fc346c98</t>
        </is>
      </c>
      <c r="D5332" t="inlineStr">
        <is>
          <t>30001087</t>
        </is>
      </c>
      <c r="E5332" t="inlineStr">
        <is>
          <t>ussd_funeral_leads_altitude_20260619</t>
        </is>
      </c>
      <c r="H5332" t="inlineStr">
        <is>
          <t>27720292536</t>
        </is>
      </c>
      <c r="J5332" t="inlineStr">
        <is>
          <t>A</t>
        </is>
      </c>
      <c r="K5332" t="inlineStr">
        <is>
          <t>Answering Machine</t>
        </is>
      </c>
      <c r="L5332" t="n">
        <v>2</v>
      </c>
      <c r="M5332" t="inlineStr">
        <is>
          <t>2026-06-22 09:06:30</t>
        </is>
      </c>
      <c r="N5332" t="inlineStr">
        <is>
          <t>Vuyiswa Nxumalo</t>
        </is>
      </c>
      <c r="O5332" t="inlineStr">
        <is>
          <t>2026-06-19 07:10:32</t>
        </is>
      </c>
      <c r="P5332" t="inlineStr">
        <is>
          <t>2026-06-19 07:10:32</t>
        </is>
      </c>
      <c r="Y5332" t="inlineStr">
        <is>
          <t>27720292536</t>
        </is>
      </c>
    </row>
    <row r="5333">
      <c r="A5333" t="inlineStr">
        <is>
          <t>14945524</t>
        </is>
      </c>
      <c r="B5333" t="inlineStr">
        <is>
          <t>54c2f23d-43ec-4103-ad1b-81423a7a1811</t>
        </is>
      </c>
      <c r="D5333" t="inlineStr">
        <is>
          <t>30001087</t>
        </is>
      </c>
      <c r="E5333" t="inlineStr">
        <is>
          <t>ussd_funeral_leads_altitude_20260619</t>
        </is>
      </c>
      <c r="J5333" t="inlineStr">
        <is>
          <t>A</t>
        </is>
      </c>
      <c r="K5333" t="inlineStr">
        <is>
          <t>Answering Machine</t>
        </is>
      </c>
      <c r="L5333" t="n">
        <v>4</v>
      </c>
      <c r="M5333" t="inlineStr">
        <is>
          <t>2026-06-22 09:05:18</t>
        </is>
      </c>
      <c r="N5333" t="inlineStr">
        <is>
          <t>Dimakatso Nkomo</t>
        </is>
      </c>
      <c r="O5333" t="inlineStr">
        <is>
          <t>2026-06-19 07:10:32</t>
        </is>
      </c>
      <c r="P5333" t="inlineStr">
        <is>
          <t>2026-06-19 07:10:32</t>
        </is>
      </c>
      <c r="Y5333" t="inlineStr">
        <is>
          <t>27818999552</t>
        </is>
      </c>
    </row>
    <row r="5334">
      <c r="A5334" t="inlineStr">
        <is>
          <t>14945439</t>
        </is>
      </c>
      <c r="B5334" t="inlineStr">
        <is>
          <t>b302d9ca-1eeb-43bd-978c-fa3f51e504ce</t>
        </is>
      </c>
      <c r="D5334" t="inlineStr">
        <is>
          <t>30001087</t>
        </is>
      </c>
      <c r="E5334" t="inlineStr">
        <is>
          <t>ussd_funeral_leads_altitude_20260619</t>
        </is>
      </c>
      <c r="J5334" t="inlineStr">
        <is>
          <t>A</t>
        </is>
      </c>
      <c r="K5334" t="inlineStr">
        <is>
          <t>Answering Machine</t>
        </is>
      </c>
      <c r="L5334" t="n">
        <v>3</v>
      </c>
      <c r="M5334" t="inlineStr">
        <is>
          <t>2026-06-22 09:04:29</t>
        </is>
      </c>
      <c r="N5334" t="inlineStr">
        <is>
          <t>Goitsimang Mogwasa</t>
        </is>
      </c>
      <c r="O5334" t="inlineStr">
        <is>
          <t>2026-06-19 07:10:32</t>
        </is>
      </c>
      <c r="P5334" t="inlineStr">
        <is>
          <t>2026-06-19 07:10:32</t>
        </is>
      </c>
      <c r="Y5334" t="inlineStr">
        <is>
          <t>27720331270</t>
        </is>
      </c>
    </row>
    <row r="5335">
      <c r="A5335" t="inlineStr">
        <is>
          <t>14945383</t>
        </is>
      </c>
      <c r="B5335" t="inlineStr">
        <is>
          <t>abbde7a9-9f5d-4016-8177-e7b4b5c42412</t>
        </is>
      </c>
      <c r="D5335" t="inlineStr">
        <is>
          <t>30001087</t>
        </is>
      </c>
      <c r="E5335" t="inlineStr">
        <is>
          <t>ussd_funeral_leads_altitude_20260619</t>
        </is>
      </c>
      <c r="J5335" t="inlineStr">
        <is>
          <t>NI</t>
        </is>
      </c>
      <c r="K5335" t="inlineStr">
        <is>
          <t>Not Interested</t>
        </is>
      </c>
      <c r="L5335" t="n">
        <v>2</v>
      </c>
      <c r="M5335" t="inlineStr">
        <is>
          <t>2026-06-22 09:04:27</t>
        </is>
      </c>
      <c r="N5335" t="inlineStr">
        <is>
          <t>Vuyiswa Nxumalo</t>
        </is>
      </c>
      <c r="O5335" t="inlineStr">
        <is>
          <t>2026-06-19 07:10:32</t>
        </is>
      </c>
      <c r="P5335" t="inlineStr">
        <is>
          <t>2026-06-19 07:10:32</t>
        </is>
      </c>
      <c r="Y5335" t="inlineStr">
        <is>
          <t>27636152063</t>
        </is>
      </c>
    </row>
    <row r="5336">
      <c r="A5336" t="inlineStr">
        <is>
          <t>14945392</t>
        </is>
      </c>
      <c r="B5336" t="inlineStr">
        <is>
          <t>80929edb-8ec1-4846-90c8-d27765be5210</t>
        </is>
      </c>
      <c r="D5336" t="inlineStr">
        <is>
          <t>30001087</t>
        </is>
      </c>
      <c r="E5336" t="inlineStr">
        <is>
          <t>ussd_funeral_leads_altitude_20260619</t>
        </is>
      </c>
      <c r="J5336" t="inlineStr">
        <is>
          <t>NI</t>
        </is>
      </c>
      <c r="K5336" t="inlineStr">
        <is>
          <t>Not Interested</t>
        </is>
      </c>
      <c r="L5336" t="n">
        <v>2</v>
      </c>
      <c r="M5336" t="inlineStr">
        <is>
          <t>2026-06-22 09:04:24</t>
        </is>
      </c>
      <c r="N5336" t="inlineStr">
        <is>
          <t>Gontse Monageng</t>
        </is>
      </c>
      <c r="O5336" t="inlineStr">
        <is>
          <t>2026-06-19 07:10:32</t>
        </is>
      </c>
      <c r="P5336" t="inlineStr">
        <is>
          <t>2026-06-19 07:10:32</t>
        </is>
      </c>
      <c r="Y5336" t="inlineStr">
        <is>
          <t>27769447018</t>
        </is>
      </c>
    </row>
    <row r="5337">
      <c r="A5337" t="inlineStr">
        <is>
          <t>14945456</t>
        </is>
      </c>
      <c r="B5337" t="inlineStr">
        <is>
          <t>41e138d4-cb0a-4b9a-a969-9c14f50679c5</t>
        </is>
      </c>
      <c r="D5337" t="inlineStr">
        <is>
          <t>30001087</t>
        </is>
      </c>
      <c r="E5337" t="inlineStr">
        <is>
          <t>ussd_funeral_leads_altitude_20260619</t>
        </is>
      </c>
      <c r="J5337" t="inlineStr">
        <is>
          <t>AF</t>
        </is>
      </c>
      <c r="K5337" t="inlineStr">
        <is>
          <t>Cannot Afford</t>
        </is>
      </c>
      <c r="L5337" t="n">
        <v>2</v>
      </c>
      <c r="M5337" t="inlineStr">
        <is>
          <t>2026-06-22 08:48:37</t>
        </is>
      </c>
      <c r="N5337" t="inlineStr">
        <is>
          <t>Vuyiswa Nxumalo</t>
        </is>
      </c>
      <c r="O5337" t="inlineStr">
        <is>
          <t>2026-06-19 07:10:32</t>
        </is>
      </c>
      <c r="P5337" t="inlineStr">
        <is>
          <t>2026-06-19 07:10:32</t>
        </is>
      </c>
      <c r="Y5337" t="inlineStr">
        <is>
          <t>27820682776</t>
        </is>
      </c>
    </row>
    <row r="5338">
      <c r="A5338" t="inlineStr">
        <is>
          <t>14945614</t>
        </is>
      </c>
      <c r="B5338" t="inlineStr">
        <is>
          <t>1d8581d6-6bba-402c-851d-0707115c0a14</t>
        </is>
      </c>
      <c r="D5338" t="inlineStr">
        <is>
          <t>30001087</t>
        </is>
      </c>
      <c r="E5338" t="inlineStr">
        <is>
          <t>ussd_funeral_leads_altitude_20260619</t>
        </is>
      </c>
      <c r="J5338" t="inlineStr">
        <is>
          <t>A</t>
        </is>
      </c>
      <c r="K5338" t="inlineStr">
        <is>
          <t>Answering Machine</t>
        </is>
      </c>
      <c r="L5338" t="n">
        <v>3</v>
      </c>
      <c r="M5338" t="inlineStr">
        <is>
          <t>2026-06-22 08:44:47</t>
        </is>
      </c>
      <c r="N5338" t="inlineStr">
        <is>
          <t>Virginia Letsatsi</t>
        </is>
      </c>
      <c r="O5338" t="inlineStr">
        <is>
          <t>2026-06-19 07:10:32</t>
        </is>
      </c>
      <c r="P5338" t="inlineStr">
        <is>
          <t>2026-06-19 07:10:32</t>
        </is>
      </c>
      <c r="Y5338" t="inlineStr">
        <is>
          <t>27606777052</t>
        </is>
      </c>
    </row>
    <row r="5339">
      <c r="A5339" t="inlineStr">
        <is>
          <t>14945654</t>
        </is>
      </c>
      <c r="B5339" t="inlineStr">
        <is>
          <t>046afe17-95d1-4f12-9f1f-d7623c873da2</t>
        </is>
      </c>
      <c r="D5339" t="inlineStr">
        <is>
          <t>30001087</t>
        </is>
      </c>
      <c r="E5339" t="inlineStr">
        <is>
          <t>ussd_funeral_leads_altitude_20260619</t>
        </is>
      </c>
      <c r="J5339" t="inlineStr">
        <is>
          <t>LANG</t>
        </is>
      </c>
      <c r="K5339" t="inlineStr">
        <is>
          <t>Language Barrier</t>
        </is>
      </c>
      <c r="L5339" t="n">
        <v>2</v>
      </c>
      <c r="M5339" t="inlineStr">
        <is>
          <t>2026-06-22 08:42:05</t>
        </is>
      </c>
      <c r="N5339" t="inlineStr">
        <is>
          <t>Vuyiswa Nxumalo</t>
        </is>
      </c>
      <c r="O5339" t="inlineStr">
        <is>
          <t>2026-06-19 07:10:32</t>
        </is>
      </c>
      <c r="P5339" t="inlineStr">
        <is>
          <t>2026-06-19 07:10:32</t>
        </is>
      </c>
      <c r="Y5339" t="inlineStr">
        <is>
          <t>27799521657</t>
        </is>
      </c>
    </row>
    <row r="5340">
      <c r="A5340" t="inlineStr">
        <is>
          <t>14943571</t>
        </is>
      </c>
      <c r="B5340" t="inlineStr">
        <is>
          <t>156e69b7-e4f6-473e-b1e9-db1a9cd1c477</t>
        </is>
      </c>
      <c r="D5340" t="inlineStr">
        <is>
          <t>30001087</t>
        </is>
      </c>
      <c r="E5340" t="inlineStr">
        <is>
          <t>ussd_funeral_leads_altitude_20260619</t>
        </is>
      </c>
      <c r="J5340" t="inlineStr">
        <is>
          <t>AF</t>
        </is>
      </c>
      <c r="K5340" t="inlineStr">
        <is>
          <t>Cannot Afford</t>
        </is>
      </c>
      <c r="L5340" t="n">
        <v>2</v>
      </c>
      <c r="M5340" t="inlineStr">
        <is>
          <t>2026-06-22 08:39:31</t>
        </is>
      </c>
      <c r="N5340" t="inlineStr">
        <is>
          <t>Virginia Letsatsi</t>
        </is>
      </c>
      <c r="O5340" t="inlineStr">
        <is>
          <t>2026-06-19 07:10:32</t>
        </is>
      </c>
      <c r="P5340" t="inlineStr">
        <is>
          <t>2026-06-19 07:10:32</t>
        </is>
      </c>
      <c r="Y5340" t="inlineStr">
        <is>
          <t>27822370000</t>
        </is>
      </c>
    </row>
    <row r="5341">
      <c r="A5341" t="inlineStr">
        <is>
          <t>14943554</t>
        </is>
      </c>
      <c r="B5341" t="inlineStr">
        <is>
          <t>c76e8e32-7225-4bab-8eab-dddcbeac9465</t>
        </is>
      </c>
      <c r="D5341" t="inlineStr">
        <is>
          <t>30001087</t>
        </is>
      </c>
      <c r="E5341" t="inlineStr">
        <is>
          <t>ussd_funeral_leads_altitude_20260619</t>
        </is>
      </c>
      <c r="J5341" t="inlineStr">
        <is>
          <t>AA</t>
        </is>
      </c>
      <c r="K5341" t="inlineStr">
        <is>
          <t>Answering Machine Autodial</t>
        </is>
      </c>
      <c r="L5341" t="n">
        <v>2</v>
      </c>
      <c r="M5341" t="inlineStr">
        <is>
          <t>2026-06-22 08:36:30</t>
        </is>
      </c>
      <c r="N5341" t="inlineStr">
        <is>
          <t>system</t>
        </is>
      </c>
      <c r="O5341" t="inlineStr">
        <is>
          <t>2026-06-19 07:10:32</t>
        </is>
      </c>
      <c r="P5341" t="inlineStr">
        <is>
          <t>2026-06-19 07:10:32</t>
        </is>
      </c>
      <c r="Y5341" t="inlineStr">
        <is>
          <t>27607564391</t>
        </is>
      </c>
    </row>
    <row r="5342">
      <c r="A5342" t="inlineStr">
        <is>
          <t>14943564</t>
        </is>
      </c>
      <c r="B5342" t="inlineStr">
        <is>
          <t>1b7f035d-f9cf-428d-b8eb-a86e5d8037c1</t>
        </is>
      </c>
      <c r="D5342" t="inlineStr">
        <is>
          <t>30001087</t>
        </is>
      </c>
      <c r="E5342" t="inlineStr">
        <is>
          <t>ussd_funeral_leads_altitude_20260619</t>
        </is>
      </c>
      <c r="J5342" t="inlineStr">
        <is>
          <t>ADC</t>
        </is>
      </c>
      <c r="K5342" t="inlineStr">
        <is>
          <t>Auto Dial Disconnected</t>
        </is>
      </c>
      <c r="L5342" t="n">
        <v>2</v>
      </c>
      <c r="M5342" t="inlineStr">
        <is>
          <t>2026-06-22 08:36:17</t>
        </is>
      </c>
      <c r="N5342" t="inlineStr">
        <is>
          <t>system</t>
        </is>
      </c>
      <c r="O5342" t="inlineStr">
        <is>
          <t>2026-06-19 07:10:32</t>
        </is>
      </c>
      <c r="P5342" t="inlineStr">
        <is>
          <t>2026-06-19 07:10:32</t>
        </is>
      </c>
      <c r="Y5342" t="inlineStr">
        <is>
          <t>27792866367</t>
        </is>
      </c>
    </row>
    <row r="5343">
      <c r="A5343" t="inlineStr">
        <is>
          <t>14943575</t>
        </is>
      </c>
      <c r="B5343" t="inlineStr">
        <is>
          <t>da848be5-f882-4b6a-bef1-bbc49fa1aa6b</t>
        </is>
      </c>
      <c r="D5343" t="inlineStr">
        <is>
          <t>30001087</t>
        </is>
      </c>
      <c r="E5343" t="inlineStr">
        <is>
          <t>ussd_funeral_leads_altitude_20260619</t>
        </is>
      </c>
      <c r="J5343" t="inlineStr">
        <is>
          <t>NA</t>
        </is>
      </c>
      <c r="K5343" t="inlineStr">
        <is>
          <t>No Answer Autodial</t>
        </is>
      </c>
      <c r="L5343" t="n">
        <v>2</v>
      </c>
      <c r="M5343" t="inlineStr">
        <is>
          <t>2026-06-22 08:36:08</t>
        </is>
      </c>
      <c r="N5343" t="inlineStr">
        <is>
          <t>system</t>
        </is>
      </c>
      <c r="O5343" t="inlineStr">
        <is>
          <t>2026-06-19 07:10:32</t>
        </is>
      </c>
      <c r="P5343" t="inlineStr">
        <is>
          <t>2026-06-19 07:10:32</t>
        </is>
      </c>
      <c r="Y5343" t="inlineStr">
        <is>
          <t>27673031094</t>
        </is>
      </c>
    </row>
    <row r="5344">
      <c r="A5344" t="inlineStr">
        <is>
          <t>14945792</t>
        </is>
      </c>
      <c r="B5344" t="inlineStr">
        <is>
          <t>6991acdf-eaab-48cd-b53c-31a05abc8ca8</t>
        </is>
      </c>
      <c r="D5344" t="inlineStr">
        <is>
          <t>30001087</t>
        </is>
      </c>
      <c r="E5344" t="inlineStr">
        <is>
          <t>ussd_funeral_leads_altitude_20260619</t>
        </is>
      </c>
      <c r="J5344" t="inlineStr">
        <is>
          <t>GTTB</t>
        </is>
      </c>
      <c r="K5344" t="inlineStr">
        <is>
          <t>Go To The Branch</t>
        </is>
      </c>
      <c r="L5344" t="n">
        <v>2</v>
      </c>
      <c r="M5344" t="inlineStr">
        <is>
          <t>2026-06-22 08:35:41</t>
        </is>
      </c>
      <c r="N5344" t="inlineStr">
        <is>
          <t>Goitsimang Mogwasa</t>
        </is>
      </c>
      <c r="O5344" t="inlineStr">
        <is>
          <t>2026-06-19 07:10:32</t>
        </is>
      </c>
      <c r="P5344" t="inlineStr">
        <is>
          <t>2026-06-19 07:10:32</t>
        </is>
      </c>
      <c r="Y5344" t="inlineStr">
        <is>
          <t>27727146330</t>
        </is>
      </c>
    </row>
    <row r="5345">
      <c r="A5345" t="inlineStr">
        <is>
          <t>14943568</t>
        </is>
      </c>
      <c r="B5345" t="inlineStr">
        <is>
          <t>7ad68901-fb71-4635-8a68-9cf10529dc6c</t>
        </is>
      </c>
      <c r="D5345" t="inlineStr">
        <is>
          <t>30001087</t>
        </is>
      </c>
      <c r="E5345" t="inlineStr">
        <is>
          <t>ussd_funeral_leads_altitude_20260619</t>
        </is>
      </c>
      <c r="J5345" t="inlineStr">
        <is>
          <t>AA</t>
        </is>
      </c>
      <c r="K5345" t="inlineStr">
        <is>
          <t>Answering Machine Autodial</t>
        </is>
      </c>
      <c r="L5345" t="n">
        <v>2</v>
      </c>
      <c r="M5345" t="inlineStr">
        <is>
          <t>2026-06-22 08:34:45</t>
        </is>
      </c>
      <c r="N5345" t="inlineStr">
        <is>
          <t>system</t>
        </is>
      </c>
      <c r="O5345" t="inlineStr">
        <is>
          <t>2026-06-19 07:10:32</t>
        </is>
      </c>
      <c r="P5345" t="inlineStr">
        <is>
          <t>2026-06-19 07:10:32</t>
        </is>
      </c>
      <c r="Y5345" t="inlineStr">
        <is>
          <t>27648217504</t>
        </is>
      </c>
    </row>
    <row r="5346">
      <c r="A5346" t="inlineStr">
        <is>
          <t>14945804</t>
        </is>
      </c>
      <c r="B5346" t="inlineStr">
        <is>
          <t>0fe8b6dd-6b69-4ab0-9479-97bbb8f62436</t>
        </is>
      </c>
      <c r="D5346" t="inlineStr">
        <is>
          <t>30001087</t>
        </is>
      </c>
      <c r="E5346" t="inlineStr">
        <is>
          <t>ussd_funeral_leads_altitude_20260619</t>
        </is>
      </c>
      <c r="J5346" t="inlineStr">
        <is>
          <t>LANG</t>
        </is>
      </c>
      <c r="K5346" t="inlineStr">
        <is>
          <t>Language Barrier</t>
        </is>
      </c>
      <c r="L5346" t="n">
        <v>2</v>
      </c>
      <c r="M5346" t="inlineStr">
        <is>
          <t>2026-06-22 08:33:24</t>
        </is>
      </c>
      <c r="N5346" t="inlineStr">
        <is>
          <t>Tebogo Chauke</t>
        </is>
      </c>
      <c r="O5346" t="inlineStr">
        <is>
          <t>2026-06-19 07:10:32</t>
        </is>
      </c>
      <c r="P5346" t="inlineStr">
        <is>
          <t>2026-06-19 07:10:32</t>
        </is>
      </c>
      <c r="Y5346" t="inlineStr">
        <is>
          <t>27726191051</t>
        </is>
      </c>
    </row>
    <row r="5347">
      <c r="A5347" t="inlineStr">
        <is>
          <t>14943577</t>
        </is>
      </c>
      <c r="B5347" t="inlineStr">
        <is>
          <t>5b983422-d1d1-4f5e-afe9-24f58e64e057</t>
        </is>
      </c>
      <c r="D5347" t="inlineStr">
        <is>
          <t>30001087</t>
        </is>
      </c>
      <c r="E5347" t="inlineStr">
        <is>
          <t>ussd_funeral_leads_altitude_20260619</t>
        </is>
      </c>
      <c r="J5347" t="inlineStr">
        <is>
          <t>AA</t>
        </is>
      </c>
      <c r="K5347" t="inlineStr">
        <is>
          <t>Answering Machine Autodial</t>
        </is>
      </c>
      <c r="L5347" t="n">
        <v>2</v>
      </c>
      <c r="M5347" t="inlineStr">
        <is>
          <t>2026-06-22 08:33:19</t>
        </is>
      </c>
      <c r="N5347" t="inlineStr">
        <is>
          <t>system</t>
        </is>
      </c>
      <c r="O5347" t="inlineStr">
        <is>
          <t>2026-06-19 07:10:32</t>
        </is>
      </c>
      <c r="P5347" t="inlineStr">
        <is>
          <t>2026-06-19 07:10:32</t>
        </is>
      </c>
      <c r="Y5347" t="inlineStr">
        <is>
          <t>27795477616</t>
        </is>
      </c>
    </row>
    <row r="5348">
      <c r="A5348" t="inlineStr">
        <is>
          <t>14943584</t>
        </is>
      </c>
      <c r="B5348" t="inlineStr">
        <is>
          <t>fdbb7139-9bc1-4abc-97b7-6a52252cef46</t>
        </is>
      </c>
      <c r="D5348" t="inlineStr">
        <is>
          <t>30001087</t>
        </is>
      </c>
      <c r="E5348" t="inlineStr">
        <is>
          <t>ussd_funeral_leads_altitude_20260619</t>
        </is>
      </c>
      <c r="H5348" t="inlineStr">
        <is>
          <t>27722668791</t>
        </is>
      </c>
      <c r="J5348" t="inlineStr">
        <is>
          <t>NA</t>
        </is>
      </c>
      <c r="K5348" t="inlineStr">
        <is>
          <t>No Answer Autodial</t>
        </is>
      </c>
      <c r="L5348" t="n">
        <v>2</v>
      </c>
      <c r="M5348" t="inlineStr">
        <is>
          <t>2026-06-22 08:32:48</t>
        </is>
      </c>
      <c r="N5348" t="inlineStr">
        <is>
          <t>system</t>
        </is>
      </c>
      <c r="O5348" t="inlineStr">
        <is>
          <t>2026-06-19 07:10:32</t>
        </is>
      </c>
      <c r="P5348" t="inlineStr">
        <is>
          <t>2026-06-19 07:10:32</t>
        </is>
      </c>
      <c r="Y5348" t="inlineStr">
        <is>
          <t>27722668791</t>
        </is>
      </c>
    </row>
    <row r="5349">
      <c r="A5349" t="inlineStr">
        <is>
          <t>14943581</t>
        </is>
      </c>
      <c r="B5349" t="inlineStr">
        <is>
          <t>1f1ded12-64d0-4fe4-b548-36f864d43453</t>
        </is>
      </c>
      <c r="D5349" t="inlineStr">
        <is>
          <t>30001087</t>
        </is>
      </c>
      <c r="E5349" t="inlineStr">
        <is>
          <t>ussd_funeral_leads_altitude_20260619</t>
        </is>
      </c>
      <c r="J5349" t="inlineStr">
        <is>
          <t>CU</t>
        </is>
      </c>
      <c r="K5349" t="inlineStr">
        <is>
          <t>Client Hung Up</t>
        </is>
      </c>
      <c r="L5349" t="n">
        <v>2</v>
      </c>
      <c r="M5349" t="inlineStr">
        <is>
          <t>2026-06-22 08:31:47</t>
        </is>
      </c>
      <c r="N5349" t="inlineStr">
        <is>
          <t>Goitsimang Mogwasa</t>
        </is>
      </c>
      <c r="O5349" t="inlineStr">
        <is>
          <t>2026-06-19 07:10:32</t>
        </is>
      </c>
      <c r="P5349" t="inlineStr">
        <is>
          <t>2026-06-19 07:10:32</t>
        </is>
      </c>
      <c r="Y5349" t="inlineStr">
        <is>
          <t>27790411874</t>
        </is>
      </c>
    </row>
    <row r="5350">
      <c r="A5350" t="inlineStr">
        <is>
          <t>14945890</t>
        </is>
      </c>
      <c r="B5350" t="inlineStr">
        <is>
          <t>471f7dfe-17b8-47c3-ab3e-b2213a986f42</t>
        </is>
      </c>
      <c r="D5350" t="inlineStr">
        <is>
          <t>30001087</t>
        </is>
      </c>
      <c r="E5350" t="inlineStr">
        <is>
          <t>ussd_funeral_leads_altitude_20260619</t>
        </is>
      </c>
      <c r="J5350" t="inlineStr">
        <is>
          <t>CUA</t>
        </is>
      </c>
      <c r="K5350" t="inlineStr">
        <is>
          <t>Client Underage</t>
        </is>
      </c>
      <c r="L5350" t="n">
        <v>2</v>
      </c>
      <c r="M5350" t="inlineStr">
        <is>
          <t>2026-06-22 08:31:43</t>
        </is>
      </c>
      <c r="N5350" t="inlineStr">
        <is>
          <t>Tebogo Chauke</t>
        </is>
      </c>
      <c r="O5350" t="inlineStr">
        <is>
          <t>2026-06-19 07:10:32</t>
        </is>
      </c>
      <c r="P5350" t="inlineStr">
        <is>
          <t>2026-06-19 07:10:32</t>
        </is>
      </c>
      <c r="Y5350" t="inlineStr">
        <is>
          <t>27765568369</t>
        </is>
      </c>
    </row>
    <row r="5351">
      <c r="A5351" t="inlineStr">
        <is>
          <t>14943594</t>
        </is>
      </c>
      <c r="B5351" t="inlineStr">
        <is>
          <t>68a17ee8-00d1-43d3-9988-dcca084779a4</t>
        </is>
      </c>
      <c r="D5351" t="inlineStr">
        <is>
          <t>30001087</t>
        </is>
      </c>
      <c r="E5351" t="inlineStr">
        <is>
          <t>ussd_funeral_leads_altitude_20260619</t>
        </is>
      </c>
      <c r="J5351" t="inlineStr">
        <is>
          <t>AA</t>
        </is>
      </c>
      <c r="K5351" t="inlineStr">
        <is>
          <t>Answering Machine Autodial</t>
        </is>
      </c>
      <c r="L5351" t="n">
        <v>2</v>
      </c>
      <c r="M5351" t="inlineStr">
        <is>
          <t>2026-06-22 08:30:42</t>
        </is>
      </c>
      <c r="N5351" t="inlineStr">
        <is>
          <t>system</t>
        </is>
      </c>
      <c r="O5351" t="inlineStr">
        <is>
          <t>2026-06-19 07:10:32</t>
        </is>
      </c>
      <c r="P5351" t="inlineStr">
        <is>
          <t>2026-06-19 07:10:32</t>
        </is>
      </c>
      <c r="Y5351" t="inlineStr">
        <is>
          <t>27799798179</t>
        </is>
      </c>
    </row>
    <row r="5352">
      <c r="A5352" t="inlineStr">
        <is>
          <t>14945884</t>
        </is>
      </c>
      <c r="B5352" t="inlineStr">
        <is>
          <t>7b742122-b3b2-453c-b75f-bf9abe08df3e</t>
        </is>
      </c>
      <c r="D5352" t="inlineStr">
        <is>
          <t>30001087</t>
        </is>
      </c>
      <c r="E5352" t="inlineStr">
        <is>
          <t>ussd_funeral_leads_altitude_20260619</t>
        </is>
      </c>
      <c r="J5352" t="inlineStr">
        <is>
          <t>CBACK</t>
        </is>
      </c>
      <c r="K5352" t="inlineStr">
        <is>
          <t>Callback</t>
        </is>
      </c>
      <c r="L5352" t="n">
        <v>2</v>
      </c>
      <c r="M5352" t="inlineStr">
        <is>
          <t>2026-06-22 08:30:11</t>
        </is>
      </c>
      <c r="N5352" t="inlineStr">
        <is>
          <t>Gontse Monageng</t>
        </is>
      </c>
      <c r="O5352" t="inlineStr">
        <is>
          <t>2026-06-19 07:10:32</t>
        </is>
      </c>
      <c r="P5352" t="inlineStr">
        <is>
          <t>2026-06-19 07:10:32</t>
        </is>
      </c>
      <c r="Y5352" t="inlineStr">
        <is>
          <t>27663688735</t>
        </is>
      </c>
    </row>
    <row r="5353">
      <c r="A5353" t="inlineStr">
        <is>
          <t>14943596</t>
        </is>
      </c>
      <c r="B5353" t="inlineStr">
        <is>
          <t>a407dc44-4741-4b1e-a844-6428e09cecf7</t>
        </is>
      </c>
      <c r="D5353" t="inlineStr">
        <is>
          <t>30001087</t>
        </is>
      </c>
      <c r="E5353" t="inlineStr">
        <is>
          <t>ussd_funeral_leads_altitude_20260619</t>
        </is>
      </c>
      <c r="J5353" t="inlineStr">
        <is>
          <t>AA</t>
        </is>
      </c>
      <c r="K5353" t="inlineStr">
        <is>
          <t>Answering Machine Autodial</t>
        </is>
      </c>
      <c r="L5353" t="n">
        <v>2</v>
      </c>
      <c r="M5353" t="inlineStr">
        <is>
          <t>2026-06-22 08:29:14</t>
        </is>
      </c>
      <c r="N5353" t="inlineStr">
        <is>
          <t>system</t>
        </is>
      </c>
      <c r="O5353" t="inlineStr">
        <is>
          <t>2026-06-19 07:10:32</t>
        </is>
      </c>
      <c r="P5353" t="inlineStr">
        <is>
          <t>2026-06-19 07:10:32</t>
        </is>
      </c>
      <c r="Y5353" t="inlineStr">
        <is>
          <t>27723990981</t>
        </is>
      </c>
    </row>
    <row r="5354">
      <c r="A5354" t="inlineStr">
        <is>
          <t>14943592</t>
        </is>
      </c>
      <c r="B5354" t="inlineStr">
        <is>
          <t>d8a68945-9751-41d2-a76e-db0f15203b21</t>
        </is>
      </c>
      <c r="D5354" t="inlineStr">
        <is>
          <t>30001087</t>
        </is>
      </c>
      <c r="E5354" t="inlineStr">
        <is>
          <t>ussd_funeral_leads_altitude_20260619</t>
        </is>
      </c>
      <c r="J5354" t="inlineStr">
        <is>
          <t>ADC</t>
        </is>
      </c>
      <c r="K5354" t="inlineStr">
        <is>
          <t>Auto Dial Disconnected</t>
        </is>
      </c>
      <c r="L5354" t="n">
        <v>2</v>
      </c>
      <c r="M5354" t="inlineStr">
        <is>
          <t>2026-06-22 08:28:29</t>
        </is>
      </c>
      <c r="N5354" t="inlineStr">
        <is>
          <t>system</t>
        </is>
      </c>
      <c r="O5354" t="inlineStr">
        <is>
          <t>2026-06-19 07:10:32</t>
        </is>
      </c>
      <c r="P5354" t="inlineStr">
        <is>
          <t>2026-06-19 07:10:32</t>
        </is>
      </c>
      <c r="Y5354" t="inlineStr">
        <is>
          <t>27664730682</t>
        </is>
      </c>
    </row>
    <row r="5355">
      <c r="A5355" t="inlineStr">
        <is>
          <t>14943603</t>
        </is>
      </c>
      <c r="B5355" t="inlineStr">
        <is>
          <t>7f1ad275-ee65-4b19-aa8f-9f3eb1b42956</t>
        </is>
      </c>
      <c r="D5355" t="inlineStr">
        <is>
          <t>30001087</t>
        </is>
      </c>
      <c r="E5355" t="inlineStr">
        <is>
          <t>ussd_funeral_leads_altitude_20260619</t>
        </is>
      </c>
      <c r="J5355" t="inlineStr">
        <is>
          <t>AA</t>
        </is>
      </c>
      <c r="K5355" t="inlineStr">
        <is>
          <t>Answering Machine Autodial</t>
        </is>
      </c>
      <c r="L5355" t="n">
        <v>2</v>
      </c>
      <c r="M5355" t="inlineStr">
        <is>
          <t>2026-06-22 08:28:17</t>
        </is>
      </c>
      <c r="N5355" t="inlineStr">
        <is>
          <t>system</t>
        </is>
      </c>
      <c r="O5355" t="inlineStr">
        <is>
          <t>2026-06-19 07:10:32</t>
        </is>
      </c>
      <c r="P5355" t="inlineStr">
        <is>
          <t>2026-06-19 07:10:32</t>
        </is>
      </c>
      <c r="Y5355" t="inlineStr">
        <is>
          <t>27763123482</t>
        </is>
      </c>
    </row>
    <row r="5356">
      <c r="A5356" t="inlineStr">
        <is>
          <t>14943602</t>
        </is>
      </c>
      <c r="B5356" t="inlineStr">
        <is>
          <t>b6eb50cc-54e1-452f-a048-c9c861cb9b8d</t>
        </is>
      </c>
      <c r="D5356" t="inlineStr">
        <is>
          <t>30001087</t>
        </is>
      </c>
      <c r="E5356" t="inlineStr">
        <is>
          <t>ussd_funeral_leads_altitude_20260619</t>
        </is>
      </c>
      <c r="J5356" t="inlineStr">
        <is>
          <t>AA</t>
        </is>
      </c>
      <c r="K5356" t="inlineStr">
        <is>
          <t>Answering Machine Autodial</t>
        </is>
      </c>
      <c r="L5356" t="n">
        <v>2</v>
      </c>
      <c r="M5356" t="inlineStr">
        <is>
          <t>2026-06-22 08:28:11</t>
        </is>
      </c>
      <c r="N5356" t="inlineStr">
        <is>
          <t>system</t>
        </is>
      </c>
      <c r="O5356" t="inlineStr">
        <is>
          <t>2026-06-19 07:10:32</t>
        </is>
      </c>
      <c r="P5356" t="inlineStr">
        <is>
          <t>2026-06-19 07:10:32</t>
        </is>
      </c>
      <c r="Y5356" t="inlineStr">
        <is>
          <t>27674958383</t>
        </is>
      </c>
    </row>
    <row r="5357">
      <c r="A5357" t="inlineStr">
        <is>
          <t>14945904</t>
        </is>
      </c>
      <c r="B5357" t="inlineStr">
        <is>
          <t>d4031270-f820-4d9c-9b5f-f33e6893419d</t>
        </is>
      </c>
      <c r="D5357" t="inlineStr">
        <is>
          <t>30001087</t>
        </is>
      </c>
      <c r="E5357" t="inlineStr">
        <is>
          <t>ussd_funeral_leads_altitude_20260619</t>
        </is>
      </c>
      <c r="J5357" t="inlineStr">
        <is>
          <t>CBACK</t>
        </is>
      </c>
      <c r="K5357" t="inlineStr">
        <is>
          <t>Callback</t>
        </is>
      </c>
      <c r="L5357" t="n">
        <v>2</v>
      </c>
      <c r="M5357" t="inlineStr">
        <is>
          <t>2026-06-22 08:28:11</t>
        </is>
      </c>
      <c r="N5357" t="inlineStr">
        <is>
          <t>Gontse Monageng</t>
        </is>
      </c>
      <c r="O5357" t="inlineStr">
        <is>
          <t>2026-06-19 07:10:32</t>
        </is>
      </c>
      <c r="P5357" t="inlineStr">
        <is>
          <t>2026-06-19 07:10:32</t>
        </is>
      </c>
      <c r="Y5357" t="inlineStr">
        <is>
          <t>27818717149</t>
        </is>
      </c>
    </row>
    <row r="5358">
      <c r="A5358" t="inlineStr">
        <is>
          <t>14943041</t>
        </is>
      </c>
      <c r="B5358" t="inlineStr">
        <is>
          <t>ffeb0236-83fa-42b3-a019-8d20ef7f13fd</t>
        </is>
      </c>
      <c r="D5358" t="inlineStr">
        <is>
          <t>30001087</t>
        </is>
      </c>
      <c r="E5358" t="inlineStr">
        <is>
          <t>ussd_funeral_leads_altitude_20260619</t>
        </is>
      </c>
      <c r="J5358" t="inlineStr">
        <is>
          <t>NI</t>
        </is>
      </c>
      <c r="K5358" t="inlineStr">
        <is>
          <t>Not Interested</t>
        </is>
      </c>
      <c r="L5358" t="n">
        <v>2</v>
      </c>
      <c r="M5358" t="inlineStr">
        <is>
          <t>2026-06-22 08:23:35</t>
        </is>
      </c>
      <c r="N5358" t="inlineStr">
        <is>
          <t>Goitsimang Mogwasa</t>
        </is>
      </c>
      <c r="O5358" t="inlineStr">
        <is>
          <t>2026-06-19 07:10:32</t>
        </is>
      </c>
      <c r="P5358" t="inlineStr">
        <is>
          <t>2026-06-19 07:10:32</t>
        </is>
      </c>
      <c r="Y5358" t="inlineStr">
        <is>
          <t>27829397333</t>
        </is>
      </c>
    </row>
    <row r="5359">
      <c r="A5359" t="inlineStr">
        <is>
          <t>14946792</t>
        </is>
      </c>
      <c r="B5359" t="inlineStr">
        <is>
          <t>fc2c30e0-ce25-4cf5-8f08-7c7c60df7551</t>
        </is>
      </c>
      <c r="D5359" t="inlineStr">
        <is>
          <t>30001087</t>
        </is>
      </c>
      <c r="E5359" t="inlineStr">
        <is>
          <t>ussd_funeral_leads_altitude_20260619</t>
        </is>
      </c>
      <c r="H5359" t="inlineStr">
        <is>
          <t>27772726858</t>
        </is>
      </c>
      <c r="J5359" t="inlineStr">
        <is>
          <t>CUA</t>
        </is>
      </c>
      <c r="K5359" t="inlineStr">
        <is>
          <t>Client Underage</t>
        </is>
      </c>
      <c r="L5359" t="n">
        <v>1</v>
      </c>
      <c r="M5359" t="inlineStr">
        <is>
          <t>2026-06-22 08:19:49</t>
        </is>
      </c>
      <c r="N5359" t="inlineStr">
        <is>
          <t>Virginia Letsatsi</t>
        </is>
      </c>
      <c r="O5359" t="inlineStr">
        <is>
          <t>2026-06-19 07:10:32</t>
        </is>
      </c>
      <c r="P5359" t="inlineStr">
        <is>
          <t>2026-06-19 07:10:32</t>
        </is>
      </c>
      <c r="Y5359" t="inlineStr">
        <is>
          <t>27772726858</t>
        </is>
      </c>
    </row>
    <row r="5360">
      <c r="A5360" t="inlineStr">
        <is>
          <t>14946663</t>
        </is>
      </c>
      <c r="B5360" t="inlineStr">
        <is>
          <t>071d0bd3-96bc-45e3-ba57-3e31c2110a63</t>
        </is>
      </c>
      <c r="D5360" t="inlineStr">
        <is>
          <t>30001087</t>
        </is>
      </c>
      <c r="E5360" t="inlineStr">
        <is>
          <t>ussd_funeral_leads_altitude_20260619</t>
        </is>
      </c>
      <c r="J5360" t="inlineStr">
        <is>
          <t>CBACK</t>
        </is>
      </c>
      <c r="K5360" t="inlineStr">
        <is>
          <t>Callback</t>
        </is>
      </c>
      <c r="L5360" t="n">
        <v>1</v>
      </c>
      <c r="M5360" t="inlineStr">
        <is>
          <t>2026-06-22 08:18:29</t>
        </is>
      </c>
      <c r="N5360" t="inlineStr">
        <is>
          <t>Gontse Monageng</t>
        </is>
      </c>
      <c r="O5360" t="inlineStr">
        <is>
          <t>2026-06-19 07:10:32</t>
        </is>
      </c>
      <c r="P5360" t="inlineStr">
        <is>
          <t>2026-06-19 07:10:32</t>
        </is>
      </c>
      <c r="Y5360" t="inlineStr">
        <is>
          <t>27798720492</t>
        </is>
      </c>
    </row>
    <row r="5361">
      <c r="A5361" t="inlineStr">
        <is>
          <t>14946287</t>
        </is>
      </c>
      <c r="B5361" t="inlineStr">
        <is>
          <t>be8269fc-2028-41e1-a9a4-264f8cae37c5</t>
        </is>
      </c>
      <c r="D5361" t="inlineStr">
        <is>
          <t>30001087</t>
        </is>
      </c>
      <c r="E5361" t="inlineStr">
        <is>
          <t>ussd_funeral_leads_altitude_20260619</t>
        </is>
      </c>
      <c r="J5361" t="inlineStr">
        <is>
          <t>N</t>
        </is>
      </c>
      <c r="K5361" t="inlineStr">
        <is>
          <t>No Answer</t>
        </is>
      </c>
      <c r="L5361" t="n">
        <v>3</v>
      </c>
      <c r="M5361" t="inlineStr">
        <is>
          <t>2026-06-22 08:17:28</t>
        </is>
      </c>
      <c r="N5361" t="inlineStr">
        <is>
          <t>Lebohang Mabotja</t>
        </is>
      </c>
      <c r="O5361" t="inlineStr">
        <is>
          <t>2026-06-19 07:10:32</t>
        </is>
      </c>
      <c r="P5361" t="inlineStr">
        <is>
          <t>2026-06-19 07:10:32</t>
        </is>
      </c>
      <c r="Y5361" t="inlineStr">
        <is>
          <t>27728953051</t>
        </is>
      </c>
    </row>
    <row r="5362">
      <c r="A5362" t="inlineStr">
        <is>
          <t>14947105</t>
        </is>
      </c>
      <c r="B5362" t="inlineStr">
        <is>
          <t>bcbe02eb-d48f-43d3-8829-7eb8bdf95872</t>
        </is>
      </c>
      <c r="D5362" t="inlineStr">
        <is>
          <t>30001087</t>
        </is>
      </c>
      <c r="E5362" t="inlineStr">
        <is>
          <t>ussd_funeral_leads_altitude_20260619</t>
        </is>
      </c>
      <c r="J5362" t="inlineStr">
        <is>
          <t>LANG</t>
        </is>
      </c>
      <c r="K5362" t="inlineStr">
        <is>
          <t>Language Barrier</t>
        </is>
      </c>
      <c r="L5362" t="n">
        <v>1</v>
      </c>
      <c r="M5362" t="inlineStr">
        <is>
          <t>2026-06-22 08:11:00</t>
        </is>
      </c>
      <c r="N5362" t="inlineStr">
        <is>
          <t>Lebohang Mabotja</t>
        </is>
      </c>
      <c r="O5362" t="inlineStr">
        <is>
          <t>2026-06-19 07:10:32</t>
        </is>
      </c>
      <c r="P5362" t="inlineStr">
        <is>
          <t>2026-06-19 07:10:32</t>
        </is>
      </c>
      <c r="Y5362" t="inlineStr">
        <is>
          <t>27675650628</t>
        </is>
      </c>
    </row>
    <row r="5363">
      <c r="A5363" t="inlineStr">
        <is>
          <t>14947113</t>
        </is>
      </c>
      <c r="B5363" t="inlineStr">
        <is>
          <t>ca5af8c7-7ee2-401b-b4a7-a5908dbd570e</t>
        </is>
      </c>
      <c r="D5363" t="inlineStr">
        <is>
          <t>30001087</t>
        </is>
      </c>
      <c r="E5363" t="inlineStr">
        <is>
          <t>ussd_funeral_leads_altitude_20260619</t>
        </is>
      </c>
      <c r="J5363" t="inlineStr">
        <is>
          <t>AF</t>
        </is>
      </c>
      <c r="K5363" t="inlineStr">
        <is>
          <t>Cannot Afford</t>
        </is>
      </c>
      <c r="L5363" t="n">
        <v>1</v>
      </c>
      <c r="M5363" t="inlineStr">
        <is>
          <t>2026-06-22 08:09:50</t>
        </is>
      </c>
      <c r="N5363" t="inlineStr">
        <is>
          <t>Vuyiswa Nxumalo</t>
        </is>
      </c>
      <c r="O5363" t="inlineStr">
        <is>
          <t>2026-06-19 07:10:32</t>
        </is>
      </c>
      <c r="P5363" t="inlineStr">
        <is>
          <t>2026-06-19 07:10:32</t>
        </is>
      </c>
      <c r="Y5363" t="inlineStr">
        <is>
          <t>27827768622</t>
        </is>
      </c>
    </row>
    <row r="5364">
      <c r="A5364" t="inlineStr">
        <is>
          <t>14943644</t>
        </is>
      </c>
      <c r="B5364" t="inlineStr">
        <is>
          <t>18d129eb-7a40-49b9-bf48-0f600dceb216</t>
        </is>
      </c>
      <c r="D5364" t="inlineStr">
        <is>
          <t>30001087</t>
        </is>
      </c>
      <c r="E5364" t="inlineStr">
        <is>
          <t>ussd_funeral_leads_altitude_20260619</t>
        </is>
      </c>
      <c r="J5364" t="inlineStr">
        <is>
          <t>CU</t>
        </is>
      </c>
      <c r="K5364" t="inlineStr">
        <is>
          <t>Client Hung Up</t>
        </is>
      </c>
      <c r="L5364" t="n">
        <v>2</v>
      </c>
      <c r="M5364" t="inlineStr">
        <is>
          <t>2026-06-22 08:06:36</t>
        </is>
      </c>
      <c r="N5364" t="inlineStr">
        <is>
          <t>Vuyiswa Nxumalo</t>
        </is>
      </c>
      <c r="O5364" t="inlineStr">
        <is>
          <t>2026-06-19 07:10:32</t>
        </is>
      </c>
      <c r="P5364" t="inlineStr">
        <is>
          <t>2026-06-19 07:10:32</t>
        </is>
      </c>
      <c r="Y5364" t="inlineStr">
        <is>
          <t>27636540983</t>
        </is>
      </c>
    </row>
    <row r="5365">
      <c r="A5365" t="inlineStr">
        <is>
          <t>14947243</t>
        </is>
      </c>
      <c r="B5365" t="inlineStr">
        <is>
          <t>27b0e205-5008-4252-95fd-20ed579447b0</t>
        </is>
      </c>
      <c r="D5365" t="inlineStr">
        <is>
          <t>30001087</t>
        </is>
      </c>
      <c r="E5365" t="inlineStr">
        <is>
          <t>ussd_funeral_leads_altitude_20260619</t>
        </is>
      </c>
      <c r="J5365" t="inlineStr">
        <is>
          <t>U</t>
        </is>
      </c>
      <c r="K5365" t="inlineStr">
        <is>
          <t>Unemployed</t>
        </is>
      </c>
      <c r="L5365" t="n">
        <v>1</v>
      </c>
      <c r="M5365" t="inlineStr">
        <is>
          <t>2026-06-22 08:04:41</t>
        </is>
      </c>
      <c r="N5365" t="inlineStr">
        <is>
          <t>Virginia Letsatsi</t>
        </is>
      </c>
      <c r="O5365" t="inlineStr">
        <is>
          <t>2026-06-19 07:10:32</t>
        </is>
      </c>
      <c r="P5365" t="inlineStr">
        <is>
          <t>2026-06-19 07:10:32</t>
        </is>
      </c>
      <c r="Y5365" t="inlineStr">
        <is>
          <t>27636879913</t>
        </is>
      </c>
    </row>
    <row r="5366">
      <c r="A5366" t="inlineStr">
        <is>
          <t>14947392</t>
        </is>
      </c>
      <c r="B5366" t="inlineStr">
        <is>
          <t>08879972-43e6-490c-ae96-9093ee1e607d</t>
        </is>
      </c>
      <c r="D5366" t="inlineStr">
        <is>
          <t>30001087</t>
        </is>
      </c>
      <c r="E5366" t="inlineStr">
        <is>
          <t>ussd_funeral_leads_altitude_20260619</t>
        </is>
      </c>
      <c r="J5366" t="inlineStr">
        <is>
          <t>QAVER</t>
        </is>
      </c>
      <c r="K5366" t="inlineStr">
        <is>
          <t>Sale Made</t>
        </is>
      </c>
      <c r="L5366" t="n">
        <v>1</v>
      </c>
      <c r="M5366" t="inlineStr">
        <is>
          <t>2026-06-22 08:01:19</t>
        </is>
      </c>
      <c r="N5366" t="inlineStr">
        <is>
          <t>Dimakatso Nkomo</t>
        </is>
      </c>
      <c r="O5366" t="inlineStr">
        <is>
          <t>2026-06-19 07:10:32</t>
        </is>
      </c>
      <c r="P5366" t="inlineStr">
        <is>
          <t>2026-06-19 07:10:32</t>
        </is>
      </c>
      <c r="Y5366" t="inlineStr">
        <is>
          <t>27825904894</t>
        </is>
      </c>
    </row>
    <row r="5367">
      <c r="A5367" t="inlineStr">
        <is>
          <t>14947698</t>
        </is>
      </c>
      <c r="B5367" t="inlineStr">
        <is>
          <t>c4da1d56-5786-406d-9665-6adcd0f4e8cf</t>
        </is>
      </c>
      <c r="D5367" t="inlineStr">
        <is>
          <t>30001087</t>
        </is>
      </c>
      <c r="E5367" t="inlineStr">
        <is>
          <t>ussd_funeral_leads_altitude_20260619</t>
        </is>
      </c>
      <c r="J5367" t="inlineStr">
        <is>
          <t>AF</t>
        </is>
      </c>
      <c r="K5367" t="inlineStr">
        <is>
          <t>Cannot Afford</t>
        </is>
      </c>
      <c r="L5367" t="n">
        <v>1</v>
      </c>
      <c r="M5367" t="inlineStr">
        <is>
          <t>2026-06-22 07:57:13</t>
        </is>
      </c>
      <c r="N5367" t="inlineStr">
        <is>
          <t>Dimakatso Nkomo</t>
        </is>
      </c>
      <c r="O5367" t="inlineStr">
        <is>
          <t>2026-06-19 07:10:32</t>
        </is>
      </c>
      <c r="P5367" t="inlineStr">
        <is>
          <t>2026-06-19 07:10:32</t>
        </is>
      </c>
      <c r="Y5367" t="inlineStr">
        <is>
          <t>27818811971</t>
        </is>
      </c>
    </row>
    <row r="5368">
      <c r="A5368" t="inlineStr">
        <is>
          <t>14947727</t>
        </is>
      </c>
      <c r="B5368" t="inlineStr">
        <is>
          <t>c8b23074-181a-487d-b8ed-0a11e99979e4</t>
        </is>
      </c>
      <c r="D5368" t="inlineStr">
        <is>
          <t>30001087</t>
        </is>
      </c>
      <c r="E5368" t="inlineStr">
        <is>
          <t>ussd_funeral_leads_altitude_20260619</t>
        </is>
      </c>
      <c r="J5368" t="inlineStr">
        <is>
          <t>U</t>
        </is>
      </c>
      <c r="K5368" t="inlineStr">
        <is>
          <t>Unemployed</t>
        </is>
      </c>
      <c r="L5368" t="n">
        <v>1</v>
      </c>
      <c r="M5368" t="inlineStr">
        <is>
          <t>2026-06-22 07:56:09</t>
        </is>
      </c>
      <c r="N5368" t="inlineStr">
        <is>
          <t>Lebohang Mabotja</t>
        </is>
      </c>
      <c r="O5368" t="inlineStr">
        <is>
          <t>2026-06-19 07:10:32</t>
        </is>
      </c>
      <c r="P5368" t="inlineStr">
        <is>
          <t>2026-06-19 07:10:32</t>
        </is>
      </c>
      <c r="Y5368" t="inlineStr">
        <is>
          <t>27729425999</t>
        </is>
      </c>
    </row>
    <row r="5369">
      <c r="A5369" t="inlineStr">
        <is>
          <t>14947820</t>
        </is>
      </c>
      <c r="B5369" t="inlineStr">
        <is>
          <t>f5bee691-5808-4125-b2d4-493d1fd4ab0e</t>
        </is>
      </c>
      <c r="D5369" t="inlineStr">
        <is>
          <t>30001087</t>
        </is>
      </c>
      <c r="E5369" t="inlineStr">
        <is>
          <t>ussd_funeral_leads_altitude_20260619</t>
        </is>
      </c>
      <c r="J5369" t="inlineStr">
        <is>
          <t>CBACK</t>
        </is>
      </c>
      <c r="K5369" t="inlineStr">
        <is>
          <t>Callback</t>
        </is>
      </c>
      <c r="L5369" t="n">
        <v>1</v>
      </c>
      <c r="M5369" t="inlineStr">
        <is>
          <t>2026-06-22 07:54:58</t>
        </is>
      </c>
      <c r="N5369" t="inlineStr">
        <is>
          <t>Gontse Monageng</t>
        </is>
      </c>
      <c r="O5369" t="inlineStr">
        <is>
          <t>2026-06-19 07:10:32</t>
        </is>
      </c>
      <c r="P5369" t="inlineStr">
        <is>
          <t>2026-06-19 07:10:32</t>
        </is>
      </c>
      <c r="Y5369" t="inlineStr">
        <is>
          <t>27829373233</t>
        </is>
      </c>
    </row>
    <row r="5370">
      <c r="A5370" t="inlineStr">
        <is>
          <t>14943082</t>
        </is>
      </c>
      <c r="B5370" t="inlineStr">
        <is>
          <t>c1e48187-d215-473c-9e63-78728bba7a36</t>
        </is>
      </c>
      <c r="D5370" t="inlineStr">
        <is>
          <t>30001087</t>
        </is>
      </c>
      <c r="E5370" t="inlineStr">
        <is>
          <t>ussd_funeral_leads_altitude_20260619</t>
        </is>
      </c>
      <c r="J5370" t="inlineStr">
        <is>
          <t>A</t>
        </is>
      </c>
      <c r="K5370" t="inlineStr">
        <is>
          <t>Answering Machine</t>
        </is>
      </c>
      <c r="L5370" t="n">
        <v>2</v>
      </c>
      <c r="M5370" t="inlineStr">
        <is>
          <t>2026-06-22 07:27:19</t>
        </is>
      </c>
      <c r="N5370" t="inlineStr">
        <is>
          <t>Vuyiswa Nxumalo</t>
        </is>
      </c>
      <c r="O5370" t="inlineStr">
        <is>
          <t>2026-06-19 07:10:32</t>
        </is>
      </c>
      <c r="P5370" t="inlineStr">
        <is>
          <t>2026-06-19 07:10:32</t>
        </is>
      </c>
      <c r="Y5370" t="inlineStr">
        <is>
          <t>27727081361</t>
        </is>
      </c>
    </row>
    <row r="5371">
      <c r="A5371" t="inlineStr">
        <is>
          <t>14943885</t>
        </is>
      </c>
      <c r="B5371" t="inlineStr">
        <is>
          <t>eda8eb42-26ff-417c-b5f2-6436c1c55166</t>
        </is>
      </c>
      <c r="D5371" t="inlineStr">
        <is>
          <t>30001087</t>
        </is>
      </c>
      <c r="E5371" t="inlineStr">
        <is>
          <t>ussd_funeral_leads_altitude_20260619</t>
        </is>
      </c>
      <c r="J5371" t="inlineStr">
        <is>
          <t>CU</t>
        </is>
      </c>
      <c r="K5371" t="inlineStr">
        <is>
          <t>Client Hung Up</t>
        </is>
      </c>
      <c r="L5371" t="n">
        <v>3</v>
      </c>
      <c r="M5371" t="inlineStr">
        <is>
          <t>2026-06-22 07:06:47</t>
        </is>
      </c>
      <c r="N5371" t="inlineStr">
        <is>
          <t>Gontse Monageng</t>
        </is>
      </c>
      <c r="O5371" t="inlineStr">
        <is>
          <t>2026-06-19 07:10:32</t>
        </is>
      </c>
      <c r="P5371" t="inlineStr">
        <is>
          <t>2026-06-19 07:10:32</t>
        </is>
      </c>
      <c r="Y5371" t="inlineStr">
        <is>
          <t>27714623487</t>
        </is>
      </c>
    </row>
    <row r="5372">
      <c r="A5372" t="inlineStr">
        <is>
          <t>14948123</t>
        </is>
      </c>
      <c r="B5372" t="inlineStr">
        <is>
          <t>76cccab6-b1e1-410b-8c6a-391d859d7bd4</t>
        </is>
      </c>
      <c r="D5372" t="inlineStr">
        <is>
          <t>30001087</t>
        </is>
      </c>
      <c r="E5372" t="inlineStr">
        <is>
          <t>ussd_funeral_leads_altitude_20260619</t>
        </is>
      </c>
      <c r="J5372" t="inlineStr">
        <is>
          <t>CU</t>
        </is>
      </c>
      <c r="K5372" t="inlineStr">
        <is>
          <t>Client Hung Up</t>
        </is>
      </c>
      <c r="L5372" t="n">
        <v>2</v>
      </c>
      <c r="M5372" t="inlineStr">
        <is>
          <t>2026-06-22 07:05:28</t>
        </is>
      </c>
      <c r="N5372" t="inlineStr">
        <is>
          <t>Lebohang Mabotja</t>
        </is>
      </c>
      <c r="O5372" t="inlineStr">
        <is>
          <t>2026-06-19 07:10:32</t>
        </is>
      </c>
      <c r="P5372" t="inlineStr">
        <is>
          <t>2026-06-19 07:10:32</t>
        </is>
      </c>
      <c r="Y5372" t="inlineStr">
        <is>
          <t>27768614265</t>
        </is>
      </c>
    </row>
    <row r="5373">
      <c r="A5373" t="inlineStr">
        <is>
          <t>14943615</t>
        </is>
      </c>
      <c r="B5373" t="inlineStr">
        <is>
          <t>3f5edd08-2e20-4125-a0e0-a9f3a984946d</t>
        </is>
      </c>
      <c r="D5373" t="inlineStr">
        <is>
          <t>30001087</t>
        </is>
      </c>
      <c r="E5373" t="inlineStr">
        <is>
          <t>ussd_funeral_leads_altitude_20260619</t>
        </is>
      </c>
      <c r="J5373" t="inlineStr">
        <is>
          <t>AA</t>
        </is>
      </c>
      <c r="K5373" t="inlineStr">
        <is>
          <t>Answering Machine Autodial</t>
        </is>
      </c>
      <c r="L5373" t="n">
        <v>2</v>
      </c>
      <c r="M5373" t="inlineStr">
        <is>
          <t>2026-06-22 06:49:18</t>
        </is>
      </c>
      <c r="N5373" t="inlineStr">
        <is>
          <t>system</t>
        </is>
      </c>
      <c r="O5373" t="inlineStr">
        <is>
          <t>2026-06-19 07:10:32</t>
        </is>
      </c>
      <c r="P5373" t="inlineStr">
        <is>
          <t>2026-06-19 07:10:32</t>
        </is>
      </c>
      <c r="Y5373" t="inlineStr">
        <is>
          <t>27606390230</t>
        </is>
      </c>
    </row>
    <row r="5374">
      <c r="A5374" t="inlineStr">
        <is>
          <t>14943620</t>
        </is>
      </c>
      <c r="B5374" t="inlineStr">
        <is>
          <t>75f17f7c-898e-4fbc-8eb3-377726b4eecc</t>
        </is>
      </c>
      <c r="D5374" t="inlineStr">
        <is>
          <t>30001087</t>
        </is>
      </c>
      <c r="E5374" t="inlineStr">
        <is>
          <t>ussd_funeral_leads_altitude_20260619</t>
        </is>
      </c>
      <c r="J5374" t="inlineStr">
        <is>
          <t>NA</t>
        </is>
      </c>
      <c r="K5374" t="inlineStr">
        <is>
          <t>No Answer Autodial</t>
        </is>
      </c>
      <c r="L5374" t="n">
        <v>2</v>
      </c>
      <c r="M5374" t="inlineStr">
        <is>
          <t>2026-06-22 06:49:18</t>
        </is>
      </c>
      <c r="N5374" t="inlineStr">
        <is>
          <t>system</t>
        </is>
      </c>
      <c r="O5374" t="inlineStr">
        <is>
          <t>2026-06-19 07:10:32</t>
        </is>
      </c>
      <c r="P5374" t="inlineStr">
        <is>
          <t>2026-06-19 07:10:32</t>
        </is>
      </c>
      <c r="Y5374" t="inlineStr">
        <is>
          <t>27608489295</t>
        </is>
      </c>
    </row>
    <row r="5375">
      <c r="A5375" t="inlineStr">
        <is>
          <t>14944502</t>
        </is>
      </c>
      <c r="B5375" t="inlineStr">
        <is>
          <t>31a6cbe7-b2e8-42c7-aa66-ef24d7b17ed1</t>
        </is>
      </c>
      <c r="D5375" t="inlineStr">
        <is>
          <t>30001087</t>
        </is>
      </c>
      <c r="E5375" t="inlineStr">
        <is>
          <t>ussd_funeral_leads_altitude_20260619</t>
        </is>
      </c>
      <c r="J5375" t="inlineStr">
        <is>
          <t>NI</t>
        </is>
      </c>
      <c r="K5375" t="inlineStr">
        <is>
          <t>Not Interested</t>
        </is>
      </c>
      <c r="L5375" t="n">
        <v>2</v>
      </c>
      <c r="M5375" t="inlineStr">
        <is>
          <t>2026-06-22 06:37:17</t>
        </is>
      </c>
      <c r="N5375" t="inlineStr">
        <is>
          <t>Lebohang Mabotja</t>
        </is>
      </c>
      <c r="O5375" t="inlineStr">
        <is>
          <t>2026-06-19 07:10:32</t>
        </is>
      </c>
      <c r="P5375" t="inlineStr">
        <is>
          <t>2026-06-19 07:10:32</t>
        </is>
      </c>
      <c r="Y5375" t="inlineStr">
        <is>
          <t>27608023811</t>
        </is>
      </c>
    </row>
    <row r="5376">
      <c r="A5376" t="inlineStr">
        <is>
          <t>14946442</t>
        </is>
      </c>
      <c r="B5376" t="inlineStr">
        <is>
          <t>bcae5f81-960f-442f-b1b3-922fead34e51</t>
        </is>
      </c>
      <c r="D5376" t="inlineStr">
        <is>
          <t>30001087</t>
        </is>
      </c>
      <c r="E5376" t="inlineStr">
        <is>
          <t>ussd_funeral_leads_altitude_20260619</t>
        </is>
      </c>
      <c r="J5376" t="inlineStr">
        <is>
          <t>AF</t>
        </is>
      </c>
      <c r="K5376" t="inlineStr">
        <is>
          <t>Cannot Afford</t>
        </is>
      </c>
      <c r="L5376" t="n">
        <v>2</v>
      </c>
      <c r="M5376" t="inlineStr">
        <is>
          <t>2026-06-22 06:30:32</t>
        </is>
      </c>
      <c r="N5376" t="inlineStr">
        <is>
          <t>Dimakatso Nkomo</t>
        </is>
      </c>
      <c r="O5376" t="inlineStr">
        <is>
          <t>2026-06-19 07:10:32</t>
        </is>
      </c>
      <c r="P5376" t="inlineStr">
        <is>
          <t>2026-06-19 07:10:32</t>
        </is>
      </c>
      <c r="Y5376" t="inlineStr">
        <is>
          <t>27764987874</t>
        </is>
      </c>
    </row>
    <row r="5377">
      <c r="A5377" t="inlineStr">
        <is>
          <t>14947952</t>
        </is>
      </c>
      <c r="B5377" t="inlineStr">
        <is>
          <t>c78038a6-d62c-49d8-a292-14da34bbca15</t>
        </is>
      </c>
      <c r="D5377" t="inlineStr">
        <is>
          <t>30001087</t>
        </is>
      </c>
      <c r="E5377" t="inlineStr">
        <is>
          <t>ussd_funeral_leads_altitude_20260619</t>
        </is>
      </c>
      <c r="J5377" t="inlineStr">
        <is>
          <t>NI</t>
        </is>
      </c>
      <c r="K5377" t="inlineStr">
        <is>
          <t>Not Interested</t>
        </is>
      </c>
      <c r="L5377" t="n">
        <v>2</v>
      </c>
      <c r="M5377" t="inlineStr">
        <is>
          <t>2026-06-22 06:29:28</t>
        </is>
      </c>
      <c r="N5377" t="inlineStr">
        <is>
          <t>Dimakatso Nkomo</t>
        </is>
      </c>
      <c r="O5377" t="inlineStr">
        <is>
          <t>2026-06-19 07:10:32</t>
        </is>
      </c>
      <c r="P5377" t="inlineStr">
        <is>
          <t>2026-06-19 07:10:32</t>
        </is>
      </c>
      <c r="Y5377" t="inlineStr">
        <is>
          <t>27636261670</t>
        </is>
      </c>
    </row>
    <row r="5378">
      <c r="A5378" t="inlineStr">
        <is>
          <t>14947517</t>
        </is>
      </c>
      <c r="B5378" t="inlineStr">
        <is>
          <t>c481c7a5-9ed5-41db-bf8a-66f6940dfcf1</t>
        </is>
      </c>
      <c r="D5378" t="inlineStr">
        <is>
          <t>30001087</t>
        </is>
      </c>
      <c r="E5378" t="inlineStr">
        <is>
          <t>ussd_funeral_leads_altitude_20260619</t>
        </is>
      </c>
      <c r="J5378" t="inlineStr">
        <is>
          <t>A</t>
        </is>
      </c>
      <c r="K5378" t="inlineStr">
        <is>
          <t>Answering Machine</t>
        </is>
      </c>
      <c r="L5378" t="n">
        <v>2</v>
      </c>
      <c r="M5378" t="inlineStr">
        <is>
          <t>2026-06-22 06:16:07</t>
        </is>
      </c>
      <c r="N5378" t="inlineStr">
        <is>
          <t>Dimakatso Nkomo</t>
        </is>
      </c>
      <c r="O5378" t="inlineStr">
        <is>
          <t>2026-06-19 07:10:32</t>
        </is>
      </c>
      <c r="P5378" t="inlineStr">
        <is>
          <t>2026-06-19 07:10:32</t>
        </is>
      </c>
      <c r="Y5378" t="inlineStr">
        <is>
          <t>27825852081</t>
        </is>
      </c>
    </row>
    <row r="5379">
      <c r="A5379" t="inlineStr">
        <is>
          <t>14947940</t>
        </is>
      </c>
      <c r="B5379" t="inlineStr">
        <is>
          <t>44b5af75-feb7-476b-b942-9d0b9f921ed5</t>
        </is>
      </c>
      <c r="D5379" t="inlineStr">
        <is>
          <t>30001087</t>
        </is>
      </c>
      <c r="E5379" t="inlineStr">
        <is>
          <t>ussd_funeral_leads_altitude_20260619</t>
        </is>
      </c>
      <c r="H5379" t="inlineStr">
        <is>
          <t>27661422594</t>
        </is>
      </c>
      <c r="J5379" t="inlineStr">
        <is>
          <t>CU</t>
        </is>
      </c>
      <c r="K5379" t="inlineStr">
        <is>
          <t>Client Hung Up</t>
        </is>
      </c>
      <c r="L5379" t="n">
        <v>3</v>
      </c>
      <c r="M5379" t="inlineStr">
        <is>
          <t>2026-06-20 09:49:30</t>
        </is>
      </c>
      <c r="N5379" t="inlineStr">
        <is>
          <t>Happyness Sindane</t>
        </is>
      </c>
      <c r="O5379" t="inlineStr">
        <is>
          <t>2026-06-19 07:10:32</t>
        </is>
      </c>
      <c r="P5379" t="inlineStr">
        <is>
          <t>2026-06-19 07:10:32</t>
        </is>
      </c>
      <c r="Y5379" t="inlineStr">
        <is>
          <t>27661422594</t>
        </is>
      </c>
    </row>
    <row r="5380">
      <c r="A5380" t="inlineStr">
        <is>
          <t>14900000</t>
        </is>
      </c>
      <c r="B5380" t="inlineStr">
        <is>
          <t>8e4183c8-ff51-4954-b4ed-02ed873ec45c</t>
        </is>
      </c>
      <c r="D5380" t="inlineStr">
        <is>
          <t>30001087</t>
        </is>
      </c>
      <c r="E5380" t="inlineStr">
        <is>
          <t>ussd_funeral_leads_altitude_20260619</t>
        </is>
      </c>
      <c r="H5380" t="inlineStr">
        <is>
          <t>27793273004</t>
        </is>
      </c>
      <c r="J5380" t="inlineStr">
        <is>
          <t>AF</t>
        </is>
      </c>
      <c r="K5380" t="inlineStr">
        <is>
          <t>Cannot Afford</t>
        </is>
      </c>
      <c r="L5380" t="n">
        <v>1</v>
      </c>
      <c r="M5380" t="inlineStr">
        <is>
          <t>2026-06-20 09:40:23</t>
        </is>
      </c>
      <c r="N5380" t="inlineStr">
        <is>
          <t>Happyness Sindane</t>
        </is>
      </c>
      <c r="O5380" t="inlineStr">
        <is>
          <t>2026-06-19 07:10:32</t>
        </is>
      </c>
      <c r="P5380" t="inlineStr">
        <is>
          <t>2026-06-19 07:10:32</t>
        </is>
      </c>
      <c r="Y5380" t="inlineStr">
        <is>
          <t>27793273004</t>
        </is>
      </c>
    </row>
    <row r="5381">
      <c r="A5381" t="inlineStr">
        <is>
          <t>14946625</t>
        </is>
      </c>
      <c r="B5381" t="inlineStr">
        <is>
          <t>271a1653-8525-43ba-8e99-cd4233309b3f</t>
        </is>
      </c>
      <c r="D5381" t="inlineStr">
        <is>
          <t>30001087</t>
        </is>
      </c>
      <c r="E5381" t="inlineStr">
        <is>
          <t>ussd_funeral_leads_altitude_20260619</t>
        </is>
      </c>
      <c r="H5381" t="inlineStr">
        <is>
          <t>27722479561</t>
        </is>
      </c>
      <c r="J5381" t="inlineStr">
        <is>
          <t>U</t>
        </is>
      </c>
      <c r="K5381" t="inlineStr">
        <is>
          <t>Unemployed</t>
        </is>
      </c>
      <c r="L5381" t="n">
        <v>1</v>
      </c>
      <c r="M5381" t="inlineStr">
        <is>
          <t>2026-06-19 13:14:16</t>
        </is>
      </c>
      <c r="N5381" t="inlineStr">
        <is>
          <t>Bongiwe Precious Cele</t>
        </is>
      </c>
      <c r="O5381" t="inlineStr">
        <is>
          <t>2026-06-19 07:10:32</t>
        </is>
      </c>
      <c r="P5381" t="inlineStr">
        <is>
          <t>2026-06-19 07:10:32</t>
        </is>
      </c>
      <c r="Y5381" t="inlineStr">
        <is>
          <t>27722479561</t>
        </is>
      </c>
    </row>
    <row r="5382">
      <c r="A5382" t="inlineStr">
        <is>
          <t>14946775</t>
        </is>
      </c>
      <c r="B5382" t="inlineStr">
        <is>
          <t>04f66e74-8283-4e53-b884-7ca2f195d765</t>
        </is>
      </c>
      <c r="D5382" t="inlineStr">
        <is>
          <t>30001087</t>
        </is>
      </c>
      <c r="E5382" t="inlineStr">
        <is>
          <t>ussd_funeral_leads_altitude_20260619</t>
        </is>
      </c>
      <c r="J5382" t="inlineStr">
        <is>
          <t>GTTB</t>
        </is>
      </c>
      <c r="K5382" t="inlineStr">
        <is>
          <t>Go To The Branch</t>
        </is>
      </c>
      <c r="L5382" t="n">
        <v>2</v>
      </c>
      <c r="M5382" t="inlineStr">
        <is>
          <t>2026-06-19 13:13:22</t>
        </is>
      </c>
      <c r="N5382" t="inlineStr">
        <is>
          <t>Vhutshilo Marcia Ramapundu</t>
        </is>
      </c>
      <c r="O5382" t="inlineStr">
        <is>
          <t>2026-06-19 07:10:32</t>
        </is>
      </c>
      <c r="P5382" t="inlineStr">
        <is>
          <t>2026-06-19 07:10:32</t>
        </is>
      </c>
      <c r="Y5382" t="inlineStr">
        <is>
          <t>27660466711</t>
        </is>
      </c>
    </row>
    <row r="5383">
      <c r="A5383" t="inlineStr">
        <is>
          <t>14946635</t>
        </is>
      </c>
      <c r="B5383" t="inlineStr">
        <is>
          <t>78370513-807a-4536-89aa-1f84713315a6</t>
        </is>
      </c>
      <c r="D5383" t="inlineStr">
        <is>
          <t>30001087</t>
        </is>
      </c>
      <c r="E5383" t="inlineStr">
        <is>
          <t>ussd_funeral_leads_altitude_20260619</t>
        </is>
      </c>
      <c r="H5383" t="inlineStr">
        <is>
          <t>27720111288</t>
        </is>
      </c>
      <c r="J5383" t="inlineStr">
        <is>
          <t>NI</t>
        </is>
      </c>
      <c r="K5383" t="inlineStr">
        <is>
          <t>Not Interested</t>
        </is>
      </c>
      <c r="L5383" t="n">
        <v>1</v>
      </c>
      <c r="M5383" t="inlineStr">
        <is>
          <t>2026-06-19 13:10:03</t>
        </is>
      </c>
      <c r="N5383" t="inlineStr">
        <is>
          <t>Bongiwe Precious Cele</t>
        </is>
      </c>
      <c r="O5383" t="inlineStr">
        <is>
          <t>2026-06-19 07:10:32</t>
        </is>
      </c>
      <c r="P5383" t="inlineStr">
        <is>
          <t>2026-06-19 07:10:32</t>
        </is>
      </c>
      <c r="Y5383" t="inlineStr">
        <is>
          <t>27720111288</t>
        </is>
      </c>
    </row>
    <row r="5384">
      <c r="A5384" t="inlineStr">
        <is>
          <t>14946671</t>
        </is>
      </c>
      <c r="B5384" t="inlineStr">
        <is>
          <t>b114190e-2cba-4154-b1fe-dda1310276cb</t>
        </is>
      </c>
      <c r="D5384" t="inlineStr">
        <is>
          <t>30001087</t>
        </is>
      </c>
      <c r="E5384" t="inlineStr">
        <is>
          <t>ussd_funeral_leads_altitude_20260619</t>
        </is>
      </c>
      <c r="J5384" t="inlineStr">
        <is>
          <t>NI</t>
        </is>
      </c>
      <c r="K5384" t="inlineStr">
        <is>
          <t>Not Interested</t>
        </is>
      </c>
      <c r="L5384" t="n">
        <v>1</v>
      </c>
      <c r="M5384" t="inlineStr">
        <is>
          <t>2026-06-19 13:07:05</t>
        </is>
      </c>
      <c r="N5384" t="inlineStr">
        <is>
          <t>Happyness Sindane</t>
        </is>
      </c>
      <c r="O5384" t="inlineStr">
        <is>
          <t>2026-06-19 07:10:32</t>
        </is>
      </c>
      <c r="P5384" t="inlineStr">
        <is>
          <t>2026-06-19 07:10:32</t>
        </is>
      </c>
      <c r="Y5384" t="inlineStr">
        <is>
          <t>27762779811</t>
        </is>
      </c>
    </row>
    <row r="5385">
      <c r="A5385" t="inlineStr">
        <is>
          <t>14900000</t>
        </is>
      </c>
      <c r="B5385" t="inlineStr">
        <is>
          <t>e801e4e4-3c5f-4373-99ef-c65bc28561c6</t>
        </is>
      </c>
      <c r="D5385" t="inlineStr">
        <is>
          <t>30001087</t>
        </is>
      </c>
      <c r="E5385" t="inlineStr">
        <is>
          <t>ussd_funeral_leads_altitude_20260619</t>
        </is>
      </c>
      <c r="J5385" t="inlineStr">
        <is>
          <t>AF</t>
        </is>
      </c>
      <c r="K5385" t="inlineStr">
        <is>
          <t>Cannot Afford</t>
        </is>
      </c>
      <c r="L5385" t="n">
        <v>1</v>
      </c>
      <c r="M5385" t="inlineStr">
        <is>
          <t>2026-06-19 13:06:40</t>
        </is>
      </c>
      <c r="N5385" t="inlineStr">
        <is>
          <t>Bongiwe Precious Cele</t>
        </is>
      </c>
      <c r="O5385" t="inlineStr">
        <is>
          <t>2026-06-19 07:10:32</t>
        </is>
      </c>
      <c r="P5385" t="inlineStr">
        <is>
          <t>2026-06-19 07:10:32</t>
        </is>
      </c>
      <c r="Y5385" t="inlineStr">
        <is>
          <t>27712852865</t>
        </is>
      </c>
    </row>
    <row r="5386">
      <c r="A5386" t="inlineStr">
        <is>
          <t>14948091</t>
        </is>
      </c>
      <c r="B5386" t="inlineStr">
        <is>
          <t>42e7f902-e038-41a6-a3b1-595aab5dcfa7</t>
        </is>
      </c>
      <c r="D5386" t="inlineStr">
        <is>
          <t>30001087</t>
        </is>
      </c>
      <c r="E5386" t="inlineStr">
        <is>
          <t>ussd_funeral_leads_altitude_20260619</t>
        </is>
      </c>
      <c r="J5386" t="inlineStr">
        <is>
          <t>ECMCF</t>
        </is>
      </c>
      <c r="K5386" t="inlineStr">
        <is>
          <t>Existing Client</t>
        </is>
      </c>
      <c r="L5386" t="n">
        <v>1</v>
      </c>
      <c r="M5386" t="inlineStr">
        <is>
          <t>2026-06-19 13:03:02</t>
        </is>
      </c>
      <c r="N5386" t="inlineStr">
        <is>
          <t>Angelina Nyambi</t>
        </is>
      </c>
      <c r="O5386" t="inlineStr">
        <is>
          <t>2026-06-19 07:10:32</t>
        </is>
      </c>
      <c r="P5386" t="inlineStr">
        <is>
          <t>2026-06-19 07:10:32</t>
        </is>
      </c>
      <c r="Y5386" t="inlineStr">
        <is>
          <t>27662187878</t>
        </is>
      </c>
    </row>
    <row r="5387">
      <c r="A5387" t="inlineStr">
        <is>
          <t>14946835</t>
        </is>
      </c>
      <c r="B5387" t="inlineStr">
        <is>
          <t>868d0e82-adcc-4efd-8297-4084de5fcd3d</t>
        </is>
      </c>
      <c r="D5387" t="inlineStr">
        <is>
          <t>30001087</t>
        </is>
      </c>
      <c r="E5387" t="inlineStr">
        <is>
          <t>ussd_funeral_leads_altitude_20260619</t>
        </is>
      </c>
      <c r="J5387" t="inlineStr">
        <is>
          <t>NI</t>
        </is>
      </c>
      <c r="K5387" t="inlineStr">
        <is>
          <t>Not Interested</t>
        </is>
      </c>
      <c r="L5387" t="n">
        <v>1</v>
      </c>
      <c r="M5387" t="inlineStr">
        <is>
          <t>2026-06-19 13:02:36</t>
        </is>
      </c>
      <c r="N5387" t="inlineStr">
        <is>
          <t>Bongiwe Precious Cele</t>
        </is>
      </c>
      <c r="O5387" t="inlineStr">
        <is>
          <t>2026-06-19 07:10:32</t>
        </is>
      </c>
      <c r="P5387" t="inlineStr">
        <is>
          <t>2026-06-19 07:10:32</t>
        </is>
      </c>
      <c r="Y5387" t="inlineStr">
        <is>
          <t>27792368763</t>
        </is>
      </c>
    </row>
    <row r="5388">
      <c r="A5388" t="inlineStr">
        <is>
          <t>14947028</t>
        </is>
      </c>
      <c r="B5388" t="inlineStr">
        <is>
          <t>cb5ae4b2-5c3f-45c2-a5e8-e09c2942a508</t>
        </is>
      </c>
      <c r="D5388" t="inlineStr">
        <is>
          <t>30001087</t>
        </is>
      </c>
      <c r="E5388" t="inlineStr">
        <is>
          <t>ussd_funeral_leads_altitude_20260619</t>
        </is>
      </c>
      <c r="J5388" t="inlineStr">
        <is>
          <t>SELECTED</t>
        </is>
      </c>
      <c r="K5388" t="inlineStr">
        <is>
          <t>Selected</t>
        </is>
      </c>
      <c r="L5388" t="n">
        <v>2</v>
      </c>
      <c r="M5388" t="inlineStr">
        <is>
          <t>2026-06-19 13:01:47</t>
        </is>
      </c>
      <c r="N5388" t="inlineStr">
        <is>
          <t>system</t>
        </is>
      </c>
      <c r="O5388" t="inlineStr">
        <is>
          <t>2026-06-19 07:10:32</t>
        </is>
      </c>
      <c r="P5388" t="inlineStr">
        <is>
          <t>2026-06-19 07:10:32</t>
        </is>
      </c>
      <c r="Y5388" t="inlineStr">
        <is>
          <t>27609971079</t>
        </is>
      </c>
    </row>
    <row r="5389">
      <c r="A5389" t="inlineStr">
        <is>
          <t>14946889</t>
        </is>
      </c>
      <c r="B5389" t="inlineStr">
        <is>
          <t>47b76dee-e46e-40cd-beff-859478dfad95</t>
        </is>
      </c>
      <c r="D5389" t="inlineStr">
        <is>
          <t>30001087</t>
        </is>
      </c>
      <c r="E5389" t="inlineStr">
        <is>
          <t>ussd_funeral_leads_altitude_20260619</t>
        </is>
      </c>
      <c r="J5389" t="inlineStr">
        <is>
          <t>OAL</t>
        </is>
      </c>
      <c r="K5389" t="inlineStr">
        <is>
          <t>Over Age Limit</t>
        </is>
      </c>
      <c r="L5389" t="n">
        <v>1</v>
      </c>
      <c r="M5389" t="inlineStr">
        <is>
          <t>2026-06-19 13:00:06</t>
        </is>
      </c>
      <c r="N5389" t="inlineStr">
        <is>
          <t>Happyness Sindane</t>
        </is>
      </c>
      <c r="O5389" t="inlineStr">
        <is>
          <t>2026-06-19 07:10:32</t>
        </is>
      </c>
      <c r="P5389" t="inlineStr">
        <is>
          <t>2026-06-19 07:10:32</t>
        </is>
      </c>
      <c r="Y5389" t="inlineStr">
        <is>
          <t>27799228863</t>
        </is>
      </c>
    </row>
    <row r="5390">
      <c r="A5390" t="inlineStr">
        <is>
          <t>14946301</t>
        </is>
      </c>
      <c r="B5390" t="inlineStr">
        <is>
          <t>69159e7c-aa83-4090-ba01-2b4f94a3071c</t>
        </is>
      </c>
      <c r="D5390" t="inlineStr">
        <is>
          <t>30001087</t>
        </is>
      </c>
      <c r="E5390" t="inlineStr">
        <is>
          <t>ussd_funeral_leads_altitude_20260619</t>
        </is>
      </c>
      <c r="J5390" t="inlineStr">
        <is>
          <t>QAVER</t>
        </is>
      </c>
      <c r="K5390" t="inlineStr">
        <is>
          <t>Sale Made</t>
        </is>
      </c>
      <c r="L5390" t="n">
        <v>3</v>
      </c>
      <c r="M5390" t="inlineStr">
        <is>
          <t>2026-06-19 12:59:09</t>
        </is>
      </c>
      <c r="N5390" t="inlineStr">
        <is>
          <t>Lebohang Mabotja</t>
        </is>
      </c>
      <c r="O5390" t="inlineStr">
        <is>
          <t>2026-06-19 07:10:32</t>
        </is>
      </c>
      <c r="P5390" t="inlineStr">
        <is>
          <t>2026-06-19 07:10:32</t>
        </is>
      </c>
      <c r="Y5390" t="inlineStr">
        <is>
          <t>27721882814</t>
        </is>
      </c>
    </row>
    <row r="5391">
      <c r="A5391" t="inlineStr">
        <is>
          <t>14900000</t>
        </is>
      </c>
      <c r="B5391" t="inlineStr">
        <is>
          <t>e737732b-7aa1-43d7-b35c-6536c3608c73</t>
        </is>
      </c>
      <c r="D5391" t="inlineStr">
        <is>
          <t>30001087</t>
        </is>
      </c>
      <c r="E5391" t="inlineStr">
        <is>
          <t>ussd_funeral_leads_altitude_20260619</t>
        </is>
      </c>
      <c r="J5391" t="inlineStr">
        <is>
          <t>AF</t>
        </is>
      </c>
      <c r="K5391" t="inlineStr">
        <is>
          <t>Cannot Afford</t>
        </is>
      </c>
      <c r="L5391" t="n">
        <v>1</v>
      </c>
      <c r="M5391" t="inlineStr">
        <is>
          <t>2026-06-19 12:57:50</t>
        </is>
      </c>
      <c r="N5391" t="inlineStr">
        <is>
          <t>Vuyiswa Nxumalo</t>
        </is>
      </c>
      <c r="O5391" t="inlineStr">
        <is>
          <t>2026-06-19 07:10:32</t>
        </is>
      </c>
      <c r="P5391" t="inlineStr">
        <is>
          <t>2026-06-19 07:10:32</t>
        </is>
      </c>
      <c r="Y5391" t="inlineStr">
        <is>
          <t>27713516887</t>
        </is>
      </c>
    </row>
    <row r="5392">
      <c r="A5392" t="inlineStr">
        <is>
          <t>14946969</t>
        </is>
      </c>
      <c r="B5392" t="inlineStr">
        <is>
          <t>bbfa36a2-7748-47d5-a18e-3ed4bc80a1b5</t>
        </is>
      </c>
      <c r="D5392" t="inlineStr">
        <is>
          <t>30001087</t>
        </is>
      </c>
      <c r="E5392" t="inlineStr">
        <is>
          <t>ussd_funeral_leads_altitude_20260619</t>
        </is>
      </c>
      <c r="J5392" t="inlineStr">
        <is>
          <t>AF</t>
        </is>
      </c>
      <c r="K5392" t="inlineStr">
        <is>
          <t>Cannot Afford</t>
        </is>
      </c>
      <c r="L5392" t="n">
        <v>1</v>
      </c>
      <c r="M5392" t="inlineStr">
        <is>
          <t>2026-06-19 12:57:50</t>
        </is>
      </c>
      <c r="N5392" t="inlineStr">
        <is>
          <t>Vhutshilo Marcia Ramapundu</t>
        </is>
      </c>
      <c r="O5392" t="inlineStr">
        <is>
          <t>2026-06-19 07:10:32</t>
        </is>
      </c>
      <c r="P5392" t="inlineStr">
        <is>
          <t>2026-06-19 07:10:32</t>
        </is>
      </c>
      <c r="Y5392" t="inlineStr">
        <is>
          <t>27725492063</t>
        </is>
      </c>
    </row>
    <row r="5393">
      <c r="A5393" t="inlineStr">
        <is>
          <t>14947094</t>
        </is>
      </c>
      <c r="B5393" t="inlineStr">
        <is>
          <t>2312d84f-b79f-4465-9e0e-32997b3bc949</t>
        </is>
      </c>
      <c r="D5393" t="inlineStr">
        <is>
          <t>30001087</t>
        </is>
      </c>
      <c r="E5393" t="inlineStr">
        <is>
          <t>ussd_funeral_leads_altitude_20260619</t>
        </is>
      </c>
      <c r="J5393" t="inlineStr">
        <is>
          <t>NI</t>
        </is>
      </c>
      <c r="K5393" t="inlineStr">
        <is>
          <t>Not Interested</t>
        </is>
      </c>
      <c r="L5393" t="n">
        <v>1</v>
      </c>
      <c r="M5393" t="inlineStr">
        <is>
          <t>2026-06-19 12:53:08</t>
        </is>
      </c>
      <c r="N5393" t="inlineStr">
        <is>
          <t>Virginia Letsatsi</t>
        </is>
      </c>
      <c r="O5393" t="inlineStr">
        <is>
          <t>2026-06-19 07:10:32</t>
        </is>
      </c>
      <c r="P5393" t="inlineStr">
        <is>
          <t>2026-06-19 07:10:32</t>
        </is>
      </c>
      <c r="Y5393" t="inlineStr">
        <is>
          <t>27712865047</t>
        </is>
      </c>
    </row>
    <row r="5394">
      <c r="A5394" t="inlineStr">
        <is>
          <t>14947143</t>
        </is>
      </c>
      <c r="B5394" t="inlineStr">
        <is>
          <t>aae31eb7-cffe-4348-9ec9-6384e70128b2</t>
        </is>
      </c>
      <c r="D5394" t="inlineStr">
        <is>
          <t>30001087</t>
        </is>
      </c>
      <c r="E5394" t="inlineStr">
        <is>
          <t>ussd_funeral_leads_altitude_20260619</t>
        </is>
      </c>
      <c r="J5394" t="inlineStr">
        <is>
          <t>CBACK</t>
        </is>
      </c>
      <c r="K5394" t="inlineStr">
        <is>
          <t>Callback</t>
        </is>
      </c>
      <c r="L5394" t="n">
        <v>1</v>
      </c>
      <c r="M5394" t="inlineStr">
        <is>
          <t>2026-06-19 12:50:38</t>
        </is>
      </c>
      <c r="N5394" t="inlineStr">
        <is>
          <t>Vhutshilo Marcia Ramapundu</t>
        </is>
      </c>
      <c r="O5394" t="inlineStr">
        <is>
          <t>2026-06-19 07:10:32</t>
        </is>
      </c>
      <c r="P5394" t="inlineStr">
        <is>
          <t>2026-06-19 07:10:32</t>
        </is>
      </c>
      <c r="Y5394" t="inlineStr">
        <is>
          <t>27766494343</t>
        </is>
      </c>
    </row>
    <row r="5395">
      <c r="A5395" t="inlineStr">
        <is>
          <t>14947150</t>
        </is>
      </c>
      <c r="B5395" t="inlineStr">
        <is>
          <t>356373fe-bd82-47f9-a3da-ac93ec7c1aeb</t>
        </is>
      </c>
      <c r="D5395" t="inlineStr">
        <is>
          <t>30001087</t>
        </is>
      </c>
      <c r="E5395" t="inlineStr">
        <is>
          <t>ussd_funeral_leads_altitude_20260619</t>
        </is>
      </c>
      <c r="J5395" t="inlineStr">
        <is>
          <t>CBACK</t>
        </is>
      </c>
      <c r="K5395" t="inlineStr">
        <is>
          <t>Callback</t>
        </is>
      </c>
      <c r="L5395" t="n">
        <v>1</v>
      </c>
      <c r="M5395" t="inlineStr">
        <is>
          <t>2026-06-19 12:50:38</t>
        </is>
      </c>
      <c r="N5395" t="inlineStr">
        <is>
          <t>Gontse Monageng</t>
        </is>
      </c>
      <c r="O5395" t="inlineStr">
        <is>
          <t>2026-06-19 07:10:32</t>
        </is>
      </c>
      <c r="P5395" t="inlineStr">
        <is>
          <t>2026-06-19 07:10:32</t>
        </is>
      </c>
      <c r="Y5395" t="inlineStr">
        <is>
          <t>27769675420</t>
        </is>
      </c>
    </row>
    <row r="5396">
      <c r="A5396" t="inlineStr">
        <is>
          <t>14947346</t>
        </is>
      </c>
      <c r="B5396" t="inlineStr">
        <is>
          <t>b59c455a-b0aa-4eb3-aa36-3a7c8125bd0d</t>
        </is>
      </c>
      <c r="D5396" t="inlineStr">
        <is>
          <t>30001087</t>
        </is>
      </c>
      <c r="E5396" t="inlineStr">
        <is>
          <t>ussd_funeral_leads_altitude_20260619</t>
        </is>
      </c>
      <c r="H5396" t="inlineStr">
        <is>
          <t>27726660455</t>
        </is>
      </c>
      <c r="J5396" t="inlineStr">
        <is>
          <t>A</t>
        </is>
      </c>
      <c r="K5396" t="inlineStr">
        <is>
          <t>Answering Machine</t>
        </is>
      </c>
      <c r="L5396" t="n">
        <v>2</v>
      </c>
      <c r="M5396" t="inlineStr">
        <is>
          <t>2026-06-19 12:47:21</t>
        </is>
      </c>
      <c r="N5396" t="inlineStr">
        <is>
          <t>Vuyiswa Nxumalo</t>
        </is>
      </c>
      <c r="O5396" t="inlineStr">
        <is>
          <t>2026-06-19 07:10:32</t>
        </is>
      </c>
      <c r="P5396" t="inlineStr">
        <is>
          <t>2026-06-19 07:10:32</t>
        </is>
      </c>
      <c r="Y5396" t="inlineStr">
        <is>
          <t>27726660455</t>
        </is>
      </c>
    </row>
    <row r="5397">
      <c r="A5397" t="inlineStr">
        <is>
          <t>14947264</t>
        </is>
      </c>
      <c r="B5397" t="inlineStr">
        <is>
          <t>20c69a54-dd83-4da8-a029-6ba92f89c81b</t>
        </is>
      </c>
      <c r="D5397" t="inlineStr">
        <is>
          <t>30001087</t>
        </is>
      </c>
      <c r="E5397" t="inlineStr">
        <is>
          <t>ussd_funeral_leads_altitude_20260619</t>
        </is>
      </c>
      <c r="J5397" t="inlineStr">
        <is>
          <t>LANG</t>
        </is>
      </c>
      <c r="K5397" t="inlineStr">
        <is>
          <t>Language Barrier</t>
        </is>
      </c>
      <c r="L5397" t="n">
        <v>1</v>
      </c>
      <c r="M5397" t="inlineStr">
        <is>
          <t>2026-06-19 12:46:23</t>
        </is>
      </c>
      <c r="N5397" t="inlineStr">
        <is>
          <t>Vuyiswa Nxumalo</t>
        </is>
      </c>
      <c r="O5397" t="inlineStr">
        <is>
          <t>2026-06-19 07:10:32</t>
        </is>
      </c>
      <c r="P5397" t="inlineStr">
        <is>
          <t>2026-06-19 07:10:32</t>
        </is>
      </c>
      <c r="Y5397" t="inlineStr">
        <is>
          <t>27828180392</t>
        </is>
      </c>
    </row>
    <row r="5398">
      <c r="A5398" t="inlineStr">
        <is>
          <t>14946715</t>
        </is>
      </c>
      <c r="B5398" t="inlineStr">
        <is>
          <t>788f2fd6-fb5f-48f4-88a6-c61233463d05</t>
        </is>
      </c>
      <c r="D5398" t="inlineStr">
        <is>
          <t>30001087</t>
        </is>
      </c>
      <c r="E5398" t="inlineStr">
        <is>
          <t>ussd_funeral_leads_altitude_20260619</t>
        </is>
      </c>
      <c r="J5398" t="inlineStr">
        <is>
          <t>OAL</t>
        </is>
      </c>
      <c r="K5398" t="inlineStr">
        <is>
          <t>Over Age Limit</t>
        </is>
      </c>
      <c r="L5398" t="n">
        <v>1</v>
      </c>
      <c r="M5398" t="inlineStr">
        <is>
          <t>2026-06-19 12:43:23</t>
        </is>
      </c>
      <c r="N5398" t="inlineStr">
        <is>
          <t>Vuyiswa Nxumalo</t>
        </is>
      </c>
      <c r="O5398" t="inlineStr">
        <is>
          <t>2026-06-19 07:10:32</t>
        </is>
      </c>
      <c r="P5398" t="inlineStr">
        <is>
          <t>2026-06-19 07:10:32</t>
        </is>
      </c>
      <c r="Y5398" t="inlineStr">
        <is>
          <t>27824156078</t>
        </is>
      </c>
    </row>
    <row r="5399">
      <c r="A5399" t="inlineStr">
        <is>
          <t>14946739</t>
        </is>
      </c>
      <c r="B5399" t="inlineStr">
        <is>
          <t>3e71fc96-5fb8-4520-9049-bc1eb4a98124</t>
        </is>
      </c>
      <c r="D5399" t="inlineStr">
        <is>
          <t>30001087</t>
        </is>
      </c>
      <c r="E5399" t="inlineStr">
        <is>
          <t>ussd_funeral_leads_altitude_20260619</t>
        </is>
      </c>
      <c r="J5399" t="inlineStr">
        <is>
          <t>EC</t>
        </is>
      </c>
      <c r="K5399" t="inlineStr">
        <is>
          <t>Existing Client</t>
        </is>
      </c>
      <c r="L5399" t="n">
        <v>1</v>
      </c>
      <c r="M5399" t="inlineStr">
        <is>
          <t>2026-06-19 12:43:10</t>
        </is>
      </c>
      <c r="N5399" t="inlineStr">
        <is>
          <t>Happyness Sindane</t>
        </is>
      </c>
      <c r="O5399" t="inlineStr">
        <is>
          <t>2026-06-19 07:10:32</t>
        </is>
      </c>
      <c r="P5399" t="inlineStr">
        <is>
          <t>2026-06-19 07:10:32</t>
        </is>
      </c>
      <c r="Y5399" t="inlineStr">
        <is>
          <t>27799006870</t>
        </is>
      </c>
    </row>
    <row r="5400">
      <c r="A5400" t="inlineStr">
        <is>
          <t>14947519</t>
        </is>
      </c>
      <c r="B5400" t="inlineStr">
        <is>
          <t>a582b17c-6ddc-43b2-80cf-b13c99e11094</t>
        </is>
      </c>
      <c r="D5400" t="inlineStr">
        <is>
          <t>30001087</t>
        </is>
      </c>
      <c r="E5400" t="inlineStr">
        <is>
          <t>ussd_funeral_leads_altitude_20260619</t>
        </is>
      </c>
      <c r="J5400" t="inlineStr">
        <is>
          <t>N</t>
        </is>
      </c>
      <c r="K5400" t="inlineStr">
        <is>
          <t>No Answer</t>
        </is>
      </c>
      <c r="L5400" t="n">
        <v>2</v>
      </c>
      <c r="M5400" t="inlineStr">
        <is>
          <t>2026-06-19 12:42:38</t>
        </is>
      </c>
      <c r="N5400" t="inlineStr">
        <is>
          <t>Happyness Sindane</t>
        </is>
      </c>
      <c r="O5400" t="inlineStr">
        <is>
          <t>2026-06-19 07:10:32</t>
        </is>
      </c>
      <c r="P5400" t="inlineStr">
        <is>
          <t>2026-06-19 07:10:32</t>
        </is>
      </c>
      <c r="Y5400" t="inlineStr">
        <is>
          <t>27609038841</t>
        </is>
      </c>
    </row>
    <row r="5401">
      <c r="A5401" t="inlineStr">
        <is>
          <t>14946881</t>
        </is>
      </c>
      <c r="B5401" t="inlineStr">
        <is>
          <t>2977f2cb-695f-45d7-91cd-f7995868099b</t>
        </is>
      </c>
      <c r="D5401" t="inlineStr">
        <is>
          <t>30001087</t>
        </is>
      </c>
      <c r="E5401" t="inlineStr">
        <is>
          <t>ussd_funeral_leads_altitude_20260619</t>
        </is>
      </c>
      <c r="J5401" t="inlineStr">
        <is>
          <t>NI</t>
        </is>
      </c>
      <c r="K5401" t="inlineStr">
        <is>
          <t>Not Interested</t>
        </is>
      </c>
      <c r="L5401" t="n">
        <v>1</v>
      </c>
      <c r="M5401" t="inlineStr">
        <is>
          <t>2026-06-19 12:38:35</t>
        </is>
      </c>
      <c r="N5401" t="inlineStr">
        <is>
          <t>Happyness Sindane</t>
        </is>
      </c>
      <c r="O5401" t="inlineStr">
        <is>
          <t>2026-06-19 07:10:32</t>
        </is>
      </c>
      <c r="P5401" t="inlineStr">
        <is>
          <t>2026-06-19 07:10:32</t>
        </is>
      </c>
      <c r="Y5401" t="inlineStr">
        <is>
          <t>27829672586</t>
        </is>
      </c>
    </row>
    <row r="5402">
      <c r="A5402" t="inlineStr">
        <is>
          <t>14946948</t>
        </is>
      </c>
      <c r="B5402" t="inlineStr">
        <is>
          <t>00c3769a-aa96-4df3-b8ce-3426850c8664</t>
        </is>
      </c>
      <c r="D5402" t="inlineStr">
        <is>
          <t>30001087</t>
        </is>
      </c>
      <c r="E5402" t="inlineStr">
        <is>
          <t>ussd_funeral_leads_altitude_20260619</t>
        </is>
      </c>
      <c r="J5402" t="inlineStr">
        <is>
          <t>EC</t>
        </is>
      </c>
      <c r="K5402" t="inlineStr">
        <is>
          <t>Existing Client</t>
        </is>
      </c>
      <c r="L5402" t="n">
        <v>1</v>
      </c>
      <c r="M5402" t="inlineStr">
        <is>
          <t>2026-06-19 12:36:49</t>
        </is>
      </c>
      <c r="N5402" t="inlineStr">
        <is>
          <t>Vuyiswa Nxumalo</t>
        </is>
      </c>
      <c r="O5402" t="inlineStr">
        <is>
          <t>2026-06-19 07:10:32</t>
        </is>
      </c>
      <c r="P5402" t="inlineStr">
        <is>
          <t>2026-06-19 07:10:32</t>
        </is>
      </c>
      <c r="Y5402" t="inlineStr">
        <is>
          <t>27823548969</t>
        </is>
      </c>
    </row>
    <row r="5403">
      <c r="A5403" t="inlineStr">
        <is>
          <t>14944987</t>
        </is>
      </c>
      <c r="B5403" t="inlineStr">
        <is>
          <t>3c0c9071-862f-4762-b3ad-c9876c9df950</t>
        </is>
      </c>
      <c r="D5403" t="inlineStr">
        <is>
          <t>30001087</t>
        </is>
      </c>
      <c r="E5403" t="inlineStr">
        <is>
          <t>ussd_funeral_leads_altitude_20260619</t>
        </is>
      </c>
      <c r="J5403" t="inlineStr">
        <is>
          <t>NI</t>
        </is>
      </c>
      <c r="K5403" t="inlineStr">
        <is>
          <t>Not Interested</t>
        </is>
      </c>
      <c r="L5403" t="n">
        <v>2</v>
      </c>
      <c r="M5403" t="inlineStr">
        <is>
          <t>2026-06-19 12:36:19</t>
        </is>
      </c>
      <c r="N5403" t="inlineStr">
        <is>
          <t>Lebohang Mabotja</t>
        </is>
      </c>
      <c r="O5403" t="inlineStr">
        <is>
          <t>2026-06-19 07:10:32</t>
        </is>
      </c>
      <c r="P5403" t="inlineStr">
        <is>
          <t>2026-06-19 07:10:32</t>
        </is>
      </c>
      <c r="Y5403" t="inlineStr">
        <is>
          <t>27715811780</t>
        </is>
      </c>
    </row>
    <row r="5404">
      <c r="A5404" t="inlineStr">
        <is>
          <t>14946998</t>
        </is>
      </c>
      <c r="B5404" t="inlineStr">
        <is>
          <t>1b42d1d3-5840-4514-b6a8-fd9701d3e99a</t>
        </is>
      </c>
      <c r="D5404" t="inlineStr">
        <is>
          <t>30001087</t>
        </is>
      </c>
      <c r="E5404" t="inlineStr">
        <is>
          <t>ussd_funeral_leads_altitude_20260619</t>
        </is>
      </c>
      <c r="J5404" t="inlineStr">
        <is>
          <t>AF</t>
        </is>
      </c>
      <c r="K5404" t="inlineStr">
        <is>
          <t>Cannot Afford</t>
        </is>
      </c>
      <c r="L5404" t="n">
        <v>1</v>
      </c>
      <c r="M5404" t="inlineStr">
        <is>
          <t>2026-06-19 12:35:21</t>
        </is>
      </c>
      <c r="N5404" t="inlineStr">
        <is>
          <t>Happyness Sindane</t>
        </is>
      </c>
      <c r="O5404" t="inlineStr">
        <is>
          <t>2026-06-19 07:10:32</t>
        </is>
      </c>
      <c r="P5404" t="inlineStr">
        <is>
          <t>2026-06-19 07:10:32</t>
        </is>
      </c>
      <c r="Y5404" t="inlineStr">
        <is>
          <t>27646317185</t>
        </is>
      </c>
    </row>
    <row r="5405">
      <c r="A5405" t="inlineStr">
        <is>
          <t>14947020</t>
        </is>
      </c>
      <c r="B5405" t="inlineStr">
        <is>
          <t>3eae2474-9aae-4009-82f7-7ced2294792a</t>
        </is>
      </c>
      <c r="D5405" t="inlineStr">
        <is>
          <t>30001087</t>
        </is>
      </c>
      <c r="E5405" t="inlineStr">
        <is>
          <t>ussd_funeral_leads_altitude_20260619</t>
        </is>
      </c>
      <c r="J5405" t="inlineStr">
        <is>
          <t>CBACK</t>
        </is>
      </c>
      <c r="K5405" t="inlineStr">
        <is>
          <t>Callback</t>
        </is>
      </c>
      <c r="L5405" t="n">
        <v>1</v>
      </c>
      <c r="M5405" t="inlineStr">
        <is>
          <t>2026-06-19 12:35:04</t>
        </is>
      </c>
      <c r="N5405" t="inlineStr">
        <is>
          <t>Vhutshilo Marcia Ramapundu</t>
        </is>
      </c>
      <c r="O5405" t="inlineStr">
        <is>
          <t>2026-06-19 07:10:32</t>
        </is>
      </c>
      <c r="P5405" t="inlineStr">
        <is>
          <t>2026-06-19 07:10:32</t>
        </is>
      </c>
      <c r="Y5405" t="inlineStr">
        <is>
          <t>27721586285</t>
        </is>
      </c>
    </row>
    <row r="5406">
      <c r="A5406" t="inlineStr">
        <is>
          <t>14947621</t>
        </is>
      </c>
      <c r="B5406" t="inlineStr">
        <is>
          <t>25267808-f855-445c-a4a4-60d1173a6c47</t>
        </is>
      </c>
      <c r="D5406" t="inlineStr">
        <is>
          <t>30001087</t>
        </is>
      </c>
      <c r="E5406" t="inlineStr">
        <is>
          <t>ussd_funeral_leads_altitude_20260619</t>
        </is>
      </c>
      <c r="J5406" t="inlineStr">
        <is>
          <t>NI</t>
        </is>
      </c>
      <c r="K5406" t="inlineStr">
        <is>
          <t>Not Interested</t>
        </is>
      </c>
      <c r="L5406" t="n">
        <v>1</v>
      </c>
      <c r="M5406" t="inlineStr">
        <is>
          <t>2026-06-19 12:30:56</t>
        </is>
      </c>
      <c r="N5406" t="inlineStr">
        <is>
          <t>Vuyiswa Nxumalo</t>
        </is>
      </c>
      <c r="O5406" t="inlineStr">
        <is>
          <t>2026-06-19 07:10:32</t>
        </is>
      </c>
      <c r="P5406" t="inlineStr">
        <is>
          <t>2026-06-19 07:10:32</t>
        </is>
      </c>
      <c r="Y5406" t="inlineStr">
        <is>
          <t>27713342874</t>
        </is>
      </c>
    </row>
    <row r="5407">
      <c r="A5407" t="inlineStr">
        <is>
          <t>14946181</t>
        </is>
      </c>
      <c r="B5407" t="inlineStr">
        <is>
          <t>d2ea1838-1685-4ea3-b52e-a24f2f388ba4</t>
        </is>
      </c>
      <c r="D5407" t="inlineStr">
        <is>
          <t>30001087</t>
        </is>
      </c>
      <c r="E5407" t="inlineStr">
        <is>
          <t>ussd_funeral_leads_altitude_20260619</t>
        </is>
      </c>
      <c r="J5407" t="inlineStr">
        <is>
          <t>A</t>
        </is>
      </c>
      <c r="K5407" t="inlineStr">
        <is>
          <t>Answering Machine</t>
        </is>
      </c>
      <c r="L5407" t="n">
        <v>3</v>
      </c>
      <c r="M5407" t="inlineStr">
        <is>
          <t>2026-06-19 12:27:45</t>
        </is>
      </c>
      <c r="N5407" t="inlineStr">
        <is>
          <t>Bongiwe Precious Cele</t>
        </is>
      </c>
      <c r="O5407" t="inlineStr">
        <is>
          <t>2026-06-19 07:10:32</t>
        </is>
      </c>
      <c r="P5407" t="inlineStr">
        <is>
          <t>2026-06-19 07:10:32</t>
        </is>
      </c>
      <c r="Y5407" t="inlineStr">
        <is>
          <t>27797080826</t>
        </is>
      </c>
    </row>
    <row r="5408">
      <c r="A5408" t="inlineStr">
        <is>
          <t>14947987</t>
        </is>
      </c>
      <c r="B5408" t="inlineStr">
        <is>
          <t>992231aa-576e-48cd-93a3-bd047a125ef4</t>
        </is>
      </c>
      <c r="D5408" t="inlineStr">
        <is>
          <t>30001087</t>
        </is>
      </c>
      <c r="E5408" t="inlineStr">
        <is>
          <t>ussd_funeral_leads_altitude_20260619</t>
        </is>
      </c>
      <c r="J5408" t="inlineStr">
        <is>
          <t>AF</t>
        </is>
      </c>
      <c r="K5408" t="inlineStr">
        <is>
          <t>Cannot Afford</t>
        </is>
      </c>
      <c r="L5408" t="n">
        <v>2</v>
      </c>
      <c r="M5408" t="inlineStr">
        <is>
          <t>2026-06-19 12:27:11</t>
        </is>
      </c>
      <c r="N5408" t="inlineStr">
        <is>
          <t>Happyness Sindane</t>
        </is>
      </c>
      <c r="O5408" t="inlineStr">
        <is>
          <t>2026-06-19 07:10:32</t>
        </is>
      </c>
      <c r="P5408" t="inlineStr">
        <is>
          <t>2026-06-19 07:10:32</t>
        </is>
      </c>
      <c r="Y5408" t="inlineStr">
        <is>
          <t>27824144709</t>
        </is>
      </c>
    </row>
    <row r="5409">
      <c r="A5409" t="inlineStr">
        <is>
          <t>14947974</t>
        </is>
      </c>
      <c r="B5409" t="inlineStr">
        <is>
          <t>4d20aa5c-80e2-4026-9cc5-ef4be220bbe0</t>
        </is>
      </c>
      <c r="D5409" t="inlineStr">
        <is>
          <t>30001087</t>
        </is>
      </c>
      <c r="E5409" t="inlineStr">
        <is>
          <t>ussd_funeral_leads_altitude_20260619</t>
        </is>
      </c>
      <c r="J5409" t="inlineStr">
        <is>
          <t>AF</t>
        </is>
      </c>
      <c r="K5409" t="inlineStr">
        <is>
          <t>Cannot Afford</t>
        </is>
      </c>
      <c r="L5409" t="n">
        <v>1</v>
      </c>
      <c r="M5409" t="inlineStr">
        <is>
          <t>2026-06-19 12:25:16</t>
        </is>
      </c>
      <c r="N5409" t="inlineStr">
        <is>
          <t>Goitsimang Mogwasa</t>
        </is>
      </c>
      <c r="O5409" t="inlineStr">
        <is>
          <t>2026-06-19 07:10:32</t>
        </is>
      </c>
      <c r="P5409" t="inlineStr">
        <is>
          <t>2026-06-19 07:10:32</t>
        </is>
      </c>
      <c r="Y5409" t="inlineStr">
        <is>
          <t>27711989345</t>
        </is>
      </c>
    </row>
    <row r="5410">
      <c r="A5410" t="inlineStr">
        <is>
          <t>14947968</t>
        </is>
      </c>
      <c r="B5410" t="inlineStr">
        <is>
          <t>0e83e95f-58e2-4364-9558-a48d22873482</t>
        </is>
      </c>
      <c r="D5410" t="inlineStr">
        <is>
          <t>30001087</t>
        </is>
      </c>
      <c r="E5410" t="inlineStr">
        <is>
          <t>ussd_funeral_leads_altitude_20260619</t>
        </is>
      </c>
      <c r="J5410" t="inlineStr">
        <is>
          <t>U</t>
        </is>
      </c>
      <c r="K5410" t="inlineStr">
        <is>
          <t>Unemployed</t>
        </is>
      </c>
      <c r="L5410" t="n">
        <v>1</v>
      </c>
      <c r="M5410" t="inlineStr">
        <is>
          <t>2026-06-19 12:25:16</t>
        </is>
      </c>
      <c r="N5410" t="inlineStr">
        <is>
          <t>Vuyiswa Nxumalo</t>
        </is>
      </c>
      <c r="O5410" t="inlineStr">
        <is>
          <t>2026-06-19 07:10:32</t>
        </is>
      </c>
      <c r="P5410" t="inlineStr">
        <is>
          <t>2026-06-19 07:10:32</t>
        </is>
      </c>
      <c r="Y5410" t="inlineStr">
        <is>
          <t>27828017448</t>
        </is>
      </c>
    </row>
    <row r="5411">
      <c r="A5411" t="inlineStr">
        <is>
          <t>14948025</t>
        </is>
      </c>
      <c r="B5411" t="inlineStr">
        <is>
          <t>6a0a92f2-8b14-4ebb-96d8-ffeb5455e50e</t>
        </is>
      </c>
      <c r="D5411" t="inlineStr">
        <is>
          <t>30001087</t>
        </is>
      </c>
      <c r="E5411" t="inlineStr">
        <is>
          <t>ussd_funeral_leads_altitude_20260619</t>
        </is>
      </c>
      <c r="J5411" t="inlineStr">
        <is>
          <t>NI</t>
        </is>
      </c>
      <c r="K5411" t="inlineStr">
        <is>
          <t>Not Interested</t>
        </is>
      </c>
      <c r="L5411" t="n">
        <v>1</v>
      </c>
      <c r="M5411" t="inlineStr">
        <is>
          <t>2026-06-19 12:24:00</t>
        </is>
      </c>
      <c r="N5411" t="inlineStr">
        <is>
          <t>Vuyiswa Nxumalo</t>
        </is>
      </c>
      <c r="O5411" t="inlineStr">
        <is>
          <t>2026-06-19 07:10:32</t>
        </is>
      </c>
      <c r="P5411" t="inlineStr">
        <is>
          <t>2026-06-19 07:10:32</t>
        </is>
      </c>
      <c r="Y5411" t="inlineStr">
        <is>
          <t>27828579484</t>
        </is>
      </c>
    </row>
    <row r="5412">
      <c r="A5412" t="inlineStr">
        <is>
          <t>14947423</t>
        </is>
      </c>
      <c r="B5412" t="inlineStr">
        <is>
          <t>0f13d615-7d05-4713-aee5-32269ba6c1af</t>
        </is>
      </c>
      <c r="D5412" t="inlineStr">
        <is>
          <t>30001087</t>
        </is>
      </c>
      <c r="E5412" t="inlineStr">
        <is>
          <t>ussd_funeral_leads_altitude_20260619</t>
        </is>
      </c>
      <c r="J5412" t="inlineStr">
        <is>
          <t>CBACK</t>
        </is>
      </c>
      <c r="K5412" t="inlineStr">
        <is>
          <t>Callback</t>
        </is>
      </c>
      <c r="L5412" t="n">
        <v>1</v>
      </c>
      <c r="M5412" t="inlineStr">
        <is>
          <t>2026-06-19 12:19:16</t>
        </is>
      </c>
      <c r="N5412" t="inlineStr">
        <is>
          <t>Happyness Sindane</t>
        </is>
      </c>
      <c r="O5412" t="inlineStr">
        <is>
          <t>2026-06-19 07:10:32</t>
        </is>
      </c>
      <c r="P5412" t="inlineStr">
        <is>
          <t>2026-06-19 07:10:32</t>
        </is>
      </c>
      <c r="Y5412" t="inlineStr">
        <is>
          <t>27760247835</t>
        </is>
      </c>
    </row>
    <row r="5413">
      <c r="A5413" t="inlineStr">
        <is>
          <t>14947429</t>
        </is>
      </c>
      <c r="B5413" t="inlineStr">
        <is>
          <t>17540a1a-774b-49ef-b545-da2cb495d5dd</t>
        </is>
      </c>
      <c r="D5413" t="inlineStr">
        <is>
          <t>30001087</t>
        </is>
      </c>
      <c r="E5413" t="inlineStr">
        <is>
          <t>ussd_funeral_leads_altitude_20260619</t>
        </is>
      </c>
      <c r="J5413" t="inlineStr">
        <is>
          <t>NI</t>
        </is>
      </c>
      <c r="K5413" t="inlineStr">
        <is>
          <t>Not Interested</t>
        </is>
      </c>
      <c r="L5413" t="n">
        <v>1</v>
      </c>
      <c r="M5413" t="inlineStr">
        <is>
          <t>2026-06-19 12:19:10</t>
        </is>
      </c>
      <c r="N5413" t="inlineStr">
        <is>
          <t>Gugulethu Duma</t>
        </is>
      </c>
      <c r="O5413" t="inlineStr">
        <is>
          <t>2026-06-19 07:10:32</t>
        </is>
      </c>
      <c r="P5413" t="inlineStr">
        <is>
          <t>2026-06-19 07:10:32</t>
        </is>
      </c>
      <c r="Y5413" t="inlineStr">
        <is>
          <t>27762619080</t>
        </is>
      </c>
    </row>
    <row r="5414">
      <c r="A5414" t="inlineStr">
        <is>
          <t>14943302</t>
        </is>
      </c>
      <c r="B5414" t="inlineStr">
        <is>
          <t>5db20f33-637b-40ff-b76c-98b8426e3070</t>
        </is>
      </c>
      <c r="D5414" t="inlineStr">
        <is>
          <t>30001087</t>
        </is>
      </c>
      <c r="E5414" t="inlineStr">
        <is>
          <t>ussd_funeral_leads_altitude_20260619</t>
        </is>
      </c>
      <c r="J5414" t="inlineStr">
        <is>
          <t>CBACK</t>
        </is>
      </c>
      <c r="K5414" t="inlineStr">
        <is>
          <t>Callback</t>
        </is>
      </c>
      <c r="L5414" t="n">
        <v>2</v>
      </c>
      <c r="M5414" t="inlineStr">
        <is>
          <t>2026-06-19 12:13:21</t>
        </is>
      </c>
      <c r="N5414" t="inlineStr">
        <is>
          <t>Vhutshilo Marcia Ramapundu</t>
        </is>
      </c>
      <c r="O5414" t="inlineStr">
        <is>
          <t>2026-06-19 07:10:32</t>
        </is>
      </c>
      <c r="P5414" t="inlineStr">
        <is>
          <t>2026-06-19 07:10:32</t>
        </is>
      </c>
      <c r="Y5414" t="inlineStr">
        <is>
          <t>27722971786</t>
        </is>
      </c>
    </row>
    <row r="5415">
      <c r="A5415" t="inlineStr">
        <is>
          <t>14900000</t>
        </is>
      </c>
      <c r="B5415" t="inlineStr">
        <is>
          <t>e546ab41-9064-4f3d-b7d2-c33e0e5ca4de</t>
        </is>
      </c>
      <c r="D5415" t="inlineStr">
        <is>
          <t>30001087</t>
        </is>
      </c>
      <c r="E5415" t="inlineStr">
        <is>
          <t>ussd_funeral_leads_altitude_20260619</t>
        </is>
      </c>
      <c r="J5415" t="inlineStr">
        <is>
          <t>AF</t>
        </is>
      </c>
      <c r="K5415" t="inlineStr">
        <is>
          <t>Cannot Afford</t>
        </is>
      </c>
      <c r="L5415" t="n">
        <v>1</v>
      </c>
      <c r="M5415" t="inlineStr">
        <is>
          <t>2026-06-19 12:04:00</t>
        </is>
      </c>
      <c r="N5415" t="inlineStr">
        <is>
          <t>Vuyiswa Nxumalo</t>
        </is>
      </c>
      <c r="O5415" t="inlineStr">
        <is>
          <t>2026-06-19 07:10:32</t>
        </is>
      </c>
      <c r="P5415" t="inlineStr">
        <is>
          <t>2026-06-19 07:10:32</t>
        </is>
      </c>
      <c r="Y5415" t="inlineStr">
        <is>
          <t>27714092142</t>
        </is>
      </c>
    </row>
    <row r="5416">
      <c r="A5416" t="inlineStr">
        <is>
          <t>14947604</t>
        </is>
      </c>
      <c r="B5416" t="inlineStr">
        <is>
          <t>6ec68030-41fa-4f8c-b286-f36f3941c72d</t>
        </is>
      </c>
      <c r="D5416" t="inlineStr">
        <is>
          <t>30001087</t>
        </is>
      </c>
      <c r="E5416" t="inlineStr">
        <is>
          <t>ussd_funeral_leads_altitude_20260619</t>
        </is>
      </c>
      <c r="J5416" t="inlineStr">
        <is>
          <t>NI</t>
        </is>
      </c>
      <c r="K5416" t="inlineStr">
        <is>
          <t>Not Interested</t>
        </is>
      </c>
      <c r="L5416" t="n">
        <v>1</v>
      </c>
      <c r="M5416" t="inlineStr">
        <is>
          <t>2026-06-19 11:59:30</t>
        </is>
      </c>
      <c r="N5416" t="inlineStr">
        <is>
          <t>Happyness Sindane</t>
        </is>
      </c>
      <c r="O5416" t="inlineStr">
        <is>
          <t>2026-06-19 07:10:32</t>
        </is>
      </c>
      <c r="P5416" t="inlineStr">
        <is>
          <t>2026-06-19 07:10:32</t>
        </is>
      </c>
      <c r="Y5416" t="inlineStr">
        <is>
          <t>27649058396</t>
        </is>
      </c>
    </row>
    <row r="5417">
      <c r="A5417" t="inlineStr">
        <is>
          <t>14944139</t>
        </is>
      </c>
      <c r="B5417" t="inlineStr">
        <is>
          <t>3c8affa8-ce21-45fd-99c6-557736242899</t>
        </is>
      </c>
      <c r="D5417" t="inlineStr">
        <is>
          <t>30001087</t>
        </is>
      </c>
      <c r="E5417" t="inlineStr">
        <is>
          <t>ussd_funeral_leads_altitude_20260619</t>
        </is>
      </c>
      <c r="J5417" t="inlineStr">
        <is>
          <t>A</t>
        </is>
      </c>
      <c r="K5417" t="inlineStr">
        <is>
          <t>Answering Machine</t>
        </is>
      </c>
      <c r="L5417" t="n">
        <v>2</v>
      </c>
      <c r="M5417" t="inlineStr">
        <is>
          <t>2026-06-19 11:30:10</t>
        </is>
      </c>
      <c r="N5417" t="inlineStr">
        <is>
          <t>Fortunate Ndubane</t>
        </is>
      </c>
      <c r="O5417" t="inlineStr">
        <is>
          <t>2026-06-19 07:10:32</t>
        </is>
      </c>
      <c r="P5417" t="inlineStr">
        <is>
          <t>2026-06-19 07:10:32</t>
        </is>
      </c>
      <c r="Y5417" t="inlineStr">
        <is>
          <t>27761967444</t>
        </is>
      </c>
    </row>
    <row r="5418">
      <c r="A5418" t="inlineStr">
        <is>
          <t>14947687</t>
        </is>
      </c>
      <c r="B5418" t="inlineStr">
        <is>
          <t>1c74ad41-888b-4c97-97f0-4a7b81c306df</t>
        </is>
      </c>
      <c r="D5418" t="inlineStr">
        <is>
          <t>30001087</t>
        </is>
      </c>
      <c r="E5418" t="inlineStr">
        <is>
          <t>ussd_funeral_leads_altitude_20260619</t>
        </is>
      </c>
      <c r="J5418" t="inlineStr">
        <is>
          <t>CBACK</t>
        </is>
      </c>
      <c r="K5418" t="inlineStr">
        <is>
          <t>Callback</t>
        </is>
      </c>
      <c r="L5418" t="n">
        <v>1</v>
      </c>
      <c r="M5418" t="inlineStr">
        <is>
          <t>2026-06-19 11:13:25</t>
        </is>
      </c>
      <c r="N5418" t="inlineStr">
        <is>
          <t>Angelina Nyambi</t>
        </is>
      </c>
      <c r="O5418" t="inlineStr">
        <is>
          <t>2026-06-19 07:10:32</t>
        </is>
      </c>
      <c r="P5418" t="inlineStr">
        <is>
          <t>2026-06-19 07:10:32</t>
        </is>
      </c>
      <c r="Y5418" t="inlineStr">
        <is>
          <t>27674652011</t>
        </is>
      </c>
    </row>
    <row r="5419">
      <c r="A5419" t="inlineStr">
        <is>
          <t>14946126</t>
        </is>
      </c>
      <c r="B5419" t="inlineStr">
        <is>
          <t>44f86628-9e79-475a-bce9-06435bbbd6f3</t>
        </is>
      </c>
      <c r="D5419" t="inlineStr">
        <is>
          <t>30001087</t>
        </is>
      </c>
      <c r="E5419" t="inlineStr">
        <is>
          <t>ussd_funeral_leads_altitude_20260619</t>
        </is>
      </c>
      <c r="J5419" t="inlineStr">
        <is>
          <t>CU</t>
        </is>
      </c>
      <c r="K5419" t="inlineStr">
        <is>
          <t>Client Hung Up</t>
        </is>
      </c>
      <c r="L5419" t="n">
        <v>5</v>
      </c>
      <c r="M5419" t="inlineStr">
        <is>
          <t>2026-06-19 10:27:51</t>
        </is>
      </c>
      <c r="N5419" t="inlineStr">
        <is>
          <t>Gugulethu Duma</t>
        </is>
      </c>
      <c r="O5419" t="inlineStr">
        <is>
          <t>2026-06-19 07:10:32</t>
        </is>
      </c>
      <c r="P5419" t="inlineStr">
        <is>
          <t>2026-06-19 07:10:32</t>
        </is>
      </c>
      <c r="Y5419" t="inlineStr">
        <is>
          <t>27795868832</t>
        </is>
      </c>
    </row>
    <row r="5420">
      <c r="A5420" t="inlineStr">
        <is>
          <t>14945099</t>
        </is>
      </c>
      <c r="B5420" t="inlineStr">
        <is>
          <t>68d2b2db-4e25-4413-bdf6-a0f160820aa0</t>
        </is>
      </c>
      <c r="D5420" t="inlineStr">
        <is>
          <t>30001087</t>
        </is>
      </c>
      <c r="E5420" t="inlineStr">
        <is>
          <t>ussd_funeral_leads_altitude_20260619</t>
        </is>
      </c>
      <c r="H5420" t="inlineStr">
        <is>
          <t>27636415361</t>
        </is>
      </c>
      <c r="J5420" t="inlineStr">
        <is>
          <t>CBACK</t>
        </is>
      </c>
      <c r="K5420" t="inlineStr">
        <is>
          <t>Callback</t>
        </is>
      </c>
      <c r="L5420" t="n">
        <v>2</v>
      </c>
      <c r="M5420" t="inlineStr">
        <is>
          <t>2026-06-19 10:25:59</t>
        </is>
      </c>
      <c r="N5420" t="inlineStr">
        <is>
          <t>Tebogo Chauke</t>
        </is>
      </c>
      <c r="O5420" t="inlineStr">
        <is>
          <t>2026-06-19 07:10:32</t>
        </is>
      </c>
      <c r="P5420" t="inlineStr">
        <is>
          <t>2026-06-19 07:10:32</t>
        </is>
      </c>
      <c r="Y5420" t="inlineStr">
        <is>
          <t>27636415361</t>
        </is>
      </c>
    </row>
    <row r="5421">
      <c r="A5421" t="inlineStr">
        <is>
          <t>14946440</t>
        </is>
      </c>
      <c r="B5421" t="inlineStr">
        <is>
          <t>0b593468-49e7-496b-807d-8fe82198314f</t>
        </is>
      </c>
      <c r="D5421" t="inlineStr">
        <is>
          <t>30001087</t>
        </is>
      </c>
      <c r="E5421" t="inlineStr">
        <is>
          <t>ussd_funeral_leads_altitude_20260619</t>
        </is>
      </c>
      <c r="J5421" t="inlineStr">
        <is>
          <t>U</t>
        </is>
      </c>
      <c r="K5421" t="inlineStr">
        <is>
          <t>Unemployed</t>
        </is>
      </c>
      <c r="L5421" t="n">
        <v>1</v>
      </c>
      <c r="M5421" t="inlineStr">
        <is>
          <t>2026-06-19 10:06:47</t>
        </is>
      </c>
      <c r="N5421" t="inlineStr">
        <is>
          <t>Tebogo Chauke</t>
        </is>
      </c>
      <c r="O5421" t="inlineStr">
        <is>
          <t>2026-06-19 07:10:32</t>
        </is>
      </c>
      <c r="P5421" t="inlineStr">
        <is>
          <t>2026-06-19 07:10:32</t>
        </is>
      </c>
      <c r="Y5421" t="inlineStr">
        <is>
          <t>27791488733</t>
        </is>
      </c>
    </row>
    <row r="5422">
      <c r="A5422" t="inlineStr">
        <is>
          <t>14946409</t>
        </is>
      </c>
      <c r="B5422" t="inlineStr">
        <is>
          <t>4b07e947-b546-4111-a88f-39d0799f108e</t>
        </is>
      </c>
      <c r="D5422" t="inlineStr">
        <is>
          <t>30001087</t>
        </is>
      </c>
      <c r="E5422" t="inlineStr">
        <is>
          <t>ussd_funeral_leads_altitude_20260619</t>
        </is>
      </c>
      <c r="J5422" t="inlineStr">
        <is>
          <t>CUA</t>
        </is>
      </c>
      <c r="K5422" t="inlineStr">
        <is>
          <t>Client Underage</t>
        </is>
      </c>
      <c r="L5422" t="n">
        <v>1</v>
      </c>
      <c r="M5422" t="inlineStr">
        <is>
          <t>2026-06-19 10:05:48</t>
        </is>
      </c>
      <c r="N5422" t="inlineStr">
        <is>
          <t>Vhutshilo Marcia Ramapundu</t>
        </is>
      </c>
      <c r="O5422" t="inlineStr">
        <is>
          <t>2026-06-19 07:10:32</t>
        </is>
      </c>
      <c r="P5422" t="inlineStr">
        <is>
          <t>2026-06-19 07:10:32</t>
        </is>
      </c>
      <c r="Y5422" t="inlineStr">
        <is>
          <t>27820632625</t>
        </is>
      </c>
    </row>
    <row r="5423">
      <c r="A5423" t="inlineStr">
        <is>
          <t>14946332</t>
        </is>
      </c>
      <c r="B5423" t="inlineStr">
        <is>
          <t>a80c19ed-cfa3-481f-b1ee-1fd18d87b383</t>
        </is>
      </c>
      <c r="D5423" t="inlineStr">
        <is>
          <t>30001087</t>
        </is>
      </c>
      <c r="E5423" t="inlineStr">
        <is>
          <t>ussd_funeral_leads_altitude_20260619</t>
        </is>
      </c>
      <c r="J5423" t="inlineStr">
        <is>
          <t>CBACK</t>
        </is>
      </c>
      <c r="K5423" t="inlineStr">
        <is>
          <t>Callback</t>
        </is>
      </c>
      <c r="L5423" t="n">
        <v>1</v>
      </c>
      <c r="M5423" t="inlineStr">
        <is>
          <t>2026-06-19 10:02:50</t>
        </is>
      </c>
      <c r="N5423" t="inlineStr">
        <is>
          <t>Angelina Nyambi</t>
        </is>
      </c>
      <c r="O5423" t="inlineStr">
        <is>
          <t>2026-06-19 07:10:32</t>
        </is>
      </c>
      <c r="P5423" t="inlineStr">
        <is>
          <t>2026-06-19 07:10:32</t>
        </is>
      </c>
      <c r="Y5423" t="inlineStr">
        <is>
          <t>27636521915</t>
        </is>
      </c>
    </row>
    <row r="5424">
      <c r="A5424" t="inlineStr">
        <is>
          <t>14946273</t>
        </is>
      </c>
      <c r="B5424" t="inlineStr">
        <is>
          <t>81aec405-e28a-4940-b415-0c9aa094db73</t>
        </is>
      </c>
      <c r="D5424" t="inlineStr">
        <is>
          <t>30001087</t>
        </is>
      </c>
      <c r="E5424" t="inlineStr">
        <is>
          <t>ussd_funeral_leads_altitude_20260619</t>
        </is>
      </c>
      <c r="J5424" t="inlineStr">
        <is>
          <t>NI</t>
        </is>
      </c>
      <c r="K5424" t="inlineStr">
        <is>
          <t>Not Interested</t>
        </is>
      </c>
      <c r="L5424" t="n">
        <v>1</v>
      </c>
      <c r="M5424" t="inlineStr">
        <is>
          <t>2026-06-19 10:00:35</t>
        </is>
      </c>
      <c r="N5424" t="inlineStr">
        <is>
          <t>Gontse Monageng</t>
        </is>
      </c>
      <c r="O5424" t="inlineStr">
        <is>
          <t>2026-06-19 07:10:32</t>
        </is>
      </c>
      <c r="P5424" t="inlineStr">
        <is>
          <t>2026-06-19 07:10:32</t>
        </is>
      </c>
      <c r="Y5424" t="inlineStr">
        <is>
          <t>27609882548</t>
        </is>
      </c>
    </row>
    <row r="5425">
      <c r="A5425" t="inlineStr">
        <is>
          <t>14946267</t>
        </is>
      </c>
      <c r="B5425" t="inlineStr">
        <is>
          <t>9d7799fb-d207-4534-866a-be45ef6585d1</t>
        </is>
      </c>
      <c r="D5425" t="inlineStr">
        <is>
          <t>30001087</t>
        </is>
      </c>
      <c r="E5425" t="inlineStr">
        <is>
          <t>ussd_funeral_leads_altitude_20260619</t>
        </is>
      </c>
      <c r="J5425" t="inlineStr">
        <is>
          <t>U</t>
        </is>
      </c>
      <c r="K5425" t="inlineStr">
        <is>
          <t>Unemployed</t>
        </is>
      </c>
      <c r="L5425" t="n">
        <v>1</v>
      </c>
      <c r="M5425" t="inlineStr">
        <is>
          <t>2026-06-19 09:58:54</t>
        </is>
      </c>
      <c r="N5425" t="inlineStr">
        <is>
          <t>Lebohang Mabotja</t>
        </is>
      </c>
      <c r="O5425" t="inlineStr">
        <is>
          <t>2026-06-19 07:10:32</t>
        </is>
      </c>
      <c r="P5425" t="inlineStr">
        <is>
          <t>2026-06-19 07:10:32</t>
        </is>
      </c>
      <c r="Y5425" t="inlineStr">
        <is>
          <t>27797682021</t>
        </is>
      </c>
    </row>
    <row r="5426">
      <c r="A5426" t="inlineStr">
        <is>
          <t>14946228</t>
        </is>
      </c>
      <c r="B5426" t="inlineStr">
        <is>
          <t>8845bf57-92c5-4c4b-846c-8605794f86fe</t>
        </is>
      </c>
      <c r="D5426" t="inlineStr">
        <is>
          <t>30001087</t>
        </is>
      </c>
      <c r="E5426" t="inlineStr">
        <is>
          <t>ussd_funeral_leads_altitude_20260619</t>
        </is>
      </c>
      <c r="J5426" t="inlineStr">
        <is>
          <t>CBACK</t>
        </is>
      </c>
      <c r="K5426" t="inlineStr">
        <is>
          <t>Callback</t>
        </is>
      </c>
      <c r="L5426" t="n">
        <v>1</v>
      </c>
      <c r="M5426" t="inlineStr">
        <is>
          <t>2026-06-19 09:57:15</t>
        </is>
      </c>
      <c r="N5426" t="inlineStr">
        <is>
          <t>Vhutshilo Marcia Ramapundu</t>
        </is>
      </c>
      <c r="O5426" t="inlineStr">
        <is>
          <t>2026-06-19 07:10:32</t>
        </is>
      </c>
      <c r="P5426" t="inlineStr">
        <is>
          <t>2026-06-19 07:10:32</t>
        </is>
      </c>
      <c r="Y5426" t="inlineStr">
        <is>
          <t>27761232911</t>
        </is>
      </c>
    </row>
    <row r="5427">
      <c r="A5427" t="inlineStr">
        <is>
          <t>14946216</t>
        </is>
      </c>
      <c r="B5427" t="inlineStr">
        <is>
          <t>b840cdb8-be58-47c7-a23c-c6fc5d11ca5c</t>
        </is>
      </c>
      <c r="D5427" t="inlineStr">
        <is>
          <t>30001087</t>
        </is>
      </c>
      <c r="E5427" t="inlineStr">
        <is>
          <t>ussd_funeral_leads_altitude_20260619</t>
        </is>
      </c>
      <c r="J5427" t="inlineStr">
        <is>
          <t>CBACK</t>
        </is>
      </c>
      <c r="K5427" t="inlineStr">
        <is>
          <t>Callback</t>
        </is>
      </c>
      <c r="L5427" t="n">
        <v>1</v>
      </c>
      <c r="M5427" t="inlineStr">
        <is>
          <t>2026-06-19 09:56:39</t>
        </is>
      </c>
      <c r="N5427" t="inlineStr">
        <is>
          <t>Angelina Nyambi</t>
        </is>
      </c>
      <c r="O5427" t="inlineStr">
        <is>
          <t>2026-06-19 07:10:32</t>
        </is>
      </c>
      <c r="P5427" t="inlineStr">
        <is>
          <t>2026-06-19 07:10:32</t>
        </is>
      </c>
      <c r="Y5427" t="inlineStr">
        <is>
          <t>27798724061</t>
        </is>
      </c>
    </row>
    <row r="5428">
      <c r="A5428" t="inlineStr">
        <is>
          <t>14946161</t>
        </is>
      </c>
      <c r="B5428" t="inlineStr">
        <is>
          <t>8ce84920-e2fb-4b70-90d0-266e01fdd99c</t>
        </is>
      </c>
      <c r="D5428" t="inlineStr">
        <is>
          <t>30001087</t>
        </is>
      </c>
      <c r="E5428" t="inlineStr">
        <is>
          <t>ussd_funeral_leads_altitude_20260619</t>
        </is>
      </c>
      <c r="J5428" t="inlineStr">
        <is>
          <t>CBACK</t>
        </is>
      </c>
      <c r="K5428" t="inlineStr">
        <is>
          <t>Callback</t>
        </is>
      </c>
      <c r="L5428" t="n">
        <v>1</v>
      </c>
      <c r="M5428" t="inlineStr">
        <is>
          <t>2026-06-19 09:52:45</t>
        </is>
      </c>
      <c r="N5428" t="inlineStr">
        <is>
          <t>Gontse Monageng</t>
        </is>
      </c>
      <c r="O5428" t="inlineStr">
        <is>
          <t>2026-06-19 07:10:32</t>
        </is>
      </c>
      <c r="P5428" t="inlineStr">
        <is>
          <t>2026-06-19 07:10:32</t>
        </is>
      </c>
      <c r="Y5428" t="inlineStr">
        <is>
          <t>27760448463</t>
        </is>
      </c>
    </row>
    <row r="5429">
      <c r="A5429" t="inlineStr">
        <is>
          <t>14945913</t>
        </is>
      </c>
      <c r="B5429" t="inlineStr">
        <is>
          <t>c3ae7fe3-1b4c-42a6-ab80-8378a21b0c54</t>
        </is>
      </c>
      <c r="D5429" t="inlineStr">
        <is>
          <t>30001087</t>
        </is>
      </c>
      <c r="E5429" t="inlineStr">
        <is>
          <t>ussd_funeral_leads_altitude_20260619</t>
        </is>
      </c>
      <c r="J5429" t="inlineStr">
        <is>
          <t>QAVER</t>
        </is>
      </c>
      <c r="K5429" t="inlineStr">
        <is>
          <t>Sale Made</t>
        </is>
      </c>
      <c r="L5429" t="n">
        <v>2</v>
      </c>
      <c r="M5429" t="inlineStr">
        <is>
          <t>2026-06-19 09:51:38</t>
        </is>
      </c>
      <c r="N5429" t="inlineStr">
        <is>
          <t>Tebogo Chauke</t>
        </is>
      </c>
      <c r="O5429" t="inlineStr">
        <is>
          <t>2026-06-19 07:10:32</t>
        </is>
      </c>
      <c r="P5429" t="inlineStr">
        <is>
          <t>2026-06-19 07:10:32</t>
        </is>
      </c>
      <c r="Y5429" t="inlineStr">
        <is>
          <t>27662477078</t>
        </is>
      </c>
    </row>
    <row r="5430">
      <c r="A5430" t="inlineStr">
        <is>
          <t>14946124</t>
        </is>
      </c>
      <c r="B5430" t="inlineStr">
        <is>
          <t>f257238b-572a-48cd-9179-89ca95fce6b5</t>
        </is>
      </c>
      <c r="D5430" t="inlineStr">
        <is>
          <t>30001087</t>
        </is>
      </c>
      <c r="E5430" t="inlineStr">
        <is>
          <t>ussd_funeral_leads_altitude_20260619</t>
        </is>
      </c>
      <c r="J5430" t="inlineStr">
        <is>
          <t>CBACK</t>
        </is>
      </c>
      <c r="K5430" t="inlineStr">
        <is>
          <t>Callback</t>
        </is>
      </c>
      <c r="L5430" t="n">
        <v>1</v>
      </c>
      <c r="M5430" t="inlineStr">
        <is>
          <t>2026-06-19 09:49:19</t>
        </is>
      </c>
      <c r="N5430" t="inlineStr">
        <is>
          <t>Gontse Monageng</t>
        </is>
      </c>
      <c r="O5430" t="inlineStr">
        <is>
          <t>2026-06-19 07:10:32</t>
        </is>
      </c>
      <c r="P5430" t="inlineStr">
        <is>
          <t>2026-06-19 07:10:32</t>
        </is>
      </c>
      <c r="Y5430" t="inlineStr">
        <is>
          <t>27636615292</t>
        </is>
      </c>
    </row>
    <row r="5431">
      <c r="A5431" t="inlineStr">
        <is>
          <t>14946120</t>
        </is>
      </c>
      <c r="B5431" t="inlineStr">
        <is>
          <t>3ecfe43b-5e7b-4662-8477-22dd4cd34049</t>
        </is>
      </c>
      <c r="D5431" t="inlineStr">
        <is>
          <t>30001087</t>
        </is>
      </c>
      <c r="E5431" t="inlineStr">
        <is>
          <t>ussd_funeral_leads_altitude_20260619</t>
        </is>
      </c>
      <c r="J5431" t="inlineStr">
        <is>
          <t>AF</t>
        </is>
      </c>
      <c r="K5431" t="inlineStr">
        <is>
          <t>Cannot Afford</t>
        </is>
      </c>
      <c r="L5431" t="n">
        <v>1</v>
      </c>
      <c r="M5431" t="inlineStr">
        <is>
          <t>2026-06-19 09:49:18</t>
        </is>
      </c>
      <c r="N5431" t="inlineStr">
        <is>
          <t>Happyness Sindane</t>
        </is>
      </c>
      <c r="O5431" t="inlineStr">
        <is>
          <t>2026-06-19 07:10:32</t>
        </is>
      </c>
      <c r="P5431" t="inlineStr">
        <is>
          <t>2026-06-19 07:10:32</t>
        </is>
      </c>
      <c r="Y5431" t="inlineStr">
        <is>
          <t>27822376133</t>
        </is>
      </c>
    </row>
    <row r="5432">
      <c r="A5432" t="inlineStr">
        <is>
          <t>14900000</t>
        </is>
      </c>
      <c r="B5432" t="inlineStr">
        <is>
          <t>0e6782dd-4eed-4ea2-9d5e-f6859c024f3f</t>
        </is>
      </c>
      <c r="D5432" t="inlineStr">
        <is>
          <t>30001087</t>
        </is>
      </c>
      <c r="E5432" t="inlineStr">
        <is>
          <t>ussd_funeral_leads_altitude_20260619</t>
        </is>
      </c>
      <c r="H5432" t="inlineStr">
        <is>
          <t>27798568209</t>
        </is>
      </c>
      <c r="J5432" t="inlineStr">
        <is>
          <t>LANG</t>
        </is>
      </c>
      <c r="K5432" t="inlineStr">
        <is>
          <t>Language Barrier</t>
        </is>
      </c>
      <c r="L5432" t="n">
        <v>1</v>
      </c>
      <c r="M5432" t="inlineStr">
        <is>
          <t>2026-06-19 09:48:44</t>
        </is>
      </c>
      <c r="N5432" t="inlineStr">
        <is>
          <t>Happyness Sindane</t>
        </is>
      </c>
      <c r="O5432" t="inlineStr">
        <is>
          <t>2026-06-19 07:10:32</t>
        </is>
      </c>
      <c r="P5432" t="inlineStr">
        <is>
          <t>2026-06-19 07:10:32</t>
        </is>
      </c>
      <c r="Y5432" t="inlineStr">
        <is>
          <t>27798568209</t>
        </is>
      </c>
    </row>
    <row r="5433">
      <c r="A5433" t="inlineStr">
        <is>
          <t>14946081</t>
        </is>
      </c>
      <c r="B5433" t="inlineStr">
        <is>
          <t>36c2692e-eba2-4e98-9624-b6c387ad7676</t>
        </is>
      </c>
      <c r="D5433" t="inlineStr">
        <is>
          <t>30001087</t>
        </is>
      </c>
      <c r="E5433" t="inlineStr">
        <is>
          <t>ussd_funeral_leads_altitude_20260619</t>
        </is>
      </c>
      <c r="J5433" t="inlineStr">
        <is>
          <t>NI</t>
        </is>
      </c>
      <c r="K5433" t="inlineStr">
        <is>
          <t>Not Interested</t>
        </is>
      </c>
      <c r="L5433" t="n">
        <v>1</v>
      </c>
      <c r="M5433" t="inlineStr">
        <is>
          <t>2026-06-19 09:47:44</t>
        </is>
      </c>
      <c r="N5433" t="inlineStr">
        <is>
          <t>Gugulethu Duma</t>
        </is>
      </c>
      <c r="O5433" t="inlineStr">
        <is>
          <t>2026-06-19 07:10:32</t>
        </is>
      </c>
      <c r="P5433" t="inlineStr">
        <is>
          <t>2026-06-19 07:10:32</t>
        </is>
      </c>
      <c r="Y5433" t="inlineStr">
        <is>
          <t>27735695589</t>
        </is>
      </c>
    </row>
    <row r="5434">
      <c r="A5434" t="inlineStr">
        <is>
          <t>14946064</t>
        </is>
      </c>
      <c r="B5434" t="inlineStr">
        <is>
          <t>19942323-d0e9-4394-8e92-ce8ffa311924</t>
        </is>
      </c>
      <c r="D5434" t="inlineStr">
        <is>
          <t>30001087</t>
        </is>
      </c>
      <c r="E5434" t="inlineStr">
        <is>
          <t>ussd_funeral_leads_altitude_20260619</t>
        </is>
      </c>
      <c r="J5434" t="inlineStr">
        <is>
          <t>CBACK</t>
        </is>
      </c>
      <c r="K5434" t="inlineStr">
        <is>
          <t>Callback</t>
        </is>
      </c>
      <c r="L5434" t="n">
        <v>1</v>
      </c>
      <c r="M5434" t="inlineStr">
        <is>
          <t>2026-06-19 09:46:58</t>
        </is>
      </c>
      <c r="N5434" t="inlineStr">
        <is>
          <t>Angelina Nyambi</t>
        </is>
      </c>
      <c r="O5434" t="inlineStr">
        <is>
          <t>2026-06-19 07:10:32</t>
        </is>
      </c>
      <c r="P5434" t="inlineStr">
        <is>
          <t>2026-06-19 07:10:32</t>
        </is>
      </c>
      <c r="Y5434" t="inlineStr">
        <is>
          <t>27794568797</t>
        </is>
      </c>
    </row>
    <row r="5435">
      <c r="A5435" t="inlineStr">
        <is>
          <t>14946020</t>
        </is>
      </c>
      <c r="B5435" t="inlineStr">
        <is>
          <t>c32ef508-5676-4235-b228-634ff985edbc</t>
        </is>
      </c>
      <c r="D5435" t="inlineStr">
        <is>
          <t>30001087</t>
        </is>
      </c>
      <c r="E5435" t="inlineStr">
        <is>
          <t>ussd_funeral_leads_altitude_20260619</t>
        </is>
      </c>
      <c r="J5435" t="inlineStr">
        <is>
          <t>AC</t>
        </is>
      </c>
      <c r="K5435" t="inlineStr">
        <is>
          <t>Already Contacted</t>
        </is>
      </c>
      <c r="L5435" t="n">
        <v>1</v>
      </c>
      <c r="M5435" t="inlineStr">
        <is>
          <t>2026-06-19 09:43:44</t>
        </is>
      </c>
      <c r="N5435" t="inlineStr">
        <is>
          <t>Happyness Sindane</t>
        </is>
      </c>
      <c r="O5435" t="inlineStr">
        <is>
          <t>2026-06-19 07:10:32</t>
        </is>
      </c>
      <c r="P5435" t="inlineStr">
        <is>
          <t>2026-06-19 07:10:32</t>
        </is>
      </c>
      <c r="Y5435" t="inlineStr">
        <is>
          <t>27714893796</t>
        </is>
      </c>
    </row>
    <row r="5436">
      <c r="A5436" t="inlineStr">
        <is>
          <t>14946008</t>
        </is>
      </c>
      <c r="B5436" t="inlineStr">
        <is>
          <t>918a232c-6c17-4f69-a76d-8a6f38a07d14</t>
        </is>
      </c>
      <c r="D5436" t="inlineStr">
        <is>
          <t>30001087</t>
        </is>
      </c>
      <c r="E5436" t="inlineStr">
        <is>
          <t>ussd_funeral_leads_altitude_20260619</t>
        </is>
      </c>
      <c r="J5436" t="inlineStr">
        <is>
          <t>CUA</t>
        </is>
      </c>
      <c r="K5436" t="inlineStr">
        <is>
          <t>Client Underage</t>
        </is>
      </c>
      <c r="L5436" t="n">
        <v>1</v>
      </c>
      <c r="M5436" t="inlineStr">
        <is>
          <t>2026-06-19 09:43:24</t>
        </is>
      </c>
      <c r="N5436" t="inlineStr">
        <is>
          <t>Gontse Monageng</t>
        </is>
      </c>
      <c r="O5436" t="inlineStr">
        <is>
          <t>2026-06-19 07:10:32</t>
        </is>
      </c>
      <c r="P5436" t="inlineStr">
        <is>
          <t>2026-06-19 07:10:32</t>
        </is>
      </c>
      <c r="Y5436" t="inlineStr">
        <is>
          <t>27675836712</t>
        </is>
      </c>
    </row>
    <row r="5437">
      <c r="A5437" t="inlineStr">
        <is>
          <t>14946005</t>
        </is>
      </c>
      <c r="B5437" t="inlineStr">
        <is>
          <t>0c10a65e-cf0e-4074-9302-bb6754357be5</t>
        </is>
      </c>
      <c r="D5437" t="inlineStr">
        <is>
          <t>30001087</t>
        </is>
      </c>
      <c r="E5437" t="inlineStr">
        <is>
          <t>ussd_funeral_leads_altitude_20260619</t>
        </is>
      </c>
      <c r="J5437" t="inlineStr">
        <is>
          <t>AF</t>
        </is>
      </c>
      <c r="K5437" t="inlineStr">
        <is>
          <t>Cannot Afford</t>
        </is>
      </c>
      <c r="L5437" t="n">
        <v>1</v>
      </c>
      <c r="M5437" t="inlineStr">
        <is>
          <t>2026-06-19 09:43:18</t>
        </is>
      </c>
      <c r="N5437" t="inlineStr">
        <is>
          <t>Angelina Nyambi</t>
        </is>
      </c>
      <c r="O5437" t="inlineStr">
        <is>
          <t>2026-06-19 07:10:32</t>
        </is>
      </c>
      <c r="P5437" t="inlineStr">
        <is>
          <t>2026-06-19 07:10:32</t>
        </is>
      </c>
      <c r="Y5437" t="inlineStr">
        <is>
          <t>27764175560</t>
        </is>
      </c>
    </row>
    <row r="5438">
      <c r="A5438" t="inlineStr">
        <is>
          <t>14945613</t>
        </is>
      </c>
      <c r="B5438" t="inlineStr">
        <is>
          <t>9cf1cda3-f204-4f88-911e-3ec4de7b3229</t>
        </is>
      </c>
      <c r="D5438" t="inlineStr">
        <is>
          <t>30001087</t>
        </is>
      </c>
      <c r="E5438" t="inlineStr">
        <is>
          <t>ussd_funeral_leads_altitude_20260619</t>
        </is>
      </c>
      <c r="J5438" t="inlineStr">
        <is>
          <t>QAVER</t>
        </is>
      </c>
      <c r="K5438" t="inlineStr">
        <is>
          <t>Sale Made</t>
        </is>
      </c>
      <c r="L5438" t="n">
        <v>3</v>
      </c>
      <c r="M5438" t="inlineStr">
        <is>
          <t>2026-06-19 09:42:16</t>
        </is>
      </c>
      <c r="N5438" t="inlineStr">
        <is>
          <t>Dimakatso Nkomo</t>
        </is>
      </c>
      <c r="O5438" t="inlineStr">
        <is>
          <t>2026-06-19 07:10:32</t>
        </is>
      </c>
      <c r="P5438" t="inlineStr">
        <is>
          <t>2026-06-19 07:10:32</t>
        </is>
      </c>
      <c r="Y5438" t="inlineStr">
        <is>
          <t>27712089995</t>
        </is>
      </c>
    </row>
    <row r="5439">
      <c r="A5439" t="inlineStr">
        <is>
          <t>14943245</t>
        </is>
      </c>
      <c r="B5439" t="inlineStr">
        <is>
          <t>fb1a74fd-8c4e-4d53-9ca5-c9944b447637</t>
        </is>
      </c>
      <c r="D5439" t="inlineStr">
        <is>
          <t>30001087</t>
        </is>
      </c>
      <c r="E5439" t="inlineStr">
        <is>
          <t>ussd_funeral_leads_altitude_20260619</t>
        </is>
      </c>
      <c r="J5439" t="inlineStr">
        <is>
          <t>QAVER</t>
        </is>
      </c>
      <c r="K5439" t="inlineStr">
        <is>
          <t>Sale Made</t>
        </is>
      </c>
      <c r="L5439" t="n">
        <v>2</v>
      </c>
      <c r="M5439" t="inlineStr">
        <is>
          <t>2026-06-19 09:41:10</t>
        </is>
      </c>
      <c r="N5439" t="inlineStr">
        <is>
          <t>Vuyiswa Nxumalo</t>
        </is>
      </c>
      <c r="O5439" t="inlineStr">
        <is>
          <t>2026-06-19 07:10:32</t>
        </is>
      </c>
      <c r="P5439" t="inlineStr">
        <is>
          <t>2026-06-19 07:10:32</t>
        </is>
      </c>
      <c r="Y5439" t="inlineStr">
        <is>
          <t>27766403482</t>
        </is>
      </c>
    </row>
    <row r="5440">
      <c r="A5440" t="inlineStr">
        <is>
          <t>14944720</t>
        </is>
      </c>
      <c r="B5440" t="inlineStr">
        <is>
          <t>dae1a44f-0907-48cc-9640-ee667acb3280</t>
        </is>
      </c>
      <c r="D5440" t="inlineStr">
        <is>
          <t>30001087</t>
        </is>
      </c>
      <c r="E5440" t="inlineStr">
        <is>
          <t>ussd_funeral_leads_altitude_20260619</t>
        </is>
      </c>
      <c r="J5440" t="inlineStr">
        <is>
          <t>CBACK</t>
        </is>
      </c>
      <c r="K5440" t="inlineStr">
        <is>
          <t>Callback</t>
        </is>
      </c>
      <c r="L5440" t="n">
        <v>3</v>
      </c>
      <c r="M5440" t="inlineStr">
        <is>
          <t>2026-06-19 09:38:53</t>
        </is>
      </c>
      <c r="N5440" t="inlineStr">
        <is>
          <t>Tebogo Chauke</t>
        </is>
      </c>
      <c r="O5440" t="inlineStr">
        <is>
          <t>2026-06-19 07:10:32</t>
        </is>
      </c>
      <c r="P5440" t="inlineStr">
        <is>
          <t>2026-06-19 07:10:32</t>
        </is>
      </c>
      <c r="Y5440" t="inlineStr">
        <is>
          <t>27763861117</t>
        </is>
      </c>
    </row>
    <row r="5441">
      <c r="A5441" t="inlineStr">
        <is>
          <t>14945895</t>
        </is>
      </c>
      <c r="B5441" t="inlineStr">
        <is>
          <t>40969af1-73b9-4706-b569-a69643bf80e6</t>
        </is>
      </c>
      <c r="D5441" t="inlineStr">
        <is>
          <t>30001087</t>
        </is>
      </c>
      <c r="E5441" t="inlineStr">
        <is>
          <t>ussd_funeral_leads_altitude_20260619</t>
        </is>
      </c>
      <c r="J5441" t="inlineStr">
        <is>
          <t>CBACK</t>
        </is>
      </c>
      <c r="K5441" t="inlineStr">
        <is>
          <t>Callback</t>
        </is>
      </c>
      <c r="L5441" t="n">
        <v>1</v>
      </c>
      <c r="M5441" t="inlineStr">
        <is>
          <t>2026-06-19 09:38:20</t>
        </is>
      </c>
      <c r="N5441" t="inlineStr">
        <is>
          <t>Happyness Sindane</t>
        </is>
      </c>
      <c r="O5441" t="inlineStr">
        <is>
          <t>2026-06-19 07:10:32</t>
        </is>
      </c>
      <c r="P5441" t="inlineStr">
        <is>
          <t>2026-06-19 07:10:32</t>
        </is>
      </c>
      <c r="Y5441" t="inlineStr">
        <is>
          <t>27726713085</t>
        </is>
      </c>
    </row>
    <row r="5442">
      <c r="A5442" t="inlineStr">
        <is>
          <t>14945896</t>
        </is>
      </c>
      <c r="B5442" t="inlineStr">
        <is>
          <t>fa976f7f-13a4-4104-876c-af5c6620ff37</t>
        </is>
      </c>
      <c r="D5442" t="inlineStr">
        <is>
          <t>30001087</t>
        </is>
      </c>
      <c r="E5442" t="inlineStr">
        <is>
          <t>ussd_funeral_leads_altitude_20260619</t>
        </is>
      </c>
      <c r="J5442" t="inlineStr">
        <is>
          <t>NI</t>
        </is>
      </c>
      <c r="K5442" t="inlineStr">
        <is>
          <t>Not Interested</t>
        </is>
      </c>
      <c r="L5442" t="n">
        <v>1</v>
      </c>
      <c r="M5442" t="inlineStr">
        <is>
          <t>2026-06-19 09:38:20</t>
        </is>
      </c>
      <c r="N5442" t="inlineStr">
        <is>
          <t>Vuyiswa Nxumalo</t>
        </is>
      </c>
      <c r="O5442" t="inlineStr">
        <is>
          <t>2026-06-19 07:10:32</t>
        </is>
      </c>
      <c r="P5442" t="inlineStr">
        <is>
          <t>2026-06-19 07:10:32</t>
        </is>
      </c>
      <c r="Y5442" t="inlineStr">
        <is>
          <t>27607236110</t>
        </is>
      </c>
    </row>
    <row r="5443">
      <c r="A5443" t="inlineStr">
        <is>
          <t>14945829</t>
        </is>
      </c>
      <c r="B5443" t="inlineStr">
        <is>
          <t>0813da0e-fec9-4718-8302-fec35f2c9eca</t>
        </is>
      </c>
      <c r="D5443" t="inlineStr">
        <is>
          <t>30001087</t>
        </is>
      </c>
      <c r="E5443" t="inlineStr">
        <is>
          <t>ussd_funeral_leads_altitude_20260619</t>
        </is>
      </c>
      <c r="J5443" t="inlineStr">
        <is>
          <t>CBACK</t>
        </is>
      </c>
      <c r="K5443" t="inlineStr">
        <is>
          <t>Callback</t>
        </is>
      </c>
      <c r="L5443" t="n">
        <v>2</v>
      </c>
      <c r="M5443" t="inlineStr">
        <is>
          <t>2026-06-19 09:36:33</t>
        </is>
      </c>
      <c r="N5443" t="inlineStr">
        <is>
          <t>Gugulethu Duma</t>
        </is>
      </c>
      <c r="O5443" t="inlineStr">
        <is>
          <t>2026-06-19 07:10:32</t>
        </is>
      </c>
      <c r="P5443" t="inlineStr">
        <is>
          <t>2026-06-19 07:10:32</t>
        </is>
      </c>
      <c r="Y5443" t="inlineStr">
        <is>
          <t>27674535895</t>
        </is>
      </c>
    </row>
    <row r="5444">
      <c r="A5444" t="inlineStr">
        <is>
          <t>14945857</t>
        </is>
      </c>
      <c r="B5444" t="inlineStr">
        <is>
          <t>8a7314bd-47b0-4d3b-aea2-c84fde482e59</t>
        </is>
      </c>
      <c r="D5444" t="inlineStr">
        <is>
          <t>30001087</t>
        </is>
      </c>
      <c r="E5444" t="inlineStr">
        <is>
          <t>ussd_funeral_leads_altitude_20260619</t>
        </is>
      </c>
      <c r="J5444" t="inlineStr">
        <is>
          <t>CBACK</t>
        </is>
      </c>
      <c r="K5444" t="inlineStr">
        <is>
          <t>Callback</t>
        </is>
      </c>
      <c r="L5444" t="n">
        <v>1</v>
      </c>
      <c r="M5444" t="inlineStr">
        <is>
          <t>2026-06-19 09:36:25</t>
        </is>
      </c>
      <c r="N5444" t="inlineStr">
        <is>
          <t>Angelina Nyambi</t>
        </is>
      </c>
      <c r="O5444" t="inlineStr">
        <is>
          <t>2026-06-19 07:10:32</t>
        </is>
      </c>
      <c r="P5444" t="inlineStr">
        <is>
          <t>2026-06-19 07:10:32</t>
        </is>
      </c>
      <c r="Y5444" t="inlineStr">
        <is>
          <t>27823227824</t>
        </is>
      </c>
    </row>
    <row r="5445">
      <c r="A5445" t="inlineStr">
        <is>
          <t>14945754</t>
        </is>
      </c>
      <c r="B5445" t="inlineStr">
        <is>
          <t>6c89ba1d-b082-4337-8070-a465bd25ec72</t>
        </is>
      </c>
      <c r="D5445" t="inlineStr">
        <is>
          <t>30001087</t>
        </is>
      </c>
      <c r="E5445" t="inlineStr">
        <is>
          <t>ussd_funeral_leads_altitude_20260619</t>
        </is>
      </c>
      <c r="J5445" t="inlineStr">
        <is>
          <t>AF</t>
        </is>
      </c>
      <c r="K5445" t="inlineStr">
        <is>
          <t>Cannot Afford</t>
        </is>
      </c>
      <c r="L5445" t="n">
        <v>1</v>
      </c>
      <c r="M5445" t="inlineStr">
        <is>
          <t>2026-06-19 09:31:54</t>
        </is>
      </c>
      <c r="N5445" t="inlineStr">
        <is>
          <t>Gugulethu Duma</t>
        </is>
      </c>
      <c r="O5445" t="inlineStr">
        <is>
          <t>2026-06-19 07:10:32</t>
        </is>
      </c>
      <c r="P5445" t="inlineStr">
        <is>
          <t>2026-06-19 07:10:32</t>
        </is>
      </c>
      <c r="Y5445" t="inlineStr">
        <is>
          <t>27608610003</t>
        </is>
      </c>
    </row>
    <row r="5446">
      <c r="A5446" t="inlineStr">
        <is>
          <t>14945709</t>
        </is>
      </c>
      <c r="B5446" t="inlineStr">
        <is>
          <t>54465979-0177-4de4-84ee-1ca0d3fd30b6</t>
        </is>
      </c>
      <c r="D5446" t="inlineStr">
        <is>
          <t>30001087</t>
        </is>
      </c>
      <c r="E5446" t="inlineStr">
        <is>
          <t>ussd_funeral_leads_altitude_20260619</t>
        </is>
      </c>
      <c r="J5446" t="inlineStr">
        <is>
          <t>AF</t>
        </is>
      </c>
      <c r="K5446" t="inlineStr">
        <is>
          <t>Cannot Afford</t>
        </is>
      </c>
      <c r="L5446" t="n">
        <v>1</v>
      </c>
      <c r="M5446" t="inlineStr">
        <is>
          <t>2026-06-19 09:30:33</t>
        </is>
      </c>
      <c r="N5446" t="inlineStr">
        <is>
          <t>Angelina Nyambi</t>
        </is>
      </c>
      <c r="O5446" t="inlineStr">
        <is>
          <t>2026-06-19 07:10:32</t>
        </is>
      </c>
      <c r="P5446" t="inlineStr">
        <is>
          <t>2026-06-19 07:10:32</t>
        </is>
      </c>
      <c r="Y5446" t="inlineStr">
        <is>
          <t>27662349713</t>
        </is>
      </c>
    </row>
    <row r="5447">
      <c r="A5447" t="inlineStr">
        <is>
          <t>14945697</t>
        </is>
      </c>
      <c r="B5447" t="inlineStr">
        <is>
          <t>ce5bc843-a2d1-443c-8312-fe9028f808ee</t>
        </is>
      </c>
      <c r="D5447" t="inlineStr">
        <is>
          <t>30001087</t>
        </is>
      </c>
      <c r="E5447" t="inlineStr">
        <is>
          <t>ussd_funeral_leads_altitude_20260619</t>
        </is>
      </c>
      <c r="J5447" t="inlineStr">
        <is>
          <t>CBACK</t>
        </is>
      </c>
      <c r="K5447" t="inlineStr">
        <is>
          <t>Callback</t>
        </is>
      </c>
      <c r="L5447" t="n">
        <v>1</v>
      </c>
      <c r="M5447" t="inlineStr">
        <is>
          <t>2026-06-19 09:30:14</t>
        </is>
      </c>
      <c r="N5447" t="inlineStr">
        <is>
          <t>Gontse Monageng</t>
        </is>
      </c>
      <c r="O5447" t="inlineStr">
        <is>
          <t>2026-06-19 07:10:32</t>
        </is>
      </c>
      <c r="P5447" t="inlineStr">
        <is>
          <t>2026-06-19 07:10:32</t>
        </is>
      </c>
      <c r="Y5447" t="inlineStr">
        <is>
          <t>27648223737</t>
        </is>
      </c>
    </row>
    <row r="5448">
      <c r="A5448" t="inlineStr">
        <is>
          <t>14945687</t>
        </is>
      </c>
      <c r="B5448" t="inlineStr">
        <is>
          <t>0a4dafae-a35d-4346-8291-933d1605ca69</t>
        </is>
      </c>
      <c r="D5448" t="inlineStr">
        <is>
          <t>30001087</t>
        </is>
      </c>
      <c r="E5448" t="inlineStr">
        <is>
          <t>ussd_funeral_leads_altitude_20260619</t>
        </is>
      </c>
      <c r="J5448" t="inlineStr">
        <is>
          <t>U</t>
        </is>
      </c>
      <c r="K5448" t="inlineStr">
        <is>
          <t>Unemployed</t>
        </is>
      </c>
      <c r="L5448" t="n">
        <v>1</v>
      </c>
      <c r="M5448" t="inlineStr">
        <is>
          <t>2026-06-19 09:29:15</t>
        </is>
      </c>
      <c r="N5448" t="inlineStr">
        <is>
          <t>Vuyiswa Nxumalo</t>
        </is>
      </c>
      <c r="O5448" t="inlineStr">
        <is>
          <t>2026-06-19 07:10:32</t>
        </is>
      </c>
      <c r="P5448" t="inlineStr">
        <is>
          <t>2026-06-19 07:10:32</t>
        </is>
      </c>
      <c r="Y5448" t="inlineStr">
        <is>
          <t>27825354038</t>
        </is>
      </c>
    </row>
    <row r="5449">
      <c r="A5449" t="inlineStr">
        <is>
          <t>14945637</t>
        </is>
      </c>
      <c r="B5449" t="inlineStr">
        <is>
          <t>7bf0f4c3-29b6-4b4b-b98e-661735fcfca9</t>
        </is>
      </c>
      <c r="D5449" t="inlineStr">
        <is>
          <t>30001087</t>
        </is>
      </c>
      <c r="E5449" t="inlineStr">
        <is>
          <t>ussd_funeral_leads_altitude_20260619</t>
        </is>
      </c>
      <c r="J5449" t="inlineStr">
        <is>
          <t>QAVER</t>
        </is>
      </c>
      <c r="K5449" t="inlineStr">
        <is>
          <t>Sale Made</t>
        </is>
      </c>
      <c r="L5449" t="n">
        <v>1</v>
      </c>
      <c r="M5449" t="inlineStr">
        <is>
          <t>2026-06-19 09:26:29</t>
        </is>
      </c>
      <c r="N5449" t="inlineStr">
        <is>
          <t>Goitsimang Mogwasa</t>
        </is>
      </c>
      <c r="O5449" t="inlineStr">
        <is>
          <t>2026-06-19 07:10:32</t>
        </is>
      </c>
      <c r="P5449" t="inlineStr">
        <is>
          <t>2026-06-19 07:10:32</t>
        </is>
      </c>
      <c r="Y5449" t="inlineStr">
        <is>
          <t>27824182446</t>
        </is>
      </c>
    </row>
    <row r="5450">
      <c r="A5450" t="inlineStr">
        <is>
          <t>14945584</t>
        </is>
      </c>
      <c r="B5450" t="inlineStr">
        <is>
          <t>dab8466b-52f0-4ebe-9c1d-116a419af0b3</t>
        </is>
      </c>
      <c r="D5450" t="inlineStr">
        <is>
          <t>30001087</t>
        </is>
      </c>
      <c r="E5450" t="inlineStr">
        <is>
          <t>ussd_funeral_leads_altitude_20260619</t>
        </is>
      </c>
      <c r="J5450" t="inlineStr">
        <is>
          <t>CUA</t>
        </is>
      </c>
      <c r="K5450" t="inlineStr">
        <is>
          <t>Client Underage</t>
        </is>
      </c>
      <c r="L5450" t="n">
        <v>1</v>
      </c>
      <c r="M5450" t="inlineStr">
        <is>
          <t>2026-06-19 09:24:11</t>
        </is>
      </c>
      <c r="N5450" t="inlineStr">
        <is>
          <t>Vuyiswa Nxumalo</t>
        </is>
      </c>
      <c r="O5450" t="inlineStr">
        <is>
          <t>2026-06-19 07:10:32</t>
        </is>
      </c>
      <c r="P5450" t="inlineStr">
        <is>
          <t>2026-06-19 07:10:32</t>
        </is>
      </c>
      <c r="Y5450" t="inlineStr">
        <is>
          <t>27711237606</t>
        </is>
      </c>
    </row>
    <row r="5451">
      <c r="A5451" t="inlineStr">
        <is>
          <t>14945534</t>
        </is>
      </c>
      <c r="B5451" t="inlineStr">
        <is>
          <t>eae23ef8-9405-4b45-aec0-d74878fbaa95</t>
        </is>
      </c>
      <c r="D5451" t="inlineStr">
        <is>
          <t>30001087</t>
        </is>
      </c>
      <c r="E5451" t="inlineStr">
        <is>
          <t>ussd_funeral_leads_altitude_20260619</t>
        </is>
      </c>
      <c r="J5451" t="inlineStr">
        <is>
          <t>CBACK</t>
        </is>
      </c>
      <c r="K5451" t="inlineStr">
        <is>
          <t>Callback</t>
        </is>
      </c>
      <c r="L5451" t="n">
        <v>1</v>
      </c>
      <c r="M5451" t="inlineStr">
        <is>
          <t>2026-06-19 09:22:37</t>
        </is>
      </c>
      <c r="N5451" t="inlineStr">
        <is>
          <t>Bongiwe Precious Cele</t>
        </is>
      </c>
      <c r="O5451" t="inlineStr">
        <is>
          <t>2026-06-19 07:10:32</t>
        </is>
      </c>
      <c r="P5451" t="inlineStr">
        <is>
          <t>2026-06-19 07:10:32</t>
        </is>
      </c>
      <c r="Y5451" t="inlineStr">
        <is>
          <t>27822884464</t>
        </is>
      </c>
    </row>
    <row r="5452">
      <c r="A5452" t="inlineStr">
        <is>
          <t>14945523</t>
        </is>
      </c>
      <c r="B5452" t="inlineStr">
        <is>
          <t>0c4e969d-8637-46ad-9253-65c95d076c48</t>
        </is>
      </c>
      <c r="D5452" t="inlineStr">
        <is>
          <t>30001087</t>
        </is>
      </c>
      <c r="E5452" t="inlineStr">
        <is>
          <t>ussd_funeral_leads_altitude_20260619</t>
        </is>
      </c>
      <c r="J5452" t="inlineStr">
        <is>
          <t>CUA</t>
        </is>
      </c>
      <c r="K5452" t="inlineStr">
        <is>
          <t>Client Underage</t>
        </is>
      </c>
      <c r="L5452" t="n">
        <v>1</v>
      </c>
      <c r="M5452" t="inlineStr">
        <is>
          <t>2026-06-19 09:22:27</t>
        </is>
      </c>
      <c r="N5452" t="inlineStr">
        <is>
          <t>Fortunate Ndubane</t>
        </is>
      </c>
      <c r="O5452" t="inlineStr">
        <is>
          <t>2026-06-19 07:10:32</t>
        </is>
      </c>
      <c r="P5452" t="inlineStr">
        <is>
          <t>2026-06-19 07:10:32</t>
        </is>
      </c>
      <c r="Y5452" t="inlineStr">
        <is>
          <t>27799814724</t>
        </is>
      </c>
    </row>
    <row r="5453">
      <c r="A5453" t="inlineStr">
        <is>
          <t>14945477</t>
        </is>
      </c>
      <c r="B5453" t="inlineStr">
        <is>
          <t>ca9cb6d4-d631-4061-8fba-53556cb11e23</t>
        </is>
      </c>
      <c r="D5453" t="inlineStr">
        <is>
          <t>30001087</t>
        </is>
      </c>
      <c r="E5453" t="inlineStr">
        <is>
          <t>ussd_funeral_leads_altitude_20260619</t>
        </is>
      </c>
      <c r="J5453" t="inlineStr">
        <is>
          <t>AF</t>
        </is>
      </c>
      <c r="K5453" t="inlineStr">
        <is>
          <t>Cannot Afford</t>
        </is>
      </c>
      <c r="L5453" t="n">
        <v>1</v>
      </c>
      <c r="M5453" t="inlineStr">
        <is>
          <t>2026-06-19 09:20:59</t>
        </is>
      </c>
      <c r="N5453" t="inlineStr">
        <is>
          <t>Virginia Letsatsi</t>
        </is>
      </c>
      <c r="O5453" t="inlineStr">
        <is>
          <t>2026-06-19 07:10:32</t>
        </is>
      </c>
      <c r="P5453" t="inlineStr">
        <is>
          <t>2026-06-19 07:10:32</t>
        </is>
      </c>
      <c r="Y5453" t="inlineStr">
        <is>
          <t>27720825116</t>
        </is>
      </c>
    </row>
    <row r="5454">
      <c r="A5454" t="inlineStr">
        <is>
          <t>14900000</t>
        </is>
      </c>
      <c r="B5454" t="inlineStr">
        <is>
          <t>05e48148-f534-4fc5-8beb-0ac7de9f0a0e</t>
        </is>
      </c>
      <c r="D5454" t="inlineStr">
        <is>
          <t>30001087</t>
        </is>
      </c>
      <c r="E5454" t="inlineStr">
        <is>
          <t>ussd_funeral_leads_altitude_20260619</t>
        </is>
      </c>
      <c r="J5454" t="inlineStr">
        <is>
          <t>AF</t>
        </is>
      </c>
      <c r="K5454" t="inlineStr">
        <is>
          <t>Cannot Afford</t>
        </is>
      </c>
      <c r="L5454" t="n">
        <v>1</v>
      </c>
      <c r="M5454" t="inlineStr">
        <is>
          <t>2026-06-19 09:19:24</t>
        </is>
      </c>
      <c r="N5454" t="inlineStr">
        <is>
          <t>Dimakatso Nkomo</t>
        </is>
      </c>
      <c r="O5454" t="inlineStr">
        <is>
          <t>2026-06-19 07:10:32</t>
        </is>
      </c>
      <c r="P5454" t="inlineStr">
        <is>
          <t>2026-06-19 07:10:32</t>
        </is>
      </c>
      <c r="Y5454" t="inlineStr">
        <is>
          <t>27712541067</t>
        </is>
      </c>
    </row>
    <row r="5455">
      <c r="A5455" t="inlineStr">
        <is>
          <t>14945408</t>
        </is>
      </c>
      <c r="B5455" t="inlineStr">
        <is>
          <t>a7a9b2ac-e9da-4d95-88cf-22ab4f823e4a</t>
        </is>
      </c>
      <c r="D5455" t="inlineStr">
        <is>
          <t>30001087</t>
        </is>
      </c>
      <c r="E5455" t="inlineStr">
        <is>
          <t>ussd_funeral_leads_altitude_20260619</t>
        </is>
      </c>
      <c r="J5455" t="inlineStr">
        <is>
          <t>SELECTED</t>
        </is>
      </c>
      <c r="K5455" t="inlineStr">
        <is>
          <t>Selected</t>
        </is>
      </c>
      <c r="L5455" t="n">
        <v>2</v>
      </c>
      <c r="M5455" t="inlineStr">
        <is>
          <t>2026-06-19 09:18:16</t>
        </is>
      </c>
      <c r="N5455" t="inlineStr">
        <is>
          <t>system</t>
        </is>
      </c>
      <c r="O5455" t="inlineStr">
        <is>
          <t>2026-06-19 07:10:32</t>
        </is>
      </c>
      <c r="P5455" t="inlineStr">
        <is>
          <t>2026-06-19 07:10:32</t>
        </is>
      </c>
      <c r="Y5455" t="inlineStr">
        <is>
          <t>27723871556</t>
        </is>
      </c>
    </row>
    <row r="5456">
      <c r="A5456" t="inlineStr">
        <is>
          <t>14945237</t>
        </is>
      </c>
      <c r="B5456" t="inlineStr">
        <is>
          <t>cb06bcc7-e832-44b9-a893-234ccb5603e9</t>
        </is>
      </c>
      <c r="D5456" t="inlineStr">
        <is>
          <t>30001087</t>
        </is>
      </c>
      <c r="E5456" t="inlineStr">
        <is>
          <t>ussd_funeral_leads_altitude_20260619</t>
        </is>
      </c>
      <c r="H5456" t="inlineStr">
        <is>
          <t>27674087000</t>
        </is>
      </c>
      <c r="J5456" t="inlineStr">
        <is>
          <t>NI</t>
        </is>
      </c>
      <c r="K5456" t="inlineStr">
        <is>
          <t>Not Interested</t>
        </is>
      </c>
      <c r="L5456" t="n">
        <v>2</v>
      </c>
      <c r="M5456" t="inlineStr">
        <is>
          <t>2026-06-19 09:17:02</t>
        </is>
      </c>
      <c r="N5456" t="inlineStr">
        <is>
          <t>Bongiwe Precious Cele</t>
        </is>
      </c>
      <c r="O5456" t="inlineStr">
        <is>
          <t>2026-06-19 07:10:32</t>
        </is>
      </c>
      <c r="P5456" t="inlineStr">
        <is>
          <t>2026-06-19 07:10:32</t>
        </is>
      </c>
      <c r="Y5456" t="inlineStr">
        <is>
          <t>27674087000</t>
        </is>
      </c>
    </row>
    <row r="5457">
      <c r="A5457" t="inlineStr">
        <is>
          <t>14942665</t>
        </is>
      </c>
      <c r="B5457" t="inlineStr">
        <is>
          <t>b50dcde1-47f9-4a87-a263-fef97f5da0f4</t>
        </is>
      </c>
      <c r="D5457" t="inlineStr">
        <is>
          <t>30001087</t>
        </is>
      </c>
      <c r="E5457" t="inlineStr">
        <is>
          <t>ussd_funeral_leads_altitude_20260619</t>
        </is>
      </c>
      <c r="J5457" t="inlineStr">
        <is>
          <t>N</t>
        </is>
      </c>
      <c r="K5457" t="inlineStr">
        <is>
          <t>No Answer</t>
        </is>
      </c>
      <c r="L5457" t="n">
        <v>2</v>
      </c>
      <c r="M5457" t="inlineStr">
        <is>
          <t>2026-06-19 09:15:52</t>
        </is>
      </c>
      <c r="N5457" t="inlineStr">
        <is>
          <t>Vuyiswa Nxumalo</t>
        </is>
      </c>
      <c r="O5457" t="inlineStr">
        <is>
          <t>2026-06-19 07:10:32</t>
        </is>
      </c>
      <c r="P5457" t="inlineStr">
        <is>
          <t>2026-06-19 07:10:32</t>
        </is>
      </c>
      <c r="Y5457" t="inlineStr">
        <is>
          <t>27720420465</t>
        </is>
      </c>
    </row>
    <row r="5458">
      <c r="A5458" t="inlineStr">
        <is>
          <t>14945352</t>
        </is>
      </c>
      <c r="B5458" t="inlineStr">
        <is>
          <t>ac820e3d-861f-4f0a-a57a-1e29944f500d</t>
        </is>
      </c>
      <c r="D5458" t="inlineStr">
        <is>
          <t>30001087</t>
        </is>
      </c>
      <c r="E5458" t="inlineStr">
        <is>
          <t>ussd_funeral_leads_altitude_20260619</t>
        </is>
      </c>
      <c r="J5458" t="inlineStr">
        <is>
          <t>CUA</t>
        </is>
      </c>
      <c r="K5458" t="inlineStr">
        <is>
          <t>Client Underage</t>
        </is>
      </c>
      <c r="L5458" t="n">
        <v>1</v>
      </c>
      <c r="M5458" t="inlineStr">
        <is>
          <t>2026-06-19 09:14:29</t>
        </is>
      </c>
      <c r="N5458" t="inlineStr">
        <is>
          <t>Fortunate Ndubane</t>
        </is>
      </c>
      <c r="O5458" t="inlineStr">
        <is>
          <t>2026-06-19 07:10:32</t>
        </is>
      </c>
      <c r="P5458" t="inlineStr">
        <is>
          <t>2026-06-19 07:10:32</t>
        </is>
      </c>
      <c r="Y5458" t="inlineStr">
        <is>
          <t>27792338422</t>
        </is>
      </c>
    </row>
    <row r="5459">
      <c r="A5459" t="inlineStr">
        <is>
          <t>14945337</t>
        </is>
      </c>
      <c r="B5459" t="inlineStr">
        <is>
          <t>f03c39ac-d8c9-4637-97cc-9548ba034763</t>
        </is>
      </c>
      <c r="D5459" t="inlineStr">
        <is>
          <t>30001087</t>
        </is>
      </c>
      <c r="E5459" t="inlineStr">
        <is>
          <t>ussd_funeral_leads_altitude_20260619</t>
        </is>
      </c>
      <c r="J5459" t="inlineStr">
        <is>
          <t>CBACK</t>
        </is>
      </c>
      <c r="K5459" t="inlineStr">
        <is>
          <t>Callback</t>
        </is>
      </c>
      <c r="L5459" t="n">
        <v>1</v>
      </c>
      <c r="M5459" t="inlineStr">
        <is>
          <t>2026-06-19 09:12:50</t>
        </is>
      </c>
      <c r="N5459" t="inlineStr">
        <is>
          <t>Gontse Monageng</t>
        </is>
      </c>
      <c r="O5459" t="inlineStr">
        <is>
          <t>2026-06-19 07:10:32</t>
        </is>
      </c>
      <c r="P5459" t="inlineStr">
        <is>
          <t>2026-06-19 07:10:32</t>
        </is>
      </c>
      <c r="Y5459" t="inlineStr">
        <is>
          <t>27711378656</t>
        </is>
      </c>
    </row>
    <row r="5460">
      <c r="A5460" t="inlineStr">
        <is>
          <t>14945301</t>
        </is>
      </c>
      <c r="B5460" t="inlineStr">
        <is>
          <t>3ad072de-2a1c-4bc4-8d10-752017ed7b7a</t>
        </is>
      </c>
      <c r="D5460" t="inlineStr">
        <is>
          <t>30001087</t>
        </is>
      </c>
      <c r="E5460" t="inlineStr">
        <is>
          <t>ussd_funeral_leads_altitude_20260619</t>
        </is>
      </c>
      <c r="J5460" t="inlineStr">
        <is>
          <t>LANG</t>
        </is>
      </c>
      <c r="K5460" t="inlineStr">
        <is>
          <t>Language Barrier</t>
        </is>
      </c>
      <c r="L5460" t="n">
        <v>1</v>
      </c>
      <c r="M5460" t="inlineStr">
        <is>
          <t>2026-06-19 09:10:19</t>
        </is>
      </c>
      <c r="N5460" t="inlineStr">
        <is>
          <t>Goitsimang Mogwasa</t>
        </is>
      </c>
      <c r="O5460" t="inlineStr">
        <is>
          <t>2026-06-19 07:10:32</t>
        </is>
      </c>
      <c r="P5460" t="inlineStr">
        <is>
          <t>2026-06-19 07:10:32</t>
        </is>
      </c>
      <c r="Y5460" t="inlineStr">
        <is>
          <t>27711635672</t>
        </is>
      </c>
    </row>
    <row r="5461">
      <c r="A5461" t="inlineStr">
        <is>
          <t>14945302</t>
        </is>
      </c>
      <c r="B5461" t="inlineStr">
        <is>
          <t>1bf130f6-4e57-43e8-9602-6ff25cbbc2a3</t>
        </is>
      </c>
      <c r="D5461" t="inlineStr">
        <is>
          <t>30001087</t>
        </is>
      </c>
      <c r="E5461" t="inlineStr">
        <is>
          <t>ussd_funeral_leads_altitude_20260619</t>
        </is>
      </c>
      <c r="J5461" t="inlineStr">
        <is>
          <t>CUA</t>
        </is>
      </c>
      <c r="K5461" t="inlineStr">
        <is>
          <t>Client Underage</t>
        </is>
      </c>
      <c r="L5461" t="n">
        <v>1</v>
      </c>
      <c r="M5461" t="inlineStr">
        <is>
          <t>2026-06-19 09:10:19</t>
        </is>
      </c>
      <c r="N5461" t="inlineStr">
        <is>
          <t>Vuyiswa Nxumalo</t>
        </is>
      </c>
      <c r="O5461" t="inlineStr">
        <is>
          <t>2026-06-19 07:10:32</t>
        </is>
      </c>
      <c r="P5461" t="inlineStr">
        <is>
          <t>2026-06-19 07:10:32</t>
        </is>
      </c>
      <c r="Y5461" t="inlineStr">
        <is>
          <t>27725554756</t>
        </is>
      </c>
    </row>
    <row r="5462">
      <c r="A5462" t="inlineStr">
        <is>
          <t>14945298</t>
        </is>
      </c>
      <c r="B5462" t="inlineStr">
        <is>
          <t>cf1b6d04-33a1-4da6-a823-c2e775054fd4</t>
        </is>
      </c>
      <c r="D5462" t="inlineStr">
        <is>
          <t>30001087</t>
        </is>
      </c>
      <c r="E5462" t="inlineStr">
        <is>
          <t>ussd_funeral_leads_altitude_20260619</t>
        </is>
      </c>
      <c r="J5462" t="inlineStr">
        <is>
          <t>QAVER</t>
        </is>
      </c>
      <c r="K5462" t="inlineStr">
        <is>
          <t>Sale Made</t>
        </is>
      </c>
      <c r="L5462" t="n">
        <v>1</v>
      </c>
      <c r="M5462" t="inlineStr">
        <is>
          <t>2026-06-19 09:10:15</t>
        </is>
      </c>
      <c r="N5462" t="inlineStr">
        <is>
          <t>Lebohang Mabotja</t>
        </is>
      </c>
      <c r="O5462" t="inlineStr">
        <is>
          <t>2026-06-19 07:10:32</t>
        </is>
      </c>
      <c r="P5462" t="inlineStr">
        <is>
          <t>2026-06-19 07:10:32</t>
        </is>
      </c>
      <c r="Y5462" t="inlineStr">
        <is>
          <t>27760833562</t>
        </is>
      </c>
    </row>
    <row r="5463">
      <c r="A5463" t="inlineStr">
        <is>
          <t>14945288</t>
        </is>
      </c>
      <c r="B5463" t="inlineStr">
        <is>
          <t>6f284f4d-fc46-4285-9f9d-fc2f47e45e20</t>
        </is>
      </c>
      <c r="D5463" t="inlineStr">
        <is>
          <t>30001087</t>
        </is>
      </c>
      <c r="E5463" t="inlineStr">
        <is>
          <t>ussd_funeral_leads_altitude_20260619</t>
        </is>
      </c>
      <c r="J5463" t="inlineStr">
        <is>
          <t>CUA</t>
        </is>
      </c>
      <c r="K5463" t="inlineStr">
        <is>
          <t>Client Underage</t>
        </is>
      </c>
      <c r="L5463" t="n">
        <v>1</v>
      </c>
      <c r="M5463" t="inlineStr">
        <is>
          <t>2026-06-19 09:09:35</t>
        </is>
      </c>
      <c r="N5463" t="inlineStr">
        <is>
          <t>Gontse Monageng</t>
        </is>
      </c>
      <c r="O5463" t="inlineStr">
        <is>
          <t>2026-06-19 07:10:32</t>
        </is>
      </c>
      <c r="P5463" t="inlineStr">
        <is>
          <t>2026-06-19 07:10:32</t>
        </is>
      </c>
      <c r="Y5463" t="inlineStr">
        <is>
          <t>27608297643</t>
        </is>
      </c>
    </row>
    <row r="5464">
      <c r="A5464" t="inlineStr">
        <is>
          <t>14945136</t>
        </is>
      </c>
      <c r="B5464" t="inlineStr">
        <is>
          <t>9ec357bb-6784-42c5-9ddb-46d8348dd524</t>
        </is>
      </c>
      <c r="D5464" t="inlineStr">
        <is>
          <t>30001087</t>
        </is>
      </c>
      <c r="E5464" t="inlineStr">
        <is>
          <t>ussd_funeral_leads_altitude_20260619</t>
        </is>
      </c>
      <c r="J5464" t="inlineStr">
        <is>
          <t>N</t>
        </is>
      </c>
      <c r="K5464" t="inlineStr">
        <is>
          <t>No Answer</t>
        </is>
      </c>
      <c r="L5464" t="n">
        <v>3</v>
      </c>
      <c r="M5464" t="inlineStr">
        <is>
          <t>2026-06-19 09:09:34</t>
        </is>
      </c>
      <c r="N5464" t="inlineStr">
        <is>
          <t>Lebohang Mabotja</t>
        </is>
      </c>
      <c r="O5464" t="inlineStr">
        <is>
          <t>2026-06-19 07:10:32</t>
        </is>
      </c>
      <c r="P5464" t="inlineStr">
        <is>
          <t>2026-06-19 07:10:32</t>
        </is>
      </c>
      <c r="Y5464" t="inlineStr">
        <is>
          <t>27790324979</t>
        </is>
      </c>
    </row>
    <row r="5465">
      <c r="A5465" t="inlineStr">
        <is>
          <t>14945204</t>
        </is>
      </c>
      <c r="B5465" t="inlineStr">
        <is>
          <t>6b642dac-a5be-4582-8881-ff38288b7354</t>
        </is>
      </c>
      <c r="D5465" t="inlineStr">
        <is>
          <t>30001087</t>
        </is>
      </c>
      <c r="E5465" t="inlineStr">
        <is>
          <t>ussd_funeral_leads_altitude_20260619</t>
        </is>
      </c>
      <c r="J5465" t="inlineStr">
        <is>
          <t>CBACK</t>
        </is>
      </c>
      <c r="K5465" t="inlineStr">
        <is>
          <t>Callback</t>
        </is>
      </c>
      <c r="L5465" t="n">
        <v>1</v>
      </c>
      <c r="M5465" t="inlineStr">
        <is>
          <t>2026-06-19 09:03:03</t>
        </is>
      </c>
      <c r="N5465" t="inlineStr">
        <is>
          <t>Tebogo Chauke</t>
        </is>
      </c>
      <c r="O5465" t="inlineStr">
        <is>
          <t>2026-06-19 07:10:32</t>
        </is>
      </c>
      <c r="P5465" t="inlineStr">
        <is>
          <t>2026-06-19 07:10:32</t>
        </is>
      </c>
      <c r="Y5465" t="inlineStr">
        <is>
          <t>27721644621</t>
        </is>
      </c>
    </row>
    <row r="5466">
      <c r="A5466" t="inlineStr">
        <is>
          <t>14945114</t>
        </is>
      </c>
      <c r="B5466" t="inlineStr">
        <is>
          <t>951ddf66-5d7a-451b-867a-47500c2d1e07</t>
        </is>
      </c>
      <c r="D5466" t="inlineStr">
        <is>
          <t>30001087</t>
        </is>
      </c>
      <c r="E5466" t="inlineStr">
        <is>
          <t>ussd_funeral_leads_altitude_20260619</t>
        </is>
      </c>
      <c r="J5466" t="inlineStr">
        <is>
          <t>CBACK</t>
        </is>
      </c>
      <c r="K5466" t="inlineStr">
        <is>
          <t>Callback</t>
        </is>
      </c>
      <c r="L5466" t="n">
        <v>1</v>
      </c>
      <c r="M5466" t="inlineStr">
        <is>
          <t>2026-06-19 08:57:32</t>
        </is>
      </c>
      <c r="N5466" t="inlineStr">
        <is>
          <t>Angelina Nyambi</t>
        </is>
      </c>
      <c r="O5466" t="inlineStr">
        <is>
          <t>2026-06-19 07:10:32</t>
        </is>
      </c>
      <c r="P5466" t="inlineStr">
        <is>
          <t>2026-06-19 07:10:32</t>
        </is>
      </c>
      <c r="Y5466" t="inlineStr">
        <is>
          <t>27794687768</t>
        </is>
      </c>
    </row>
    <row r="5467">
      <c r="A5467" t="inlineStr">
        <is>
          <t>14943090</t>
        </is>
      </c>
      <c r="B5467" t="inlineStr">
        <is>
          <t>3451f494-9e56-4ab5-8288-2f1f46b10256</t>
        </is>
      </c>
      <c r="D5467" t="inlineStr">
        <is>
          <t>30001087</t>
        </is>
      </c>
      <c r="E5467" t="inlineStr">
        <is>
          <t>ussd_funeral_leads_altitude_20260619</t>
        </is>
      </c>
      <c r="J5467" t="inlineStr">
        <is>
          <t>CU</t>
        </is>
      </c>
      <c r="K5467" t="inlineStr">
        <is>
          <t>Client Hung Up</t>
        </is>
      </c>
      <c r="L5467" t="n">
        <v>2</v>
      </c>
      <c r="M5467" t="inlineStr">
        <is>
          <t>2026-06-19 08:56:38</t>
        </is>
      </c>
      <c r="N5467" t="inlineStr">
        <is>
          <t>Fortunate Ndubane</t>
        </is>
      </c>
      <c r="O5467" t="inlineStr">
        <is>
          <t>2026-06-19 07:10:32</t>
        </is>
      </c>
      <c r="P5467" t="inlineStr">
        <is>
          <t>2026-06-19 07:10:32</t>
        </is>
      </c>
      <c r="Y5467" t="inlineStr">
        <is>
          <t>27714762430</t>
        </is>
      </c>
    </row>
    <row r="5468">
      <c r="A5468" t="inlineStr">
        <is>
          <t>14945093</t>
        </is>
      </c>
      <c r="B5468" t="inlineStr">
        <is>
          <t>cecbfcf6-1ce6-4bce-a289-4ad6952f5f0d</t>
        </is>
      </c>
      <c r="D5468" t="inlineStr">
        <is>
          <t>30001087</t>
        </is>
      </c>
      <c r="E5468" t="inlineStr">
        <is>
          <t>ussd_funeral_leads_altitude_20260619</t>
        </is>
      </c>
      <c r="J5468" t="inlineStr">
        <is>
          <t>OAL</t>
        </is>
      </c>
      <c r="K5468" t="inlineStr">
        <is>
          <t>Over Age Limit</t>
        </is>
      </c>
      <c r="L5468" t="n">
        <v>1</v>
      </c>
      <c r="M5468" t="inlineStr">
        <is>
          <t>2026-06-19 08:56:05</t>
        </is>
      </c>
      <c r="N5468" t="inlineStr">
        <is>
          <t>Dimakatso Nkomo</t>
        </is>
      </c>
      <c r="O5468" t="inlineStr">
        <is>
          <t>2026-06-19 07:10:32</t>
        </is>
      </c>
      <c r="P5468" t="inlineStr">
        <is>
          <t>2026-06-19 07:10:32</t>
        </is>
      </c>
      <c r="Y5468" t="inlineStr">
        <is>
          <t>27720363025</t>
        </is>
      </c>
    </row>
    <row r="5469">
      <c r="A5469" t="inlineStr">
        <is>
          <t>14945087</t>
        </is>
      </c>
      <c r="B5469" t="inlineStr">
        <is>
          <t>9115361b-585a-40c3-abcf-ae02c804f607</t>
        </is>
      </c>
      <c r="D5469" t="inlineStr">
        <is>
          <t>30001087</t>
        </is>
      </c>
      <c r="E5469" t="inlineStr">
        <is>
          <t>ussd_funeral_leads_altitude_20260619</t>
        </is>
      </c>
      <c r="J5469" t="inlineStr">
        <is>
          <t>EC</t>
        </is>
      </c>
      <c r="K5469" t="inlineStr">
        <is>
          <t>Existing Client</t>
        </is>
      </c>
      <c r="L5469" t="n">
        <v>1</v>
      </c>
      <c r="M5469" t="inlineStr">
        <is>
          <t>2026-06-19 08:55:50</t>
        </is>
      </c>
      <c r="N5469" t="inlineStr">
        <is>
          <t>Happyness Sindane</t>
        </is>
      </c>
      <c r="O5469" t="inlineStr">
        <is>
          <t>2026-06-19 07:10:32</t>
        </is>
      </c>
      <c r="P5469" t="inlineStr">
        <is>
          <t>2026-06-19 07:10:32</t>
        </is>
      </c>
      <c r="Y5469" t="inlineStr">
        <is>
          <t>27608936750</t>
        </is>
      </c>
    </row>
    <row r="5470">
      <c r="A5470" t="inlineStr">
        <is>
          <t>14945067</t>
        </is>
      </c>
      <c r="B5470" t="inlineStr">
        <is>
          <t>769a524f-2acc-43ed-9f48-a8c71180c342</t>
        </is>
      </c>
      <c r="D5470" t="inlineStr">
        <is>
          <t>30001087</t>
        </is>
      </c>
      <c r="E5470" t="inlineStr">
        <is>
          <t>ussd_funeral_leads_altitude_20260619</t>
        </is>
      </c>
      <c r="J5470" t="inlineStr">
        <is>
          <t>U</t>
        </is>
      </c>
      <c r="K5470" t="inlineStr">
        <is>
          <t>Unemployed</t>
        </is>
      </c>
      <c r="L5470" t="n">
        <v>1</v>
      </c>
      <c r="M5470" t="inlineStr">
        <is>
          <t>2026-06-19 08:54:39</t>
        </is>
      </c>
      <c r="N5470" t="inlineStr">
        <is>
          <t>Lebohang Mabotja</t>
        </is>
      </c>
      <c r="O5470" t="inlineStr">
        <is>
          <t>2026-06-19 07:10:32</t>
        </is>
      </c>
      <c r="P5470" t="inlineStr">
        <is>
          <t>2026-06-19 07:10:32</t>
        </is>
      </c>
      <c r="Y5470" t="inlineStr">
        <is>
          <t>27793447370</t>
        </is>
      </c>
    </row>
    <row r="5471">
      <c r="A5471" t="inlineStr">
        <is>
          <t>14945040</t>
        </is>
      </c>
      <c r="B5471" t="inlineStr">
        <is>
          <t>cee4c04c-4790-44f6-887d-b32d18739103</t>
        </is>
      </c>
      <c r="D5471" t="inlineStr">
        <is>
          <t>30001087</t>
        </is>
      </c>
      <c r="E5471" t="inlineStr">
        <is>
          <t>ussd_funeral_leads_altitude_20260619</t>
        </is>
      </c>
      <c r="J5471" t="inlineStr">
        <is>
          <t>EC</t>
        </is>
      </c>
      <c r="K5471" t="inlineStr">
        <is>
          <t>Existing Client</t>
        </is>
      </c>
      <c r="L5471" t="n">
        <v>1</v>
      </c>
      <c r="M5471" t="inlineStr">
        <is>
          <t>2026-06-19 08:52:45</t>
        </is>
      </c>
      <c r="N5471" t="inlineStr">
        <is>
          <t>Happyness Sindane</t>
        </is>
      </c>
      <c r="O5471" t="inlineStr">
        <is>
          <t>2026-06-19 07:10:32</t>
        </is>
      </c>
      <c r="P5471" t="inlineStr">
        <is>
          <t>2026-06-19 07:10:32</t>
        </is>
      </c>
      <c r="Y5471" t="inlineStr">
        <is>
          <t>27793891262</t>
        </is>
      </c>
    </row>
    <row r="5472">
      <c r="A5472" t="inlineStr">
        <is>
          <t>14945023</t>
        </is>
      </c>
      <c r="B5472" t="inlineStr">
        <is>
          <t>46e98e3d-c524-4528-8e67-139a91d48506</t>
        </is>
      </c>
      <c r="D5472" t="inlineStr">
        <is>
          <t>30001087</t>
        </is>
      </c>
      <c r="E5472" t="inlineStr">
        <is>
          <t>ussd_funeral_leads_altitude_20260619</t>
        </is>
      </c>
      <c r="J5472" t="inlineStr">
        <is>
          <t>CUA</t>
        </is>
      </c>
      <c r="K5472" t="inlineStr">
        <is>
          <t>Client Underage</t>
        </is>
      </c>
      <c r="L5472" t="n">
        <v>1</v>
      </c>
      <c r="M5472" t="inlineStr">
        <is>
          <t>2026-06-19 08:52:17</t>
        </is>
      </c>
      <c r="N5472" t="inlineStr">
        <is>
          <t>Bongiwe Precious Cele</t>
        </is>
      </c>
      <c r="O5472" t="inlineStr">
        <is>
          <t>2026-06-19 07:10:32</t>
        </is>
      </c>
      <c r="P5472" t="inlineStr">
        <is>
          <t>2026-06-19 07:10:32</t>
        </is>
      </c>
      <c r="Y5472" t="inlineStr">
        <is>
          <t>27665501125</t>
        </is>
      </c>
    </row>
    <row r="5473">
      <c r="A5473" t="inlineStr">
        <is>
          <t>14943087</t>
        </is>
      </c>
      <c r="B5473" t="inlineStr">
        <is>
          <t>eccb6a2c-cdc9-4a42-ba5d-edda511c2986</t>
        </is>
      </c>
      <c r="D5473" t="inlineStr">
        <is>
          <t>30001087</t>
        </is>
      </c>
      <c r="E5473" t="inlineStr">
        <is>
          <t>ussd_funeral_leads_altitude_20260619</t>
        </is>
      </c>
      <c r="J5473" t="inlineStr">
        <is>
          <t>CU</t>
        </is>
      </c>
      <c r="K5473" t="inlineStr">
        <is>
          <t>Client Hung Up</t>
        </is>
      </c>
      <c r="L5473" t="n">
        <v>2</v>
      </c>
      <c r="M5473" t="inlineStr">
        <is>
          <t>2026-06-19 08:51:45</t>
        </is>
      </c>
      <c r="N5473" t="inlineStr">
        <is>
          <t>Goitsimang Mogwasa</t>
        </is>
      </c>
      <c r="O5473" t="inlineStr">
        <is>
          <t>2026-06-19 07:10:32</t>
        </is>
      </c>
      <c r="P5473" t="inlineStr">
        <is>
          <t>2026-06-19 07:10:32</t>
        </is>
      </c>
      <c r="Y5473" t="inlineStr">
        <is>
          <t>27729229029</t>
        </is>
      </c>
    </row>
    <row r="5474">
      <c r="A5474" t="inlineStr">
        <is>
          <t>14945014</t>
        </is>
      </c>
      <c r="B5474" t="inlineStr">
        <is>
          <t>f2ed5bf0-36d9-4505-977f-e1e90fab1d15</t>
        </is>
      </c>
      <c r="D5474" t="inlineStr">
        <is>
          <t>30001087</t>
        </is>
      </c>
      <c r="E5474" t="inlineStr">
        <is>
          <t>ussd_funeral_leads_altitude_20260619</t>
        </is>
      </c>
      <c r="J5474" t="inlineStr">
        <is>
          <t>CBACK</t>
        </is>
      </c>
      <c r="K5474" t="inlineStr">
        <is>
          <t>Callback</t>
        </is>
      </c>
      <c r="L5474" t="n">
        <v>1</v>
      </c>
      <c r="M5474" t="inlineStr">
        <is>
          <t>2026-06-19 08:51:42</t>
        </is>
      </c>
      <c r="N5474" t="inlineStr">
        <is>
          <t>Happyness Sindane</t>
        </is>
      </c>
      <c r="O5474" t="inlineStr">
        <is>
          <t>2026-06-19 07:10:32</t>
        </is>
      </c>
      <c r="P5474" t="inlineStr">
        <is>
          <t>2026-06-19 07:10:32</t>
        </is>
      </c>
      <c r="Y5474" t="inlineStr">
        <is>
          <t>27660666619</t>
        </is>
      </c>
    </row>
    <row r="5475">
      <c r="A5475" t="inlineStr">
        <is>
          <t>14944919</t>
        </is>
      </c>
      <c r="B5475" t="inlineStr">
        <is>
          <t>69a232ef-a2c8-48d5-8a90-3fab602d329f</t>
        </is>
      </c>
      <c r="D5475" t="inlineStr">
        <is>
          <t>30001087</t>
        </is>
      </c>
      <c r="E5475" t="inlineStr">
        <is>
          <t>ussd_funeral_leads_altitude_20260619</t>
        </is>
      </c>
      <c r="J5475" t="inlineStr">
        <is>
          <t>AF</t>
        </is>
      </c>
      <c r="K5475" t="inlineStr">
        <is>
          <t>Cannot Afford</t>
        </is>
      </c>
      <c r="L5475" t="n">
        <v>1</v>
      </c>
      <c r="M5475" t="inlineStr">
        <is>
          <t>2026-06-19 08:47:29</t>
        </is>
      </c>
      <c r="N5475" t="inlineStr">
        <is>
          <t>Lebohang Mabotja</t>
        </is>
      </c>
      <c r="O5475" t="inlineStr">
        <is>
          <t>2026-06-19 07:10:32</t>
        </is>
      </c>
      <c r="P5475" t="inlineStr">
        <is>
          <t>2026-06-19 07:10:32</t>
        </is>
      </c>
      <c r="Y5475" t="inlineStr">
        <is>
          <t>27606496370</t>
        </is>
      </c>
    </row>
    <row r="5476">
      <c r="A5476" t="inlineStr">
        <is>
          <t>14944914</t>
        </is>
      </c>
      <c r="B5476" t="inlineStr">
        <is>
          <t>74b1c91f-ae82-46bb-b20b-09e19e052f8e</t>
        </is>
      </c>
      <c r="D5476" t="inlineStr">
        <is>
          <t>30001087</t>
        </is>
      </c>
      <c r="E5476" t="inlineStr">
        <is>
          <t>ussd_funeral_leads_altitude_20260619</t>
        </is>
      </c>
      <c r="J5476" t="inlineStr">
        <is>
          <t>AF</t>
        </is>
      </c>
      <c r="K5476" t="inlineStr">
        <is>
          <t>Cannot Afford</t>
        </is>
      </c>
      <c r="L5476" t="n">
        <v>1</v>
      </c>
      <c r="M5476" t="inlineStr">
        <is>
          <t>2026-06-19 08:47:24</t>
        </is>
      </c>
      <c r="N5476" t="inlineStr">
        <is>
          <t>Happyness Sindane</t>
        </is>
      </c>
      <c r="O5476" t="inlineStr">
        <is>
          <t>2026-06-19 07:10:32</t>
        </is>
      </c>
      <c r="P5476" t="inlineStr">
        <is>
          <t>2026-06-19 07:10:32</t>
        </is>
      </c>
      <c r="Y5476" t="inlineStr">
        <is>
          <t>27646467955</t>
        </is>
      </c>
    </row>
    <row r="5477">
      <c r="A5477" t="inlineStr">
        <is>
          <t>14944643</t>
        </is>
      </c>
      <c r="B5477" t="inlineStr">
        <is>
          <t>48136649-00a2-4287-a953-a941bc77020c</t>
        </is>
      </c>
      <c r="D5477" t="inlineStr">
        <is>
          <t>30001087</t>
        </is>
      </c>
      <c r="E5477" t="inlineStr">
        <is>
          <t>ussd_funeral_leads_altitude_20260619</t>
        </is>
      </c>
      <c r="J5477" t="inlineStr">
        <is>
          <t>AF</t>
        </is>
      </c>
      <c r="K5477" t="inlineStr">
        <is>
          <t>Cannot Afford</t>
        </is>
      </c>
      <c r="L5477" t="n">
        <v>2</v>
      </c>
      <c r="M5477" t="inlineStr">
        <is>
          <t>2026-06-19 08:45:53</t>
        </is>
      </c>
      <c r="N5477" t="inlineStr">
        <is>
          <t>Angelina Nyambi</t>
        </is>
      </c>
      <c r="O5477" t="inlineStr">
        <is>
          <t>2026-06-19 07:10:32</t>
        </is>
      </c>
      <c r="P5477" t="inlineStr">
        <is>
          <t>2026-06-19 07:10:32</t>
        </is>
      </c>
      <c r="Y5477" t="inlineStr">
        <is>
          <t>27764881699</t>
        </is>
      </c>
    </row>
    <row r="5478">
      <c r="A5478" t="inlineStr">
        <is>
          <t>14944878</t>
        </is>
      </c>
      <c r="B5478" t="inlineStr">
        <is>
          <t>1207f0eb-9e04-448f-8708-aed71f50d439</t>
        </is>
      </c>
      <c r="D5478" t="inlineStr">
        <is>
          <t>30001087</t>
        </is>
      </c>
      <c r="E5478" t="inlineStr">
        <is>
          <t>ussd_funeral_leads_altitude_20260619</t>
        </is>
      </c>
      <c r="J5478" t="inlineStr">
        <is>
          <t>NI</t>
        </is>
      </c>
      <c r="K5478" t="inlineStr">
        <is>
          <t>Not Interested</t>
        </is>
      </c>
      <c r="L5478" t="n">
        <v>1</v>
      </c>
      <c r="M5478" t="inlineStr">
        <is>
          <t>2026-06-19 08:45:42</t>
        </is>
      </c>
      <c r="N5478" t="inlineStr">
        <is>
          <t>Fortunate Ndubane</t>
        </is>
      </c>
      <c r="O5478" t="inlineStr">
        <is>
          <t>2026-06-19 07:10:32</t>
        </is>
      </c>
      <c r="P5478" t="inlineStr">
        <is>
          <t>2026-06-19 07:10:32</t>
        </is>
      </c>
      <c r="Y5478" t="inlineStr">
        <is>
          <t>27823423627</t>
        </is>
      </c>
    </row>
    <row r="5479">
      <c r="A5479" t="inlineStr">
        <is>
          <t>14944857</t>
        </is>
      </c>
      <c r="B5479" t="inlineStr">
        <is>
          <t>42acc4b0-663b-41fa-ab39-5c98b494ee9a</t>
        </is>
      </c>
      <c r="D5479" t="inlineStr">
        <is>
          <t>30001087</t>
        </is>
      </c>
      <c r="E5479" t="inlineStr">
        <is>
          <t>ussd_funeral_leads_altitude_20260619</t>
        </is>
      </c>
      <c r="J5479" t="inlineStr">
        <is>
          <t>NI</t>
        </is>
      </c>
      <c r="K5479" t="inlineStr">
        <is>
          <t>Not Interested</t>
        </is>
      </c>
      <c r="L5479" t="n">
        <v>1</v>
      </c>
      <c r="M5479" t="inlineStr">
        <is>
          <t>2026-06-19 08:44:39</t>
        </is>
      </c>
      <c r="N5479" t="inlineStr">
        <is>
          <t>Bongiwe Precious Cele</t>
        </is>
      </c>
      <c r="O5479" t="inlineStr">
        <is>
          <t>2026-06-19 07:10:32</t>
        </is>
      </c>
      <c r="P5479" t="inlineStr">
        <is>
          <t>2026-06-19 07:10:32</t>
        </is>
      </c>
      <c r="Y5479" t="inlineStr">
        <is>
          <t>27729198401</t>
        </is>
      </c>
    </row>
    <row r="5480">
      <c r="A5480" t="inlineStr">
        <is>
          <t>14944839</t>
        </is>
      </c>
      <c r="B5480" t="inlineStr">
        <is>
          <t>be6fefaf-52b1-42e9-8ac1-dd762397dbce</t>
        </is>
      </c>
      <c r="D5480" t="inlineStr">
        <is>
          <t>30001087</t>
        </is>
      </c>
      <c r="E5480" t="inlineStr">
        <is>
          <t>ussd_funeral_leads_altitude_20260619</t>
        </is>
      </c>
      <c r="J5480" t="inlineStr">
        <is>
          <t>OAL</t>
        </is>
      </c>
      <c r="K5480" t="inlineStr">
        <is>
          <t>Over Age Limit</t>
        </is>
      </c>
      <c r="L5480" t="n">
        <v>1</v>
      </c>
      <c r="M5480" t="inlineStr">
        <is>
          <t>2026-06-19 08:43:46</t>
        </is>
      </c>
      <c r="N5480" t="inlineStr">
        <is>
          <t>Fortunate Ndubane</t>
        </is>
      </c>
      <c r="O5480" t="inlineStr">
        <is>
          <t>2026-06-19 07:10:32</t>
        </is>
      </c>
      <c r="P5480" t="inlineStr">
        <is>
          <t>2026-06-19 07:10:32</t>
        </is>
      </c>
      <c r="Y5480" t="inlineStr">
        <is>
          <t>27675321692</t>
        </is>
      </c>
    </row>
    <row r="5481">
      <c r="A5481" t="inlineStr">
        <is>
          <t>14900000</t>
        </is>
      </c>
      <c r="B5481" t="inlineStr">
        <is>
          <t>3e625826-d75b-44fc-bdf6-15c30108fec1</t>
        </is>
      </c>
      <c r="D5481" t="inlineStr">
        <is>
          <t>30001087</t>
        </is>
      </c>
      <c r="E5481" t="inlineStr">
        <is>
          <t>ussd_funeral_leads_altitude_20260619</t>
        </is>
      </c>
      <c r="J5481" t="inlineStr">
        <is>
          <t>LANG</t>
        </is>
      </c>
      <c r="K5481" t="inlineStr">
        <is>
          <t>Language Barrier</t>
        </is>
      </c>
      <c r="L5481" t="n">
        <v>1</v>
      </c>
      <c r="M5481" t="inlineStr">
        <is>
          <t>2026-06-19 08:42:56</t>
        </is>
      </c>
      <c r="N5481" t="inlineStr">
        <is>
          <t>Lebohang Mabotja</t>
        </is>
      </c>
      <c r="O5481" t="inlineStr">
        <is>
          <t>2026-06-19 07:10:32</t>
        </is>
      </c>
      <c r="P5481" t="inlineStr">
        <is>
          <t>2026-06-19 07:10:32</t>
        </is>
      </c>
      <c r="Y5481" t="inlineStr">
        <is>
          <t>27827663660</t>
        </is>
      </c>
    </row>
    <row r="5482">
      <c r="A5482" t="inlineStr">
        <is>
          <t>14944680</t>
        </is>
      </c>
      <c r="B5482" t="inlineStr">
        <is>
          <t>f6f60c23-63fb-480e-8339-aa49aeb09bae</t>
        </is>
      </c>
      <c r="D5482" t="inlineStr">
        <is>
          <t>30001087</t>
        </is>
      </c>
      <c r="E5482" t="inlineStr">
        <is>
          <t>ussd_funeral_leads_altitude_20260619</t>
        </is>
      </c>
      <c r="J5482" t="inlineStr">
        <is>
          <t>NI</t>
        </is>
      </c>
      <c r="K5482" t="inlineStr">
        <is>
          <t>Not Interested</t>
        </is>
      </c>
      <c r="L5482" t="n">
        <v>1</v>
      </c>
      <c r="M5482" t="inlineStr">
        <is>
          <t>2026-06-19 08:37:42</t>
        </is>
      </c>
      <c r="N5482" t="inlineStr">
        <is>
          <t>Bongiwe Precious Cele</t>
        </is>
      </c>
      <c r="O5482" t="inlineStr">
        <is>
          <t>2026-06-19 07:10:32</t>
        </is>
      </c>
      <c r="P5482" t="inlineStr">
        <is>
          <t>2026-06-19 07:10:32</t>
        </is>
      </c>
      <c r="Y5482" t="inlineStr">
        <is>
          <t>27728191666</t>
        </is>
      </c>
    </row>
    <row r="5483">
      <c r="A5483" t="inlineStr">
        <is>
          <t>14944640</t>
        </is>
      </c>
      <c r="B5483" t="inlineStr">
        <is>
          <t>8e1d375a-2e37-4f59-b8a9-23582f723a1c</t>
        </is>
      </c>
      <c r="D5483" t="inlineStr">
        <is>
          <t>30001087</t>
        </is>
      </c>
      <c r="E5483" t="inlineStr">
        <is>
          <t>ussd_funeral_leads_altitude_20260619</t>
        </is>
      </c>
      <c r="J5483" t="inlineStr">
        <is>
          <t>NI</t>
        </is>
      </c>
      <c r="K5483" t="inlineStr">
        <is>
          <t>Not Interested</t>
        </is>
      </c>
      <c r="L5483" t="n">
        <v>1</v>
      </c>
      <c r="M5483" t="inlineStr">
        <is>
          <t>2026-06-19 08:36:13</t>
        </is>
      </c>
      <c r="N5483" t="inlineStr">
        <is>
          <t>Tebogo Chauke</t>
        </is>
      </c>
      <c r="O5483" t="inlineStr">
        <is>
          <t>2026-06-19 07:10:32</t>
        </is>
      </c>
      <c r="P5483" t="inlineStr">
        <is>
          <t>2026-06-19 07:10:32</t>
        </is>
      </c>
      <c r="Y5483" t="inlineStr">
        <is>
          <t>27674079558</t>
        </is>
      </c>
    </row>
    <row r="5484">
      <c r="A5484" t="inlineStr">
        <is>
          <t>14944625</t>
        </is>
      </c>
      <c r="B5484" t="inlineStr">
        <is>
          <t>de329190-2163-4013-bb2c-3987c11216b6</t>
        </is>
      </c>
      <c r="D5484" t="inlineStr">
        <is>
          <t>30001087</t>
        </is>
      </c>
      <c r="E5484" t="inlineStr">
        <is>
          <t>ussd_funeral_leads_altitude_20260619</t>
        </is>
      </c>
      <c r="J5484" t="inlineStr">
        <is>
          <t>NI</t>
        </is>
      </c>
      <c r="K5484" t="inlineStr">
        <is>
          <t>Not Interested</t>
        </is>
      </c>
      <c r="L5484" t="n">
        <v>1</v>
      </c>
      <c r="M5484" t="inlineStr">
        <is>
          <t>2026-06-19 08:35:22</t>
        </is>
      </c>
      <c r="N5484" t="inlineStr">
        <is>
          <t>Dimakatso Nkomo</t>
        </is>
      </c>
      <c r="O5484" t="inlineStr">
        <is>
          <t>2026-06-19 07:10:32</t>
        </is>
      </c>
      <c r="P5484" t="inlineStr">
        <is>
          <t>2026-06-19 07:10:32</t>
        </is>
      </c>
      <c r="Y5484" t="inlineStr">
        <is>
          <t>27798036320</t>
        </is>
      </c>
    </row>
    <row r="5485">
      <c r="A5485" t="inlineStr">
        <is>
          <t>14944624</t>
        </is>
      </c>
      <c r="B5485" t="inlineStr">
        <is>
          <t>a8ac79ad-e818-4fbb-b749-aa3093bf8b33</t>
        </is>
      </c>
      <c r="D5485" t="inlineStr">
        <is>
          <t>30001087</t>
        </is>
      </c>
      <c r="E5485" t="inlineStr">
        <is>
          <t>ussd_funeral_leads_altitude_20260619</t>
        </is>
      </c>
      <c r="J5485" t="inlineStr">
        <is>
          <t>CUA</t>
        </is>
      </c>
      <c r="K5485" t="inlineStr">
        <is>
          <t>Client Underage</t>
        </is>
      </c>
      <c r="L5485" t="n">
        <v>1</v>
      </c>
      <c r="M5485" t="inlineStr">
        <is>
          <t>2026-06-19 08:35:18</t>
        </is>
      </c>
      <c r="N5485" t="inlineStr">
        <is>
          <t>Vuyiswa Nxumalo</t>
        </is>
      </c>
      <c r="O5485" t="inlineStr">
        <is>
          <t>2026-06-19 07:10:32</t>
        </is>
      </c>
      <c r="P5485" t="inlineStr">
        <is>
          <t>2026-06-19 07:10:32</t>
        </is>
      </c>
      <c r="Y5485" t="inlineStr">
        <is>
          <t>27822699613</t>
        </is>
      </c>
    </row>
    <row r="5486">
      <c r="A5486" t="inlineStr">
        <is>
          <t>14944581</t>
        </is>
      </c>
      <c r="B5486" t="inlineStr">
        <is>
          <t>83b0f6d6-7885-41d5-af1f-bcbe4b459545</t>
        </is>
      </c>
      <c r="D5486" t="inlineStr">
        <is>
          <t>30001087</t>
        </is>
      </c>
      <c r="E5486" t="inlineStr">
        <is>
          <t>ussd_funeral_leads_altitude_20260619</t>
        </is>
      </c>
      <c r="J5486" t="inlineStr">
        <is>
          <t>CBACK</t>
        </is>
      </c>
      <c r="K5486" t="inlineStr">
        <is>
          <t>Callback</t>
        </is>
      </c>
      <c r="L5486" t="n">
        <v>1</v>
      </c>
      <c r="M5486" t="inlineStr">
        <is>
          <t>2026-06-19 08:33:19</t>
        </is>
      </c>
      <c r="N5486" t="inlineStr">
        <is>
          <t>Tebogo Chauke</t>
        </is>
      </c>
      <c r="O5486" t="inlineStr">
        <is>
          <t>2026-06-19 07:10:32</t>
        </is>
      </c>
      <c r="P5486" t="inlineStr">
        <is>
          <t>2026-06-19 07:10:32</t>
        </is>
      </c>
      <c r="Y5486" t="inlineStr">
        <is>
          <t>27716151381</t>
        </is>
      </c>
    </row>
    <row r="5487">
      <c r="A5487" t="inlineStr">
        <is>
          <t>14943988</t>
        </is>
      </c>
      <c r="B5487" t="inlineStr">
        <is>
          <t>65c9456c-f4c8-4384-8579-337760c495f5</t>
        </is>
      </c>
      <c r="D5487" t="inlineStr">
        <is>
          <t>30001087</t>
        </is>
      </c>
      <c r="E5487" t="inlineStr">
        <is>
          <t>ussd_funeral_leads_altitude_20260619</t>
        </is>
      </c>
      <c r="H5487" t="inlineStr">
        <is>
          <t>27715703434</t>
        </is>
      </c>
      <c r="J5487" t="inlineStr">
        <is>
          <t>CU</t>
        </is>
      </c>
      <c r="K5487" t="inlineStr">
        <is>
          <t>Client Hung Up</t>
        </is>
      </c>
      <c r="L5487" t="n">
        <v>2</v>
      </c>
      <c r="M5487" t="inlineStr">
        <is>
          <t>2026-06-19 08:31:38</t>
        </is>
      </c>
      <c r="N5487" t="inlineStr">
        <is>
          <t>Lebohang Mabotja</t>
        </is>
      </c>
      <c r="O5487" t="inlineStr">
        <is>
          <t>2026-06-19 07:10:32</t>
        </is>
      </c>
      <c r="P5487" t="inlineStr">
        <is>
          <t>2026-06-19 07:10:32</t>
        </is>
      </c>
      <c r="Y5487" t="inlineStr">
        <is>
          <t>27715703434</t>
        </is>
      </c>
    </row>
    <row r="5488">
      <c r="A5488" t="inlineStr">
        <is>
          <t>14944520</t>
        </is>
      </c>
      <c r="B5488" t="inlineStr">
        <is>
          <t>137bd807-10ca-4bc4-be47-5bc8ac6f0b78</t>
        </is>
      </c>
      <c r="D5488" t="inlineStr">
        <is>
          <t>30001087</t>
        </is>
      </c>
      <c r="E5488" t="inlineStr">
        <is>
          <t>ussd_funeral_leads_altitude_20260619</t>
        </is>
      </c>
      <c r="J5488" t="inlineStr">
        <is>
          <t>LANG</t>
        </is>
      </c>
      <c r="K5488" t="inlineStr">
        <is>
          <t>Language Barrier</t>
        </is>
      </c>
      <c r="L5488" t="n">
        <v>1</v>
      </c>
      <c r="M5488" t="inlineStr">
        <is>
          <t>2026-06-19 08:30:09</t>
        </is>
      </c>
      <c r="N5488" t="inlineStr">
        <is>
          <t>Gugulethu Duma</t>
        </is>
      </c>
      <c r="O5488" t="inlineStr">
        <is>
          <t>2026-06-19 07:10:32</t>
        </is>
      </c>
      <c r="P5488" t="inlineStr">
        <is>
          <t>2026-06-19 07:10:32</t>
        </is>
      </c>
      <c r="Y5488" t="inlineStr">
        <is>
          <t>27607978127</t>
        </is>
      </c>
    </row>
    <row r="5489">
      <c r="A5489" t="inlineStr">
        <is>
          <t>14944467</t>
        </is>
      </c>
      <c r="B5489" t="inlineStr">
        <is>
          <t>7de4df33-0de5-4a2a-abd0-2c2e8a20ec87</t>
        </is>
      </c>
      <c r="D5489" t="inlineStr">
        <is>
          <t>30001087</t>
        </is>
      </c>
      <c r="E5489" t="inlineStr">
        <is>
          <t>ussd_funeral_leads_altitude_20260619</t>
        </is>
      </c>
      <c r="J5489" t="inlineStr">
        <is>
          <t>CBACK</t>
        </is>
      </c>
      <c r="K5489" t="inlineStr">
        <is>
          <t>Callback</t>
        </is>
      </c>
      <c r="L5489" t="n">
        <v>1</v>
      </c>
      <c r="M5489" t="inlineStr">
        <is>
          <t>2026-06-19 08:28:18</t>
        </is>
      </c>
      <c r="N5489" t="inlineStr">
        <is>
          <t>Tebogo Chauke</t>
        </is>
      </c>
      <c r="O5489" t="inlineStr">
        <is>
          <t>2026-06-19 07:10:32</t>
        </is>
      </c>
      <c r="P5489" t="inlineStr">
        <is>
          <t>2026-06-19 07:10:32</t>
        </is>
      </c>
      <c r="Y5489" t="inlineStr">
        <is>
          <t>27765534563</t>
        </is>
      </c>
    </row>
    <row r="5490">
      <c r="A5490" t="inlineStr">
        <is>
          <t>14944456</t>
        </is>
      </c>
      <c r="B5490" t="inlineStr">
        <is>
          <t>64c89ab7-706b-43b7-90c9-706db5de4693</t>
        </is>
      </c>
      <c r="D5490" t="inlineStr">
        <is>
          <t>30001087</t>
        </is>
      </c>
      <c r="E5490" t="inlineStr">
        <is>
          <t>ussd_funeral_leads_altitude_20260619</t>
        </is>
      </c>
      <c r="J5490" t="inlineStr">
        <is>
          <t>U</t>
        </is>
      </c>
      <c r="K5490" t="inlineStr">
        <is>
          <t>Unemployed</t>
        </is>
      </c>
      <c r="L5490" t="n">
        <v>1</v>
      </c>
      <c r="M5490" t="inlineStr">
        <is>
          <t>2026-06-19 08:28:11</t>
        </is>
      </c>
      <c r="N5490" t="inlineStr">
        <is>
          <t>Lebohang Mabotja</t>
        </is>
      </c>
      <c r="O5490" t="inlineStr">
        <is>
          <t>2026-06-19 07:10:32</t>
        </is>
      </c>
      <c r="P5490" t="inlineStr">
        <is>
          <t>2026-06-19 07:10:32</t>
        </is>
      </c>
      <c r="Y5490" t="inlineStr">
        <is>
          <t>27766743100</t>
        </is>
      </c>
    </row>
    <row r="5491">
      <c r="A5491" t="inlineStr">
        <is>
          <t>14944409</t>
        </is>
      </c>
      <c r="B5491" t="inlineStr">
        <is>
          <t>1583dbab-6c18-4b60-9c06-eb80d43499a3</t>
        </is>
      </c>
      <c r="D5491" t="inlineStr">
        <is>
          <t>30001087</t>
        </is>
      </c>
      <c r="E5491" t="inlineStr">
        <is>
          <t>ussd_funeral_leads_altitude_20260619</t>
        </is>
      </c>
      <c r="J5491" t="inlineStr">
        <is>
          <t>NI</t>
        </is>
      </c>
      <c r="K5491" t="inlineStr">
        <is>
          <t>Not Interested</t>
        </is>
      </c>
      <c r="L5491" t="n">
        <v>1</v>
      </c>
      <c r="M5491" t="inlineStr">
        <is>
          <t>2026-06-19 08:25:00</t>
        </is>
      </c>
      <c r="N5491" t="inlineStr">
        <is>
          <t>Gugulethu Duma</t>
        </is>
      </c>
      <c r="O5491" t="inlineStr">
        <is>
          <t>2026-06-19 07:10:32</t>
        </is>
      </c>
      <c r="P5491" t="inlineStr">
        <is>
          <t>2026-06-19 07:10:32</t>
        </is>
      </c>
      <c r="Y5491" t="inlineStr">
        <is>
          <t>27799325766</t>
        </is>
      </c>
    </row>
    <row r="5492">
      <c r="A5492" t="inlineStr">
        <is>
          <t>14944394</t>
        </is>
      </c>
      <c r="B5492" t="inlineStr">
        <is>
          <t>ae4b52aa-108f-4422-91ae-5e0387923c98</t>
        </is>
      </c>
      <c r="D5492" t="inlineStr">
        <is>
          <t>30001087</t>
        </is>
      </c>
      <c r="E5492" t="inlineStr">
        <is>
          <t>ussd_funeral_leads_altitude_20260619</t>
        </is>
      </c>
      <c r="J5492" t="inlineStr">
        <is>
          <t>U</t>
        </is>
      </c>
      <c r="K5492" t="inlineStr">
        <is>
          <t>Unemployed</t>
        </is>
      </c>
      <c r="L5492" t="n">
        <v>1</v>
      </c>
      <c r="M5492" t="inlineStr">
        <is>
          <t>2026-06-19 08:24:38</t>
        </is>
      </c>
      <c r="N5492" t="inlineStr">
        <is>
          <t>Tebogo Chauke</t>
        </is>
      </c>
      <c r="O5492" t="inlineStr">
        <is>
          <t>2026-06-19 07:10:32</t>
        </is>
      </c>
      <c r="P5492" t="inlineStr">
        <is>
          <t>2026-06-19 07:10:32</t>
        </is>
      </c>
      <c r="Y5492" t="inlineStr">
        <is>
          <t>27648314020</t>
        </is>
      </c>
    </row>
    <row r="5493">
      <c r="A5493" t="inlineStr">
        <is>
          <t>14944395</t>
        </is>
      </c>
      <c r="B5493" t="inlineStr">
        <is>
          <t>cbd826ac-5f37-4f32-8063-ac0c200eaf60</t>
        </is>
      </c>
      <c r="D5493" t="inlineStr">
        <is>
          <t>30001087</t>
        </is>
      </c>
      <c r="E5493" t="inlineStr">
        <is>
          <t>ussd_funeral_leads_altitude_20260619</t>
        </is>
      </c>
      <c r="J5493" t="inlineStr">
        <is>
          <t>AF</t>
        </is>
      </c>
      <c r="K5493" t="inlineStr">
        <is>
          <t>Cannot Afford</t>
        </is>
      </c>
      <c r="L5493" t="n">
        <v>1</v>
      </c>
      <c r="M5493" t="inlineStr">
        <is>
          <t>2026-06-19 08:24:38</t>
        </is>
      </c>
      <c r="N5493" t="inlineStr">
        <is>
          <t>Virginia Letsatsi</t>
        </is>
      </c>
      <c r="O5493" t="inlineStr">
        <is>
          <t>2026-06-19 07:10:32</t>
        </is>
      </c>
      <c r="P5493" t="inlineStr">
        <is>
          <t>2026-06-19 07:10:32</t>
        </is>
      </c>
      <c r="Y5493" t="inlineStr">
        <is>
          <t>27767704764</t>
        </is>
      </c>
    </row>
    <row r="5494">
      <c r="A5494" t="inlineStr">
        <is>
          <t>14944383</t>
        </is>
      </c>
      <c r="B5494" t="inlineStr">
        <is>
          <t>4723c81d-efd2-44f7-804b-91f153515337</t>
        </is>
      </c>
      <c r="D5494" t="inlineStr">
        <is>
          <t>30001087</t>
        </is>
      </c>
      <c r="E5494" t="inlineStr">
        <is>
          <t>ussd_funeral_leads_altitude_20260619</t>
        </is>
      </c>
      <c r="J5494" t="inlineStr">
        <is>
          <t>NI</t>
        </is>
      </c>
      <c r="K5494" t="inlineStr">
        <is>
          <t>Not Interested</t>
        </is>
      </c>
      <c r="L5494" t="n">
        <v>1</v>
      </c>
      <c r="M5494" t="inlineStr">
        <is>
          <t>2026-06-19 08:23:49</t>
        </is>
      </c>
      <c r="N5494" t="inlineStr">
        <is>
          <t>Goitsimang Mogwasa</t>
        </is>
      </c>
      <c r="O5494" t="inlineStr">
        <is>
          <t>2026-06-19 07:10:32</t>
        </is>
      </c>
      <c r="P5494" t="inlineStr">
        <is>
          <t>2026-06-19 07:10:32</t>
        </is>
      </c>
      <c r="Y5494" t="inlineStr">
        <is>
          <t>27768733450</t>
        </is>
      </c>
    </row>
    <row r="5495">
      <c r="A5495" t="inlineStr">
        <is>
          <t>14944364</t>
        </is>
      </c>
      <c r="B5495" t="inlineStr">
        <is>
          <t>16c919cb-44d5-412d-b06f-123bc8d5b90b</t>
        </is>
      </c>
      <c r="D5495" t="inlineStr">
        <is>
          <t>30001087</t>
        </is>
      </c>
      <c r="E5495" t="inlineStr">
        <is>
          <t>ussd_funeral_leads_altitude_20260619</t>
        </is>
      </c>
      <c r="J5495" t="inlineStr">
        <is>
          <t>CBACK</t>
        </is>
      </c>
      <c r="K5495" t="inlineStr">
        <is>
          <t>Callback</t>
        </is>
      </c>
      <c r="L5495" t="n">
        <v>1</v>
      </c>
      <c r="M5495" t="inlineStr">
        <is>
          <t>2026-06-19 08:22:02</t>
        </is>
      </c>
      <c r="N5495" t="inlineStr">
        <is>
          <t>Angelina Nyambi</t>
        </is>
      </c>
      <c r="O5495" t="inlineStr">
        <is>
          <t>2026-06-19 07:10:32</t>
        </is>
      </c>
      <c r="P5495" t="inlineStr">
        <is>
          <t>2026-06-19 07:10:32</t>
        </is>
      </c>
      <c r="Y5495" t="inlineStr">
        <is>
          <t>27769253499</t>
        </is>
      </c>
    </row>
    <row r="5496">
      <c r="A5496" t="inlineStr">
        <is>
          <t>14944346</t>
        </is>
      </c>
      <c r="B5496" t="inlineStr">
        <is>
          <t>11ba268e-f4b3-4a48-94aa-25c991a8d0f2</t>
        </is>
      </c>
      <c r="D5496" t="inlineStr">
        <is>
          <t>30001087</t>
        </is>
      </c>
      <c r="E5496" t="inlineStr">
        <is>
          <t>ussd_funeral_leads_altitude_20260619</t>
        </is>
      </c>
      <c r="J5496" t="inlineStr">
        <is>
          <t>NI</t>
        </is>
      </c>
      <c r="K5496" t="inlineStr">
        <is>
          <t>Not Interested</t>
        </is>
      </c>
      <c r="L5496" t="n">
        <v>1</v>
      </c>
      <c r="M5496" t="inlineStr">
        <is>
          <t>2026-06-19 08:21:47</t>
        </is>
      </c>
      <c r="N5496" t="inlineStr">
        <is>
          <t>Goitsimang Mogwasa</t>
        </is>
      </c>
      <c r="O5496" t="inlineStr">
        <is>
          <t>2026-06-19 07:10:32</t>
        </is>
      </c>
      <c r="P5496" t="inlineStr">
        <is>
          <t>2026-06-19 07:10:32</t>
        </is>
      </c>
      <c r="Y5496" t="inlineStr">
        <is>
          <t>27762966454</t>
        </is>
      </c>
    </row>
    <row r="5497">
      <c r="A5497" t="inlineStr">
        <is>
          <t>14944334</t>
        </is>
      </c>
      <c r="B5497" t="inlineStr">
        <is>
          <t>dbe2c012-bebb-42c9-a84c-4ae2305a15a9</t>
        </is>
      </c>
      <c r="D5497" t="inlineStr">
        <is>
          <t>30001087</t>
        </is>
      </c>
      <c r="E5497" t="inlineStr">
        <is>
          <t>ussd_funeral_leads_altitude_20260619</t>
        </is>
      </c>
      <c r="J5497" t="inlineStr">
        <is>
          <t>NI</t>
        </is>
      </c>
      <c r="K5497" t="inlineStr">
        <is>
          <t>Not Interested</t>
        </is>
      </c>
      <c r="L5497" t="n">
        <v>1</v>
      </c>
      <c r="M5497" t="inlineStr">
        <is>
          <t>2026-06-19 08:21:44</t>
        </is>
      </c>
      <c r="N5497" t="inlineStr">
        <is>
          <t>Vuyiswa Nxumalo</t>
        </is>
      </c>
      <c r="O5497" t="inlineStr">
        <is>
          <t>2026-06-19 07:10:32</t>
        </is>
      </c>
      <c r="P5497" t="inlineStr">
        <is>
          <t>2026-06-19 07:10:32</t>
        </is>
      </c>
      <c r="Y5497" t="inlineStr">
        <is>
          <t>27609825903</t>
        </is>
      </c>
    </row>
    <row r="5498">
      <c r="A5498" t="inlineStr">
        <is>
          <t>14943677</t>
        </is>
      </c>
      <c r="B5498" t="inlineStr">
        <is>
          <t>8114e015-ae76-4ff4-b877-4d1e31ffefa7</t>
        </is>
      </c>
      <c r="D5498" t="inlineStr">
        <is>
          <t>30001087</t>
        </is>
      </c>
      <c r="E5498" t="inlineStr">
        <is>
          <t>ussd_funeral_leads_altitude_20260619</t>
        </is>
      </c>
      <c r="J5498" t="inlineStr">
        <is>
          <t>NI</t>
        </is>
      </c>
      <c r="K5498" t="inlineStr">
        <is>
          <t>Not Interested</t>
        </is>
      </c>
      <c r="L5498" t="n">
        <v>2</v>
      </c>
      <c r="M5498" t="inlineStr">
        <is>
          <t>2026-06-19 08:19:12</t>
        </is>
      </c>
      <c r="N5498" t="inlineStr">
        <is>
          <t>Virginia Letsatsi</t>
        </is>
      </c>
      <c r="O5498" t="inlineStr">
        <is>
          <t>2026-06-19 07:10:32</t>
        </is>
      </c>
      <c r="P5498" t="inlineStr">
        <is>
          <t>2026-06-19 07:10:32</t>
        </is>
      </c>
      <c r="Y5498" t="inlineStr">
        <is>
          <t>27818693738</t>
        </is>
      </c>
    </row>
    <row r="5499">
      <c r="A5499" t="inlineStr">
        <is>
          <t>14944150</t>
        </is>
      </c>
      <c r="B5499" t="inlineStr">
        <is>
          <t>3be2f84d-9e00-4692-a260-cdb055ee5300</t>
        </is>
      </c>
      <c r="D5499" t="inlineStr">
        <is>
          <t>30001087</t>
        </is>
      </c>
      <c r="E5499" t="inlineStr">
        <is>
          <t>ussd_funeral_leads_altitude_20260619</t>
        </is>
      </c>
      <c r="H5499" t="inlineStr">
        <is>
          <t>27766570420</t>
        </is>
      </c>
      <c r="J5499" t="inlineStr">
        <is>
          <t>U</t>
        </is>
      </c>
      <c r="K5499" t="inlineStr">
        <is>
          <t>Unemployed</t>
        </is>
      </c>
      <c r="L5499" t="n">
        <v>1</v>
      </c>
      <c r="M5499" t="inlineStr">
        <is>
          <t>2026-06-19 08:14:25</t>
        </is>
      </c>
      <c r="N5499" t="inlineStr">
        <is>
          <t>Lebohang Mabotja</t>
        </is>
      </c>
      <c r="O5499" t="inlineStr">
        <is>
          <t>2026-06-19 07:10:32</t>
        </is>
      </c>
      <c r="P5499" t="inlineStr">
        <is>
          <t>2026-06-19 07:10:32</t>
        </is>
      </c>
      <c r="Y5499" t="inlineStr">
        <is>
          <t>27766570420</t>
        </is>
      </c>
    </row>
    <row r="5500">
      <c r="A5500" t="inlineStr">
        <is>
          <t>14944127</t>
        </is>
      </c>
      <c r="B5500" t="inlineStr">
        <is>
          <t>b75c7179-503c-4a99-a11d-5506e90bdfac</t>
        </is>
      </c>
      <c r="D5500" t="inlineStr">
        <is>
          <t>30001087</t>
        </is>
      </c>
      <c r="E5500" t="inlineStr">
        <is>
          <t>ussd_funeral_leads_altitude_20260619</t>
        </is>
      </c>
      <c r="H5500" t="inlineStr">
        <is>
          <t>27715162297</t>
        </is>
      </c>
      <c r="J5500" t="inlineStr">
        <is>
          <t>AF</t>
        </is>
      </c>
      <c r="K5500" t="inlineStr">
        <is>
          <t>Cannot Afford</t>
        </is>
      </c>
      <c r="L5500" t="n">
        <v>1</v>
      </c>
      <c r="M5500" t="inlineStr">
        <is>
          <t>2026-06-19 08:12:56</t>
        </is>
      </c>
      <c r="N5500" t="inlineStr">
        <is>
          <t>Goitsimang Mogwasa</t>
        </is>
      </c>
      <c r="O5500" t="inlineStr">
        <is>
          <t>2026-06-19 07:10:32</t>
        </is>
      </c>
      <c r="P5500" t="inlineStr">
        <is>
          <t>2026-06-19 07:10:32</t>
        </is>
      </c>
      <c r="Y5500" t="inlineStr">
        <is>
          <t>27715162297</t>
        </is>
      </c>
    </row>
    <row r="5501">
      <c r="A5501" t="inlineStr">
        <is>
          <t>14944130</t>
        </is>
      </c>
      <c r="B5501" t="inlineStr">
        <is>
          <t>2e40ab0b-9c1e-463b-b7bd-dda05431195d</t>
        </is>
      </c>
      <c r="D5501" t="inlineStr">
        <is>
          <t>30001087</t>
        </is>
      </c>
      <c r="E5501" t="inlineStr">
        <is>
          <t>ussd_funeral_leads_altitude_20260619</t>
        </is>
      </c>
      <c r="H5501" t="inlineStr">
        <is>
          <t>27765118737</t>
        </is>
      </c>
      <c r="J5501" t="inlineStr">
        <is>
          <t>CBACK</t>
        </is>
      </c>
      <c r="K5501" t="inlineStr">
        <is>
          <t>Callback</t>
        </is>
      </c>
      <c r="L5501" t="n">
        <v>1</v>
      </c>
      <c r="M5501" t="inlineStr">
        <is>
          <t>2026-06-19 08:12:45</t>
        </is>
      </c>
      <c r="N5501" t="inlineStr">
        <is>
          <t>Tebogo Chauke</t>
        </is>
      </c>
      <c r="O5501" t="inlineStr">
        <is>
          <t>2026-06-19 07:10:32</t>
        </is>
      </c>
      <c r="P5501" t="inlineStr">
        <is>
          <t>2026-06-19 07:10:32</t>
        </is>
      </c>
      <c r="Y5501" t="inlineStr">
        <is>
          <t>27765118737</t>
        </is>
      </c>
    </row>
    <row r="5502">
      <c r="A5502" t="inlineStr">
        <is>
          <t>14942615</t>
        </is>
      </c>
      <c r="B5502" t="inlineStr">
        <is>
          <t>2060294b-5182-47de-a2cc-9abc10dd9392</t>
        </is>
      </c>
      <c r="D5502" t="inlineStr">
        <is>
          <t>30001087</t>
        </is>
      </c>
      <c r="E5502" t="inlineStr">
        <is>
          <t>ussd_funeral_leads_altitude_20260619</t>
        </is>
      </c>
      <c r="J5502" t="inlineStr">
        <is>
          <t>QAVER</t>
        </is>
      </c>
      <c r="K5502" t="inlineStr">
        <is>
          <t>Sale Made</t>
        </is>
      </c>
      <c r="L5502" t="n">
        <v>2</v>
      </c>
      <c r="M5502" t="inlineStr">
        <is>
          <t>2026-06-19 08:12:10</t>
        </is>
      </c>
      <c r="N5502" t="inlineStr">
        <is>
          <t>Virginia Letsatsi</t>
        </is>
      </c>
      <c r="O5502" t="inlineStr">
        <is>
          <t>2026-06-19 07:10:32</t>
        </is>
      </c>
      <c r="P5502" t="inlineStr">
        <is>
          <t>2026-06-19 07:10:32</t>
        </is>
      </c>
      <c r="Y5502" t="inlineStr">
        <is>
          <t>27767499945</t>
        </is>
      </c>
    </row>
    <row r="5503">
      <c r="A5503" t="inlineStr">
        <is>
          <t>14944124</t>
        </is>
      </c>
      <c r="B5503" t="inlineStr">
        <is>
          <t>ec49ac30-0867-40ed-9c59-03e2dd5218a3</t>
        </is>
      </c>
      <c r="D5503" t="inlineStr">
        <is>
          <t>30001087</t>
        </is>
      </c>
      <c r="E5503" t="inlineStr">
        <is>
          <t>ussd_funeral_leads_altitude_20260619</t>
        </is>
      </c>
      <c r="J5503" t="inlineStr">
        <is>
          <t>LANG</t>
        </is>
      </c>
      <c r="K5503" t="inlineStr">
        <is>
          <t>Language Barrier</t>
        </is>
      </c>
      <c r="L5503" t="n">
        <v>1</v>
      </c>
      <c r="M5503" t="inlineStr">
        <is>
          <t>2026-06-19 08:11:26</t>
        </is>
      </c>
      <c r="N5503" t="inlineStr">
        <is>
          <t>Lebohang Mabotja</t>
        </is>
      </c>
      <c r="O5503" t="inlineStr">
        <is>
          <t>2026-06-19 07:10:32</t>
        </is>
      </c>
      <c r="P5503" t="inlineStr">
        <is>
          <t>2026-06-19 07:10:32</t>
        </is>
      </c>
      <c r="Y5503" t="inlineStr">
        <is>
          <t>27724365865</t>
        </is>
      </c>
    </row>
    <row r="5504">
      <c r="A5504" t="inlineStr">
        <is>
          <t>14944089</t>
        </is>
      </c>
      <c r="B5504" t="inlineStr">
        <is>
          <t>41c2a397-d2af-430a-adbc-bc9663ceac88</t>
        </is>
      </c>
      <c r="D5504" t="inlineStr">
        <is>
          <t>30001087</t>
        </is>
      </c>
      <c r="E5504" t="inlineStr">
        <is>
          <t>ussd_funeral_leads_altitude_20260619</t>
        </is>
      </c>
      <c r="J5504" t="inlineStr">
        <is>
          <t>NI</t>
        </is>
      </c>
      <c r="K5504" t="inlineStr">
        <is>
          <t>Not Interested</t>
        </is>
      </c>
      <c r="L5504" t="n">
        <v>1</v>
      </c>
      <c r="M5504" t="inlineStr">
        <is>
          <t>2026-06-19 08:10:39</t>
        </is>
      </c>
      <c r="N5504" t="inlineStr">
        <is>
          <t>Vhutshilo Marcia Ramapundu</t>
        </is>
      </c>
      <c r="O5504" t="inlineStr">
        <is>
          <t>2026-06-19 07:10:32</t>
        </is>
      </c>
      <c r="P5504" t="inlineStr">
        <is>
          <t>2026-06-19 07:10:32</t>
        </is>
      </c>
      <c r="Y5504" t="inlineStr">
        <is>
          <t>27722290472</t>
        </is>
      </c>
    </row>
    <row r="5505">
      <c r="A5505" t="inlineStr">
        <is>
          <t>14944016</t>
        </is>
      </c>
      <c r="B5505" t="inlineStr">
        <is>
          <t>7d940741-3b2b-48d0-9454-74ed5bc01572</t>
        </is>
      </c>
      <c r="D5505" t="inlineStr">
        <is>
          <t>30001087</t>
        </is>
      </c>
      <c r="E5505" t="inlineStr">
        <is>
          <t>ussd_funeral_leads_altitude_20260619</t>
        </is>
      </c>
      <c r="J5505" t="inlineStr">
        <is>
          <t>CBACK</t>
        </is>
      </c>
      <c r="K5505" t="inlineStr">
        <is>
          <t>Callback</t>
        </is>
      </c>
      <c r="L5505" t="n">
        <v>1</v>
      </c>
      <c r="M5505" t="inlineStr">
        <is>
          <t>2026-06-19 08:08:22</t>
        </is>
      </c>
      <c r="N5505" t="inlineStr">
        <is>
          <t>Tebogo Chauke</t>
        </is>
      </c>
      <c r="O5505" t="inlineStr">
        <is>
          <t>2026-06-19 07:10:32</t>
        </is>
      </c>
      <c r="P5505" t="inlineStr">
        <is>
          <t>2026-06-19 07:10:32</t>
        </is>
      </c>
      <c r="Y5505" t="inlineStr">
        <is>
          <t>27715736628</t>
        </is>
      </c>
    </row>
    <row r="5506">
      <c r="A5506" t="inlineStr">
        <is>
          <t>14944009</t>
        </is>
      </c>
      <c r="B5506" t="inlineStr">
        <is>
          <t>403cfaa8-354f-4631-96e9-fbbee7eb70ca</t>
        </is>
      </c>
      <c r="D5506" t="inlineStr">
        <is>
          <t>30001087</t>
        </is>
      </c>
      <c r="E5506" t="inlineStr">
        <is>
          <t>ussd_funeral_leads_altitude_20260619</t>
        </is>
      </c>
      <c r="J5506" t="inlineStr">
        <is>
          <t>AF</t>
        </is>
      </c>
      <c r="K5506" t="inlineStr">
        <is>
          <t>Cannot Afford</t>
        </is>
      </c>
      <c r="L5506" t="n">
        <v>1</v>
      </c>
      <c r="M5506" t="inlineStr">
        <is>
          <t>2026-06-19 08:07:00</t>
        </is>
      </c>
      <c r="N5506" t="inlineStr">
        <is>
          <t>Vuyiswa Nxumalo</t>
        </is>
      </c>
      <c r="O5506" t="inlineStr">
        <is>
          <t>2026-06-19 07:10:32</t>
        </is>
      </c>
      <c r="P5506" t="inlineStr">
        <is>
          <t>2026-06-19 07:10:32</t>
        </is>
      </c>
      <c r="Y5506" t="inlineStr">
        <is>
          <t>27774940901</t>
        </is>
      </c>
    </row>
    <row r="5507">
      <c r="A5507" t="inlineStr">
        <is>
          <t>14944000</t>
        </is>
      </c>
      <c r="B5507" t="inlineStr">
        <is>
          <t>a6bce8bf-3cd2-45e8-a93d-1fbef667baf3</t>
        </is>
      </c>
      <c r="D5507" t="inlineStr">
        <is>
          <t>30001087</t>
        </is>
      </c>
      <c r="E5507" t="inlineStr">
        <is>
          <t>ussd_funeral_leads_altitude_20260619</t>
        </is>
      </c>
      <c r="J5507" t="inlineStr">
        <is>
          <t>CBACK</t>
        </is>
      </c>
      <c r="K5507" t="inlineStr">
        <is>
          <t>Callback</t>
        </is>
      </c>
      <c r="L5507" t="n">
        <v>1</v>
      </c>
      <c r="M5507" t="inlineStr">
        <is>
          <t>2026-06-19 08:06:55</t>
        </is>
      </c>
      <c r="N5507" t="inlineStr">
        <is>
          <t>Gugulethu Duma</t>
        </is>
      </c>
      <c r="O5507" t="inlineStr">
        <is>
          <t>2026-06-19 07:10:32</t>
        </is>
      </c>
      <c r="P5507" t="inlineStr">
        <is>
          <t>2026-06-19 07:10:32</t>
        </is>
      </c>
      <c r="Y5507" t="inlineStr">
        <is>
          <t>27729012328</t>
        </is>
      </c>
    </row>
    <row r="5508">
      <c r="A5508" t="inlineStr">
        <is>
          <t>14944001</t>
        </is>
      </c>
      <c r="B5508" t="inlineStr">
        <is>
          <t>8e0d6c7b-84d4-496d-9744-a958a89c84bb</t>
        </is>
      </c>
      <c r="D5508" t="inlineStr">
        <is>
          <t>30001087</t>
        </is>
      </c>
      <c r="E5508" t="inlineStr">
        <is>
          <t>ussd_funeral_leads_altitude_20260619</t>
        </is>
      </c>
      <c r="J5508" t="inlineStr">
        <is>
          <t>NI</t>
        </is>
      </c>
      <c r="K5508" t="inlineStr">
        <is>
          <t>Not Interested</t>
        </is>
      </c>
      <c r="L5508" t="n">
        <v>1</v>
      </c>
      <c r="M5508" t="inlineStr">
        <is>
          <t>2026-06-19 08:06:55</t>
        </is>
      </c>
      <c r="N5508" t="inlineStr">
        <is>
          <t>Goitsimang Mogwasa</t>
        </is>
      </c>
      <c r="O5508" t="inlineStr">
        <is>
          <t>2026-06-19 07:10:32</t>
        </is>
      </c>
      <c r="P5508" t="inlineStr">
        <is>
          <t>2026-06-19 07:10:32</t>
        </is>
      </c>
      <c r="Y5508" t="inlineStr">
        <is>
          <t>27794209400</t>
        </is>
      </c>
    </row>
    <row r="5509">
      <c r="A5509" t="inlineStr">
        <is>
          <t>14943971</t>
        </is>
      </c>
      <c r="B5509" t="inlineStr">
        <is>
          <t>483a2d77-44bf-47e7-8697-3a79840dcb53</t>
        </is>
      </c>
      <c r="D5509" t="inlineStr">
        <is>
          <t>30001087</t>
        </is>
      </c>
      <c r="E5509" t="inlineStr">
        <is>
          <t>ussd_funeral_leads_altitude_20260619</t>
        </is>
      </c>
      <c r="J5509" t="inlineStr">
        <is>
          <t>NI</t>
        </is>
      </c>
      <c r="K5509" t="inlineStr">
        <is>
          <t>Not Interested</t>
        </is>
      </c>
      <c r="L5509" t="n">
        <v>1</v>
      </c>
      <c r="M5509" t="inlineStr">
        <is>
          <t>2026-06-19 08:06:29</t>
        </is>
      </c>
      <c r="N5509" t="inlineStr">
        <is>
          <t>Angelina Nyambi</t>
        </is>
      </c>
      <c r="O5509" t="inlineStr">
        <is>
          <t>2026-06-19 07:10:32</t>
        </is>
      </c>
      <c r="P5509" t="inlineStr">
        <is>
          <t>2026-06-19 07:10:32</t>
        </is>
      </c>
      <c r="Y5509" t="inlineStr">
        <is>
          <t>27797676287</t>
        </is>
      </c>
    </row>
    <row r="5510">
      <c r="A5510" t="inlineStr">
        <is>
          <t>14943920</t>
        </is>
      </c>
      <c r="B5510" t="inlineStr">
        <is>
          <t>7d80ef5e-f899-4e09-9a1f-5fb161d31b54</t>
        </is>
      </c>
      <c r="D5510" t="inlineStr">
        <is>
          <t>30001087</t>
        </is>
      </c>
      <c r="E5510" t="inlineStr">
        <is>
          <t>ussd_funeral_leads_altitude_20260619</t>
        </is>
      </c>
      <c r="J5510" t="inlineStr">
        <is>
          <t>CBACK</t>
        </is>
      </c>
      <c r="K5510" t="inlineStr">
        <is>
          <t>Callback</t>
        </is>
      </c>
      <c r="L5510" t="n">
        <v>1</v>
      </c>
      <c r="M5510" t="inlineStr">
        <is>
          <t>2026-06-19 08:05:02</t>
        </is>
      </c>
      <c r="N5510" t="inlineStr">
        <is>
          <t>Tebogo Chauke</t>
        </is>
      </c>
      <c r="O5510" t="inlineStr">
        <is>
          <t>2026-06-19 07:10:32</t>
        </is>
      </c>
      <c r="P5510" t="inlineStr">
        <is>
          <t>2026-06-19 07:10:32</t>
        </is>
      </c>
      <c r="Y5510" t="inlineStr">
        <is>
          <t>27634411881</t>
        </is>
      </c>
    </row>
    <row r="5511">
      <c r="A5511" t="inlineStr">
        <is>
          <t>14943861</t>
        </is>
      </c>
      <c r="B5511" t="inlineStr">
        <is>
          <t>4cb005c3-cd52-4d9c-a23a-7518313949aa</t>
        </is>
      </c>
      <c r="D5511" t="inlineStr">
        <is>
          <t>30001087</t>
        </is>
      </c>
      <c r="E5511" t="inlineStr">
        <is>
          <t>ussd_funeral_leads_altitude_20260619</t>
        </is>
      </c>
      <c r="J5511" t="inlineStr">
        <is>
          <t>CBACK</t>
        </is>
      </c>
      <c r="K5511" t="inlineStr">
        <is>
          <t>Callback</t>
        </is>
      </c>
      <c r="L5511" t="n">
        <v>1</v>
      </c>
      <c r="M5511" t="inlineStr">
        <is>
          <t>2026-06-19 08:03:55</t>
        </is>
      </c>
      <c r="N5511" t="inlineStr">
        <is>
          <t>Angelina Nyambi</t>
        </is>
      </c>
      <c r="O5511" t="inlineStr">
        <is>
          <t>2026-06-19 07:10:32</t>
        </is>
      </c>
      <c r="P5511" t="inlineStr">
        <is>
          <t>2026-06-19 07:10:32</t>
        </is>
      </c>
      <c r="Y5511" t="inlineStr">
        <is>
          <t>27636625638</t>
        </is>
      </c>
    </row>
    <row r="5512">
      <c r="A5512" t="inlineStr">
        <is>
          <t>14943814</t>
        </is>
      </c>
      <c r="B5512" t="inlineStr">
        <is>
          <t>8b54bb29-ef0b-44ac-828a-beddb71b0d15</t>
        </is>
      </c>
      <c r="D5512" t="inlineStr">
        <is>
          <t>30001087</t>
        </is>
      </c>
      <c r="E5512" t="inlineStr">
        <is>
          <t>ussd_funeral_leads_altitude_20260619</t>
        </is>
      </c>
      <c r="J5512" t="inlineStr">
        <is>
          <t>GTTB</t>
        </is>
      </c>
      <c r="K5512" t="inlineStr">
        <is>
          <t>Go To The Branch</t>
        </is>
      </c>
      <c r="L5512" t="n">
        <v>1</v>
      </c>
      <c r="M5512" t="inlineStr">
        <is>
          <t>2026-06-19 08:01:21</t>
        </is>
      </c>
      <c r="N5512" t="inlineStr">
        <is>
          <t>Lebohang Mabotja</t>
        </is>
      </c>
      <c r="O5512" t="inlineStr">
        <is>
          <t>2026-06-19 07:10:32</t>
        </is>
      </c>
      <c r="P5512" t="inlineStr">
        <is>
          <t>2026-06-19 07:10:32</t>
        </is>
      </c>
      <c r="Y5512" t="inlineStr">
        <is>
          <t>27793119057</t>
        </is>
      </c>
    </row>
    <row r="5513">
      <c r="A5513" t="inlineStr">
        <is>
          <t>14943768</t>
        </is>
      </c>
      <c r="B5513" t="inlineStr">
        <is>
          <t>62df5a71-849b-412b-9c1e-7f378907bcf7</t>
        </is>
      </c>
      <c r="D5513" t="inlineStr">
        <is>
          <t>30001087</t>
        </is>
      </c>
      <c r="E5513" t="inlineStr">
        <is>
          <t>ussd_funeral_leads_altitude_20260619</t>
        </is>
      </c>
      <c r="J5513" t="inlineStr">
        <is>
          <t>U</t>
        </is>
      </c>
      <c r="K5513" t="inlineStr">
        <is>
          <t>Unemployed</t>
        </is>
      </c>
      <c r="L5513" t="n">
        <v>1</v>
      </c>
      <c r="M5513" t="inlineStr">
        <is>
          <t>2026-06-19 08:00:03</t>
        </is>
      </c>
      <c r="N5513" t="inlineStr">
        <is>
          <t>Virginia Letsatsi</t>
        </is>
      </c>
      <c r="O5513" t="inlineStr">
        <is>
          <t>2026-06-19 07:10:32</t>
        </is>
      </c>
      <c r="P5513" t="inlineStr">
        <is>
          <t>2026-06-19 07:10:32</t>
        </is>
      </c>
      <c r="Y5513" t="inlineStr">
        <is>
          <t>27791608840</t>
        </is>
      </c>
    </row>
    <row r="5514">
      <c r="A5514" t="inlineStr">
        <is>
          <t>14943759</t>
        </is>
      </c>
      <c r="B5514" t="inlineStr">
        <is>
          <t>9fb5bbe9-465d-4159-981c-96d08a09708e</t>
        </is>
      </c>
      <c r="D5514" t="inlineStr">
        <is>
          <t>30001087</t>
        </is>
      </c>
      <c r="E5514" t="inlineStr">
        <is>
          <t>ussd_funeral_leads_altitude_20260619</t>
        </is>
      </c>
      <c r="J5514" t="inlineStr">
        <is>
          <t>CBACK</t>
        </is>
      </c>
      <c r="K5514" t="inlineStr">
        <is>
          <t>Callback</t>
        </is>
      </c>
      <c r="L5514" t="n">
        <v>1</v>
      </c>
      <c r="M5514" t="inlineStr">
        <is>
          <t>2026-06-19 07:59:56</t>
        </is>
      </c>
      <c r="N5514" t="inlineStr">
        <is>
          <t>Tebogo Chauke</t>
        </is>
      </c>
      <c r="O5514" t="inlineStr">
        <is>
          <t>2026-06-19 07:10:32</t>
        </is>
      </c>
      <c r="P5514" t="inlineStr">
        <is>
          <t>2026-06-19 07:10:32</t>
        </is>
      </c>
      <c r="Y5514" t="inlineStr">
        <is>
          <t>27798476813</t>
        </is>
      </c>
    </row>
    <row r="5515">
      <c r="A5515" t="inlineStr">
        <is>
          <t>14943750</t>
        </is>
      </c>
      <c r="B5515" t="inlineStr">
        <is>
          <t>63ccfbd2-4868-4823-90e8-d5309549d51a</t>
        </is>
      </c>
      <c r="D5515" t="inlineStr">
        <is>
          <t>30001087</t>
        </is>
      </c>
      <c r="E5515" t="inlineStr">
        <is>
          <t>ussd_funeral_leads_altitude_20260619</t>
        </is>
      </c>
      <c r="J5515" t="inlineStr">
        <is>
          <t>NI</t>
        </is>
      </c>
      <c r="K5515" t="inlineStr">
        <is>
          <t>Not Interested</t>
        </is>
      </c>
      <c r="L5515" t="n">
        <v>1</v>
      </c>
      <c r="M5515" t="inlineStr">
        <is>
          <t>2026-06-19 07:58:51</t>
        </is>
      </c>
      <c r="N5515" t="inlineStr">
        <is>
          <t>Vhutshilo Marcia Ramapundu</t>
        </is>
      </c>
      <c r="O5515" t="inlineStr">
        <is>
          <t>2026-06-19 07:10:32</t>
        </is>
      </c>
      <c r="P5515" t="inlineStr">
        <is>
          <t>2026-06-19 07:10:32</t>
        </is>
      </c>
      <c r="Y5515" t="inlineStr">
        <is>
          <t>27799966105</t>
        </is>
      </c>
    </row>
    <row r="5516">
      <c r="A5516" t="inlineStr">
        <is>
          <t>14943731</t>
        </is>
      </c>
      <c r="B5516" t="inlineStr">
        <is>
          <t>2f4f9017-de12-442a-8828-e7617247d8df</t>
        </is>
      </c>
      <c r="D5516" t="inlineStr">
        <is>
          <t>30001087</t>
        </is>
      </c>
      <c r="E5516" t="inlineStr">
        <is>
          <t>ussd_funeral_leads_altitude_20260619</t>
        </is>
      </c>
      <c r="J5516" t="inlineStr">
        <is>
          <t>NI</t>
        </is>
      </c>
      <c r="K5516" t="inlineStr">
        <is>
          <t>Not Interested</t>
        </is>
      </c>
      <c r="L5516" t="n">
        <v>1</v>
      </c>
      <c r="M5516" t="inlineStr">
        <is>
          <t>2026-06-19 07:58:29</t>
        </is>
      </c>
      <c r="N5516" t="inlineStr">
        <is>
          <t>Dimakatso Nkomo</t>
        </is>
      </c>
      <c r="O5516" t="inlineStr">
        <is>
          <t>2026-06-19 07:10:32</t>
        </is>
      </c>
      <c r="P5516" t="inlineStr">
        <is>
          <t>2026-06-19 07:10:32</t>
        </is>
      </c>
      <c r="Y5516" t="inlineStr">
        <is>
          <t>27663577079</t>
        </is>
      </c>
    </row>
    <row r="5517">
      <c r="A5517" t="inlineStr">
        <is>
          <t>14943726</t>
        </is>
      </c>
      <c r="B5517" t="inlineStr">
        <is>
          <t>5c65c53e-d093-497e-b1bf-e1448b43d571</t>
        </is>
      </c>
      <c r="D5517" t="inlineStr">
        <is>
          <t>30001087</t>
        </is>
      </c>
      <c r="E5517" t="inlineStr">
        <is>
          <t>ussd_funeral_leads_altitude_20260619</t>
        </is>
      </c>
      <c r="J5517" t="inlineStr">
        <is>
          <t>U</t>
        </is>
      </c>
      <c r="K5517" t="inlineStr">
        <is>
          <t>Unemployed</t>
        </is>
      </c>
      <c r="L5517" t="n">
        <v>1</v>
      </c>
      <c r="M5517" t="inlineStr">
        <is>
          <t>2026-06-19 07:58:27</t>
        </is>
      </c>
      <c r="N5517" t="inlineStr">
        <is>
          <t>Vuyiswa Nxumalo</t>
        </is>
      </c>
      <c r="O5517" t="inlineStr">
        <is>
          <t>2026-06-19 07:10:32</t>
        </is>
      </c>
      <c r="P5517" t="inlineStr">
        <is>
          <t>2026-06-19 07:10:32</t>
        </is>
      </c>
      <c r="Y5517" t="inlineStr">
        <is>
          <t>27636669830</t>
        </is>
      </c>
    </row>
    <row r="5518">
      <c r="A5518" t="inlineStr">
        <is>
          <t>14943723</t>
        </is>
      </c>
      <c r="B5518" t="inlineStr">
        <is>
          <t>7c561b85-766b-4b3c-8468-66246f3db70e</t>
        </is>
      </c>
      <c r="D5518" t="inlineStr">
        <is>
          <t>30001087</t>
        </is>
      </c>
      <c r="E5518" t="inlineStr">
        <is>
          <t>ussd_funeral_leads_altitude_20260619</t>
        </is>
      </c>
      <c r="J5518" t="inlineStr">
        <is>
          <t>NI</t>
        </is>
      </c>
      <c r="K5518" t="inlineStr">
        <is>
          <t>Not Interested</t>
        </is>
      </c>
      <c r="L5518" t="n">
        <v>1</v>
      </c>
      <c r="M5518" t="inlineStr">
        <is>
          <t>2026-06-19 07:58:25</t>
        </is>
      </c>
      <c r="N5518" t="inlineStr">
        <is>
          <t>Virginia Letsatsi</t>
        </is>
      </c>
      <c r="O5518" t="inlineStr">
        <is>
          <t>2026-06-19 07:10:32</t>
        </is>
      </c>
      <c r="P5518" t="inlineStr">
        <is>
          <t>2026-06-19 07:10:32</t>
        </is>
      </c>
      <c r="Y5518" t="inlineStr">
        <is>
          <t>27716854724</t>
        </is>
      </c>
    </row>
    <row r="5519">
      <c r="A5519" t="inlineStr">
        <is>
          <t>14943672</t>
        </is>
      </c>
      <c r="B5519" t="inlineStr">
        <is>
          <t>474e5b24-aeae-48ce-87e2-e191ed263795</t>
        </is>
      </c>
      <c r="D5519" t="inlineStr">
        <is>
          <t>30001087</t>
        </is>
      </c>
      <c r="E5519" t="inlineStr">
        <is>
          <t>ussd_funeral_leads_altitude_20260619</t>
        </is>
      </c>
      <c r="J5519" t="inlineStr">
        <is>
          <t>CBACK</t>
        </is>
      </c>
      <c r="K5519" t="inlineStr">
        <is>
          <t>Callback</t>
        </is>
      </c>
      <c r="L5519" t="n">
        <v>1</v>
      </c>
      <c r="M5519" t="inlineStr">
        <is>
          <t>2026-06-19 07:55:57</t>
        </is>
      </c>
      <c r="N5519" t="inlineStr">
        <is>
          <t>Vhutshilo Marcia Ramapundu</t>
        </is>
      </c>
      <c r="O5519" t="inlineStr">
        <is>
          <t>2026-06-19 07:10:32</t>
        </is>
      </c>
      <c r="P5519" t="inlineStr">
        <is>
          <t>2026-06-19 07:10:32</t>
        </is>
      </c>
      <c r="Y5519" t="inlineStr">
        <is>
          <t>27712871765</t>
        </is>
      </c>
    </row>
    <row r="5520">
      <c r="A5520" t="inlineStr">
        <is>
          <t>14943658</t>
        </is>
      </c>
      <c r="B5520" t="inlineStr">
        <is>
          <t>5462c31b-7689-45d8-9d01-c010496da1cf</t>
        </is>
      </c>
      <c r="D5520" t="inlineStr">
        <is>
          <t>30001087</t>
        </is>
      </c>
      <c r="E5520" t="inlineStr">
        <is>
          <t>ussd_funeral_leads_altitude_20260619</t>
        </is>
      </c>
      <c r="J5520" t="inlineStr">
        <is>
          <t>DNQS</t>
        </is>
      </c>
      <c r="K5520" t="inlineStr">
        <is>
          <t>Does Not Qualify</t>
        </is>
      </c>
      <c r="L5520" t="n">
        <v>1</v>
      </c>
      <c r="M5520" t="inlineStr">
        <is>
          <t>2026-06-19 07:55:45</t>
        </is>
      </c>
      <c r="N5520" t="inlineStr">
        <is>
          <t>Angelina Nyambi</t>
        </is>
      </c>
      <c r="O5520" t="inlineStr">
        <is>
          <t>2026-06-19 07:10:32</t>
        </is>
      </c>
      <c r="P5520" t="inlineStr">
        <is>
          <t>2026-06-19 07:10:32</t>
        </is>
      </c>
      <c r="Y5520" t="inlineStr">
        <is>
          <t>27660478532</t>
        </is>
      </c>
    </row>
    <row r="5521">
      <c r="A5521" t="inlineStr">
        <is>
          <t>14943597</t>
        </is>
      </c>
      <c r="B5521" t="inlineStr">
        <is>
          <t>6ae2e88f-c708-4549-9ed8-6c325713a618</t>
        </is>
      </c>
      <c r="D5521" t="inlineStr">
        <is>
          <t>30001087</t>
        </is>
      </c>
      <c r="E5521" t="inlineStr">
        <is>
          <t>ussd_funeral_leads_altitude_20260619</t>
        </is>
      </c>
      <c r="J5521" t="inlineStr">
        <is>
          <t>CBACK</t>
        </is>
      </c>
      <c r="K5521" t="inlineStr">
        <is>
          <t>Callback</t>
        </is>
      </c>
      <c r="L5521" t="n">
        <v>1</v>
      </c>
      <c r="M5521" t="inlineStr">
        <is>
          <t>2026-06-19 07:54:20</t>
        </is>
      </c>
      <c r="N5521" t="inlineStr">
        <is>
          <t>Gontse Monageng</t>
        </is>
      </c>
      <c r="O5521" t="inlineStr">
        <is>
          <t>2026-06-19 07:10:32</t>
        </is>
      </c>
      <c r="P5521" t="inlineStr">
        <is>
          <t>2026-06-19 07:10:32</t>
        </is>
      </c>
      <c r="Y5521" t="inlineStr">
        <is>
          <t>27795292532</t>
        </is>
      </c>
    </row>
    <row r="5522">
      <c r="A5522" t="inlineStr">
        <is>
          <t>14943561</t>
        </is>
      </c>
      <c r="B5522" t="inlineStr">
        <is>
          <t>6c4fceb7-a40e-4f00-b5df-c65e0bf2ae8a</t>
        </is>
      </c>
      <c r="D5522" t="inlineStr">
        <is>
          <t>30001087</t>
        </is>
      </c>
      <c r="E5522" t="inlineStr">
        <is>
          <t>ussd_funeral_leads_altitude_20260619</t>
        </is>
      </c>
      <c r="J5522" t="inlineStr">
        <is>
          <t>LANG</t>
        </is>
      </c>
      <c r="K5522" t="inlineStr">
        <is>
          <t>Language Barrier</t>
        </is>
      </c>
      <c r="L5522" t="n">
        <v>1</v>
      </c>
      <c r="M5522" t="inlineStr">
        <is>
          <t>2026-06-19 07:53:03</t>
        </is>
      </c>
      <c r="N5522" t="inlineStr">
        <is>
          <t>Lebohang Mabotja</t>
        </is>
      </c>
      <c r="O5522" t="inlineStr">
        <is>
          <t>2026-06-19 07:10:32</t>
        </is>
      </c>
      <c r="P5522" t="inlineStr">
        <is>
          <t>2026-06-19 07:10:32</t>
        </is>
      </c>
      <c r="Y5522" t="inlineStr">
        <is>
          <t>27724076243</t>
        </is>
      </c>
    </row>
    <row r="5523">
      <c r="A5523" t="inlineStr">
        <is>
          <t>14943540</t>
        </is>
      </c>
      <c r="B5523" t="inlineStr">
        <is>
          <t>b378ae8b-9ec7-451d-b070-56d980710011</t>
        </is>
      </c>
      <c r="D5523" t="inlineStr">
        <is>
          <t>30001087</t>
        </is>
      </c>
      <c r="E5523" t="inlineStr">
        <is>
          <t>ussd_funeral_leads_altitude_20260619</t>
        </is>
      </c>
      <c r="J5523" t="inlineStr">
        <is>
          <t>NI</t>
        </is>
      </c>
      <c r="K5523" t="inlineStr">
        <is>
          <t>Not Interested</t>
        </is>
      </c>
      <c r="L5523" t="n">
        <v>1</v>
      </c>
      <c r="M5523" t="inlineStr">
        <is>
          <t>2026-06-19 07:52:32</t>
        </is>
      </c>
      <c r="N5523" t="inlineStr">
        <is>
          <t>Gugulethu Duma</t>
        </is>
      </c>
      <c r="O5523" t="inlineStr">
        <is>
          <t>2026-06-19 07:10:32</t>
        </is>
      </c>
      <c r="P5523" t="inlineStr">
        <is>
          <t>2026-06-19 07:10:32</t>
        </is>
      </c>
      <c r="Y5523" t="inlineStr">
        <is>
          <t>27796415829</t>
        </is>
      </c>
    </row>
    <row r="5524">
      <c r="A5524" t="inlineStr">
        <is>
          <t>14943497</t>
        </is>
      </c>
      <c r="B5524" t="inlineStr">
        <is>
          <t>6b704a29-ebcf-4e78-bfe1-818c5ba6048d</t>
        </is>
      </c>
      <c r="D5524" t="inlineStr">
        <is>
          <t>30001087</t>
        </is>
      </c>
      <c r="E5524" t="inlineStr">
        <is>
          <t>ussd_funeral_leads_altitude_20260619</t>
        </is>
      </c>
      <c r="J5524" t="inlineStr">
        <is>
          <t>NI</t>
        </is>
      </c>
      <c r="K5524" t="inlineStr">
        <is>
          <t>Not Interested</t>
        </is>
      </c>
      <c r="L5524" t="n">
        <v>1</v>
      </c>
      <c r="M5524" t="inlineStr">
        <is>
          <t>2026-06-19 07:50:59</t>
        </is>
      </c>
      <c r="N5524" t="inlineStr">
        <is>
          <t>Vuyiswa Nxumalo</t>
        </is>
      </c>
      <c r="O5524" t="inlineStr">
        <is>
          <t>2026-06-19 07:10:32</t>
        </is>
      </c>
      <c r="P5524" t="inlineStr">
        <is>
          <t>2026-06-19 07:10:32</t>
        </is>
      </c>
      <c r="Y5524" t="inlineStr">
        <is>
          <t>27609150085</t>
        </is>
      </c>
    </row>
    <row r="5525">
      <c r="A5525" t="inlineStr">
        <is>
          <t>14943489</t>
        </is>
      </c>
      <c r="B5525" t="inlineStr">
        <is>
          <t>95b1c261-f3f8-48ad-a567-749cedf541aa</t>
        </is>
      </c>
      <c r="D5525" t="inlineStr">
        <is>
          <t>30001087</t>
        </is>
      </c>
      <c r="E5525" t="inlineStr">
        <is>
          <t>ussd_funeral_leads_altitude_20260619</t>
        </is>
      </c>
      <c r="J5525" t="inlineStr">
        <is>
          <t>NI</t>
        </is>
      </c>
      <c r="K5525" t="inlineStr">
        <is>
          <t>Not Interested</t>
        </is>
      </c>
      <c r="L5525" t="n">
        <v>1</v>
      </c>
      <c r="M5525" t="inlineStr">
        <is>
          <t>2026-06-19 07:50:12</t>
        </is>
      </c>
      <c r="N5525" t="inlineStr">
        <is>
          <t>Gontse Monageng</t>
        </is>
      </c>
      <c r="O5525" t="inlineStr">
        <is>
          <t>2026-06-19 07:10:32</t>
        </is>
      </c>
      <c r="P5525" t="inlineStr">
        <is>
          <t>2026-06-19 07:10:32</t>
        </is>
      </c>
      <c r="Y5525" t="inlineStr">
        <is>
          <t>27665769951</t>
        </is>
      </c>
    </row>
    <row r="5526">
      <c r="A5526" t="inlineStr">
        <is>
          <t>14943465</t>
        </is>
      </c>
      <c r="B5526" t="inlineStr">
        <is>
          <t>79181fca-7130-4d3b-a5f0-9ef3b947ca35</t>
        </is>
      </c>
      <c r="D5526" t="inlineStr">
        <is>
          <t>30001087</t>
        </is>
      </c>
      <c r="E5526" t="inlineStr">
        <is>
          <t>ussd_funeral_leads_altitude_20260619</t>
        </is>
      </c>
      <c r="J5526" t="inlineStr">
        <is>
          <t>U</t>
        </is>
      </c>
      <c r="K5526" t="inlineStr">
        <is>
          <t>Unemployed</t>
        </is>
      </c>
      <c r="L5526" t="n">
        <v>1</v>
      </c>
      <c r="M5526" t="inlineStr">
        <is>
          <t>2026-06-19 07:48:38</t>
        </is>
      </c>
      <c r="N5526" t="inlineStr">
        <is>
          <t>Dimakatso Nkomo</t>
        </is>
      </c>
      <c r="O5526" t="inlineStr">
        <is>
          <t>2026-06-19 07:10:32</t>
        </is>
      </c>
      <c r="P5526" t="inlineStr">
        <is>
          <t>2026-06-19 07:10:32</t>
        </is>
      </c>
      <c r="Y5526" t="inlineStr">
        <is>
          <t>27660002365</t>
        </is>
      </c>
    </row>
    <row r="5527">
      <c r="A5527" t="inlineStr">
        <is>
          <t>14943462</t>
        </is>
      </c>
      <c r="B5527" t="inlineStr">
        <is>
          <t>b7114abd-d252-4e47-8df8-5d3cd2d4d241</t>
        </is>
      </c>
      <c r="D5527" t="inlineStr">
        <is>
          <t>30001087</t>
        </is>
      </c>
      <c r="E5527" t="inlineStr">
        <is>
          <t>ussd_funeral_leads_altitude_20260619</t>
        </is>
      </c>
      <c r="J5527" t="inlineStr">
        <is>
          <t>U</t>
        </is>
      </c>
      <c r="K5527" t="inlineStr">
        <is>
          <t>Unemployed</t>
        </is>
      </c>
      <c r="L5527" t="n">
        <v>1</v>
      </c>
      <c r="M5527" t="inlineStr">
        <is>
          <t>2026-06-19 07:48:35</t>
        </is>
      </c>
      <c r="N5527" t="inlineStr">
        <is>
          <t>Vuyiswa Nxumalo</t>
        </is>
      </c>
      <c r="O5527" t="inlineStr">
        <is>
          <t>2026-06-19 07:10:32</t>
        </is>
      </c>
      <c r="P5527" t="inlineStr">
        <is>
          <t>2026-06-19 07:10:32</t>
        </is>
      </c>
      <c r="Y5527" t="inlineStr">
        <is>
          <t>27774010290</t>
        </is>
      </c>
    </row>
    <row r="5528">
      <c r="A5528" t="inlineStr">
        <is>
          <t>14943411</t>
        </is>
      </c>
      <c r="B5528" t="inlineStr">
        <is>
          <t>bf13daaa-1ffa-4304-a86c-fb3090170d8f</t>
        </is>
      </c>
      <c r="D5528" t="inlineStr">
        <is>
          <t>30001087</t>
        </is>
      </c>
      <c r="E5528" t="inlineStr">
        <is>
          <t>ussd_funeral_leads_altitude_20260619</t>
        </is>
      </c>
      <c r="J5528" t="inlineStr">
        <is>
          <t>U</t>
        </is>
      </c>
      <c r="K5528" t="inlineStr">
        <is>
          <t>Unemployed</t>
        </is>
      </c>
      <c r="L5528" t="n">
        <v>1</v>
      </c>
      <c r="M5528" t="inlineStr">
        <is>
          <t>2026-06-19 07:47:05</t>
        </is>
      </c>
      <c r="N5528" t="inlineStr">
        <is>
          <t>Tebogo Chauke</t>
        </is>
      </c>
      <c r="O5528" t="inlineStr">
        <is>
          <t>2026-06-19 07:10:32</t>
        </is>
      </c>
      <c r="P5528" t="inlineStr">
        <is>
          <t>2026-06-19 07:10:32</t>
        </is>
      </c>
      <c r="Y5528" t="inlineStr">
        <is>
          <t>27761672166</t>
        </is>
      </c>
    </row>
    <row r="5529">
      <c r="A5529" t="inlineStr">
        <is>
          <t>14943275</t>
        </is>
      </c>
      <c r="B5529" t="inlineStr">
        <is>
          <t>f4197826-7807-459f-9bb2-14b334039150</t>
        </is>
      </c>
      <c r="D5529" t="inlineStr">
        <is>
          <t>30001087</t>
        </is>
      </c>
      <c r="E5529" t="inlineStr">
        <is>
          <t>ussd_funeral_leads_altitude_20260619</t>
        </is>
      </c>
      <c r="J5529" t="inlineStr">
        <is>
          <t>U</t>
        </is>
      </c>
      <c r="K5529" t="inlineStr">
        <is>
          <t>Unemployed</t>
        </is>
      </c>
      <c r="L5529" t="n">
        <v>1</v>
      </c>
      <c r="M5529" t="inlineStr">
        <is>
          <t>2026-06-19 07:42:25</t>
        </is>
      </c>
      <c r="N5529" t="inlineStr">
        <is>
          <t>Jennifer Ngobeni</t>
        </is>
      </c>
      <c r="O5529" t="inlineStr">
        <is>
          <t>2026-06-19 07:10:32</t>
        </is>
      </c>
      <c r="P5529" t="inlineStr">
        <is>
          <t>2026-06-19 07:10:32</t>
        </is>
      </c>
      <c r="Y5529" t="inlineStr">
        <is>
          <t>27723517784</t>
        </is>
      </c>
    </row>
    <row r="5530">
      <c r="A5530" t="inlineStr">
        <is>
          <t>14943212</t>
        </is>
      </c>
      <c r="B5530" t="inlineStr">
        <is>
          <t>ca922300-8e88-4088-868f-0315cfda3bd1</t>
        </is>
      </c>
      <c r="D5530" t="inlineStr">
        <is>
          <t>30001087</t>
        </is>
      </c>
      <c r="E5530" t="inlineStr">
        <is>
          <t>ussd_funeral_leads_altitude_20260619</t>
        </is>
      </c>
      <c r="J5530" t="inlineStr">
        <is>
          <t>CBACK</t>
        </is>
      </c>
      <c r="K5530" t="inlineStr">
        <is>
          <t>Callback</t>
        </is>
      </c>
      <c r="L5530" t="n">
        <v>1</v>
      </c>
      <c r="M5530" t="inlineStr">
        <is>
          <t>2026-06-19 07:39:54</t>
        </is>
      </c>
      <c r="N5530" t="inlineStr">
        <is>
          <t>Tebogo Chauke</t>
        </is>
      </c>
      <c r="O5530" t="inlineStr">
        <is>
          <t>2026-06-19 07:10:32</t>
        </is>
      </c>
      <c r="P5530" t="inlineStr">
        <is>
          <t>2026-06-19 07:10:32</t>
        </is>
      </c>
      <c r="Y5530" t="inlineStr">
        <is>
          <t>27822354873</t>
        </is>
      </c>
    </row>
    <row r="5531">
      <c r="A5531" t="inlineStr">
        <is>
          <t>14943200</t>
        </is>
      </c>
      <c r="B5531" t="inlineStr">
        <is>
          <t>ca7fac94-c0d0-475a-8e85-9f6042e88faf</t>
        </is>
      </c>
      <c r="D5531" t="inlineStr">
        <is>
          <t>30001087</t>
        </is>
      </c>
      <c r="E5531" t="inlineStr">
        <is>
          <t>ussd_funeral_leads_altitude_20260619</t>
        </is>
      </c>
      <c r="J5531" t="inlineStr">
        <is>
          <t>NI</t>
        </is>
      </c>
      <c r="K5531" t="inlineStr">
        <is>
          <t>Not Interested</t>
        </is>
      </c>
      <c r="L5531" t="n">
        <v>1</v>
      </c>
      <c r="M5531" t="inlineStr">
        <is>
          <t>2026-06-19 07:39:45</t>
        </is>
      </c>
      <c r="N5531" t="inlineStr">
        <is>
          <t>Goitsimang Mogwasa</t>
        </is>
      </c>
      <c r="O5531" t="inlineStr">
        <is>
          <t>2026-06-19 07:10:32</t>
        </is>
      </c>
      <c r="P5531" t="inlineStr">
        <is>
          <t>2026-06-19 07:10:32</t>
        </is>
      </c>
      <c r="Y5531" t="inlineStr">
        <is>
          <t>27661499224</t>
        </is>
      </c>
    </row>
    <row r="5532">
      <c r="A5532" t="inlineStr">
        <is>
          <t>14943196</t>
        </is>
      </c>
      <c r="B5532" t="inlineStr">
        <is>
          <t>87f1265e-53ac-4178-b1d9-8933efb25d0c</t>
        </is>
      </c>
      <c r="D5532" t="inlineStr">
        <is>
          <t>30001087</t>
        </is>
      </c>
      <c r="E5532" t="inlineStr">
        <is>
          <t>ussd_funeral_leads_altitude_20260619</t>
        </is>
      </c>
      <c r="J5532" t="inlineStr">
        <is>
          <t>CBACK</t>
        </is>
      </c>
      <c r="K5532" t="inlineStr">
        <is>
          <t>Callback</t>
        </is>
      </c>
      <c r="L5532" t="n">
        <v>1</v>
      </c>
      <c r="M5532" t="inlineStr">
        <is>
          <t>2026-06-19 07:39:43</t>
        </is>
      </c>
      <c r="N5532" t="inlineStr">
        <is>
          <t>Gugulethu Duma</t>
        </is>
      </c>
      <c r="O5532" t="inlineStr">
        <is>
          <t>2026-06-19 07:10:32</t>
        </is>
      </c>
      <c r="P5532" t="inlineStr">
        <is>
          <t>2026-06-19 07:10:32</t>
        </is>
      </c>
      <c r="Y5532" t="inlineStr">
        <is>
          <t>27762922913</t>
        </is>
      </c>
    </row>
    <row r="5533">
      <c r="A5533" t="inlineStr">
        <is>
          <t>14943138</t>
        </is>
      </c>
      <c r="B5533" t="inlineStr">
        <is>
          <t>1aa946ba-bedb-49f9-89e7-721fd84b2313</t>
        </is>
      </c>
      <c r="D5533" t="inlineStr">
        <is>
          <t>30001087</t>
        </is>
      </c>
      <c r="E5533" t="inlineStr">
        <is>
          <t>ussd_funeral_leads_altitude_20260619</t>
        </is>
      </c>
      <c r="J5533" t="inlineStr">
        <is>
          <t>DNQS</t>
        </is>
      </c>
      <c r="K5533" t="inlineStr">
        <is>
          <t>Does Not Qualify</t>
        </is>
      </c>
      <c r="L5533" t="n">
        <v>1</v>
      </c>
      <c r="M5533" t="inlineStr">
        <is>
          <t>2026-06-19 07:37:35</t>
        </is>
      </c>
      <c r="N5533" t="inlineStr">
        <is>
          <t>Dimakatso Nkomo</t>
        </is>
      </c>
      <c r="O5533" t="inlineStr">
        <is>
          <t>2026-06-19 07:10:32</t>
        </is>
      </c>
      <c r="P5533" t="inlineStr">
        <is>
          <t>2026-06-19 07:10:32</t>
        </is>
      </c>
      <c r="Y5533" t="inlineStr">
        <is>
          <t>27664965121</t>
        </is>
      </c>
    </row>
    <row r="5534">
      <c r="A5534" t="inlineStr">
        <is>
          <t>14943132</t>
        </is>
      </c>
      <c r="B5534" t="inlineStr">
        <is>
          <t>3cafab77-ce3e-4a46-b6f6-41f3282df0bd</t>
        </is>
      </c>
      <c r="D5534" t="inlineStr">
        <is>
          <t>30001087</t>
        </is>
      </c>
      <c r="E5534" t="inlineStr">
        <is>
          <t>ussd_funeral_leads_altitude_20260619</t>
        </is>
      </c>
      <c r="J5534" t="inlineStr">
        <is>
          <t>CBACK</t>
        </is>
      </c>
      <c r="K5534" t="inlineStr">
        <is>
          <t>Callback</t>
        </is>
      </c>
      <c r="L5534" t="n">
        <v>1</v>
      </c>
      <c r="M5534" t="inlineStr">
        <is>
          <t>2026-06-19 07:37:15</t>
        </is>
      </c>
      <c r="N5534" t="inlineStr">
        <is>
          <t>Tebogo Chauke</t>
        </is>
      </c>
      <c r="O5534" t="inlineStr">
        <is>
          <t>2026-06-19 07:10:32</t>
        </is>
      </c>
      <c r="P5534" t="inlineStr">
        <is>
          <t>2026-06-19 07:10:32</t>
        </is>
      </c>
      <c r="Y5534" t="inlineStr">
        <is>
          <t>27827107277</t>
        </is>
      </c>
    </row>
    <row r="5535">
      <c r="A5535" t="inlineStr">
        <is>
          <t>14943128</t>
        </is>
      </c>
      <c r="B5535" t="inlineStr">
        <is>
          <t>e8f2f384-17bd-43d0-aef9-0a0f8a722d4a</t>
        </is>
      </c>
      <c r="D5535" t="inlineStr">
        <is>
          <t>30001087</t>
        </is>
      </c>
      <c r="E5535" t="inlineStr">
        <is>
          <t>ussd_funeral_leads_altitude_20260619</t>
        </is>
      </c>
      <c r="J5535" t="inlineStr">
        <is>
          <t>U</t>
        </is>
      </c>
      <c r="K5535" t="inlineStr">
        <is>
          <t>Unemployed</t>
        </is>
      </c>
      <c r="L5535" t="n">
        <v>1</v>
      </c>
      <c r="M5535" t="inlineStr">
        <is>
          <t>2026-06-19 07:37:03</t>
        </is>
      </c>
      <c r="N5535" t="inlineStr">
        <is>
          <t>Vuyiswa Nxumalo</t>
        </is>
      </c>
      <c r="O5535" t="inlineStr">
        <is>
          <t>2026-06-19 07:10:32</t>
        </is>
      </c>
      <c r="P5535" t="inlineStr">
        <is>
          <t>2026-06-19 07:10:32</t>
        </is>
      </c>
      <c r="Y5535" t="inlineStr">
        <is>
          <t>27663230363</t>
        </is>
      </c>
    </row>
    <row r="5536">
      <c r="A5536" t="inlineStr">
        <is>
          <t>14943056</t>
        </is>
      </c>
      <c r="B5536" t="inlineStr">
        <is>
          <t>a2107f62-18da-4f16-b77c-60c8fad9f1a8</t>
        </is>
      </c>
      <c r="D5536" t="inlineStr">
        <is>
          <t>30001087</t>
        </is>
      </c>
      <c r="E5536" t="inlineStr">
        <is>
          <t>ussd_funeral_leads_altitude_20260619</t>
        </is>
      </c>
      <c r="J5536" t="inlineStr">
        <is>
          <t>CBACK</t>
        </is>
      </c>
      <c r="K5536" t="inlineStr">
        <is>
          <t>Callback</t>
        </is>
      </c>
      <c r="L5536" t="n">
        <v>1</v>
      </c>
      <c r="M5536" t="inlineStr">
        <is>
          <t>2026-06-19 07:34:37</t>
        </is>
      </c>
      <c r="N5536" t="inlineStr">
        <is>
          <t>Tebogo Chauke</t>
        </is>
      </c>
      <c r="O5536" t="inlineStr">
        <is>
          <t>2026-06-19 07:10:32</t>
        </is>
      </c>
      <c r="P5536" t="inlineStr">
        <is>
          <t>2026-06-19 07:10:32</t>
        </is>
      </c>
      <c r="Y5536" t="inlineStr">
        <is>
          <t>27825610627</t>
        </is>
      </c>
    </row>
    <row r="5537">
      <c r="A5537" t="inlineStr">
        <is>
          <t>14943047</t>
        </is>
      </c>
      <c r="B5537" t="inlineStr">
        <is>
          <t>7f494f59-e91c-4327-b619-f13d8ef3c19b</t>
        </is>
      </c>
      <c r="D5537" t="inlineStr">
        <is>
          <t>30001087</t>
        </is>
      </c>
      <c r="E5537" t="inlineStr">
        <is>
          <t>ussd_funeral_leads_altitude_20260619</t>
        </is>
      </c>
      <c r="J5537" t="inlineStr">
        <is>
          <t>NI</t>
        </is>
      </c>
      <c r="K5537" t="inlineStr">
        <is>
          <t>Not Interested</t>
        </is>
      </c>
      <c r="L5537" t="n">
        <v>1</v>
      </c>
      <c r="M5537" t="inlineStr">
        <is>
          <t>2026-06-19 07:34:06</t>
        </is>
      </c>
      <c r="N5537" t="inlineStr">
        <is>
          <t>Gugulethu Duma</t>
        </is>
      </c>
      <c r="O5537" t="inlineStr">
        <is>
          <t>2026-06-19 07:10:32</t>
        </is>
      </c>
      <c r="P5537" t="inlineStr">
        <is>
          <t>2026-06-19 07:10:32</t>
        </is>
      </c>
      <c r="Y5537" t="inlineStr">
        <is>
          <t>27763098674</t>
        </is>
      </c>
    </row>
    <row r="5538">
      <c r="A5538" t="inlineStr">
        <is>
          <t>14943011</t>
        </is>
      </c>
      <c r="B5538" t="inlineStr">
        <is>
          <t>350aa00e-763c-401a-8bcf-4b385a8587e2</t>
        </is>
      </c>
      <c r="D5538" t="inlineStr">
        <is>
          <t>30001087</t>
        </is>
      </c>
      <c r="E5538" t="inlineStr">
        <is>
          <t>ussd_funeral_leads_altitude_20260619</t>
        </is>
      </c>
      <c r="J5538" t="inlineStr">
        <is>
          <t>NI</t>
        </is>
      </c>
      <c r="K5538" t="inlineStr">
        <is>
          <t>Not Interested</t>
        </is>
      </c>
      <c r="L5538" t="n">
        <v>1</v>
      </c>
      <c r="M5538" t="inlineStr">
        <is>
          <t>2026-06-19 07:33:22</t>
        </is>
      </c>
      <c r="N5538" t="inlineStr">
        <is>
          <t>Gontse Monageng</t>
        </is>
      </c>
      <c r="O5538" t="inlineStr">
        <is>
          <t>2026-06-19 07:10:32</t>
        </is>
      </c>
      <c r="P5538" t="inlineStr">
        <is>
          <t>2026-06-19 07:10:32</t>
        </is>
      </c>
      <c r="Y5538" t="inlineStr">
        <is>
          <t>27797575793</t>
        </is>
      </c>
    </row>
    <row r="5539">
      <c r="A5539" t="inlineStr">
        <is>
          <t>14942976</t>
        </is>
      </c>
      <c r="B5539" t="inlineStr">
        <is>
          <t>564768fb-2557-4809-a9ed-4859ff2fa406</t>
        </is>
      </c>
      <c r="D5539" t="inlineStr">
        <is>
          <t>30001087</t>
        </is>
      </c>
      <c r="E5539" t="inlineStr">
        <is>
          <t>ussd_funeral_leads_altitude_20260619</t>
        </is>
      </c>
      <c r="J5539" t="inlineStr">
        <is>
          <t>U</t>
        </is>
      </c>
      <c r="K5539" t="inlineStr">
        <is>
          <t>Unemployed</t>
        </is>
      </c>
      <c r="L5539" t="n">
        <v>1</v>
      </c>
      <c r="M5539" t="inlineStr">
        <is>
          <t>2026-06-19 07:31:40</t>
        </is>
      </c>
      <c r="N5539" t="inlineStr">
        <is>
          <t>Tebogo Chauke</t>
        </is>
      </c>
      <c r="O5539" t="inlineStr">
        <is>
          <t>2026-06-19 07:10:32</t>
        </is>
      </c>
      <c r="P5539" t="inlineStr">
        <is>
          <t>2026-06-19 07:10:32</t>
        </is>
      </c>
      <c r="Y5539" t="inlineStr">
        <is>
          <t>27715335889</t>
        </is>
      </c>
    </row>
    <row r="5540">
      <c r="A5540" t="inlineStr">
        <is>
          <t>14942852</t>
        </is>
      </c>
      <c r="B5540" t="inlineStr">
        <is>
          <t>d626c17c-6969-4fe8-ae71-ca771fb97e23</t>
        </is>
      </c>
      <c r="D5540" t="inlineStr">
        <is>
          <t>30001087</t>
        </is>
      </c>
      <c r="E5540" t="inlineStr">
        <is>
          <t>ussd_funeral_leads_altitude_20260619</t>
        </is>
      </c>
      <c r="J5540" t="inlineStr">
        <is>
          <t>NI</t>
        </is>
      </c>
      <c r="K5540" t="inlineStr">
        <is>
          <t>Not Interested</t>
        </is>
      </c>
      <c r="L5540" t="n">
        <v>1</v>
      </c>
      <c r="M5540" t="inlineStr">
        <is>
          <t>2026-06-19 07:26:50</t>
        </is>
      </c>
      <c r="N5540" t="inlineStr">
        <is>
          <t>Goitsimang Mogwasa</t>
        </is>
      </c>
      <c r="O5540" t="inlineStr">
        <is>
          <t>2026-06-19 07:10:32</t>
        </is>
      </c>
      <c r="P5540" t="inlineStr">
        <is>
          <t>2026-06-19 07:10:32</t>
        </is>
      </c>
      <c r="Y5540" t="inlineStr">
        <is>
          <t>27790886171</t>
        </is>
      </c>
    </row>
    <row r="5541">
      <c r="A5541" t="inlineStr">
        <is>
          <t>14942821</t>
        </is>
      </c>
      <c r="B5541" t="inlineStr">
        <is>
          <t>94ecef21-bdba-4c0a-9541-1f2f5efa1152</t>
        </is>
      </c>
      <c r="D5541" t="inlineStr">
        <is>
          <t>30001087</t>
        </is>
      </c>
      <c r="E5541" t="inlineStr">
        <is>
          <t>ussd_funeral_leads_altitude_20260619</t>
        </is>
      </c>
      <c r="J5541" t="inlineStr">
        <is>
          <t>AF</t>
        </is>
      </c>
      <c r="K5541" t="inlineStr">
        <is>
          <t>Cannot Afford</t>
        </is>
      </c>
      <c r="L5541" t="n">
        <v>1</v>
      </c>
      <c r="M5541" t="inlineStr">
        <is>
          <t>2026-06-19 07:24:18</t>
        </is>
      </c>
      <c r="N5541" t="inlineStr">
        <is>
          <t>Vuyiswa Nxumalo</t>
        </is>
      </c>
      <c r="O5541" t="inlineStr">
        <is>
          <t>2026-06-19 07:10:32</t>
        </is>
      </c>
      <c r="P5541" t="inlineStr">
        <is>
          <t>2026-06-19 07:10:32</t>
        </is>
      </c>
      <c r="Y5541" t="inlineStr">
        <is>
          <t>27762193859</t>
        </is>
      </c>
    </row>
    <row r="5542">
      <c r="A5542" t="inlineStr">
        <is>
          <t>14942810</t>
        </is>
      </c>
      <c r="B5542" t="inlineStr">
        <is>
          <t>b12aa9a3-c18f-483d-86d3-c7a4f37ffd22</t>
        </is>
      </c>
      <c r="D5542" t="inlineStr">
        <is>
          <t>30001087</t>
        </is>
      </c>
      <c r="E5542" t="inlineStr">
        <is>
          <t>ussd_funeral_leads_altitude_20260619</t>
        </is>
      </c>
      <c r="J5542" t="inlineStr">
        <is>
          <t>AF</t>
        </is>
      </c>
      <c r="K5542" t="inlineStr">
        <is>
          <t>Cannot Afford</t>
        </is>
      </c>
      <c r="L5542" t="n">
        <v>1</v>
      </c>
      <c r="M5542" t="inlineStr">
        <is>
          <t>2026-06-19 07:24:01</t>
        </is>
      </c>
      <c r="N5542" t="inlineStr">
        <is>
          <t>Tebogo Chauke</t>
        </is>
      </c>
      <c r="O5542" t="inlineStr">
        <is>
          <t>2026-06-19 07:10:32</t>
        </is>
      </c>
      <c r="P5542" t="inlineStr">
        <is>
          <t>2026-06-19 07:10:32</t>
        </is>
      </c>
      <c r="Y5542" t="inlineStr">
        <is>
          <t>27764111668</t>
        </is>
      </c>
    </row>
    <row r="5543">
      <c r="A5543" t="inlineStr">
        <is>
          <t>14942801</t>
        </is>
      </c>
      <c r="B5543" t="inlineStr">
        <is>
          <t>4e1b3de8-5cb8-4e68-8482-7fa7782a2be5</t>
        </is>
      </c>
      <c r="D5543" t="inlineStr">
        <is>
          <t>30001087</t>
        </is>
      </c>
      <c r="E5543" t="inlineStr">
        <is>
          <t>ussd_funeral_leads_altitude_20260619</t>
        </is>
      </c>
      <c r="J5543" t="inlineStr">
        <is>
          <t>NI</t>
        </is>
      </c>
      <c r="K5543" t="inlineStr">
        <is>
          <t>Not Interested</t>
        </is>
      </c>
      <c r="L5543" t="n">
        <v>1</v>
      </c>
      <c r="M5543" t="inlineStr">
        <is>
          <t>2026-06-19 07:23:36</t>
        </is>
      </c>
      <c r="N5543" t="inlineStr">
        <is>
          <t>Vuyiswa Nxumalo</t>
        </is>
      </c>
      <c r="O5543" t="inlineStr">
        <is>
          <t>2026-06-19 07:10:32</t>
        </is>
      </c>
      <c r="P5543" t="inlineStr">
        <is>
          <t>2026-06-19 07:10:32</t>
        </is>
      </c>
      <c r="Y5543" t="inlineStr">
        <is>
          <t>27828522319</t>
        </is>
      </c>
    </row>
    <row r="5544">
      <c r="A5544" t="inlineStr">
        <is>
          <t>14942788</t>
        </is>
      </c>
      <c r="B5544" t="inlineStr">
        <is>
          <t>70832f03-c555-4fa8-8d02-ebeea6175535</t>
        </is>
      </c>
      <c r="D5544" t="inlineStr">
        <is>
          <t>30001087</t>
        </is>
      </c>
      <c r="E5544" t="inlineStr">
        <is>
          <t>ussd_funeral_leads_altitude_20260619</t>
        </is>
      </c>
      <c r="J5544" t="inlineStr">
        <is>
          <t>CBACK</t>
        </is>
      </c>
      <c r="K5544" t="inlineStr">
        <is>
          <t>Callback</t>
        </is>
      </c>
      <c r="L5544" t="n">
        <v>1</v>
      </c>
      <c r="M5544" t="inlineStr">
        <is>
          <t>2026-06-19 07:22:38</t>
        </is>
      </c>
      <c r="N5544" t="inlineStr">
        <is>
          <t>Gontse Monageng</t>
        </is>
      </c>
      <c r="O5544" t="inlineStr">
        <is>
          <t>2026-06-19 07:10:32</t>
        </is>
      </c>
      <c r="P5544" t="inlineStr">
        <is>
          <t>2026-06-19 07:10:32</t>
        </is>
      </c>
      <c r="Y5544" t="inlineStr">
        <is>
          <t>27796604109</t>
        </is>
      </c>
    </row>
    <row r="5545">
      <c r="A5545" t="inlineStr">
        <is>
          <t>14942786</t>
        </is>
      </c>
      <c r="B5545" t="inlineStr">
        <is>
          <t>def65351-0f57-4f1b-b2dd-a2c57f7f6e40</t>
        </is>
      </c>
      <c r="D5545" t="inlineStr">
        <is>
          <t>30001087</t>
        </is>
      </c>
      <c r="E5545" t="inlineStr">
        <is>
          <t>ussd_funeral_leads_altitude_20260619</t>
        </is>
      </c>
      <c r="J5545" t="inlineStr">
        <is>
          <t>NI</t>
        </is>
      </c>
      <c r="K5545" t="inlineStr">
        <is>
          <t>Not Interested</t>
        </is>
      </c>
      <c r="L5545" t="n">
        <v>1</v>
      </c>
      <c r="M5545" t="inlineStr">
        <is>
          <t>2026-06-19 07:22:37</t>
        </is>
      </c>
      <c r="N5545" t="inlineStr">
        <is>
          <t>Goitsimang Mogwasa</t>
        </is>
      </c>
      <c r="O5545" t="inlineStr">
        <is>
          <t>2026-06-19 07:10:32</t>
        </is>
      </c>
      <c r="P5545" t="inlineStr">
        <is>
          <t>2026-06-19 07:10:32</t>
        </is>
      </c>
      <c r="Y5545" t="inlineStr">
        <is>
          <t>27636475079</t>
        </is>
      </c>
    </row>
    <row r="5546">
      <c r="A5546" t="inlineStr">
        <is>
          <t>14942777</t>
        </is>
      </c>
      <c r="B5546" t="inlineStr">
        <is>
          <t>be7d3b25-6b76-41d3-bb52-e3b47faf7a74</t>
        </is>
      </c>
      <c r="D5546" t="inlineStr">
        <is>
          <t>30001087</t>
        </is>
      </c>
      <c r="E5546" t="inlineStr">
        <is>
          <t>ussd_funeral_leads_altitude_20260619</t>
        </is>
      </c>
      <c r="J5546" t="inlineStr">
        <is>
          <t>AF</t>
        </is>
      </c>
      <c r="K5546" t="inlineStr">
        <is>
          <t>Cannot Afford</t>
        </is>
      </c>
      <c r="L5546" t="n">
        <v>1</v>
      </c>
      <c r="M5546" t="inlineStr">
        <is>
          <t>2026-06-19 07:21:59</t>
        </is>
      </c>
      <c r="N5546" t="inlineStr">
        <is>
          <t>Vuyiswa Nxumalo</t>
        </is>
      </c>
      <c r="O5546" t="inlineStr">
        <is>
          <t>2026-06-19 07:10:32</t>
        </is>
      </c>
      <c r="P5546" t="inlineStr">
        <is>
          <t>2026-06-19 07:10:32</t>
        </is>
      </c>
      <c r="Y5546" t="inlineStr">
        <is>
          <t>27716802898</t>
        </is>
      </c>
    </row>
    <row r="5547">
      <c r="A5547" t="inlineStr">
        <is>
          <t>14900000</t>
        </is>
      </c>
      <c r="B5547" t="inlineStr">
        <is>
          <t>06e4171f-d4c7-4458-ad3b-ba0b89b42daa</t>
        </is>
      </c>
      <c r="D5547" t="inlineStr">
        <is>
          <t>30001087</t>
        </is>
      </c>
      <c r="E5547" t="inlineStr">
        <is>
          <t>ussd_funeral_leads_altitude_20260619</t>
        </is>
      </c>
      <c r="J5547" t="inlineStr">
        <is>
          <t>CBACK</t>
        </is>
      </c>
      <c r="K5547" t="inlineStr">
        <is>
          <t>Callback</t>
        </is>
      </c>
      <c r="L5547" t="n">
        <v>1</v>
      </c>
      <c r="M5547" t="inlineStr">
        <is>
          <t>2026-06-19 07:20:43</t>
        </is>
      </c>
      <c r="N5547" t="inlineStr">
        <is>
          <t>Tebogo Chauke</t>
        </is>
      </c>
      <c r="O5547" t="inlineStr">
        <is>
          <t>2026-06-19 07:10:32</t>
        </is>
      </c>
      <c r="P5547" t="inlineStr">
        <is>
          <t>2026-06-19 07:10:32</t>
        </is>
      </c>
      <c r="Y5547" t="inlineStr">
        <is>
          <t>27791010925</t>
        </is>
      </c>
    </row>
    <row r="5548">
      <c r="A5548" t="inlineStr">
        <is>
          <t>14942603</t>
        </is>
      </c>
      <c r="B5548" t="inlineStr">
        <is>
          <t>7825a628-36d3-4541-a441-4f1e3a299214</t>
        </is>
      </c>
      <c r="D5548" t="inlineStr">
        <is>
          <t>30001087</t>
        </is>
      </c>
      <c r="E5548" t="inlineStr">
        <is>
          <t>ussd_funeral_leads_altitude_20260619</t>
        </is>
      </c>
      <c r="J5548" t="inlineStr">
        <is>
          <t>A</t>
        </is>
      </c>
      <c r="K5548" t="inlineStr">
        <is>
          <t>Answering Machine</t>
        </is>
      </c>
      <c r="L5548" t="n">
        <v>3</v>
      </c>
      <c r="M5548" t="inlineStr">
        <is>
          <t>2026-06-19 07:20:06</t>
        </is>
      </c>
      <c r="N5548" t="inlineStr">
        <is>
          <t>Gontse Monageng</t>
        </is>
      </c>
      <c r="O5548" t="inlineStr">
        <is>
          <t>2026-06-19 07:10:32</t>
        </is>
      </c>
      <c r="P5548" t="inlineStr">
        <is>
          <t>2026-06-19 07:10:32</t>
        </is>
      </c>
      <c r="Y5548" t="inlineStr">
        <is>
          <t>27715457696</t>
        </is>
      </c>
    </row>
    <row r="5549">
      <c r="A5549" t="inlineStr">
        <is>
          <t>14942708</t>
        </is>
      </c>
      <c r="B5549" t="inlineStr">
        <is>
          <t>3ced8997-ecb0-4db5-b71d-73a236878699</t>
        </is>
      </c>
      <c r="D5549" t="inlineStr">
        <is>
          <t>30001087</t>
        </is>
      </c>
      <c r="E5549" t="inlineStr">
        <is>
          <t>ussd_funeral_leads_altitude_20260619</t>
        </is>
      </c>
      <c r="J5549" t="inlineStr">
        <is>
          <t>U</t>
        </is>
      </c>
      <c r="K5549" t="inlineStr">
        <is>
          <t>Unemployed</t>
        </is>
      </c>
      <c r="L5549" t="n">
        <v>1</v>
      </c>
      <c r="M5549" t="inlineStr">
        <is>
          <t>2026-06-19 07:19:12</t>
        </is>
      </c>
      <c r="N5549" t="inlineStr">
        <is>
          <t>Vuyiswa Nxumalo</t>
        </is>
      </c>
      <c r="O5549" t="inlineStr">
        <is>
          <t>2026-06-19 07:10:32</t>
        </is>
      </c>
      <c r="P5549" t="inlineStr">
        <is>
          <t>2026-06-19 07:10:32</t>
        </is>
      </c>
      <c r="Y5549" t="inlineStr">
        <is>
          <t>27820847447</t>
        </is>
      </c>
    </row>
    <row r="5550">
      <c r="A5550" t="inlineStr">
        <is>
          <t>14942620</t>
        </is>
      </c>
      <c r="B5550" t="inlineStr">
        <is>
          <t>1bf74a8a-f8af-4612-9ba3-3d05cb1a1dad</t>
        </is>
      </c>
      <c r="D5550" t="inlineStr">
        <is>
          <t>30001087</t>
        </is>
      </c>
      <c r="E5550" t="inlineStr">
        <is>
          <t>ussd_funeral_leads_altitude_20260619</t>
        </is>
      </c>
      <c r="J5550" t="inlineStr">
        <is>
          <t>NI</t>
        </is>
      </c>
      <c r="K5550" t="inlineStr">
        <is>
          <t>Not Interested</t>
        </is>
      </c>
      <c r="L5550" t="n">
        <v>1</v>
      </c>
      <c r="M5550" t="inlineStr">
        <is>
          <t>2026-06-19 07:16:14</t>
        </is>
      </c>
      <c r="N5550" t="inlineStr">
        <is>
          <t>Vuyiswa Nxumalo</t>
        </is>
      </c>
      <c r="O5550" t="inlineStr">
        <is>
          <t>2026-06-19 07:10:32</t>
        </is>
      </c>
      <c r="P5550" t="inlineStr">
        <is>
          <t>2026-06-19 07:10:32</t>
        </is>
      </c>
      <c r="Y5550" t="inlineStr">
        <is>
          <t>27797639625</t>
        </is>
      </c>
    </row>
    <row r="5551">
      <c r="A5551" t="inlineStr">
        <is>
          <t>14942838</t>
        </is>
      </c>
      <c r="B5551" t="inlineStr">
        <is>
          <t>bbca6aa2-4a4e-485c-be9e-d63e31b7389c</t>
        </is>
      </c>
      <c r="D5551" t="inlineStr">
        <is>
          <t>30001087</t>
        </is>
      </c>
      <c r="E5551" t="inlineStr">
        <is>
          <t>ussd_funeral_leads_altitude_20260619</t>
        </is>
      </c>
      <c r="J5551" t="inlineStr">
        <is>
          <t>SELECTED</t>
        </is>
      </c>
      <c r="K5551" t="inlineStr">
        <is>
          <t>Selected</t>
        </is>
      </c>
      <c r="L5551" t="n">
        <v>1</v>
      </c>
      <c r="O5551" t="inlineStr">
        <is>
          <t>2026-06-19 07:10:32</t>
        </is>
      </c>
      <c r="P5551" t="inlineStr">
        <is>
          <t>2026-06-19 07:10:32</t>
        </is>
      </c>
      <c r="Y5551" t="inlineStr">
        <is>
          <t>27762090120</t>
        </is>
      </c>
    </row>
    <row r="5552">
      <c r="A5552" t="inlineStr">
        <is>
          <t>14944872</t>
        </is>
      </c>
      <c r="B5552" t="inlineStr">
        <is>
          <t>d5130bb3-f561-42e3-848a-3417c82cc359</t>
        </is>
      </c>
      <c r="D5552" t="inlineStr">
        <is>
          <t>30001087</t>
        </is>
      </c>
      <c r="E5552" t="inlineStr">
        <is>
          <t>ussd_funeral_leads_altitude_20260619</t>
        </is>
      </c>
      <c r="J5552" t="inlineStr">
        <is>
          <t>SELECTED</t>
        </is>
      </c>
      <c r="K5552" t="inlineStr">
        <is>
          <t>Selected</t>
        </is>
      </c>
      <c r="L5552" t="n">
        <v>1</v>
      </c>
      <c r="O5552" t="inlineStr">
        <is>
          <t>2026-06-19 07:10:32</t>
        </is>
      </c>
      <c r="P5552" t="inlineStr">
        <is>
          <t>2026-06-19 07:10:32</t>
        </is>
      </c>
      <c r="Y5552" t="inlineStr">
        <is>
          <t>27720404759</t>
        </is>
      </c>
    </row>
    <row r="5553">
      <c r="A5553" t="inlineStr">
        <is>
          <t>14947492</t>
        </is>
      </c>
      <c r="B5553" t="inlineStr">
        <is>
          <t>96c22c84-9cb7-4413-b14f-0f946f78c580</t>
        </is>
      </c>
      <c r="D5553" t="inlineStr">
        <is>
          <t>30001087</t>
        </is>
      </c>
      <c r="E5553" t="inlineStr">
        <is>
          <t>ussd_funeral_leads_altitude_20260619</t>
        </is>
      </c>
      <c r="J5553" t="inlineStr">
        <is>
          <t>SELECTED</t>
        </is>
      </c>
      <c r="K5553" t="inlineStr">
        <is>
          <t>Selected</t>
        </is>
      </c>
      <c r="L5553" t="n">
        <v>1</v>
      </c>
      <c r="O5553" t="inlineStr">
        <is>
          <t>2026-06-19 07:10:32</t>
        </is>
      </c>
      <c r="P5553" t="inlineStr">
        <is>
          <t>2026-06-19 07:10:32</t>
        </is>
      </c>
      <c r="Y5553" t="inlineStr">
        <is>
          <t>27729522889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2" t="n"/>
    </row>
    <row r="5" ht="15.75" customHeight="1">
      <c r="A5" s="3" t="n"/>
      <c r="B5" s="4" t="n"/>
    </row>
    <row r="6">
      <c r="A6" s="2" t="inlineStr">
        <is>
          <t>Total Leads</t>
        </is>
      </c>
      <c r="B6" s="5" t="n">
        <v>5552</v>
      </c>
    </row>
    <row r="7">
      <c r="A7" s="6" t="inlineStr">
        <is>
          <t>Unworked Leads (New Leads)</t>
        </is>
      </c>
      <c r="B7" s="4" t="n">
        <v>0</v>
      </c>
    </row>
    <row r="8">
      <c r="A8" s="6" t="inlineStr">
        <is>
          <t>Succesful Contacts</t>
        </is>
      </c>
      <c r="B8" s="4" t="n">
        <v>537</v>
      </c>
    </row>
    <row r="9">
      <c r="A9" s="6" t="inlineStr">
        <is>
          <t>True Contacts</t>
        </is>
      </c>
      <c r="B9" s="4" t="n">
        <v>519</v>
      </c>
    </row>
    <row r="10">
      <c r="A10" s="6" t="inlineStr">
        <is>
          <t>Conversion</t>
        </is>
      </c>
      <c r="B10" s="4" t="n">
        <v>0.003242074927953891</v>
      </c>
    </row>
    <row r="11">
      <c r="A11" s="6" t="inlineStr">
        <is>
          <t>True Sales (post QA)</t>
        </is>
      </c>
      <c r="B11" s="4" t="n">
        <v>18</v>
      </c>
    </row>
    <row r="12">
      <c r="A12" s="6" t="inlineStr">
        <is>
          <t>Collections</t>
        </is>
      </c>
      <c r="B12" s="4" t="n"/>
    </row>
    <row r="13">
      <c r="A13" s="6" t="inlineStr">
        <is>
          <t>Number of missed 1st Collections</t>
        </is>
      </c>
      <c r="B13" s="4" t="n"/>
    </row>
    <row r="14">
      <c r="A14" s="6" t="inlineStr">
        <is>
          <t>NTU</t>
        </is>
      </c>
      <c r="B14" s="4" t="n"/>
    </row>
    <row r="15">
      <c r="A15" s="6" t="inlineStr">
        <is>
          <t>Cancellations/Lapse</t>
        </is>
      </c>
      <c r="B15" s="4" t="n"/>
    </row>
    <row r="16">
      <c r="A16" s="6" t="n"/>
      <c r="B16" s="4" t="n"/>
    </row>
    <row r="17">
      <c r="A17" s="6" t="inlineStr">
        <is>
          <t>Contactability</t>
        </is>
      </c>
      <c r="B17" s="7">
        <f>B8/B6</f>
        <v/>
      </c>
    </row>
    <row r="18">
      <c r="A18" s="6" t="inlineStr">
        <is>
          <t>Lead to Sale Conversion</t>
        </is>
      </c>
      <c r="B18" s="7">
        <f>B10/B6</f>
        <v/>
      </c>
    </row>
    <row r="19">
      <c r="A19" s="6" t="inlineStr">
        <is>
          <t>Conversion to True Sale</t>
        </is>
      </c>
      <c r="B19" s="7">
        <f>B11/B10</f>
        <v/>
      </c>
    </row>
    <row r="20">
      <c r="A20" s="6" t="inlineStr">
        <is>
          <t>True contacts to sales</t>
        </is>
      </c>
      <c r="B20" s="7">
        <f>B10/B9</f>
        <v/>
      </c>
    </row>
    <row r="21">
      <c r="A21" s="6" t="inlineStr">
        <is>
          <t>True Sale to Collections</t>
        </is>
      </c>
      <c r="B21" s="8" t="n"/>
    </row>
    <row r="22">
      <c r="A22" s="6" t="n"/>
      <c r="B22" s="4" t="n"/>
    </row>
    <row r="23">
      <c r="A23" s="6" t="inlineStr">
        <is>
          <t>Number of Calls to Leads</t>
        </is>
      </c>
      <c r="B23" s="4" t="n"/>
    </row>
    <row r="24">
      <c r="A24" s="6" t="inlineStr">
        <is>
          <t>Number of Calls Made</t>
        </is>
      </c>
      <c r="B24" s="4" t="n"/>
    </row>
    <row r="25">
      <c r="A25" s="6" t="inlineStr">
        <is>
          <t>Number of Calls per Lead</t>
        </is>
      </c>
      <c r="B25" s="9">
        <f>B23/B6</f>
        <v/>
      </c>
    </row>
    <row r="26">
      <c r="A26" s="6" t="inlineStr">
        <is>
          <t>Number of Agents</t>
        </is>
      </c>
      <c r="B26" s="4" t="n"/>
    </row>
    <row r="27">
      <c r="A27" s="6" t="inlineStr">
        <is>
          <t>Number of Working Days</t>
        </is>
      </c>
      <c r="B27" s="4" t="n"/>
    </row>
    <row r="28">
      <c r="A28" s="6" t="n"/>
      <c r="B28" s="4" t="n"/>
    </row>
    <row r="29">
      <c r="A29" s="10" t="inlineStr">
        <is>
          <t>Unsuccesful Contacts Dispositions</t>
        </is>
      </c>
      <c r="B29" s="4" t="n"/>
    </row>
    <row r="30">
      <c r="A30" s="6" t="inlineStr">
        <is>
          <t>Answering Machine Autodial</t>
        </is>
      </c>
      <c r="B30" s="4" t="n">
        <v>2589</v>
      </c>
    </row>
    <row r="31">
      <c r="A31" s="6" t="inlineStr">
        <is>
          <t>No Answer AutoDial</t>
        </is>
      </c>
      <c r="B31" s="4" t="n">
        <v>658</v>
      </c>
    </row>
    <row r="32">
      <c r="A32" s="6" t="inlineStr">
        <is>
          <t>Auto Engaged</t>
        </is>
      </c>
      <c r="B32" s="4" t="n">
        <v>143</v>
      </c>
    </row>
    <row r="33">
      <c r="A33" s="6" t="inlineStr">
        <is>
          <t>Answering Machine</t>
        </is>
      </c>
      <c r="B33" s="4" t="n">
        <v>101</v>
      </c>
    </row>
    <row r="34">
      <c r="A34" s="6" t="inlineStr">
        <is>
          <t>Temporary Disconnected Number</t>
        </is>
      </c>
      <c r="B34" s="4" t="n">
        <v>334</v>
      </c>
    </row>
    <row r="35">
      <c r="A35" s="6" t="inlineStr">
        <is>
          <t>Call Dropped</t>
        </is>
      </c>
      <c r="B35" s="4" t="n">
        <v>0</v>
      </c>
    </row>
    <row r="36">
      <c r="A36" s="6" t="inlineStr">
        <is>
          <t>Dropped</t>
        </is>
      </c>
      <c r="B36" s="4" t="n">
        <v>141</v>
      </c>
    </row>
    <row r="37">
      <c r="A37" s="6" t="inlineStr">
        <is>
          <t>No Answer</t>
        </is>
      </c>
      <c r="B37" s="4" t="n">
        <v>30</v>
      </c>
    </row>
    <row r="38">
      <c r="A38" s="6" t="inlineStr">
        <is>
          <t>Bad Line Quality</t>
        </is>
      </c>
      <c r="B38" s="4" t="n">
        <v>12</v>
      </c>
    </row>
    <row r="39">
      <c r="A39" s="6" t="inlineStr">
        <is>
          <t>Busy Tone</t>
        </is>
      </c>
      <c r="B39" s="4" t="n">
        <v>5</v>
      </c>
    </row>
    <row r="40">
      <c r="A40" s="6" t="inlineStr">
        <is>
          <t>Disconnected</t>
        </is>
      </c>
      <c r="B40" s="4" t="n">
        <v>11</v>
      </c>
    </row>
    <row r="41">
      <c r="A41" s="6" t="inlineStr">
        <is>
          <t>Inbound After Hours Drop</t>
        </is>
      </c>
      <c r="B41" s="4" t="n">
        <v>8</v>
      </c>
    </row>
    <row r="42">
      <c r="A42" s="6" t="inlineStr">
        <is>
          <t>Multiple Calls</t>
        </is>
      </c>
      <c r="B42" s="4" t="n">
        <v>0</v>
      </c>
    </row>
    <row r="43">
      <c r="A43" s="6" t="inlineStr">
        <is>
          <t>Engaged</t>
        </is>
      </c>
      <c r="B43" s="4" t="n">
        <v>0</v>
      </c>
    </row>
    <row r="44">
      <c r="A44" s="6" t="inlineStr">
        <is>
          <t>Inbound Abandon</t>
        </is>
      </c>
      <c r="B44" s="4" t="n">
        <v>13</v>
      </c>
    </row>
    <row r="45">
      <c r="A45" s="6" t="inlineStr">
        <is>
          <t>Outbound Pre-Routing Drop</t>
        </is>
      </c>
      <c r="B45" s="4" t="n">
        <v>0</v>
      </c>
    </row>
    <row r="46">
      <c r="A46" s="6" t="inlineStr">
        <is>
          <t>Flow Inbound Abandon</t>
        </is>
      </c>
      <c r="B46" s="4" t="n">
        <v>0</v>
      </c>
    </row>
    <row r="47">
      <c r="A47" s="6" t="inlineStr">
        <is>
          <t>Selected</t>
        </is>
      </c>
      <c r="B47" s="4" t="n">
        <v>7</v>
      </c>
    </row>
    <row r="48">
      <c r="A48" s="6" t="inlineStr">
        <is>
          <t>CONGESTED</t>
        </is>
      </c>
      <c r="B48" s="4" t="n">
        <v>0</v>
      </c>
    </row>
    <row r="49">
      <c r="A49" s="6" t="inlineStr">
        <is>
          <t>Completed</t>
        </is>
      </c>
      <c r="B49" s="4" t="n">
        <v>0</v>
      </c>
    </row>
    <row r="50">
      <c r="A50" s="6" t="inlineStr">
        <is>
          <t>New</t>
        </is>
      </c>
      <c r="B50" s="4" t="n">
        <v>0</v>
      </c>
    </row>
    <row r="51">
      <c r="A51" s="6" t="inlineStr">
        <is>
          <t>Busy</t>
        </is>
      </c>
      <c r="B51" s="4" t="n"/>
    </row>
    <row r="52">
      <c r="A52" s="6" t="inlineStr">
        <is>
          <t>Auto Dial Disconnected</t>
        </is>
      </c>
      <c r="B52" s="4" t="n">
        <v>828</v>
      </c>
    </row>
    <row r="53">
      <c r="A53" s="6" t="inlineStr">
        <is>
          <t>Customer drop</t>
        </is>
      </c>
      <c r="B53" s="4" t="n">
        <v>0</v>
      </c>
    </row>
    <row r="54">
      <c r="A54" s="6" t="inlineStr">
        <is>
          <t>Disconnected Number Auto</t>
        </is>
      </c>
      <c r="B54" s="4" t="n">
        <v>0</v>
      </c>
    </row>
    <row r="55">
      <c r="A55" s="6" t="n"/>
      <c r="B55" s="4" t="n"/>
    </row>
    <row r="56">
      <c r="A56" s="10" t="inlineStr">
        <is>
          <t>Unworkable Leads Dispositions</t>
        </is>
      </c>
      <c r="B56" s="4" t="n"/>
    </row>
    <row r="57">
      <c r="A57" s="6" t="inlineStr">
        <is>
          <t>Unemployed</t>
        </is>
      </c>
      <c r="B57" s="4" t="n">
        <v>44</v>
      </c>
    </row>
    <row r="58">
      <c r="A58" s="6" t="inlineStr">
        <is>
          <t>Already Contacted</t>
        </is>
      </c>
      <c r="B58" s="4" t="n">
        <v>3</v>
      </c>
    </row>
    <row r="59">
      <c r="A59" s="6" t="inlineStr">
        <is>
          <t>Does Not Qualify</t>
        </is>
      </c>
      <c r="B59" s="4" t="n">
        <v>7</v>
      </c>
    </row>
    <row r="60">
      <c r="A60" s="6" t="inlineStr">
        <is>
          <t>Client Overage Limit</t>
        </is>
      </c>
      <c r="B60" s="4" t="n">
        <v>0</v>
      </c>
    </row>
    <row r="61">
      <c r="A61" s="6" t="inlineStr">
        <is>
          <t>Do not call</t>
        </is>
      </c>
      <c r="B61" s="4" t="n">
        <v>0</v>
      </c>
    </row>
    <row r="62">
      <c r="A62" s="6" t="inlineStr">
        <is>
          <t>Under Age</t>
        </is>
      </c>
      <c r="B62" s="4" t="n">
        <v>32</v>
      </c>
    </row>
    <row r="63">
      <c r="A63" s="6" t="inlineStr">
        <is>
          <t>Go To Branch</t>
        </is>
      </c>
      <c r="B63" s="4" t="n">
        <v>7</v>
      </c>
    </row>
    <row r="64">
      <c r="A64" s="6" t="inlineStr">
        <is>
          <t>Wrong number</t>
        </is>
      </c>
      <c r="B64" s="4" t="n">
        <v>2</v>
      </c>
    </row>
    <row r="65">
      <c r="A65" s="6" t="inlineStr">
        <is>
          <t>Existing Client</t>
        </is>
      </c>
      <c r="B65" s="4" t="n">
        <v>6</v>
      </c>
    </row>
    <row r="66">
      <c r="A66" s="6" t="inlineStr">
        <is>
          <t>Language Barrier</t>
        </is>
      </c>
      <c r="B66" s="4" t="n">
        <v>27</v>
      </c>
    </row>
    <row r="67">
      <c r="A67" s="6" t="inlineStr">
        <is>
          <t>Client Deceased</t>
        </is>
      </c>
      <c r="B67" s="4" t="n">
        <v>0</v>
      </c>
    </row>
    <row r="68">
      <c r="A68" s="6" t="inlineStr">
        <is>
          <t>Customer Service Transfer</t>
        </is>
      </c>
      <c r="B68" s="4" t="n"/>
    </row>
    <row r="69">
      <c r="A69" s="6" t="inlineStr">
        <is>
          <t>Unsuccessful Application</t>
        </is>
      </c>
      <c r="B69" s="4" t="n">
        <v>0</v>
      </c>
    </row>
    <row r="70">
      <c r="A70" s="6" t="inlineStr">
        <is>
          <t>DNQ-Income Below Threshold</t>
        </is>
      </c>
      <c r="B70" s="4" t="n"/>
    </row>
    <row r="71">
      <c r="A71" s="6" t="inlineStr">
        <is>
          <t>DNQ Quote Declined</t>
        </is>
      </c>
      <c r="B71" s="4" t="n"/>
    </row>
    <row r="72">
      <c r="A72" s="6" t="inlineStr">
        <is>
          <t>Do Not Qualify Failed Medical Question</t>
        </is>
      </c>
      <c r="B72" s="4" t="n"/>
    </row>
    <row r="73">
      <c r="A73" s="6" t="inlineStr">
        <is>
          <t xml:space="preserve">Right Party Not Available		</t>
        </is>
      </c>
      <c r="B73" s="4" t="n">
        <v>0</v>
      </c>
    </row>
    <row r="74">
      <c r="A74" s="6" t="inlineStr">
        <is>
          <t>Over Age Limit</t>
        </is>
      </c>
      <c r="B74" s="4" t="n">
        <v>7</v>
      </c>
    </row>
    <row r="75">
      <c r="A75" s="6" t="inlineStr">
        <is>
          <t>Funeral Documents Requested</t>
        </is>
      </c>
      <c r="B75" s="4" t="n"/>
    </row>
    <row r="76">
      <c r="A76" s="6" t="inlineStr">
        <is>
          <t>Funeral Policy Query</t>
        </is>
      </c>
      <c r="B76" s="4" t="n"/>
    </row>
    <row r="77">
      <c r="A77" s="6" t="inlineStr">
        <is>
          <t>Non SA Citizen</t>
        </is>
      </c>
      <c r="B77" s="4" t="n">
        <v>0</v>
      </c>
    </row>
    <row r="78">
      <c r="A78" s="6" t="inlineStr">
        <is>
          <t xml:space="preserve">NTU Policy		</t>
        </is>
      </c>
      <c r="B78" s="4" t="n"/>
    </row>
    <row r="79">
      <c r="A79" s="6" t="inlineStr">
        <is>
          <t>Not Working Cannot Afford</t>
        </is>
      </c>
      <c r="B79" s="4" t="n">
        <v>54</v>
      </c>
    </row>
    <row r="80">
      <c r="A80" s="6" t="inlineStr">
        <is>
          <t>Lead Being Called</t>
        </is>
      </c>
      <c r="B80" s="4" t="n"/>
    </row>
    <row r="81">
      <c r="A81" s="6" t="inlineStr">
        <is>
          <t>Did Not Request</t>
        </is>
      </c>
      <c r="B81" s="4" t="n"/>
    </row>
    <row r="82">
      <c r="A82" s="6" t="inlineStr">
        <is>
          <t>Does Not Need It Now</t>
        </is>
      </c>
      <c r="B82" s="4" t="n">
        <v>0</v>
      </c>
    </row>
    <row r="83">
      <c r="A83" s="6" t="n"/>
      <c r="B83" s="4" t="n"/>
    </row>
    <row r="84">
      <c r="A84" s="10" t="inlineStr">
        <is>
          <t>True Contacts</t>
        </is>
      </c>
      <c r="B84" s="4" t="n">
        <v>519</v>
      </c>
    </row>
    <row r="85">
      <c r="A85" s="6" t="inlineStr">
        <is>
          <t>Not Interested</t>
        </is>
      </c>
      <c r="B85" s="4" t="n">
        <v>95</v>
      </c>
    </row>
    <row r="86">
      <c r="A86" s="6" t="inlineStr">
        <is>
          <t>Client Hung Up</t>
        </is>
      </c>
      <c r="B86" s="4" t="n">
        <v>288</v>
      </c>
    </row>
    <row r="87">
      <c r="A87" s="6" t="inlineStr">
        <is>
          <t>Affordability</t>
        </is>
      </c>
      <c r="B87" s="4" t="n">
        <v>0</v>
      </c>
    </row>
    <row r="88">
      <c r="A88" s="6" t="inlineStr">
        <is>
          <t>Callback</t>
        </is>
      </c>
      <c r="B88" s="4" t="n">
        <v>82</v>
      </c>
    </row>
    <row r="89">
      <c r="A89" s="6" t="inlineStr">
        <is>
          <t>Not Interested Transaction Fees</t>
        </is>
      </c>
      <c r="B89" s="4" t="n">
        <v>0</v>
      </c>
    </row>
    <row r="90">
      <c r="A90" s="6" t="inlineStr">
        <is>
          <t>Company Cellphone Number</t>
        </is>
      </c>
      <c r="B90" s="4" t="n"/>
    </row>
    <row r="91">
      <c r="A91" s="6" t="inlineStr">
        <is>
          <t>Not Interested Device Cost</t>
        </is>
      </c>
      <c r="B91" s="4" t="n"/>
    </row>
    <row r="92">
      <c r="A92" s="6" t="inlineStr">
        <is>
          <t>Call Back via MS Teams</t>
        </is>
      </c>
      <c r="B92" s="4" t="n"/>
    </row>
    <row r="93">
      <c r="A93" s="6" t="inlineStr">
        <is>
          <t>Not Interested Upfront</t>
        </is>
      </c>
      <c r="B93" s="4" t="n">
        <v>0</v>
      </c>
    </row>
    <row r="94">
      <c r="A94" s="6" t="inlineStr">
        <is>
          <t>Quoted Not Interested</t>
        </is>
      </c>
      <c r="B94" s="4" t="n"/>
    </row>
    <row r="95">
      <c r="A95" s="6" t="inlineStr">
        <is>
          <t>Client Quoted Not Interested</t>
        </is>
      </c>
      <c r="B95" s="4" t="n"/>
    </row>
    <row r="96">
      <c r="A96" s="6" t="inlineStr">
        <is>
          <t>Cannot Afford</t>
        </is>
      </c>
      <c r="B96" s="4" t="n">
        <v>54</v>
      </c>
    </row>
    <row r="97">
      <c r="A97" s="6" t="inlineStr">
        <is>
          <t>Not Interested Premium Cost</t>
        </is>
      </c>
      <c r="B97" s="4" t="n"/>
    </row>
    <row r="98">
      <c r="A98" s="6" t="inlineStr">
        <is>
          <t>Not interested SMS</t>
        </is>
      </c>
      <c r="B98" s="4" t="n"/>
    </row>
    <row r="99">
      <c r="A99" s="6" t="inlineStr">
        <is>
          <t>Call Back Hold</t>
        </is>
      </c>
      <c r="B99" s="4" t="n">
        <v>0</v>
      </c>
    </row>
    <row r="100">
      <c r="A100" s="6" t="inlineStr">
        <is>
          <t>Declined Sale</t>
        </is>
      </c>
      <c r="B100" s="4" t="n">
        <v>0</v>
      </c>
    </row>
    <row r="101">
      <c r="A101" s="6" t="inlineStr">
        <is>
          <t>QA FAil</t>
        </is>
      </c>
      <c r="B101" s="4" t="n">
        <v>0</v>
      </c>
    </row>
    <row r="102">
      <c r="A102" s="6" t="inlineStr">
        <is>
          <t>QA Rework</t>
        </is>
      </c>
      <c r="B102" s="4" t="n">
        <v>0</v>
      </c>
    </row>
    <row r="103">
      <c r="A103" s="6" t="inlineStr">
        <is>
          <t>Sale Made</t>
        </is>
      </c>
      <c r="B103" s="4" t="n">
        <v>18</v>
      </c>
    </row>
    <row r="104">
      <c r="A104" s="6" t="inlineStr">
        <is>
          <t>Sale SMS</t>
        </is>
      </c>
      <c r="B104" s="4" t="n"/>
    </row>
    <row r="105">
      <c r="A105" s="6" t="inlineStr">
        <is>
          <t>UPSELL</t>
        </is>
      </c>
      <c r="B105" s="4" t="n">
        <v>0</v>
      </c>
    </row>
    <row r="106">
      <c r="A106" s="6" t="n"/>
      <c r="B106" s="7" t="n"/>
    </row>
    <row r="107">
      <c r="A107" s="10" t="inlineStr">
        <is>
          <t>Unsuccesful Contacts Dispositions</t>
        </is>
      </c>
      <c r="B107" s="7" t="n"/>
    </row>
    <row r="108">
      <c r="A108" s="6" t="inlineStr">
        <is>
          <t>Answering Machine Autodial</t>
        </is>
      </c>
      <c r="B108" s="7">
        <f>B30/B$6</f>
        <v/>
      </c>
    </row>
    <row r="109">
      <c r="A109" s="6" t="inlineStr">
        <is>
          <t>No Answer AutoDial</t>
        </is>
      </c>
      <c r="B109" s="7">
        <f>B31/B$6</f>
        <v/>
      </c>
    </row>
    <row r="110">
      <c r="A110" s="6" t="inlineStr">
        <is>
          <t>Auto Engaged</t>
        </is>
      </c>
      <c r="B110" s="7">
        <f>B32/B$6</f>
        <v/>
      </c>
    </row>
    <row r="111">
      <c r="A111" s="6" t="inlineStr">
        <is>
          <t>Answering Machine</t>
        </is>
      </c>
      <c r="B111" s="7">
        <f>B33/B$6</f>
        <v/>
      </c>
    </row>
    <row r="112">
      <c r="A112" s="6" t="inlineStr">
        <is>
          <t>Temporary Disconnected Number</t>
        </is>
      </c>
      <c r="B112" s="7">
        <f>B34/B$6</f>
        <v/>
      </c>
    </row>
    <row r="113">
      <c r="A113" s="6" t="inlineStr">
        <is>
          <t>Call Dropped</t>
        </is>
      </c>
      <c r="B113" s="7">
        <f>B35/B$6</f>
        <v/>
      </c>
    </row>
    <row r="114">
      <c r="A114" s="6" t="inlineStr">
        <is>
          <t>Dropped</t>
        </is>
      </c>
      <c r="B114" s="7">
        <f>B36/B$6</f>
        <v/>
      </c>
    </row>
    <row r="115">
      <c r="A115" s="6" t="inlineStr">
        <is>
          <t>No Answer</t>
        </is>
      </c>
      <c r="B115" s="7">
        <f>B37/B$6</f>
        <v/>
      </c>
    </row>
    <row r="116">
      <c r="A116" s="6" t="inlineStr">
        <is>
          <t>Bad Line Quality</t>
        </is>
      </c>
      <c r="B116" s="7">
        <f>B38/B$6</f>
        <v/>
      </c>
    </row>
    <row r="117">
      <c r="A117" s="6" t="inlineStr">
        <is>
          <t>Busy Tone</t>
        </is>
      </c>
      <c r="B117" s="7">
        <f>B39/B$6</f>
        <v/>
      </c>
    </row>
    <row r="118">
      <c r="A118" s="6" t="inlineStr">
        <is>
          <t>Disconnected</t>
        </is>
      </c>
      <c r="B118" s="7">
        <f>B40/B$6</f>
        <v/>
      </c>
    </row>
    <row r="119">
      <c r="A119" s="6" t="inlineStr">
        <is>
          <t>Inbound After Hours Drop</t>
        </is>
      </c>
      <c r="B119" s="7">
        <f>B41/B$6</f>
        <v/>
      </c>
    </row>
    <row r="120">
      <c r="A120" s="6" t="inlineStr">
        <is>
          <t>Multiple Calls</t>
        </is>
      </c>
      <c r="B120" s="7">
        <f>B42/B$6</f>
        <v/>
      </c>
    </row>
    <row r="121">
      <c r="A121" s="6" t="inlineStr">
        <is>
          <t>Engaged</t>
        </is>
      </c>
      <c r="B121" s="7">
        <f>B43/B$6</f>
        <v/>
      </c>
    </row>
    <row r="122">
      <c r="A122" s="6" t="inlineStr">
        <is>
          <t>Inbound Abandon</t>
        </is>
      </c>
      <c r="B122" s="7">
        <f>B44/B$6</f>
        <v/>
      </c>
    </row>
    <row r="123">
      <c r="A123" s="6" t="inlineStr">
        <is>
          <t>Outbound Pre-Routing Drop</t>
        </is>
      </c>
      <c r="B123" s="7">
        <f>B45/B$6</f>
        <v/>
      </c>
    </row>
    <row r="124">
      <c r="A124" s="6" t="inlineStr">
        <is>
          <t>Flow Inbound Abandon</t>
        </is>
      </c>
      <c r="B124" s="7">
        <f>B46/B$6</f>
        <v/>
      </c>
    </row>
    <row r="125">
      <c r="A125" s="6" t="inlineStr">
        <is>
          <t>Selected</t>
        </is>
      </c>
      <c r="B125" s="7">
        <f>B47/B$6</f>
        <v/>
      </c>
    </row>
    <row r="126">
      <c r="A126" s="6" t="inlineStr">
        <is>
          <t>CONGESTED</t>
        </is>
      </c>
      <c r="B126" s="7">
        <f>B48/B$6</f>
        <v/>
      </c>
    </row>
    <row r="127">
      <c r="A127" s="6" t="inlineStr">
        <is>
          <t>Completed</t>
        </is>
      </c>
      <c r="B127" s="7">
        <f>B49/B$6</f>
        <v/>
      </c>
    </row>
    <row r="128">
      <c r="A128" s="6" t="inlineStr">
        <is>
          <t>New</t>
        </is>
      </c>
      <c r="B128" s="7">
        <f>B50/B$6</f>
        <v/>
      </c>
    </row>
    <row r="129">
      <c r="A129" s="6" t="inlineStr">
        <is>
          <t>Busy</t>
        </is>
      </c>
      <c r="B129" s="7">
        <f>B51/B$6</f>
        <v/>
      </c>
    </row>
    <row r="130">
      <c r="A130" s="6" t="inlineStr">
        <is>
          <t>Auto Dial Disconnected</t>
        </is>
      </c>
      <c r="B130" s="7">
        <f>B52/B$6</f>
        <v/>
      </c>
    </row>
    <row r="131">
      <c r="A131" s="6" t="inlineStr">
        <is>
          <t>Customer drop</t>
        </is>
      </c>
      <c r="B131" s="7">
        <f>B53/B$6</f>
        <v/>
      </c>
    </row>
    <row r="132">
      <c r="A132" s="6" t="inlineStr">
        <is>
          <t>Disconnected Number Auto</t>
        </is>
      </c>
      <c r="B132" s="7">
        <f>B54/B$6</f>
        <v/>
      </c>
    </row>
    <row r="133">
      <c r="A133" s="6" t="n"/>
      <c r="B133" s="7" t="n"/>
    </row>
    <row r="134">
      <c r="A134" s="10" t="inlineStr">
        <is>
          <t>Unworkable Leads Dispositions</t>
        </is>
      </c>
      <c r="B134" s="7" t="n"/>
    </row>
    <row r="135">
      <c r="A135" s="6" t="inlineStr">
        <is>
          <t>Unemployed</t>
        </is>
      </c>
      <c r="B135" s="7">
        <f>B57/B$6</f>
        <v/>
      </c>
    </row>
    <row r="136">
      <c r="A136" s="6" t="inlineStr">
        <is>
          <t>Already Contacted</t>
        </is>
      </c>
      <c r="B136" s="7">
        <f>B58/B$6</f>
        <v/>
      </c>
    </row>
    <row r="137">
      <c r="A137" s="6" t="inlineStr">
        <is>
          <t>Does Not Qualify</t>
        </is>
      </c>
      <c r="B137" s="7">
        <f>B59/B$6</f>
        <v/>
      </c>
    </row>
    <row r="138">
      <c r="A138" s="6" t="inlineStr">
        <is>
          <t>Client Overage Limit</t>
        </is>
      </c>
      <c r="B138" s="7">
        <f>B60/B$6</f>
        <v/>
      </c>
    </row>
    <row r="139">
      <c r="A139" s="6" t="inlineStr">
        <is>
          <t>Do not call</t>
        </is>
      </c>
      <c r="B139" s="7">
        <f>B61/B$6</f>
        <v/>
      </c>
    </row>
    <row r="140">
      <c r="A140" s="6" t="inlineStr">
        <is>
          <t>Under Age</t>
        </is>
      </c>
      <c r="B140" s="7">
        <f>B62/B$6</f>
        <v/>
      </c>
    </row>
    <row r="141">
      <c r="A141" s="6" t="inlineStr">
        <is>
          <t>Go To Branch</t>
        </is>
      </c>
      <c r="B141" s="7">
        <f>B63/B$6</f>
        <v/>
      </c>
    </row>
    <row r="142">
      <c r="A142" s="6" t="inlineStr">
        <is>
          <t>Wrong number</t>
        </is>
      </c>
      <c r="B142" s="7">
        <f>B64/B$6</f>
        <v/>
      </c>
    </row>
    <row r="143">
      <c r="A143" s="6" t="inlineStr">
        <is>
          <t>Existing Client</t>
        </is>
      </c>
      <c r="B143" s="7">
        <f>B65/B$6</f>
        <v/>
      </c>
    </row>
    <row r="144">
      <c r="A144" s="6" t="inlineStr">
        <is>
          <t>Language Barrier</t>
        </is>
      </c>
      <c r="B144" s="7">
        <f>B66/B$6</f>
        <v/>
      </c>
    </row>
    <row r="145">
      <c r="A145" s="6" t="inlineStr">
        <is>
          <t>Client Deceased</t>
        </is>
      </c>
      <c r="B145" s="7">
        <f>B67/B$6</f>
        <v/>
      </c>
    </row>
    <row r="146">
      <c r="A146" s="6" t="inlineStr">
        <is>
          <t>Customer Service Transfer</t>
        </is>
      </c>
      <c r="B146" s="7">
        <f>B68/B$6</f>
        <v/>
      </c>
    </row>
    <row r="147">
      <c r="A147" s="6" t="inlineStr">
        <is>
          <t>Unsuccessful Application</t>
        </is>
      </c>
      <c r="B147" s="7">
        <f>B69/B$6</f>
        <v/>
      </c>
    </row>
    <row r="148">
      <c r="A148" s="6" t="inlineStr">
        <is>
          <t>DNQ-Income Below Threshold</t>
        </is>
      </c>
      <c r="B148" s="7">
        <f>B70/B$6</f>
        <v/>
      </c>
    </row>
    <row r="149">
      <c r="A149" s="6" t="inlineStr">
        <is>
          <t>DNQ Quote Declined</t>
        </is>
      </c>
      <c r="B149" s="7">
        <f>B71/B$6</f>
        <v/>
      </c>
    </row>
    <row r="150">
      <c r="A150" s="6" t="inlineStr">
        <is>
          <t>Do Not Qualify Failed Medical Question</t>
        </is>
      </c>
      <c r="B150" s="7">
        <f>B72/B$6</f>
        <v/>
      </c>
    </row>
    <row r="151">
      <c r="A151" s="6" t="inlineStr">
        <is>
          <t xml:space="preserve">Right Party Not Available		</t>
        </is>
      </c>
      <c r="B151" s="7">
        <f>B73/B$6</f>
        <v/>
      </c>
    </row>
    <row r="152">
      <c r="A152" s="6" t="inlineStr">
        <is>
          <t>Over Age Limit</t>
        </is>
      </c>
      <c r="B152" s="7">
        <f>B74/B$6</f>
        <v/>
      </c>
    </row>
    <row r="153">
      <c r="A153" s="6" t="inlineStr">
        <is>
          <t>Funeral Documents Requested</t>
        </is>
      </c>
      <c r="B153" s="7">
        <f>B75/B$6</f>
        <v/>
      </c>
    </row>
    <row r="154">
      <c r="A154" s="6" t="inlineStr">
        <is>
          <t>Funeral Policy Query</t>
        </is>
      </c>
      <c r="B154" s="7">
        <f>B76/B$6</f>
        <v/>
      </c>
    </row>
    <row r="155">
      <c r="A155" s="6" t="inlineStr">
        <is>
          <t>Non SA Citizen</t>
        </is>
      </c>
      <c r="B155" s="7">
        <f>B77/B$6</f>
        <v/>
      </c>
    </row>
    <row r="156">
      <c r="A156" s="6" t="inlineStr">
        <is>
          <t xml:space="preserve">NTU Policy		</t>
        </is>
      </c>
      <c r="B156" s="7">
        <f>B78/B$6</f>
        <v/>
      </c>
    </row>
    <row r="157">
      <c r="A157" s="6" t="inlineStr">
        <is>
          <t>Not Working Cannot Afford</t>
        </is>
      </c>
      <c r="B157" s="7">
        <f>B79/B$6</f>
        <v/>
      </c>
    </row>
    <row r="158">
      <c r="A158" s="6" t="inlineStr">
        <is>
          <t>Lead Being Called</t>
        </is>
      </c>
      <c r="B158" s="7">
        <f>B80/B$6</f>
        <v/>
      </c>
    </row>
    <row r="159">
      <c r="A159" s="6" t="inlineStr">
        <is>
          <t>Did Not Request</t>
        </is>
      </c>
      <c r="B159" s="7">
        <f>B81/B$6</f>
        <v/>
      </c>
    </row>
    <row r="160">
      <c r="A160" s="6" t="inlineStr">
        <is>
          <t>Does Not Need It Now</t>
        </is>
      </c>
      <c r="B160" s="7">
        <f>B82/B$6</f>
        <v/>
      </c>
    </row>
    <row r="161">
      <c r="A161" s="6" t="n"/>
      <c r="B161" s="7" t="n"/>
    </row>
    <row r="162">
      <c r="A162" s="10" t="inlineStr">
        <is>
          <t>True Contacts</t>
        </is>
      </c>
      <c r="B162" s="7" t="n">
        <v>519</v>
      </c>
    </row>
    <row r="163">
      <c r="A163" s="6" t="inlineStr">
        <is>
          <t>Not Interested</t>
        </is>
      </c>
      <c r="B163" s="7">
        <f>B85/B$6</f>
        <v/>
      </c>
    </row>
    <row r="164">
      <c r="A164" s="6" t="inlineStr">
        <is>
          <t>Client Hung Up</t>
        </is>
      </c>
      <c r="B164" s="7">
        <f>B86/B$6</f>
        <v/>
      </c>
    </row>
    <row r="165">
      <c r="A165" s="6" t="inlineStr">
        <is>
          <t>Affordability</t>
        </is>
      </c>
      <c r="B165" s="7">
        <f>B87/B$6</f>
        <v/>
      </c>
    </row>
    <row r="166">
      <c r="A166" s="6" t="inlineStr">
        <is>
          <t>Callback</t>
        </is>
      </c>
      <c r="B166" s="7">
        <f>B88/B$6</f>
        <v/>
      </c>
    </row>
    <row r="167">
      <c r="A167" s="6" t="inlineStr">
        <is>
          <t>Not Interested Transaction Fees</t>
        </is>
      </c>
      <c r="B167" s="7">
        <f>B89/B$6</f>
        <v/>
      </c>
    </row>
    <row r="168">
      <c r="A168" s="6" t="inlineStr">
        <is>
          <t>Company Cellphone Number</t>
        </is>
      </c>
      <c r="B168" s="7">
        <f>B90/B$6</f>
        <v/>
      </c>
    </row>
    <row r="169">
      <c r="A169" s="6" t="inlineStr">
        <is>
          <t>Not Interested Device Cost</t>
        </is>
      </c>
      <c r="B169" s="7">
        <f>B91/B$6</f>
        <v/>
      </c>
    </row>
    <row r="170">
      <c r="A170" s="6" t="inlineStr">
        <is>
          <t>Call Back via MS Teams</t>
        </is>
      </c>
      <c r="B170" s="7">
        <f>B92/B$6</f>
        <v/>
      </c>
    </row>
    <row r="171">
      <c r="A171" s="6" t="inlineStr">
        <is>
          <t>Not Interested Upfront</t>
        </is>
      </c>
      <c r="B171" s="7">
        <f>B93/B$6</f>
        <v/>
      </c>
    </row>
    <row r="172">
      <c r="A172" s="6" t="inlineStr">
        <is>
          <t>Quoted Not Interested</t>
        </is>
      </c>
      <c r="B172" s="7">
        <f>B94/B$6</f>
        <v/>
      </c>
    </row>
    <row r="173">
      <c r="A173" s="6" t="inlineStr">
        <is>
          <t>Client Quoted Not Interested</t>
        </is>
      </c>
      <c r="B173" s="7">
        <f>B95/B$6</f>
        <v/>
      </c>
    </row>
    <row r="174">
      <c r="A174" s="6" t="inlineStr">
        <is>
          <t>Cannot Afford</t>
        </is>
      </c>
      <c r="B174" s="7">
        <f>B96/B$6</f>
        <v/>
      </c>
    </row>
    <row r="175">
      <c r="A175" s="6" t="inlineStr">
        <is>
          <t>Not Interested Premium Cost</t>
        </is>
      </c>
      <c r="B175" s="7">
        <f>B97/B$6</f>
        <v/>
      </c>
    </row>
    <row r="176">
      <c r="A176" s="6" t="inlineStr">
        <is>
          <t>Not interested SMS</t>
        </is>
      </c>
      <c r="B176" s="7">
        <f>B98/B$6</f>
        <v/>
      </c>
    </row>
    <row r="177">
      <c r="A177" s="6" t="inlineStr">
        <is>
          <t>Call Back Hold</t>
        </is>
      </c>
      <c r="B177" s="7">
        <f>B99/B$6</f>
        <v/>
      </c>
    </row>
    <row r="178">
      <c r="A178" s="6" t="inlineStr">
        <is>
          <t>Declined Sale</t>
        </is>
      </c>
      <c r="B178" s="7">
        <f>B100/B$6</f>
        <v/>
      </c>
    </row>
    <row r="179">
      <c r="A179" s="6" t="inlineStr">
        <is>
          <t>QA FAil</t>
        </is>
      </c>
      <c r="B179" s="7">
        <f>B101/B$6</f>
        <v/>
      </c>
    </row>
    <row r="180">
      <c r="A180" s="6" t="inlineStr">
        <is>
          <t>QA Rework</t>
        </is>
      </c>
      <c r="B180" s="7">
        <f>B102/B$6</f>
        <v/>
      </c>
    </row>
    <row r="181">
      <c r="A181" s="6" t="inlineStr">
        <is>
          <t>Sale Made</t>
        </is>
      </c>
      <c r="B181" s="7">
        <f>B103/B$6</f>
        <v/>
      </c>
    </row>
    <row r="182">
      <c r="A182" s="6" t="inlineStr">
        <is>
          <t>Sale SMS</t>
        </is>
      </c>
      <c r="B182" s="7">
        <f>B104/B$6</f>
        <v/>
      </c>
    </row>
    <row r="183" ht="15.75" customHeight="1">
      <c r="A183" s="3" t="inlineStr">
        <is>
          <t>UPSELL</t>
        </is>
      </c>
      <c r="B183" s="11">
        <f>B105/B$6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Campaign Analysis – USSD Funeral Leads</t>
        </is>
      </c>
    </row>
    <row r="2"/>
    <row r="3"/>
    <row r="4">
      <c r="A4" s="13" t="inlineStr">
        <is>
          <t>Total Leads</t>
        </is>
      </c>
      <c r="B4" s="14" t="n">
        <v>5552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537</v>
      </c>
    </row>
    <row r="7">
      <c r="A7" s="13" t="inlineStr">
        <is>
          <t>True Contacts</t>
        </is>
      </c>
      <c r="B7" s="14" t="n">
        <v>519</v>
      </c>
    </row>
    <row r="8">
      <c r="A8" s="13" t="inlineStr">
        <is>
          <t>Conversion</t>
        </is>
      </c>
      <c r="B8" s="15" t="n">
        <v>0.003242074927953891</v>
      </c>
    </row>
    <row r="9">
      <c r="A9" s="13" t="inlineStr">
        <is>
          <t>True Sales (post QA)</t>
        </is>
      </c>
      <c r="B9" s="14" t="n">
        <v>18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6" t="inlineStr">
        <is>
          <t>Answering Machine Autodial</t>
        </is>
      </c>
      <c r="C13" s="17">
        <f>IFERROR(VLOOKUP("Answering Machine Autodial",Pivot!$A$2:$B$29,2,FALSE),0)</f>
        <v/>
      </c>
      <c r="D13" s="16" t="inlineStr">
        <is>
          <t>Sale Made - Completed Mandate</t>
        </is>
      </c>
      <c r="E13" s="17">
        <f>IFERROR(VLOOKUP("Sale Made - Completed Mandate",Pivot!$A$2:$B$29,2,FALSE),0)</f>
        <v/>
      </c>
      <c r="F13" s="16" t="inlineStr">
        <is>
          <t>Already Contacted</t>
        </is>
      </c>
      <c r="G13" s="17">
        <f>IFERROR(VLOOKUP("Already Contacted",Pivot!$A$2:$B$29,2,FALSE),0)</f>
        <v/>
      </c>
      <c r="H13" s="16" t="inlineStr">
        <is>
          <t>Client Hung Up</t>
        </is>
      </c>
      <c r="I13" s="17">
        <f>IFERROR(VLOOKUP("Client Hung Up",Pivot!$A$2:$B$29,2,FALSE),0)</f>
        <v/>
      </c>
    </row>
    <row r="14">
      <c r="B14" s="16" t="inlineStr">
        <is>
          <t>No Answer Autodial</t>
        </is>
      </c>
      <c r="C14" s="17">
        <f>IFERROR(VLOOKUP("No Answer Autodial",Pivot!$A$2:$B$29,2,FALSE),0)</f>
        <v/>
      </c>
      <c r="D14" s="16" t="inlineStr">
        <is>
          <t>Sale Made - Pending Mandate</t>
        </is>
      </c>
      <c r="E14" s="17">
        <f>IFERROR(VLOOKUP("Sale Made - Pending Mandate",Pivot!$A$2:$B$29,2,FALSE),0)</f>
        <v/>
      </c>
      <c r="F14" s="16" t="inlineStr">
        <is>
          <t>Existing Client</t>
        </is>
      </c>
      <c r="G14" s="17">
        <f>IFERROR(VLOOKUP("Existing Client",Pivot!$A$2:$B$29,2,FALSE),0)</f>
        <v/>
      </c>
      <c r="H14" s="16" t="inlineStr">
        <is>
          <t>CallBack</t>
        </is>
      </c>
      <c r="I14" s="17">
        <f>IFERROR(VLOOKUP("CallBack",Pivot!$A$2:$B$29,2,FALSE),0)</f>
        <v/>
      </c>
    </row>
    <row r="15">
      <c r="B15" s="16" t="inlineStr">
        <is>
          <t>Auto Engaged</t>
        </is>
      </c>
      <c r="C15" s="17">
        <f>IFERROR(VLOOKUP("Auto Engaged",Pivot!$A$2:$B$29,2,FALSE),0)</f>
        <v/>
      </c>
      <c r="D15" s="16" t="inlineStr">
        <is>
          <t>Sale Made</t>
        </is>
      </c>
      <c r="E15" s="17">
        <f>IFERROR(VLOOKUP("Sale Made",Pivot!$A$2:$B$29,2,FALSE),0)</f>
        <v/>
      </c>
      <c r="F15" s="16" t="inlineStr">
        <is>
          <t>Unemployed</t>
        </is>
      </c>
      <c r="G15" s="17">
        <f>IFERROR(VLOOKUP("Unemployed",Pivot!$A$2:$B$29,2,FALSE),0)</f>
        <v/>
      </c>
      <c r="H15" s="16" t="inlineStr">
        <is>
          <t>Not Interested</t>
        </is>
      </c>
      <c r="I15" s="17">
        <f>IFERROR(VLOOKUP("Not Interested",Pivot!$A$2:$B$29,2,FALSE),0)</f>
        <v/>
      </c>
    </row>
    <row r="16">
      <c r="B16" s="16" t="inlineStr">
        <is>
          <t>Disconnected Number Auto</t>
        </is>
      </c>
      <c r="C16" s="17">
        <f>IFERROR(VLOOKUP("Disconnected Number Auto",Pivot!$A$2:$B$29,2,FALSE),0)</f>
        <v/>
      </c>
      <c r="D16" s="16" t="inlineStr">
        <is>
          <t>Tyme Bank Account Sale</t>
        </is>
      </c>
      <c r="E16" s="17">
        <f>IFERROR(VLOOKUP("Tyme Bank Account Sale",Pivot!$A$2:$B$29,2,FALSE),0)</f>
        <v/>
      </c>
      <c r="F16" s="16" t="inlineStr">
        <is>
          <t>Wrong Number</t>
        </is>
      </c>
      <c r="G16" s="17">
        <f>IFERROR(VLOOKUP("Wrong Number",Pivot!$A$2:$B$29,2,FALSE),0)</f>
        <v/>
      </c>
      <c r="H16" s="16" t="inlineStr">
        <is>
          <t>Not Interested Upfront</t>
        </is>
      </c>
      <c r="I16" s="17">
        <f>IFERROR(VLOOKUP("Not Interested Upfront",Pivot!$A$2:$B$29,2,FALSE),0)</f>
        <v/>
      </c>
    </row>
    <row r="17">
      <c r="B17" s="16" t="inlineStr">
        <is>
          <t>Answering Machine</t>
        </is>
      </c>
      <c r="C17" s="17">
        <f>IFERROR(VLOOKUP("Answering Machine",Pivot!$A$2:$B$29,2,FALSE),0)</f>
        <v/>
      </c>
      <c r="D17" s="16" t="inlineStr">
        <is>
          <t>QA Rework</t>
        </is>
      </c>
      <c r="E17" s="17">
        <f>IFERROR(VLOOKUP("QA Rework",Pivot!$A$2:$B$29,2,FALSE),0)</f>
        <v/>
      </c>
      <c r="F17" s="16" t="inlineStr">
        <is>
          <t>Do Not Call</t>
        </is>
      </c>
      <c r="G17" s="17">
        <f>IFERROR(VLOOKUP("Do Not Call",Pivot!$A$2:$B$29,2,FALSE),0)</f>
        <v/>
      </c>
      <c r="H17" s="16" t="inlineStr">
        <is>
          <t>Cannot Afford Premium</t>
        </is>
      </c>
      <c r="I17" s="17">
        <f>IFERROR(VLOOKUP("Cannot Afford Premium",Pivot!$A$2:$B$29,2,FALSE),0)</f>
        <v/>
      </c>
    </row>
    <row r="18">
      <c r="B18" s="16" t="inlineStr">
        <is>
          <t>Selected</t>
        </is>
      </c>
      <c r="C18" s="17">
        <f>IFERROR(VLOOKUP("Selected",Pivot!$A$2:$B$29,2,FALSE),0)</f>
        <v/>
      </c>
      <c r="F18" s="16" t="inlineStr">
        <is>
          <t>No Smartphones</t>
        </is>
      </c>
      <c r="G18" s="17">
        <f>IFERROR(VLOOKUP("No Smartphones",Pivot!$A$2:$B$29,2,FALSE),0)</f>
        <v/>
      </c>
      <c r="H18" s="16" t="inlineStr">
        <is>
          <t>Not interested - Pitched</t>
        </is>
      </c>
      <c r="I18" s="17">
        <f>IFERROR(VLOOKUP("Not interested - Pitched",Pivot!$A$2:$B$29,2,FALSE),0)</f>
        <v/>
      </c>
    </row>
    <row r="19">
      <c r="B19" s="16" t="inlineStr">
        <is>
          <t>No Answer</t>
        </is>
      </c>
      <c r="C19" s="17">
        <f>IFERROR(VLOOKUP("No Answer",Pivot!$A$2:$B$29,2,FALSE),0)</f>
        <v/>
      </c>
      <c r="F19" s="16" t="inlineStr">
        <is>
          <t>Client Deceased</t>
        </is>
      </c>
      <c r="G19" s="17">
        <f>IFERROR(VLOOKUP("Client Deceased",Pivot!$A$2:$B$29,2,FALSE),0)</f>
        <v/>
      </c>
      <c r="H19" s="16" t="inlineStr">
        <is>
          <t>Affordability</t>
        </is>
      </c>
      <c r="I19" s="17">
        <f>IFERROR(VLOOKUP("Affordability",Pivot!$A$2:$B$29,2,FALSE),0)</f>
        <v/>
      </c>
    </row>
    <row r="20">
      <c r="B20" s="16" t="inlineStr">
        <is>
          <t>Busy Tone</t>
        </is>
      </c>
      <c r="C20" s="17">
        <f>IFERROR(VLOOKUP("Busy Tone",Pivot!$A$2:$B$29,2,FALSE),0)</f>
        <v/>
      </c>
      <c r="F20" s="16" t="inlineStr">
        <is>
          <t>Right Party Not Available</t>
        </is>
      </c>
      <c r="G20" s="17">
        <f>IFERROR(VLOOKUP("Right Party Not Available",Pivot!$A$2:$B$29,2,FALSE),0)</f>
        <v/>
      </c>
      <c r="H20" s="16" t="inlineStr">
        <is>
          <t>Quoted Client Not Interested</t>
        </is>
      </c>
      <c r="I20" s="17">
        <f>IFERROR(VLOOKUP("Quoted Client Not Interested",Pivot!$A$2:$B$29,2,FALSE),0)</f>
        <v/>
      </c>
    </row>
    <row r="21">
      <c r="B21" s="16" t="inlineStr">
        <is>
          <t>Dropped</t>
        </is>
      </c>
      <c r="C21" s="17">
        <f>IFERROR(VLOOKUP("Dropped",Pivot!$A$2:$B$29,2,FALSE),0)</f>
        <v/>
      </c>
      <c r="F21" s="16" t="inlineStr">
        <is>
          <t>Client Overage Limit</t>
        </is>
      </c>
      <c r="G21" s="17">
        <f>IFERROR(VLOOKUP("Client Overage Limit",Pivot!$A$2:$B$29,2,FALSE),0)</f>
        <v/>
      </c>
      <c r="H21" s="16" t="inlineStr">
        <is>
          <t>Not interested business does not use speed point mac</t>
        </is>
      </c>
      <c r="I21" s="17">
        <f>IFERROR(VLOOKUP("Not interested business does not use speed point mac",Pivot!$A$2:$B$29,2,FALSE),0)</f>
        <v/>
      </c>
    </row>
    <row r="22">
      <c r="B22" s="16" t="inlineStr">
        <is>
          <t>New</t>
        </is>
      </c>
      <c r="C22" s="17">
        <f>IFERROR(VLOOKUP("New",Pivot!$A$2:$B$29,2,FALSE),0)</f>
        <v/>
      </c>
      <c r="F22" s="16" t="inlineStr">
        <is>
          <t>Language Barrier</t>
        </is>
      </c>
      <c r="G22" s="17">
        <f>IFERROR(VLOOKUP("Language Barrier",Pivot!$A$2:$B$29,2,FALSE),0)</f>
        <v/>
      </c>
      <c r="H22" s="16" t="inlineStr">
        <is>
          <t>Call Back Technical Error</t>
        </is>
      </c>
      <c r="I22" s="17">
        <f>IFERROR(VLOOKUP("Call Back Technical Error",Pivot!$A$2:$B$29,2,FALSE),0)</f>
        <v/>
      </c>
    </row>
    <row r="23">
      <c r="B23" s="16" t="inlineStr">
        <is>
          <t>Call Dropped</t>
        </is>
      </c>
      <c r="C23" s="17">
        <f>IFERROR(VLOOKUP("Call Dropped",Pivot!$A$2:$B$29,2,FALSE),0)</f>
        <v/>
      </c>
      <c r="F23" s="16" t="inlineStr">
        <is>
          <t>Non SA Citizen</t>
        </is>
      </c>
      <c r="G23" s="17">
        <f>IFERROR(VLOOKUP("Non SA Citizen",Pivot!$A$2:$B$29,2,FALSE),0)</f>
        <v/>
      </c>
      <c r="H23" s="16" t="inlineStr">
        <is>
          <t>Not Interested Transaction Fees</t>
        </is>
      </c>
      <c r="I23" s="17">
        <f>IFERROR(VLOOKUP("Not Interested Transaction Fees",Pivot!$A$2:$B$29,2,FALSE),0)</f>
        <v/>
      </c>
    </row>
    <row r="24">
      <c r="B24" s="16" t="inlineStr">
        <is>
          <t>Inbound After Hours Drop</t>
        </is>
      </c>
      <c r="C24" s="17">
        <f>IFERROR(VLOOKUP("Inbound After Hours Drop",Pivot!$A$2:$B$29,2,FALSE),0)</f>
        <v/>
      </c>
      <c r="F24" s="16" t="inlineStr">
        <is>
          <t>No Bank Account</t>
        </is>
      </c>
      <c r="G24" s="17">
        <f>IFERROR(VLOOKUP("No Bank Account",Pivot!$A$2:$B$29,2,FALSE),0)</f>
        <v/>
      </c>
      <c r="H24" s="16" t="inlineStr">
        <is>
          <t>Cannot Afford</t>
        </is>
      </c>
      <c r="I24" s="17">
        <f>IFERROR(VLOOKUP("Cannot Afford",Pivot!$A$2:$B$29,2,FALSE),0)</f>
        <v/>
      </c>
    </row>
    <row r="25">
      <c r="B25" s="16" t="inlineStr">
        <is>
          <t>TPS Registered Number</t>
        </is>
      </c>
      <c r="C25" s="17">
        <f>IFERROR(VLOOKUP("TPS Registered Number",Pivot!$A$2:$B$29,2,FALSE),0)</f>
        <v/>
      </c>
      <c r="F25" s="16" t="inlineStr">
        <is>
          <t>Client Underage</t>
        </is>
      </c>
      <c r="G25" s="17">
        <f>IFERROR(VLOOKUP("Client Underage",Pivot!$A$2:$B$29,2,FALSE),0)</f>
        <v/>
      </c>
      <c r="H25" s="16" t="inlineStr">
        <is>
          <t>Not Interested Household Contents</t>
        </is>
      </c>
      <c r="I25" s="17">
        <f>IFERROR(VLOOKUP("Not Interested Household Contents",Pivot!$A$2:$B$29,2,FALSE),0)</f>
        <v/>
      </c>
    </row>
    <row r="26">
      <c r="B26" s="16" t="inlineStr">
        <is>
          <t>Temporary Disconnected Number</t>
        </is>
      </c>
      <c r="C26" s="17">
        <f>IFERROR(VLOOKUP("Temporary Disconnected Number",Pivot!$A$2:$B$29,2,FALSE),0)</f>
        <v/>
      </c>
      <c r="F26" s="16" t="inlineStr">
        <is>
          <t>Go To The Branch</t>
        </is>
      </c>
      <c r="G26" s="17">
        <f>IFERROR(VLOOKUP("Go To The Branch",Pivot!$A$2:$B$29,2,FALSE),0)</f>
        <v/>
      </c>
      <c r="H26" s="16" t="inlineStr">
        <is>
          <t>Call Back Hold</t>
        </is>
      </c>
      <c r="I26" s="17">
        <f>IFERROR(VLOOKUP("Call Back Hold",Pivot!$A$2:$B$29,2,FALSE),0)</f>
        <v/>
      </c>
    </row>
    <row r="27">
      <c r="B27" s="16" t="inlineStr">
        <is>
          <t>Bad Line Quality</t>
        </is>
      </c>
      <c r="C27" s="17">
        <f>IFERROR(VLOOKUP("Bad Line Quality",Pivot!$A$2:$B$29,2,FALSE),0)</f>
        <v/>
      </c>
      <c r="F27" s="16" t="inlineStr">
        <is>
          <t>Completed</t>
        </is>
      </c>
      <c r="G27" s="17">
        <f>IFERROR(VLOOKUP("Completed",Pivot!$A$2:$B$29,2,FALSE),0)</f>
        <v/>
      </c>
      <c r="H27" s="16" t="inlineStr">
        <is>
          <t>Declined Sale</t>
        </is>
      </c>
      <c r="I27" s="17">
        <f>IFERROR(VLOOKUP("Declined Sale",Pivot!$A$2:$B$29,2,FALSE),0)</f>
        <v/>
      </c>
    </row>
    <row r="28">
      <c r="B28" s="16" t="inlineStr">
        <is>
          <t>Inbound Abandon</t>
        </is>
      </c>
      <c r="C28" s="17">
        <f>IFERROR(VLOOKUP("Inbound Abandon",Pivot!$A$2:$B$29,2,FALSE),0)</f>
        <v/>
      </c>
      <c r="F28" s="16" t="inlineStr">
        <is>
          <t>Cannot Afford Upfront Payment</t>
        </is>
      </c>
      <c r="G28" s="17">
        <f>IFERROR(VLOOKUP("Cannot Afford Upfront Payment",Pivot!$A$2:$B$29,2,FALSE),0)</f>
        <v/>
      </c>
    </row>
    <row r="29">
      <c r="B29" s="16" t="inlineStr">
        <is>
          <t>Outbound Pre-Routing Drop</t>
        </is>
      </c>
      <c r="C29" s="17">
        <f>IFERROR(VLOOKUP("Outbound Pre-Routing Drop",Pivot!$A$2:$B$29,2,FALSE),0)</f>
        <v/>
      </c>
      <c r="F29" s="16" t="inlineStr">
        <is>
          <t>Account Suspended</t>
        </is>
      </c>
      <c r="G29" s="17">
        <f>IFERROR(VLOOKUP("Account Suspended",Pivot!$A$2:$B$29,2,FALSE),0)</f>
        <v/>
      </c>
    </row>
    <row r="30">
      <c r="B30" s="16" t="inlineStr">
        <is>
          <t>Engaged</t>
        </is>
      </c>
      <c r="C30" s="17">
        <f>IFERROR(VLOOKUP("Engaged",Pivot!$A$2:$B$29,2,FALSE),0)</f>
        <v/>
      </c>
      <c r="F30" s="16" t="inlineStr">
        <is>
          <t>Insured at another company</t>
        </is>
      </c>
      <c r="G30" s="17">
        <f>IFERROR(VLOOKUP("Insured at another company",Pivot!$A$2:$B$29,2,FALSE),0)</f>
        <v/>
      </c>
    </row>
    <row r="31">
      <c r="B31" s="16" t="inlineStr">
        <is>
          <t>Disconnected</t>
        </is>
      </c>
      <c r="C31" s="17">
        <f>IFERROR(VLOOKUP("Disconnected",Pivot!$A$2:$B$29,2,FALSE),0)</f>
        <v/>
      </c>
      <c r="F31" s="16" t="inlineStr">
        <is>
          <t>Scheduled Appointment</t>
        </is>
      </c>
      <c r="G31" s="17">
        <f>IFERROR(VLOOKUP("Scheduled Appointment",Pivot!$A$2:$B$29,2,FALSE),0)</f>
        <v/>
      </c>
    </row>
    <row r="32">
      <c r="B32" s="16" t="inlineStr">
        <is>
          <t>CONGESTED</t>
        </is>
      </c>
      <c r="C32" s="17">
        <f>IFERROR(VLOOKUP("CONGESTED",Pivot!$A$2:$B$29,2,FALSE),0)</f>
        <v/>
      </c>
      <c r="F32" s="16" t="inlineStr">
        <is>
          <t>Refund Request</t>
        </is>
      </c>
      <c r="G32" s="17">
        <f>IFERROR(VLOOKUP("Refund Request",Pivot!$A$2:$B$29,2,FALSE),0)</f>
        <v/>
      </c>
    </row>
    <row r="33">
      <c r="B33" s="16" t="inlineStr">
        <is>
          <t>Flow Inbound Abandon</t>
        </is>
      </c>
      <c r="C33" s="17">
        <f>IFERROR(VLOOKUP("Flow Inbound Abandon",Pivot!$A$2:$B$29,2,FALSE),0)</f>
        <v/>
      </c>
      <c r="F33" s="16" t="inlineStr">
        <is>
          <t>Does Not Qualify</t>
        </is>
      </c>
      <c r="G33" s="17">
        <f>IFERROR(VLOOKUP("Does Not Qualify",Pivot!$A$2:$B$29,2,FALSE),0)</f>
        <v/>
      </c>
    </row>
    <row r="34">
      <c r="B34" s="16" t="inlineStr">
        <is>
          <t>Multiple Calls</t>
        </is>
      </c>
      <c r="C34" s="17">
        <f>IFERROR(VLOOKUP("Multiple Calls",Pivot!$A$2:$B$29,2,FALSE),0)</f>
        <v/>
      </c>
      <c r="F34" s="16" t="inlineStr">
        <is>
          <t>Does Not Have a Business</t>
        </is>
      </c>
      <c r="G34" s="17">
        <f>IFERROR(VLOOKUP("Does Not Have a Business",Pivot!$A$2:$B$29,2,FALSE),0)</f>
        <v/>
      </c>
    </row>
    <row r="35">
      <c r="B35" s="16" t="inlineStr">
        <is>
          <t>Missed</t>
        </is>
      </c>
      <c r="C35" s="17">
        <f>IFERROR(VLOOKUP("Missed",Pivot!$A$2:$B$29,2,FALSE),0)</f>
        <v/>
      </c>
      <c r="F35" s="16" t="inlineStr">
        <is>
          <t>Refer To Store - Doesn't want to complete online</t>
        </is>
      </c>
      <c r="G35" s="17">
        <f>IFERROR(VLOOKUP("Refer To Store - Doesn't want to complete online",Pivot!$A$2:$B$29,2,FALSE),0)</f>
        <v/>
      </c>
    </row>
    <row r="36">
      <c r="B36" s="16" t="inlineStr">
        <is>
          <t>Answered</t>
        </is>
      </c>
      <c r="C36" s="17">
        <f>IFERROR(VLOOKUP("Answered",Pivot!$A$2:$B$29,2,FALSE),0)</f>
        <v/>
      </c>
      <c r="F36" s="16" t="inlineStr">
        <is>
          <t>Does Not Need It Now</t>
        </is>
      </c>
      <c r="G36" s="17">
        <f>IFERROR(VLOOKUP("Does Not Need It Now",Pivot!$A$2:$B$29,2,FALSE),0)</f>
        <v/>
      </c>
    </row>
    <row r="37">
      <c r="B37" s="16" t="inlineStr">
        <is>
          <t>Customer drop</t>
        </is>
      </c>
      <c r="C37" s="17">
        <f>IFERROR(VLOOKUP("Customer drop",Pivot!$A$2:$B$29,2,FALSE),0)</f>
        <v/>
      </c>
      <c r="F37" s="16" t="inlineStr">
        <is>
          <t>Technical Issue</t>
        </is>
      </c>
      <c r="G37" s="17">
        <f>IFERROR(VLOOKUP("Technical Issue",Pivot!$A$2:$B$29,2,FALSE),0)</f>
        <v/>
      </c>
    </row>
    <row r="38">
      <c r="B38" s="16" t="inlineStr">
        <is>
          <t>Auto Dial Disconnected</t>
        </is>
      </c>
      <c r="C38" s="17">
        <f>IFERROR(VLOOKUP("Auto Dial Disconnected",Pivot!$A$2:$B$29,2,FALSE),0)</f>
        <v/>
      </c>
      <c r="F38" s="16" t="inlineStr">
        <is>
          <t>Unsuccessful Application</t>
        </is>
      </c>
      <c r="G38" s="17">
        <f>IFERROR(VLOOKUP("Unsuccessful Application",Pivot!$A$2:$B$29,2,FALSE),0)</f>
        <v/>
      </c>
    </row>
    <row r="39">
      <c r="B39" s="16" t="inlineStr">
        <is>
          <t>Disconnected Number Temporary</t>
        </is>
      </c>
      <c r="C39" s="17">
        <f>IFERROR(VLOOKUP("Disconnected Number Temporary",Pivot!$A$2:$B$29,2,FALSE),0)</f>
        <v/>
      </c>
    </row>
    <row r="40"/>
    <row r="41"/>
    <row r="42">
      <c r="A42" s="18" t="inlineStr">
        <is>
          <t>TOTAL LEADS DIALLED</t>
        </is>
      </c>
      <c r="B42" s="17">
        <f>SUM(C13:C39)+SUM(E13:E17)</f>
        <v/>
      </c>
    </row>
    <row r="43"/>
    <row r="44">
      <c r="A44" s="18" t="inlineStr">
        <is>
          <t>CAMPAIGN STATISTICS</t>
        </is>
      </c>
    </row>
    <row r="45">
      <c r="A45" s="16" t="inlineStr">
        <is>
          <t>Successful Contacts</t>
        </is>
      </c>
      <c r="B45" s="17">
        <f>SUM(F13:F17)</f>
        <v/>
      </c>
    </row>
    <row r="46">
      <c r="A46" s="16" t="inlineStr">
        <is>
          <t>True Contacts (TC)</t>
        </is>
      </c>
      <c r="B46" s="17">
        <f>SUM(I13:I27)</f>
        <v/>
      </c>
    </row>
    <row r="47">
      <c r="A47" s="16" t="inlineStr">
        <is>
          <t>Unworkable Leads</t>
        </is>
      </c>
      <c r="B47" s="17">
        <f>SUM(G13:G38)</f>
        <v/>
      </c>
    </row>
    <row r="48">
      <c r="A48" s="16" t="inlineStr">
        <is>
          <t>Conversions</t>
        </is>
      </c>
      <c r="B48" s="17">
        <f>F13</f>
        <v/>
      </c>
    </row>
    <row r="49">
      <c r="A49" s="16" t="inlineStr">
        <is>
          <t>Conversion Ratio (vs TC)</t>
        </is>
      </c>
      <c r="B49" s="19">
        <f>B47/B45</f>
        <v/>
      </c>
    </row>
    <row r="50">
      <c r="A50" s="16" t="inlineStr">
        <is>
          <t>Contact Ratio</t>
        </is>
      </c>
      <c r="B50" s="19">
        <f>(B44+B45)/B42</f>
        <v/>
      </c>
    </row>
    <row r="51"/>
    <row r="52"/>
    <row r="53"/>
    <row r="54">
      <c r="A54" s="18" t="inlineStr">
        <is>
          <t>Top 5 Statuses</t>
        </is>
      </c>
      <c r="B54" s="18" t="inlineStr">
        <is>
          <t>Count</t>
        </is>
      </c>
      <c r="C54" s="18" t="inlineStr">
        <is>
          <t>% Contribution</t>
        </is>
      </c>
    </row>
    <row r="55">
      <c r="A55" s="16" t="inlineStr">
        <is>
          <t>Answering Machine Autodial</t>
        </is>
      </c>
      <c r="B55" s="20" t="n">
        <v>2589</v>
      </c>
      <c r="C55" s="19">
        <f>B55/B42</f>
        <v/>
      </c>
    </row>
    <row r="56">
      <c r="A56" s="16" t="inlineStr">
        <is>
          <t>Auto Dial Disconnected</t>
        </is>
      </c>
      <c r="B56" s="20" t="n">
        <v>828</v>
      </c>
      <c r="C56" s="19">
        <f>B56/B42</f>
        <v/>
      </c>
    </row>
    <row r="57">
      <c r="A57" s="16" t="inlineStr">
        <is>
          <t>No Answer Autodial</t>
        </is>
      </c>
      <c r="B57" s="20" t="n">
        <v>658</v>
      </c>
      <c r="C57" s="19">
        <f>B57/B42</f>
        <v/>
      </c>
    </row>
    <row r="58">
      <c r="A58" s="16" t="inlineStr">
        <is>
          <t>Temporary Disconnected Number</t>
        </is>
      </c>
      <c r="B58" s="20" t="n">
        <v>334</v>
      </c>
      <c r="C58" s="19">
        <f>B58/B42</f>
        <v/>
      </c>
    </row>
    <row r="59">
      <c r="A59" s="16" t="inlineStr">
        <is>
          <t>Client Hung Up</t>
        </is>
      </c>
      <c r="B59" s="20" t="n">
        <v>288</v>
      </c>
      <c r="C59" s="19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6" t="inlineStr">
        <is>
          <t>Answering Machine Autodial</t>
        </is>
      </c>
      <c r="B2" s="20" t="n">
        <v>2589</v>
      </c>
    </row>
    <row r="3">
      <c r="A3" s="16" t="inlineStr">
        <is>
          <t>Auto Dial Disconnected</t>
        </is>
      </c>
      <c r="B3" s="20" t="n">
        <v>828</v>
      </c>
    </row>
    <row r="4">
      <c r="A4" s="16" t="inlineStr">
        <is>
          <t>No Answer Autodial</t>
        </is>
      </c>
      <c r="B4" s="20" t="n">
        <v>658</v>
      </c>
    </row>
    <row r="5">
      <c r="A5" s="16" t="inlineStr">
        <is>
          <t>Temporary Disconnected Number</t>
        </is>
      </c>
      <c r="B5" s="20" t="n">
        <v>334</v>
      </c>
    </row>
    <row r="6">
      <c r="A6" s="16" t="inlineStr">
        <is>
          <t>Client Hung Up</t>
        </is>
      </c>
      <c r="B6" s="20" t="n">
        <v>288</v>
      </c>
    </row>
    <row r="7">
      <c r="A7" s="16" t="inlineStr">
        <is>
          <t>Auto Engaged</t>
        </is>
      </c>
      <c r="B7" s="20" t="n">
        <v>143</v>
      </c>
    </row>
    <row r="8">
      <c r="A8" s="16" t="inlineStr">
        <is>
          <t>Dropped</t>
        </is>
      </c>
      <c r="B8" s="20" t="n">
        <v>141</v>
      </c>
    </row>
    <row r="9">
      <c r="A9" s="16" t="inlineStr">
        <is>
          <t>Answering Machine</t>
        </is>
      </c>
      <c r="B9" s="20" t="n">
        <v>101</v>
      </c>
    </row>
    <row r="10">
      <c r="A10" s="16" t="inlineStr">
        <is>
          <t>Not Interested</t>
        </is>
      </c>
      <c r="B10" s="20" t="n">
        <v>95</v>
      </c>
    </row>
    <row r="11">
      <c r="A11" s="16" t="inlineStr">
        <is>
          <t>Callback</t>
        </is>
      </c>
      <c r="B11" s="20" t="n">
        <v>82</v>
      </c>
    </row>
    <row r="12">
      <c r="A12" s="16" t="inlineStr">
        <is>
          <t>Cannot Afford</t>
        </is>
      </c>
      <c r="B12" s="20" t="n">
        <v>54</v>
      </c>
    </row>
    <row r="13">
      <c r="A13" s="16" t="inlineStr">
        <is>
          <t>Unemployed</t>
        </is>
      </c>
      <c r="B13" s="20" t="n">
        <v>44</v>
      </c>
    </row>
    <row r="14">
      <c r="A14" s="16" t="inlineStr">
        <is>
          <t>Client Underage</t>
        </is>
      </c>
      <c r="B14" s="20" t="n">
        <v>32</v>
      </c>
    </row>
    <row r="15">
      <c r="A15" s="16" t="inlineStr">
        <is>
          <t>No Answer</t>
        </is>
      </c>
      <c r="B15" s="20" t="n">
        <v>30</v>
      </c>
    </row>
    <row r="16">
      <c r="A16" s="16" t="inlineStr">
        <is>
          <t>Language Barrier</t>
        </is>
      </c>
      <c r="B16" s="20" t="n">
        <v>27</v>
      </c>
    </row>
    <row r="17">
      <c r="A17" s="16" t="inlineStr">
        <is>
          <t>Sale Made</t>
        </is>
      </c>
      <c r="B17" s="20" t="n">
        <v>18</v>
      </c>
    </row>
    <row r="18">
      <c r="A18" s="16" t="inlineStr">
        <is>
          <t>Inbound Abandon</t>
        </is>
      </c>
      <c r="B18" s="20" t="n">
        <v>13</v>
      </c>
    </row>
    <row r="19">
      <c r="A19" s="16" t="inlineStr">
        <is>
          <t>Bad Line Quality</t>
        </is>
      </c>
      <c r="B19" s="20" t="n">
        <v>12</v>
      </c>
    </row>
    <row r="20">
      <c r="A20" s="16" t="inlineStr">
        <is>
          <t>Disconnected</t>
        </is>
      </c>
      <c r="B20" s="20" t="n">
        <v>11</v>
      </c>
    </row>
    <row r="21">
      <c r="A21" s="16" t="inlineStr">
        <is>
          <t>Inbound After Hours Drop</t>
        </is>
      </c>
      <c r="B21" s="20" t="n">
        <v>8</v>
      </c>
    </row>
    <row r="22">
      <c r="A22" s="16" t="inlineStr">
        <is>
          <t>Does Not Qualify</t>
        </is>
      </c>
      <c r="B22" s="20" t="n">
        <v>7</v>
      </c>
    </row>
    <row r="23">
      <c r="A23" s="16" t="inlineStr">
        <is>
          <t>Go To The Branch</t>
        </is>
      </c>
      <c r="B23" s="20" t="n">
        <v>7</v>
      </c>
    </row>
    <row r="24">
      <c r="A24" s="16" t="inlineStr">
        <is>
          <t>Over Age Limit</t>
        </is>
      </c>
      <c r="B24" s="20" t="n">
        <v>7</v>
      </c>
    </row>
    <row r="25">
      <c r="A25" s="16" t="inlineStr">
        <is>
          <t>Selected</t>
        </is>
      </c>
      <c r="B25" s="20" t="n">
        <v>7</v>
      </c>
    </row>
    <row r="26">
      <c r="A26" s="16" t="inlineStr">
        <is>
          <t>Existing Client</t>
        </is>
      </c>
      <c r="B26" s="20" t="n">
        <v>6</v>
      </c>
    </row>
    <row r="27">
      <c r="A27" s="16" t="inlineStr">
        <is>
          <t>Busy Tone</t>
        </is>
      </c>
      <c r="B27" s="20" t="n">
        <v>5</v>
      </c>
    </row>
    <row r="28">
      <c r="A28" s="16" t="inlineStr">
        <is>
          <t>Already Contacted</t>
        </is>
      </c>
      <c r="B28" s="20" t="n">
        <v>3</v>
      </c>
    </row>
    <row r="29">
      <c r="A29" s="16" t="inlineStr">
        <is>
          <t>Wrong Number</t>
        </is>
      </c>
      <c r="B29" s="20" t="n">
        <v>2</v>
      </c>
    </row>
    <row r="30">
      <c r="A30" s="21" t="inlineStr">
        <is>
          <t>Grand Total</t>
        </is>
      </c>
      <c r="B30" s="21" t="n">
        <v>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2026-07-07T13:55:55Z</dcterms:created>
  <dcterms:modified xsi:type="dcterms:W3CDTF">2026-07-07T13:56:05Z</dcterms:modified>
</cp:coreProperties>
</file>