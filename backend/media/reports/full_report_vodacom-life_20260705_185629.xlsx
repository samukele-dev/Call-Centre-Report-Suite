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/>
    </xf>
    <xf numFmtId="3" fontId="1" fillId="4" borderId="5" applyAlignment="1" pivotButton="0" quotePrefix="0" xfId="0">
      <alignment horizontal="center"/>
    </xf>
    <xf numFmtId="10" fontId="1" fillId="4" borderId="5" applyAlignment="1" pivotButton="0" quotePrefix="0" xfId="0">
      <alignment horizontal="center"/>
    </xf>
    <xf numFmtId="0" fontId="0" fillId="0" borderId="5" applyAlignment="1" pivotButton="0" quotePrefix="0" xfId="0">
      <alignment horizontal="left" vertical="center"/>
    </xf>
    <xf numFmtId="3" fontId="1" fillId="5" borderId="5" applyAlignment="1" pivotButton="0" quotePrefix="0" xfId="0">
      <alignment horizontal="center"/>
    </xf>
    <xf numFmtId="0" fontId="2" fillId="6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3" fontId="1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14974483</t>
        </is>
      </c>
      <c r="B2" t="inlineStr">
        <is>
          <t>5838bf1f-25a0-4218-a455-7d43b1089173</t>
        </is>
      </c>
      <c r="D2" t="inlineStr">
        <is>
          <t>11111127</t>
        </is>
      </c>
      <c r="E2" t="inlineStr">
        <is>
          <t>Vodacom Life 20260622</t>
        </is>
      </c>
      <c r="H2" t="inlineStr">
        <is>
          <t>27826903235</t>
        </is>
      </c>
      <c r="J2" t="inlineStr">
        <is>
          <t>IABDN</t>
        </is>
      </c>
      <c r="K2" t="inlineStr">
        <is>
          <t>Inbound Abandon</t>
        </is>
      </c>
      <c r="L2" t="n">
        <v>6</v>
      </c>
      <c r="M2" t="inlineStr">
        <is>
          <t>2026-06-29 16:08:39</t>
        </is>
      </c>
      <c r="N2" t="inlineStr">
        <is>
          <t>system</t>
        </is>
      </c>
      <c r="O2" t="inlineStr">
        <is>
          <t>2026-06-22 14:11:25</t>
        </is>
      </c>
      <c r="P2" t="inlineStr">
        <is>
          <t>2026-06-22 14:11:25</t>
        </is>
      </c>
      <c r="Y2" t="inlineStr">
        <is>
          <t>27826903235</t>
        </is>
      </c>
    </row>
    <row r="3">
      <c r="A3" t="inlineStr">
        <is>
          <t>14974397</t>
        </is>
      </c>
      <c r="B3" t="inlineStr">
        <is>
          <t>9d194877-d791-49ea-99a2-4171d7226ffa</t>
        </is>
      </c>
      <c r="D3" t="inlineStr">
        <is>
          <t>11111127</t>
        </is>
      </c>
      <c r="E3" t="inlineStr">
        <is>
          <t>Vodacom Life 20260622</t>
        </is>
      </c>
      <c r="H3" t="inlineStr">
        <is>
          <t>27648375463</t>
        </is>
      </c>
      <c r="J3" t="inlineStr">
        <is>
          <t>IABDN</t>
        </is>
      </c>
      <c r="K3" t="inlineStr">
        <is>
          <t>Inbound Abandon</t>
        </is>
      </c>
      <c r="L3" t="n">
        <v>6</v>
      </c>
      <c r="M3" t="inlineStr">
        <is>
          <t>2026-06-29 15:49:14</t>
        </is>
      </c>
      <c r="N3" t="inlineStr">
        <is>
          <t>system</t>
        </is>
      </c>
      <c r="O3" t="inlineStr">
        <is>
          <t>2026-06-22 14:11:25</t>
        </is>
      </c>
      <c r="P3" t="inlineStr">
        <is>
          <t>2026-06-22 14:11:25</t>
        </is>
      </c>
      <c r="Y3" t="inlineStr">
        <is>
          <t>27648375463</t>
        </is>
      </c>
    </row>
    <row r="4">
      <c r="A4" t="inlineStr">
        <is>
          <t>14974482</t>
        </is>
      </c>
      <c r="B4" t="inlineStr">
        <is>
          <t>76b8e888-c2d8-469b-a75b-4ec0d0b077b0</t>
        </is>
      </c>
      <c r="D4" t="inlineStr">
        <is>
          <t>11111127</t>
        </is>
      </c>
      <c r="E4" t="inlineStr">
        <is>
          <t>Vodacom Life 20260622</t>
        </is>
      </c>
      <c r="H4" t="inlineStr">
        <is>
          <t>27823723633</t>
        </is>
      </c>
      <c r="J4" t="inlineStr">
        <is>
          <t>IABDN</t>
        </is>
      </c>
      <c r="K4" t="inlineStr">
        <is>
          <t>Inbound Abandon</t>
        </is>
      </c>
      <c r="L4" t="n">
        <v>6</v>
      </c>
      <c r="M4" t="inlineStr">
        <is>
          <t>2026-06-29 15:25:30</t>
        </is>
      </c>
      <c r="N4" t="inlineStr">
        <is>
          <t>system</t>
        </is>
      </c>
      <c r="O4" t="inlineStr">
        <is>
          <t>2026-06-22 14:11:25</t>
        </is>
      </c>
      <c r="P4" t="inlineStr">
        <is>
          <t>2026-06-22 14:11:25</t>
        </is>
      </c>
      <c r="Y4" t="inlineStr">
        <is>
          <t>27823723633</t>
        </is>
      </c>
    </row>
    <row r="5">
      <c r="A5" t="inlineStr">
        <is>
          <t>14973730</t>
        </is>
      </c>
      <c r="B5" t="inlineStr">
        <is>
          <t>feeb7583-d87d-40eb-80b8-763cd906a7be</t>
        </is>
      </c>
      <c r="D5" t="inlineStr">
        <is>
          <t>11111127</t>
        </is>
      </c>
      <c r="E5" t="inlineStr">
        <is>
          <t>Vodacom Life 20260622</t>
        </is>
      </c>
      <c r="H5" t="inlineStr">
        <is>
          <t>27663356472</t>
        </is>
      </c>
      <c r="J5" t="inlineStr">
        <is>
          <t>IABDN</t>
        </is>
      </c>
      <c r="K5" t="inlineStr">
        <is>
          <t>Inbound Abandon</t>
        </is>
      </c>
      <c r="L5" t="n">
        <v>6</v>
      </c>
      <c r="M5" t="inlineStr">
        <is>
          <t>2026-06-29 15:10:19</t>
        </is>
      </c>
      <c r="N5" t="inlineStr">
        <is>
          <t>system</t>
        </is>
      </c>
      <c r="O5" t="inlineStr">
        <is>
          <t>2026-06-22 14:11:25</t>
        </is>
      </c>
      <c r="P5" t="inlineStr">
        <is>
          <t>2026-06-22 14:11:25</t>
        </is>
      </c>
      <c r="Y5" t="inlineStr">
        <is>
          <t>27663356472</t>
        </is>
      </c>
    </row>
    <row r="6">
      <c r="A6" t="inlineStr">
        <is>
          <t>14974176</t>
        </is>
      </c>
      <c r="B6" t="inlineStr">
        <is>
          <t>c69fd74f-a37d-4dcb-ab3c-1cdf3b3f4cb9</t>
        </is>
      </c>
      <c r="D6" t="inlineStr">
        <is>
          <t>11111127</t>
        </is>
      </c>
      <c r="E6" t="inlineStr">
        <is>
          <t>Vodacom Life 20260622</t>
        </is>
      </c>
      <c r="H6" t="inlineStr">
        <is>
          <t>27797350022</t>
        </is>
      </c>
      <c r="J6" t="inlineStr">
        <is>
          <t>CU</t>
        </is>
      </c>
      <c r="K6" t="inlineStr">
        <is>
          <t>Client Hung Up</t>
        </is>
      </c>
      <c r="L6" t="n">
        <v>6</v>
      </c>
      <c r="M6" t="inlineStr">
        <is>
          <t>2026-06-29 15:03:02</t>
        </is>
      </c>
      <c r="N6" t="inlineStr">
        <is>
          <t>Vanessa Kekana</t>
        </is>
      </c>
      <c r="O6" t="inlineStr">
        <is>
          <t>2026-06-22 14:11:25</t>
        </is>
      </c>
      <c r="P6" t="inlineStr">
        <is>
          <t>2026-06-22 14:11:25</t>
        </is>
      </c>
      <c r="Y6" t="inlineStr">
        <is>
          <t>27797350022</t>
        </is>
      </c>
    </row>
    <row r="7">
      <c r="A7" t="inlineStr">
        <is>
          <t>14974174</t>
        </is>
      </c>
      <c r="B7" t="inlineStr">
        <is>
          <t>f4c69802-373a-48cb-9e94-5fddf750c5b9</t>
        </is>
      </c>
      <c r="D7" t="inlineStr">
        <is>
          <t>11111127</t>
        </is>
      </c>
      <c r="E7" t="inlineStr">
        <is>
          <t>Vodacom Life 20260622</t>
        </is>
      </c>
      <c r="H7" t="inlineStr">
        <is>
          <t>27674910878</t>
        </is>
      </c>
      <c r="J7" t="inlineStr">
        <is>
          <t>AE</t>
        </is>
      </c>
      <c r="K7" t="inlineStr">
        <is>
          <t>Auto Engaged</t>
        </is>
      </c>
      <c r="L7" t="n">
        <v>6</v>
      </c>
      <c r="M7" t="inlineStr">
        <is>
          <t>2026-06-29 15:01:25</t>
        </is>
      </c>
      <c r="N7" t="inlineStr">
        <is>
          <t>system</t>
        </is>
      </c>
      <c r="O7" t="inlineStr">
        <is>
          <t>2026-06-22 14:11:25</t>
        </is>
      </c>
      <c r="P7" t="inlineStr">
        <is>
          <t>2026-06-22 14:11:25</t>
        </is>
      </c>
      <c r="Y7" t="inlineStr">
        <is>
          <t>27674910878</t>
        </is>
      </c>
    </row>
    <row r="8">
      <c r="A8" t="inlineStr">
        <is>
          <t>14974175</t>
        </is>
      </c>
      <c r="B8" t="inlineStr">
        <is>
          <t>015922c9-26f9-4fa6-ae8f-e53d0cffd209</t>
        </is>
      </c>
      <c r="D8" t="inlineStr">
        <is>
          <t>11111127</t>
        </is>
      </c>
      <c r="E8" t="inlineStr">
        <is>
          <t>Vodacom Life 20260622</t>
        </is>
      </c>
      <c r="J8" t="inlineStr">
        <is>
          <t>AE</t>
        </is>
      </c>
      <c r="K8" t="inlineStr">
        <is>
          <t>Auto Engaged</t>
        </is>
      </c>
      <c r="L8" t="n">
        <v>6</v>
      </c>
      <c r="M8" t="inlineStr">
        <is>
          <t>2026-06-29 15:01:15</t>
        </is>
      </c>
      <c r="N8" t="inlineStr">
        <is>
          <t>system</t>
        </is>
      </c>
      <c r="O8" t="inlineStr">
        <is>
          <t>2026-06-22 14:11:25</t>
        </is>
      </c>
      <c r="P8" t="inlineStr">
        <is>
          <t>2026-06-22 14:11:25</t>
        </is>
      </c>
      <c r="Y8" t="inlineStr">
        <is>
          <t>27790650402</t>
        </is>
      </c>
    </row>
    <row r="9">
      <c r="A9" t="inlineStr">
        <is>
          <t>14974177</t>
        </is>
      </c>
      <c r="B9" t="inlineStr">
        <is>
          <t>17489c19-035f-4666-8eec-7ba72c767721</t>
        </is>
      </c>
      <c r="D9" t="inlineStr">
        <is>
          <t>11111127</t>
        </is>
      </c>
      <c r="E9" t="inlineStr">
        <is>
          <t>Vodacom Life 20260622</t>
        </is>
      </c>
      <c r="J9" t="inlineStr">
        <is>
          <t>NA</t>
        </is>
      </c>
      <c r="K9" t="inlineStr">
        <is>
          <t>No Answer Autodial</t>
        </is>
      </c>
      <c r="L9" t="n">
        <v>6</v>
      </c>
      <c r="M9" t="inlineStr">
        <is>
          <t>2026-06-29 15:00:24</t>
        </is>
      </c>
      <c r="N9" t="inlineStr">
        <is>
          <t>system</t>
        </is>
      </c>
      <c r="O9" t="inlineStr">
        <is>
          <t>2026-06-22 14:11:25</t>
        </is>
      </c>
      <c r="P9" t="inlineStr">
        <is>
          <t>2026-06-22 14:11:25</t>
        </is>
      </c>
      <c r="Y9" t="inlineStr">
        <is>
          <t>27790752844</t>
        </is>
      </c>
    </row>
    <row r="10">
      <c r="A10" t="inlineStr">
        <is>
          <t>14974461</t>
        </is>
      </c>
      <c r="B10" t="inlineStr">
        <is>
          <t>4b135847-74bb-4011-9bbf-df52313e9b22</t>
        </is>
      </c>
      <c r="D10" t="inlineStr">
        <is>
          <t>11111127</t>
        </is>
      </c>
      <c r="E10" t="inlineStr">
        <is>
          <t>Vodacom Life 20260622</t>
        </is>
      </c>
      <c r="H10" t="inlineStr">
        <is>
          <t>27764698591</t>
        </is>
      </c>
      <c r="J10" t="inlineStr">
        <is>
          <t>IABDN</t>
        </is>
      </c>
      <c r="K10" t="inlineStr">
        <is>
          <t>Inbound Abandon</t>
        </is>
      </c>
      <c r="L10" t="n">
        <v>6</v>
      </c>
      <c r="M10" t="inlineStr">
        <is>
          <t>2026-06-29 14:58:28</t>
        </is>
      </c>
      <c r="N10" t="inlineStr">
        <is>
          <t>system</t>
        </is>
      </c>
      <c r="O10" t="inlineStr">
        <is>
          <t>2026-06-22 14:11:25</t>
        </is>
      </c>
      <c r="P10" t="inlineStr">
        <is>
          <t>2026-06-22 14:11:25</t>
        </is>
      </c>
      <c r="Y10" t="inlineStr">
        <is>
          <t>27764698591</t>
        </is>
      </c>
    </row>
    <row r="11">
      <c r="A11" t="inlineStr">
        <is>
          <t>14974178</t>
        </is>
      </c>
      <c r="B11" t="inlineStr">
        <is>
          <t>9d4902e2-40aa-48be-bf6c-9944a5099279</t>
        </is>
      </c>
      <c r="D11" t="inlineStr">
        <is>
          <t>11111127</t>
        </is>
      </c>
      <c r="E11" t="inlineStr">
        <is>
          <t>Vodacom Life 20260622</t>
        </is>
      </c>
      <c r="J11" t="inlineStr">
        <is>
          <t>AE</t>
        </is>
      </c>
      <c r="K11" t="inlineStr">
        <is>
          <t>Auto Engaged</t>
        </is>
      </c>
      <c r="L11" t="n">
        <v>6</v>
      </c>
      <c r="M11" t="inlineStr">
        <is>
          <t>2026-06-29 14:58:16</t>
        </is>
      </c>
      <c r="N11" t="inlineStr">
        <is>
          <t>system</t>
        </is>
      </c>
      <c r="O11" t="inlineStr">
        <is>
          <t>2026-06-22 14:11:25</t>
        </is>
      </c>
      <c r="P11" t="inlineStr">
        <is>
          <t>2026-06-22 14:11:25</t>
        </is>
      </c>
      <c r="Y11" t="inlineStr">
        <is>
          <t>27792961738</t>
        </is>
      </c>
    </row>
    <row r="12">
      <c r="A12" t="inlineStr">
        <is>
          <t>14974179</t>
        </is>
      </c>
      <c r="B12" t="inlineStr">
        <is>
          <t>6bcca15e-d798-475f-b9ec-c63b73e03c92</t>
        </is>
      </c>
      <c r="D12" t="inlineStr">
        <is>
          <t>11111127</t>
        </is>
      </c>
      <c r="E12" t="inlineStr">
        <is>
          <t>Vodacom Life 20260622</t>
        </is>
      </c>
      <c r="J12" t="inlineStr">
        <is>
          <t>AA</t>
        </is>
      </c>
      <c r="K12" t="inlineStr">
        <is>
          <t>Answering Machine Autodial</t>
        </is>
      </c>
      <c r="L12" t="n">
        <v>6</v>
      </c>
      <c r="M12" t="inlineStr">
        <is>
          <t>2026-06-29 14:58:14</t>
        </is>
      </c>
      <c r="N12" t="inlineStr">
        <is>
          <t>system</t>
        </is>
      </c>
      <c r="O12" t="inlineStr">
        <is>
          <t>2026-06-22 14:11:25</t>
        </is>
      </c>
      <c r="P12" t="inlineStr">
        <is>
          <t>2026-06-22 14:11:25</t>
        </is>
      </c>
      <c r="Y12" t="inlineStr">
        <is>
          <t>27767678893</t>
        </is>
      </c>
    </row>
    <row r="13">
      <c r="A13" t="inlineStr">
        <is>
          <t>14974193</t>
        </is>
      </c>
      <c r="B13" t="inlineStr">
        <is>
          <t>719b5ee2-6468-4223-bf8b-9ea2827aa918</t>
        </is>
      </c>
      <c r="D13" t="inlineStr">
        <is>
          <t>11111127</t>
        </is>
      </c>
      <c r="E13" t="inlineStr">
        <is>
          <t>Vodacom Life 20260622</t>
        </is>
      </c>
      <c r="J13" t="inlineStr">
        <is>
          <t>AE</t>
        </is>
      </c>
      <c r="K13" t="inlineStr">
        <is>
          <t>Auto Engaged</t>
        </is>
      </c>
      <c r="L13" t="n">
        <v>6</v>
      </c>
      <c r="M13" t="inlineStr">
        <is>
          <t>2026-06-29 14:58:13</t>
        </is>
      </c>
      <c r="N13" t="inlineStr">
        <is>
          <t>system</t>
        </is>
      </c>
      <c r="O13" t="inlineStr">
        <is>
          <t>2026-06-22 14:11:25</t>
        </is>
      </c>
      <c r="P13" t="inlineStr">
        <is>
          <t>2026-06-22 14:11:25</t>
        </is>
      </c>
      <c r="Y13" t="inlineStr">
        <is>
          <t>27664022854</t>
        </is>
      </c>
    </row>
    <row r="14">
      <c r="A14" t="inlineStr">
        <is>
          <t>14974195</t>
        </is>
      </c>
      <c r="B14" t="inlineStr">
        <is>
          <t>1da9539e-f765-46fc-9431-6bc5f171e33f</t>
        </is>
      </c>
      <c r="D14" t="inlineStr">
        <is>
          <t>11111127</t>
        </is>
      </c>
      <c r="E14" t="inlineStr">
        <is>
          <t>Vodacom Life 20260622</t>
        </is>
      </c>
      <c r="J14" t="inlineStr">
        <is>
          <t>CU</t>
        </is>
      </c>
      <c r="K14" t="inlineStr">
        <is>
          <t>Client Hung Up</t>
        </is>
      </c>
      <c r="L14" t="n">
        <v>6</v>
      </c>
      <c r="M14" t="inlineStr">
        <is>
          <t>2026-06-29 14:58:02</t>
        </is>
      </c>
      <c r="N14" t="inlineStr">
        <is>
          <t>Vanessa Kekana</t>
        </is>
      </c>
      <c r="O14" t="inlineStr">
        <is>
          <t>2026-06-22 14:11:25</t>
        </is>
      </c>
      <c r="P14" t="inlineStr">
        <is>
          <t>2026-06-22 14:11:25</t>
        </is>
      </c>
      <c r="Y14" t="inlineStr">
        <is>
          <t>27715595904</t>
        </is>
      </c>
    </row>
    <row r="15">
      <c r="A15" t="inlineStr">
        <is>
          <t>14974196</t>
        </is>
      </c>
      <c r="B15" t="inlineStr">
        <is>
          <t>d318b7ec-8bd2-4edc-9fdb-f84ed09d32aa</t>
        </is>
      </c>
      <c r="D15" t="inlineStr">
        <is>
          <t>11111127</t>
        </is>
      </c>
      <c r="E15" t="inlineStr">
        <is>
          <t>Vodacom Life 20260622</t>
        </is>
      </c>
      <c r="J15" t="inlineStr">
        <is>
          <t>NA</t>
        </is>
      </c>
      <c r="K15" t="inlineStr">
        <is>
          <t>No Answer Autodial</t>
        </is>
      </c>
      <c r="L15" t="n">
        <v>6</v>
      </c>
      <c r="M15" t="inlineStr">
        <is>
          <t>2026-06-29 14:58:02</t>
        </is>
      </c>
      <c r="N15" t="inlineStr">
        <is>
          <t>system</t>
        </is>
      </c>
      <c r="O15" t="inlineStr">
        <is>
          <t>2026-06-22 14:11:25</t>
        </is>
      </c>
      <c r="P15" t="inlineStr">
        <is>
          <t>2026-06-22 14:11:25</t>
        </is>
      </c>
      <c r="Y15" t="inlineStr">
        <is>
          <t>27647388629</t>
        </is>
      </c>
    </row>
    <row r="16">
      <c r="A16" t="inlineStr">
        <is>
          <t>14974197</t>
        </is>
      </c>
      <c r="B16" t="inlineStr">
        <is>
          <t>03a7147c-02ec-44c8-9a56-f83fa579d8f5</t>
        </is>
      </c>
      <c r="D16" t="inlineStr">
        <is>
          <t>11111127</t>
        </is>
      </c>
      <c r="E16" t="inlineStr">
        <is>
          <t>Vodacom Life 20260622</t>
        </is>
      </c>
      <c r="J16" t="inlineStr">
        <is>
          <t>AE</t>
        </is>
      </c>
      <c r="K16" t="inlineStr">
        <is>
          <t>Auto Engaged</t>
        </is>
      </c>
      <c r="L16" t="n">
        <v>6</v>
      </c>
      <c r="M16" t="inlineStr">
        <is>
          <t>2026-06-29 14:57:38</t>
        </is>
      </c>
      <c r="N16" t="inlineStr">
        <is>
          <t>system</t>
        </is>
      </c>
      <c r="O16" t="inlineStr">
        <is>
          <t>2026-06-22 14:11:25</t>
        </is>
      </c>
      <c r="P16" t="inlineStr">
        <is>
          <t>2026-06-22 14:11:25</t>
        </is>
      </c>
      <c r="Y16" t="inlineStr">
        <is>
          <t>27726339701</t>
        </is>
      </c>
    </row>
    <row r="17">
      <c r="A17" t="inlineStr">
        <is>
          <t>14974198</t>
        </is>
      </c>
      <c r="B17" t="inlineStr">
        <is>
          <t>fda39d08-4f4e-4f65-887f-4d9982f03a5e</t>
        </is>
      </c>
      <c r="D17" t="inlineStr">
        <is>
          <t>11111127</t>
        </is>
      </c>
      <c r="E17" t="inlineStr">
        <is>
          <t>Vodacom Life 20260622</t>
        </is>
      </c>
      <c r="J17" t="inlineStr">
        <is>
          <t>AE</t>
        </is>
      </c>
      <c r="K17" t="inlineStr">
        <is>
          <t>Auto Engaged</t>
        </is>
      </c>
      <c r="L17" t="n">
        <v>6</v>
      </c>
      <c r="M17" t="inlineStr">
        <is>
          <t>2026-06-29 14:57:35</t>
        </is>
      </c>
      <c r="N17" t="inlineStr">
        <is>
          <t>system</t>
        </is>
      </c>
      <c r="O17" t="inlineStr">
        <is>
          <t>2026-06-22 14:11:25</t>
        </is>
      </c>
      <c r="P17" t="inlineStr">
        <is>
          <t>2026-06-22 14:11:25</t>
        </is>
      </c>
      <c r="Y17" t="inlineStr">
        <is>
          <t>27823129037</t>
        </is>
      </c>
    </row>
    <row r="18">
      <c r="A18" t="inlineStr">
        <is>
          <t>14974199</t>
        </is>
      </c>
      <c r="B18" t="inlineStr">
        <is>
          <t>8eaf87d5-ea71-4f60-8257-cce09a354e81</t>
        </is>
      </c>
      <c r="D18" t="inlineStr">
        <is>
          <t>11111127</t>
        </is>
      </c>
      <c r="E18" t="inlineStr">
        <is>
          <t>Vodacom Life 20260622</t>
        </is>
      </c>
      <c r="H18" t="inlineStr">
        <is>
          <t>27825033483</t>
        </is>
      </c>
      <c r="J18" t="inlineStr">
        <is>
          <t>CU</t>
        </is>
      </c>
      <c r="K18" t="inlineStr">
        <is>
          <t>Client Hung Up</t>
        </is>
      </c>
      <c r="L18" t="n">
        <v>6</v>
      </c>
      <c r="M18" t="inlineStr">
        <is>
          <t>2026-06-29 14:57:30</t>
        </is>
      </c>
      <c r="N18" t="inlineStr">
        <is>
          <t>Vanessa Kekana</t>
        </is>
      </c>
      <c r="O18" t="inlineStr">
        <is>
          <t>2026-06-22 14:11:25</t>
        </is>
      </c>
      <c r="P18" t="inlineStr">
        <is>
          <t>2026-06-22 14:11:25</t>
        </is>
      </c>
      <c r="Y18" t="inlineStr">
        <is>
          <t>27825033483</t>
        </is>
      </c>
    </row>
    <row r="19">
      <c r="A19" t="inlineStr">
        <is>
          <t>14974201</t>
        </is>
      </c>
      <c r="B19" t="inlineStr">
        <is>
          <t>dd874776-3b6e-49e9-a048-3715e0b3c166</t>
        </is>
      </c>
      <c r="D19" t="inlineStr">
        <is>
          <t>11111127</t>
        </is>
      </c>
      <c r="E19" t="inlineStr">
        <is>
          <t>Vodacom Life 20260622</t>
        </is>
      </c>
      <c r="J19" t="inlineStr">
        <is>
          <t>AE</t>
        </is>
      </c>
      <c r="K19" t="inlineStr">
        <is>
          <t>Auto Engaged</t>
        </is>
      </c>
      <c r="L19" t="n">
        <v>6</v>
      </c>
      <c r="M19" t="inlineStr">
        <is>
          <t>2026-06-29 14:57:29</t>
        </is>
      </c>
      <c r="N19" t="inlineStr">
        <is>
          <t>system</t>
        </is>
      </c>
      <c r="O19" t="inlineStr">
        <is>
          <t>2026-06-22 14:11:25</t>
        </is>
      </c>
      <c r="P19" t="inlineStr">
        <is>
          <t>2026-06-22 14:11:25</t>
        </is>
      </c>
      <c r="Y19" t="inlineStr">
        <is>
          <t>27765575502</t>
        </is>
      </c>
    </row>
    <row r="20">
      <c r="A20" t="inlineStr">
        <is>
          <t>14974202</t>
        </is>
      </c>
      <c r="B20" t="inlineStr">
        <is>
          <t>82f289eb-06d9-4fa1-bfbc-17fe87542ffb</t>
        </is>
      </c>
      <c r="D20" t="inlineStr">
        <is>
          <t>11111127</t>
        </is>
      </c>
      <c r="E20" t="inlineStr">
        <is>
          <t>Vodacom Life 20260622</t>
        </is>
      </c>
      <c r="J20" t="inlineStr">
        <is>
          <t>AE</t>
        </is>
      </c>
      <c r="K20" t="inlineStr">
        <is>
          <t>Auto Engaged</t>
        </is>
      </c>
      <c r="L20" t="n">
        <v>6</v>
      </c>
      <c r="M20" t="inlineStr">
        <is>
          <t>2026-06-29 14:57:29</t>
        </is>
      </c>
      <c r="N20" t="inlineStr">
        <is>
          <t>system</t>
        </is>
      </c>
      <c r="O20" t="inlineStr">
        <is>
          <t>2026-06-22 14:11:25</t>
        </is>
      </c>
      <c r="P20" t="inlineStr">
        <is>
          <t>2026-06-22 14:11:25</t>
        </is>
      </c>
      <c r="Y20" t="inlineStr">
        <is>
          <t>27711134406</t>
        </is>
      </c>
    </row>
    <row r="21">
      <c r="A21" t="inlineStr">
        <is>
          <t>14974180</t>
        </is>
      </c>
      <c r="B21" t="inlineStr">
        <is>
          <t>c6d79450-fbe5-4b03-ae91-0b0919ae81a4</t>
        </is>
      </c>
      <c r="D21" t="inlineStr">
        <is>
          <t>11111127</t>
        </is>
      </c>
      <c r="E21" t="inlineStr">
        <is>
          <t>Vodacom Life 20260622</t>
        </is>
      </c>
      <c r="J21" t="inlineStr">
        <is>
          <t>NA</t>
        </is>
      </c>
      <c r="K21" t="inlineStr">
        <is>
          <t>No Answer Autodial</t>
        </is>
      </c>
      <c r="L21" t="n">
        <v>6</v>
      </c>
      <c r="M21" t="inlineStr">
        <is>
          <t>2026-06-29 14:55:27</t>
        </is>
      </c>
      <c r="N21" t="inlineStr">
        <is>
          <t>system</t>
        </is>
      </c>
      <c r="O21" t="inlineStr">
        <is>
          <t>2026-06-22 14:11:25</t>
        </is>
      </c>
      <c r="P21" t="inlineStr">
        <is>
          <t>2026-06-22 14:11:25</t>
        </is>
      </c>
      <c r="Y21" t="inlineStr">
        <is>
          <t>27769646227</t>
        </is>
      </c>
    </row>
    <row r="22">
      <c r="A22" t="inlineStr">
        <is>
          <t>14974181</t>
        </is>
      </c>
      <c r="B22" t="inlineStr">
        <is>
          <t>406fa12b-82d8-4650-aec4-e3921a845a07</t>
        </is>
      </c>
      <c r="D22" t="inlineStr">
        <is>
          <t>11111127</t>
        </is>
      </c>
      <c r="E22" t="inlineStr">
        <is>
          <t>Vodacom Life 20260622</t>
        </is>
      </c>
      <c r="J22" t="inlineStr">
        <is>
          <t>DROP</t>
        </is>
      </c>
      <c r="K22" t="inlineStr">
        <is>
          <t>Dropped</t>
        </is>
      </c>
      <c r="L22" t="n">
        <v>6</v>
      </c>
      <c r="M22" t="inlineStr">
        <is>
          <t>2026-06-29 14:55:07</t>
        </is>
      </c>
      <c r="N22" t="inlineStr">
        <is>
          <t>system</t>
        </is>
      </c>
      <c r="O22" t="inlineStr">
        <is>
          <t>2026-06-22 14:11:25</t>
        </is>
      </c>
      <c r="P22" t="inlineStr">
        <is>
          <t>2026-06-22 14:11:25</t>
        </is>
      </c>
      <c r="Y22" t="inlineStr">
        <is>
          <t>27790878598</t>
        </is>
      </c>
    </row>
    <row r="23">
      <c r="A23" t="inlineStr">
        <is>
          <t>14974182</t>
        </is>
      </c>
      <c r="B23" t="inlineStr">
        <is>
          <t>84b2c8e7-ad03-432b-8b5e-3a6292887ae8</t>
        </is>
      </c>
      <c r="D23" t="inlineStr">
        <is>
          <t>11111127</t>
        </is>
      </c>
      <c r="E23" t="inlineStr">
        <is>
          <t>Vodacom Life 20260622</t>
        </is>
      </c>
      <c r="J23" t="inlineStr">
        <is>
          <t>AE</t>
        </is>
      </c>
      <c r="K23" t="inlineStr">
        <is>
          <t>Auto Engaged</t>
        </is>
      </c>
      <c r="L23" t="n">
        <v>6</v>
      </c>
      <c r="M23" t="inlineStr">
        <is>
          <t>2026-06-29 14:55:07</t>
        </is>
      </c>
      <c r="N23" t="inlineStr">
        <is>
          <t>system</t>
        </is>
      </c>
      <c r="O23" t="inlineStr">
        <is>
          <t>2026-06-22 14:11:25</t>
        </is>
      </c>
      <c r="P23" t="inlineStr">
        <is>
          <t>2026-06-22 14:11:25</t>
        </is>
      </c>
      <c r="Y23" t="inlineStr">
        <is>
          <t>27762460049</t>
        </is>
      </c>
    </row>
    <row r="24">
      <c r="A24" t="inlineStr">
        <is>
          <t>14974183</t>
        </is>
      </c>
      <c r="B24" t="inlineStr">
        <is>
          <t>bffb8764-f8a4-42f2-ae09-3d79ade672b9</t>
        </is>
      </c>
      <c r="D24" t="inlineStr">
        <is>
          <t>11111127</t>
        </is>
      </c>
      <c r="E24" t="inlineStr">
        <is>
          <t>Vodacom Life 20260622</t>
        </is>
      </c>
      <c r="J24" t="inlineStr">
        <is>
          <t>AA</t>
        </is>
      </c>
      <c r="K24" t="inlineStr">
        <is>
          <t>Answering Machine Autodial</t>
        </is>
      </c>
      <c r="L24" t="n">
        <v>6</v>
      </c>
      <c r="M24" t="inlineStr">
        <is>
          <t>2026-06-29 14:55:06</t>
        </is>
      </c>
      <c r="N24" t="inlineStr">
        <is>
          <t>system</t>
        </is>
      </c>
      <c r="O24" t="inlineStr">
        <is>
          <t>2026-06-22 14:11:25</t>
        </is>
      </c>
      <c r="P24" t="inlineStr">
        <is>
          <t>2026-06-22 14:11:25</t>
        </is>
      </c>
      <c r="Y24" t="inlineStr">
        <is>
          <t>27762677088</t>
        </is>
      </c>
    </row>
    <row r="25">
      <c r="A25" t="inlineStr">
        <is>
          <t>14974185</t>
        </is>
      </c>
      <c r="B25" t="inlineStr">
        <is>
          <t>0bf6378a-47fe-4b50-8603-bf696c3afea3</t>
        </is>
      </c>
      <c r="D25" t="inlineStr">
        <is>
          <t>11111127</t>
        </is>
      </c>
      <c r="E25" t="inlineStr">
        <is>
          <t>Vodacom Life 20260622</t>
        </is>
      </c>
      <c r="J25" t="inlineStr">
        <is>
          <t>AA</t>
        </is>
      </c>
      <c r="K25" t="inlineStr">
        <is>
          <t>Answering Machine Autodial</t>
        </is>
      </c>
      <c r="L25" t="n">
        <v>6</v>
      </c>
      <c r="M25" t="inlineStr">
        <is>
          <t>2026-06-29 14:55:06</t>
        </is>
      </c>
      <c r="N25" t="inlineStr">
        <is>
          <t>system</t>
        </is>
      </c>
      <c r="O25" t="inlineStr">
        <is>
          <t>2026-06-22 14:11:25</t>
        </is>
      </c>
      <c r="P25" t="inlineStr">
        <is>
          <t>2026-06-22 14:11:25</t>
        </is>
      </c>
      <c r="Y25" t="inlineStr">
        <is>
          <t>27647398446</t>
        </is>
      </c>
    </row>
    <row r="26">
      <c r="A26" t="inlineStr">
        <is>
          <t>14974186</t>
        </is>
      </c>
      <c r="B26" t="inlineStr">
        <is>
          <t>8c55446c-de27-4c13-b24e-3c6c7957ac49</t>
        </is>
      </c>
      <c r="D26" t="inlineStr">
        <is>
          <t>11111127</t>
        </is>
      </c>
      <c r="E26" t="inlineStr">
        <is>
          <t>Vodacom Life 20260622</t>
        </is>
      </c>
      <c r="H26" t="inlineStr">
        <is>
          <t>27712223898</t>
        </is>
      </c>
      <c r="J26" t="inlineStr">
        <is>
          <t>CBACK</t>
        </is>
      </c>
      <c r="K26" t="inlineStr">
        <is>
          <t>Callback</t>
        </is>
      </c>
      <c r="L26" t="n">
        <v>6</v>
      </c>
      <c r="M26" t="inlineStr">
        <is>
          <t>2026-06-29 14:55:06</t>
        </is>
      </c>
      <c r="N26" t="inlineStr">
        <is>
          <t>Vanessa Kekana</t>
        </is>
      </c>
      <c r="O26" t="inlineStr">
        <is>
          <t>2026-06-22 14:11:25</t>
        </is>
      </c>
      <c r="P26" t="inlineStr">
        <is>
          <t>2026-06-22 14:11:25</t>
        </is>
      </c>
      <c r="Y26" t="inlineStr">
        <is>
          <t>27712223898</t>
        </is>
      </c>
    </row>
    <row r="27">
      <c r="A27" t="inlineStr">
        <is>
          <t>14974625</t>
        </is>
      </c>
      <c r="B27" t="inlineStr">
        <is>
          <t>aaf5d9d6-6579-4f79-a67f-dad66067679e</t>
        </is>
      </c>
      <c r="D27" t="inlineStr">
        <is>
          <t>11111127</t>
        </is>
      </c>
      <c r="E27" t="inlineStr">
        <is>
          <t>Vodacom Life 20260622</t>
        </is>
      </c>
      <c r="J27" t="inlineStr">
        <is>
          <t>U</t>
        </is>
      </c>
      <c r="K27" t="inlineStr">
        <is>
          <t>Unemployed</t>
        </is>
      </c>
      <c r="L27" t="n">
        <v>7</v>
      </c>
      <c r="M27" t="inlineStr">
        <is>
          <t>2026-06-29 14:53:30</t>
        </is>
      </c>
      <c r="N27" t="inlineStr">
        <is>
          <t>Maureen Ntsoko</t>
        </is>
      </c>
      <c r="O27" t="inlineStr">
        <is>
          <t>2026-06-22 14:11:25</t>
        </is>
      </c>
      <c r="P27" t="inlineStr">
        <is>
          <t>2026-06-22 14:11:25</t>
        </is>
      </c>
      <c r="Y27" t="inlineStr">
        <is>
          <t>27716815100</t>
        </is>
      </c>
    </row>
    <row r="28">
      <c r="A28" t="inlineStr">
        <is>
          <t>14974188</t>
        </is>
      </c>
      <c r="B28" t="inlineStr">
        <is>
          <t>69b5ad79-eed8-4b8e-8921-28c9d3d8e9e8</t>
        </is>
      </c>
      <c r="D28" t="inlineStr">
        <is>
          <t>11111127</t>
        </is>
      </c>
      <c r="E28" t="inlineStr">
        <is>
          <t>Vodacom Life 20260622</t>
        </is>
      </c>
      <c r="J28" t="inlineStr">
        <is>
          <t>AE</t>
        </is>
      </c>
      <c r="K28" t="inlineStr">
        <is>
          <t>Auto Engaged</t>
        </is>
      </c>
      <c r="L28" t="n">
        <v>6</v>
      </c>
      <c r="M28" t="inlineStr">
        <is>
          <t>2026-06-29 14:53:29</t>
        </is>
      </c>
      <c r="N28" t="inlineStr">
        <is>
          <t>system</t>
        </is>
      </c>
      <c r="O28" t="inlineStr">
        <is>
          <t>2026-06-22 14:11:25</t>
        </is>
      </c>
      <c r="P28" t="inlineStr">
        <is>
          <t>2026-06-22 14:11:25</t>
        </is>
      </c>
      <c r="Y28" t="inlineStr">
        <is>
          <t>27606924264</t>
        </is>
      </c>
    </row>
    <row r="29">
      <c r="A29" t="inlineStr">
        <is>
          <t>14974189</t>
        </is>
      </c>
      <c r="B29" t="inlineStr">
        <is>
          <t>2842572c-53be-441e-b8df-a0e1c29f64bc</t>
        </is>
      </c>
      <c r="D29" t="inlineStr">
        <is>
          <t>11111127</t>
        </is>
      </c>
      <c r="E29" t="inlineStr">
        <is>
          <t>Vodacom Life 20260622</t>
        </is>
      </c>
      <c r="J29" t="inlineStr">
        <is>
          <t>AE</t>
        </is>
      </c>
      <c r="K29" t="inlineStr">
        <is>
          <t>Auto Engaged</t>
        </is>
      </c>
      <c r="L29" t="n">
        <v>6</v>
      </c>
      <c r="M29" t="inlineStr">
        <is>
          <t>2026-06-29 14:53:28</t>
        </is>
      </c>
      <c r="N29" t="inlineStr">
        <is>
          <t>system</t>
        </is>
      </c>
      <c r="O29" t="inlineStr">
        <is>
          <t>2026-06-22 14:11:25</t>
        </is>
      </c>
      <c r="P29" t="inlineStr">
        <is>
          <t>2026-06-22 14:11:25</t>
        </is>
      </c>
      <c r="Y29" t="inlineStr">
        <is>
          <t>27822560453</t>
        </is>
      </c>
    </row>
    <row r="30">
      <c r="A30" t="inlineStr">
        <is>
          <t>14974190</t>
        </is>
      </c>
      <c r="B30" t="inlineStr">
        <is>
          <t>87731b9a-269a-4df0-a377-55e4868dfb56</t>
        </is>
      </c>
      <c r="D30" t="inlineStr">
        <is>
          <t>11111127</t>
        </is>
      </c>
      <c r="E30" t="inlineStr">
        <is>
          <t>Vodacom Life 20260622</t>
        </is>
      </c>
      <c r="J30" t="inlineStr">
        <is>
          <t>NA</t>
        </is>
      </c>
      <c r="K30" t="inlineStr">
        <is>
          <t>No Answer Autodial</t>
        </is>
      </c>
      <c r="L30" t="n">
        <v>6</v>
      </c>
      <c r="M30" t="inlineStr">
        <is>
          <t>2026-06-29 14:53:28</t>
        </is>
      </c>
      <c r="N30" t="inlineStr">
        <is>
          <t>system</t>
        </is>
      </c>
      <c r="O30" t="inlineStr">
        <is>
          <t>2026-06-22 14:11:25</t>
        </is>
      </c>
      <c r="P30" t="inlineStr">
        <is>
          <t>2026-06-22 14:11:25</t>
        </is>
      </c>
      <c r="Y30" t="inlineStr">
        <is>
          <t>27799303045</t>
        </is>
      </c>
    </row>
    <row r="31">
      <c r="A31" t="inlineStr">
        <is>
          <t>14974191</t>
        </is>
      </c>
      <c r="B31" t="inlineStr">
        <is>
          <t>ce9067bb-0065-42e9-a2a8-5e212730c184</t>
        </is>
      </c>
      <c r="D31" t="inlineStr">
        <is>
          <t>11111127</t>
        </is>
      </c>
      <c r="E31" t="inlineStr">
        <is>
          <t>Vodacom Life 20260622</t>
        </is>
      </c>
      <c r="J31" t="inlineStr">
        <is>
          <t>AA</t>
        </is>
      </c>
      <c r="K31" t="inlineStr">
        <is>
          <t>Answering Machine Autodial</t>
        </is>
      </c>
      <c r="L31" t="n">
        <v>6</v>
      </c>
      <c r="M31" t="inlineStr">
        <is>
          <t>2026-06-29 14:53:28</t>
        </is>
      </c>
      <c r="N31" t="inlineStr">
        <is>
          <t>system</t>
        </is>
      </c>
      <c r="O31" t="inlineStr">
        <is>
          <t>2026-06-22 14:11:25</t>
        </is>
      </c>
      <c r="P31" t="inlineStr">
        <is>
          <t>2026-06-22 14:11:25</t>
        </is>
      </c>
      <c r="Y31" t="inlineStr">
        <is>
          <t>27797776880</t>
        </is>
      </c>
    </row>
    <row r="32">
      <c r="A32" t="inlineStr">
        <is>
          <t>14973889</t>
        </is>
      </c>
      <c r="B32" t="inlineStr">
        <is>
          <t>745d5b8d-2843-42e0-a1f3-51370f3aa31c</t>
        </is>
      </c>
      <c r="D32" t="inlineStr">
        <is>
          <t>11111127</t>
        </is>
      </c>
      <c r="E32" t="inlineStr">
        <is>
          <t>Vodacom Life 20260622</t>
        </is>
      </c>
      <c r="H32" t="inlineStr">
        <is>
          <t>27607507978</t>
        </is>
      </c>
      <c r="J32" t="inlineStr">
        <is>
          <t>IABDN</t>
        </is>
      </c>
      <c r="K32" t="inlineStr">
        <is>
          <t>Inbound Abandon</t>
        </is>
      </c>
      <c r="L32" t="n">
        <v>6</v>
      </c>
      <c r="M32" t="inlineStr">
        <is>
          <t>2026-06-29 14:53:11</t>
        </is>
      </c>
      <c r="N32" t="inlineStr">
        <is>
          <t>system</t>
        </is>
      </c>
      <c r="O32" t="inlineStr">
        <is>
          <t>2026-06-22 14:11:25</t>
        </is>
      </c>
      <c r="P32" t="inlineStr">
        <is>
          <t>2026-06-22 14:11:25</t>
        </is>
      </c>
      <c r="Y32" t="inlineStr">
        <is>
          <t>27607507978</t>
        </is>
      </c>
    </row>
    <row r="33">
      <c r="A33" t="inlineStr">
        <is>
          <t>14974646</t>
        </is>
      </c>
      <c r="B33" t="inlineStr">
        <is>
          <t>623afe00-7781-464f-b6fe-322ed1436e85</t>
        </is>
      </c>
      <c r="D33" t="inlineStr">
        <is>
          <t>11111127</t>
        </is>
      </c>
      <c r="E33" t="inlineStr">
        <is>
          <t>Vodacom Life 20260622</t>
        </is>
      </c>
      <c r="J33" t="inlineStr">
        <is>
          <t>DROP</t>
        </is>
      </c>
      <c r="K33" t="inlineStr">
        <is>
          <t>Dropped</t>
        </is>
      </c>
      <c r="L33" t="n">
        <v>6</v>
      </c>
      <c r="M33" t="inlineStr">
        <is>
          <t>2026-06-29 14:52:42</t>
        </is>
      </c>
      <c r="N33" t="inlineStr">
        <is>
          <t>system</t>
        </is>
      </c>
      <c r="O33" t="inlineStr">
        <is>
          <t>2026-06-22 14:11:25</t>
        </is>
      </c>
      <c r="P33" t="inlineStr">
        <is>
          <t>2026-06-22 14:11:25</t>
        </is>
      </c>
      <c r="Y33" t="inlineStr">
        <is>
          <t>27820998992</t>
        </is>
      </c>
    </row>
    <row r="34">
      <c r="A34" t="inlineStr">
        <is>
          <t>14974608</t>
        </is>
      </c>
      <c r="B34" t="inlineStr">
        <is>
          <t>7ce04aa7-eb7a-494c-98b8-8f9185f282b4</t>
        </is>
      </c>
      <c r="D34" t="inlineStr">
        <is>
          <t>11111127</t>
        </is>
      </c>
      <c r="E34" t="inlineStr">
        <is>
          <t>Vodacom Life 20260622</t>
        </is>
      </c>
      <c r="J34" t="inlineStr">
        <is>
          <t>DROP</t>
        </is>
      </c>
      <c r="K34" t="inlineStr">
        <is>
          <t>Dropped</t>
        </is>
      </c>
      <c r="L34" t="n">
        <v>6</v>
      </c>
      <c r="M34" t="inlineStr">
        <is>
          <t>2026-06-29 14:52:42</t>
        </is>
      </c>
      <c r="N34" t="inlineStr">
        <is>
          <t>system</t>
        </is>
      </c>
      <c r="O34" t="inlineStr">
        <is>
          <t>2026-06-22 14:11:25</t>
        </is>
      </c>
      <c r="P34" t="inlineStr">
        <is>
          <t>2026-06-22 14:11:25</t>
        </is>
      </c>
      <c r="Y34" t="inlineStr">
        <is>
          <t>27663832845</t>
        </is>
      </c>
    </row>
    <row r="35">
      <c r="A35" t="inlineStr">
        <is>
          <t>14974622</t>
        </is>
      </c>
      <c r="B35" t="inlineStr">
        <is>
          <t>0b85fcc4-5783-48af-b778-01d94771448a</t>
        </is>
      </c>
      <c r="D35" t="inlineStr">
        <is>
          <t>11111127</t>
        </is>
      </c>
      <c r="E35" t="inlineStr">
        <is>
          <t>Vodacom Life 20260622</t>
        </is>
      </c>
      <c r="H35" t="inlineStr">
        <is>
          <t>27761446379</t>
        </is>
      </c>
      <c r="J35" t="inlineStr">
        <is>
          <t>AA</t>
        </is>
      </c>
      <c r="K35" t="inlineStr">
        <is>
          <t>Answering Machine Autodial</t>
        </is>
      </c>
      <c r="L35" t="n">
        <v>6</v>
      </c>
      <c r="M35" t="inlineStr">
        <is>
          <t>2026-06-29 14:52:42</t>
        </is>
      </c>
      <c r="N35" t="inlineStr">
        <is>
          <t>system</t>
        </is>
      </c>
      <c r="O35" t="inlineStr">
        <is>
          <t>2026-06-22 14:11:25</t>
        </is>
      </c>
      <c r="P35" t="inlineStr">
        <is>
          <t>2026-06-22 14:11:25</t>
        </is>
      </c>
      <c r="Y35" t="inlineStr">
        <is>
          <t>27761446379</t>
        </is>
      </c>
    </row>
    <row r="36">
      <c r="A36" t="inlineStr">
        <is>
          <t>14974623</t>
        </is>
      </c>
      <c r="B36" t="inlineStr">
        <is>
          <t>45455cbd-5cc4-4d32-9152-2ce3760f759a</t>
        </is>
      </c>
      <c r="D36" t="inlineStr">
        <is>
          <t>11111127</t>
        </is>
      </c>
      <c r="E36" t="inlineStr">
        <is>
          <t>Vodacom Life 20260622</t>
        </is>
      </c>
      <c r="J36" t="inlineStr">
        <is>
          <t>NA</t>
        </is>
      </c>
      <c r="K36" t="inlineStr">
        <is>
          <t>No Answer Autodial</t>
        </is>
      </c>
      <c r="L36" t="n">
        <v>6</v>
      </c>
      <c r="M36" t="inlineStr">
        <is>
          <t>2026-06-29 14:52:42</t>
        </is>
      </c>
      <c r="N36" t="inlineStr">
        <is>
          <t>system</t>
        </is>
      </c>
      <c r="O36" t="inlineStr">
        <is>
          <t>2026-06-22 14:11:25</t>
        </is>
      </c>
      <c r="P36" t="inlineStr">
        <is>
          <t>2026-06-22 14:11:25</t>
        </is>
      </c>
      <c r="Y36" t="inlineStr">
        <is>
          <t>27729812597</t>
        </is>
      </c>
    </row>
    <row r="37">
      <c r="A37" t="inlineStr">
        <is>
          <t>14974604</t>
        </is>
      </c>
      <c r="B37" t="inlineStr">
        <is>
          <t>7d18ae62-ff91-47cc-bc32-e28a42bba6fb</t>
        </is>
      </c>
      <c r="D37" t="inlineStr">
        <is>
          <t>11111127</t>
        </is>
      </c>
      <c r="E37" t="inlineStr">
        <is>
          <t>Vodacom Life 20260622</t>
        </is>
      </c>
      <c r="J37" t="inlineStr">
        <is>
          <t>DROP</t>
        </is>
      </c>
      <c r="K37" t="inlineStr">
        <is>
          <t>Dropped</t>
        </is>
      </c>
      <c r="L37" t="n">
        <v>6</v>
      </c>
      <c r="M37" t="inlineStr">
        <is>
          <t>2026-06-29 14:52:36</t>
        </is>
      </c>
      <c r="N37" t="inlineStr">
        <is>
          <t>system</t>
        </is>
      </c>
      <c r="O37" t="inlineStr">
        <is>
          <t>2026-06-22 14:11:25</t>
        </is>
      </c>
      <c r="P37" t="inlineStr">
        <is>
          <t>2026-06-22 14:11:25</t>
        </is>
      </c>
      <c r="Y37" t="inlineStr">
        <is>
          <t>27729585721</t>
        </is>
      </c>
    </row>
    <row r="38">
      <c r="A38" t="inlineStr">
        <is>
          <t>15000000</t>
        </is>
      </c>
      <c r="B38" t="inlineStr">
        <is>
          <t>e293773f-f570-4733-9676-4b08dd0c2f86</t>
        </is>
      </c>
      <c r="D38" t="inlineStr">
        <is>
          <t>11111127</t>
        </is>
      </c>
      <c r="E38" t="inlineStr">
        <is>
          <t>Vodacom Life 20260622</t>
        </is>
      </c>
      <c r="J38" t="inlineStr">
        <is>
          <t>AA</t>
        </is>
      </c>
      <c r="K38" t="inlineStr">
        <is>
          <t>Answering Machine Autodial</t>
        </is>
      </c>
      <c r="L38" t="n">
        <v>6</v>
      </c>
      <c r="M38" t="inlineStr">
        <is>
          <t>2026-06-29 14:52:33</t>
        </is>
      </c>
      <c r="N38" t="inlineStr">
        <is>
          <t>system</t>
        </is>
      </c>
      <c r="O38" t="inlineStr">
        <is>
          <t>2026-06-22 14:11:25</t>
        </is>
      </c>
      <c r="P38" t="inlineStr">
        <is>
          <t>2026-06-22 14:11:25</t>
        </is>
      </c>
      <c r="Y38" t="inlineStr">
        <is>
          <t>27793849423</t>
        </is>
      </c>
    </row>
    <row r="39">
      <c r="A39" t="inlineStr">
        <is>
          <t>14974605</t>
        </is>
      </c>
      <c r="B39" t="inlineStr">
        <is>
          <t>5142772a-5285-46a9-95f1-4af052b54f7a</t>
        </is>
      </c>
      <c r="D39" t="inlineStr">
        <is>
          <t>11111127</t>
        </is>
      </c>
      <c r="E39" t="inlineStr">
        <is>
          <t>Vodacom Life 20260622</t>
        </is>
      </c>
      <c r="J39" t="inlineStr">
        <is>
          <t>NA</t>
        </is>
      </c>
      <c r="K39" t="inlineStr">
        <is>
          <t>No Answer Autodial</t>
        </is>
      </c>
      <c r="L39" t="n">
        <v>6</v>
      </c>
      <c r="M39" t="inlineStr">
        <is>
          <t>2026-06-29 14:52:33</t>
        </is>
      </c>
      <c r="N39" t="inlineStr">
        <is>
          <t>system</t>
        </is>
      </c>
      <c r="O39" t="inlineStr">
        <is>
          <t>2026-06-22 14:11:25</t>
        </is>
      </c>
      <c r="P39" t="inlineStr">
        <is>
          <t>2026-06-22 14:11:25</t>
        </is>
      </c>
      <c r="Y39" t="inlineStr">
        <is>
          <t>27730675087</t>
        </is>
      </c>
    </row>
    <row r="40">
      <c r="A40" t="inlineStr">
        <is>
          <t>14974618</t>
        </is>
      </c>
      <c r="B40" t="inlineStr">
        <is>
          <t>f1ea8b66-705e-4ebc-8c4e-6acb7690c00f</t>
        </is>
      </c>
      <c r="D40" t="inlineStr">
        <is>
          <t>11111127</t>
        </is>
      </c>
      <c r="E40" t="inlineStr">
        <is>
          <t>Vodacom Life 20260622</t>
        </is>
      </c>
      <c r="J40" t="inlineStr">
        <is>
          <t>AE</t>
        </is>
      </c>
      <c r="K40" t="inlineStr">
        <is>
          <t>Auto Engaged</t>
        </is>
      </c>
      <c r="L40" t="n">
        <v>6</v>
      </c>
      <c r="M40" t="inlineStr">
        <is>
          <t>2026-06-29 14:52:33</t>
        </is>
      </c>
      <c r="N40" t="inlineStr">
        <is>
          <t>system</t>
        </is>
      </c>
      <c r="O40" t="inlineStr">
        <is>
          <t>2026-06-22 14:11:25</t>
        </is>
      </c>
      <c r="P40" t="inlineStr">
        <is>
          <t>2026-06-22 14:11:25</t>
        </is>
      </c>
      <c r="Y40" t="inlineStr">
        <is>
          <t>27648830291</t>
        </is>
      </c>
    </row>
    <row r="41">
      <c r="A41" t="inlineStr">
        <is>
          <t>14974617</t>
        </is>
      </c>
      <c r="B41" t="inlineStr">
        <is>
          <t>83d8fbf3-fc1e-49a4-9a91-9fa3bb4d2978</t>
        </is>
      </c>
      <c r="D41" t="inlineStr">
        <is>
          <t>11111127</t>
        </is>
      </c>
      <c r="E41" t="inlineStr">
        <is>
          <t>Vodacom Life 20260622</t>
        </is>
      </c>
      <c r="H41" t="inlineStr">
        <is>
          <t>27647479255</t>
        </is>
      </c>
      <c r="J41" t="inlineStr">
        <is>
          <t>AA</t>
        </is>
      </c>
      <c r="K41" t="inlineStr">
        <is>
          <t>Answering Machine Autodial</t>
        </is>
      </c>
      <c r="L41" t="n">
        <v>6</v>
      </c>
      <c r="M41" t="inlineStr">
        <is>
          <t>2026-06-29 14:52:32</t>
        </is>
      </c>
      <c r="N41" t="inlineStr">
        <is>
          <t>system</t>
        </is>
      </c>
      <c r="O41" t="inlineStr">
        <is>
          <t>2026-06-22 14:11:25</t>
        </is>
      </c>
      <c r="P41" t="inlineStr">
        <is>
          <t>2026-06-22 14:11:25</t>
        </is>
      </c>
      <c r="Y41" t="inlineStr">
        <is>
          <t>27647479255</t>
        </is>
      </c>
    </row>
    <row r="42">
      <c r="A42" t="inlineStr">
        <is>
          <t>14973736</t>
        </is>
      </c>
      <c r="B42" t="inlineStr">
        <is>
          <t>615c8c21-953c-4680-90ab-401a8065355d</t>
        </is>
      </c>
      <c r="D42" t="inlineStr">
        <is>
          <t>11111127</t>
        </is>
      </c>
      <c r="E42" t="inlineStr">
        <is>
          <t>Vodacom Life 20260622</t>
        </is>
      </c>
      <c r="H42" t="inlineStr">
        <is>
          <t>27724665322</t>
        </is>
      </c>
      <c r="J42" t="inlineStr">
        <is>
          <t>IABDN</t>
        </is>
      </c>
      <c r="K42" t="inlineStr">
        <is>
          <t>Inbound Abandon</t>
        </is>
      </c>
      <c r="L42" t="n">
        <v>6</v>
      </c>
      <c r="M42" t="inlineStr">
        <is>
          <t>2026-06-29 14:50:36</t>
        </is>
      </c>
      <c r="N42" t="inlineStr">
        <is>
          <t>system</t>
        </is>
      </c>
      <c r="O42" t="inlineStr">
        <is>
          <t>2026-06-22 14:11:25</t>
        </is>
      </c>
      <c r="P42" t="inlineStr">
        <is>
          <t>2026-06-22 14:11:25</t>
        </is>
      </c>
      <c r="Y42" t="inlineStr">
        <is>
          <t>27724665322</t>
        </is>
      </c>
    </row>
    <row r="43">
      <c r="A43" t="inlineStr">
        <is>
          <t>14974589</t>
        </is>
      </c>
      <c r="B43" t="inlineStr">
        <is>
          <t>f9c4d4cd-576e-4f0b-a43b-24132b20427b</t>
        </is>
      </c>
      <c r="D43" t="inlineStr">
        <is>
          <t>11111127</t>
        </is>
      </c>
      <c r="E43" t="inlineStr">
        <is>
          <t>Vodacom Life 20260622</t>
        </is>
      </c>
      <c r="H43" t="inlineStr">
        <is>
          <t>27646215163</t>
        </is>
      </c>
      <c r="J43" t="inlineStr">
        <is>
          <t>IABDN</t>
        </is>
      </c>
      <c r="K43" t="inlineStr">
        <is>
          <t>Inbound Abandon</t>
        </is>
      </c>
      <c r="L43" t="n">
        <v>6</v>
      </c>
      <c r="M43" t="inlineStr">
        <is>
          <t>2026-06-29 14:50:16</t>
        </is>
      </c>
      <c r="N43" t="inlineStr">
        <is>
          <t>system</t>
        </is>
      </c>
      <c r="O43" t="inlineStr">
        <is>
          <t>2026-06-22 14:11:25</t>
        </is>
      </c>
      <c r="P43" t="inlineStr">
        <is>
          <t>2026-06-22 14:11:25</t>
        </is>
      </c>
      <c r="Y43" t="inlineStr">
        <is>
          <t>27646215163</t>
        </is>
      </c>
    </row>
    <row r="44">
      <c r="A44" t="inlineStr">
        <is>
          <t>14974593</t>
        </is>
      </c>
      <c r="B44" t="inlineStr">
        <is>
          <t>8adbca6d-f9af-42c9-b610-1edfc7f35b6d</t>
        </is>
      </c>
      <c r="D44" t="inlineStr">
        <is>
          <t>11111127</t>
        </is>
      </c>
      <c r="E44" t="inlineStr">
        <is>
          <t>Vodacom Life 20260622</t>
        </is>
      </c>
      <c r="J44" t="inlineStr">
        <is>
          <t>NA</t>
        </is>
      </c>
      <c r="K44" t="inlineStr">
        <is>
          <t>No Answer Autodial</t>
        </is>
      </c>
      <c r="L44" t="n">
        <v>6</v>
      </c>
      <c r="M44" t="inlineStr">
        <is>
          <t>2026-06-29 14:49:59</t>
        </is>
      </c>
      <c r="N44" t="inlineStr">
        <is>
          <t>system</t>
        </is>
      </c>
      <c r="O44" t="inlineStr">
        <is>
          <t>2026-06-22 14:11:25</t>
        </is>
      </c>
      <c r="P44" t="inlineStr">
        <is>
          <t>2026-06-22 14:11:25</t>
        </is>
      </c>
      <c r="Y44" t="inlineStr">
        <is>
          <t>27765228735</t>
        </is>
      </c>
    </row>
    <row r="45">
      <c r="A45" t="inlineStr">
        <is>
          <t>14974591</t>
        </is>
      </c>
      <c r="B45" t="inlineStr">
        <is>
          <t>e60f7671-bef4-45a0-8c7c-0d9356d11854</t>
        </is>
      </c>
      <c r="D45" t="inlineStr">
        <is>
          <t>11111127</t>
        </is>
      </c>
      <c r="E45" t="inlineStr">
        <is>
          <t>Vodacom Life 20260622</t>
        </is>
      </c>
      <c r="J45" t="inlineStr">
        <is>
          <t>AA</t>
        </is>
      </c>
      <c r="K45" t="inlineStr">
        <is>
          <t>Answering Machine Autodial</t>
        </is>
      </c>
      <c r="L45" t="n">
        <v>6</v>
      </c>
      <c r="M45" t="inlineStr">
        <is>
          <t>2026-06-29 14:49:51</t>
        </is>
      </c>
      <c r="N45" t="inlineStr">
        <is>
          <t>system</t>
        </is>
      </c>
      <c r="O45" t="inlineStr">
        <is>
          <t>2026-06-22 14:11:25</t>
        </is>
      </c>
      <c r="P45" t="inlineStr">
        <is>
          <t>2026-06-22 14:11:25</t>
        </is>
      </c>
      <c r="Y45" t="inlineStr">
        <is>
          <t>27797392245</t>
        </is>
      </c>
    </row>
    <row r="46">
      <c r="A46" t="inlineStr">
        <is>
          <t>14974592</t>
        </is>
      </c>
      <c r="B46" t="inlineStr">
        <is>
          <t>326a934b-33c7-4dcc-a180-30d6d5e9b8a6</t>
        </is>
      </c>
      <c r="D46" t="inlineStr">
        <is>
          <t>11111127</t>
        </is>
      </c>
      <c r="E46" t="inlineStr">
        <is>
          <t>Vodacom Life 20260622</t>
        </is>
      </c>
      <c r="J46" t="inlineStr">
        <is>
          <t>NA</t>
        </is>
      </c>
      <c r="K46" t="inlineStr">
        <is>
          <t>No Answer Autodial</t>
        </is>
      </c>
      <c r="L46" t="n">
        <v>6</v>
      </c>
      <c r="M46" t="inlineStr">
        <is>
          <t>2026-06-29 14:49:51</t>
        </is>
      </c>
      <c r="N46" t="inlineStr">
        <is>
          <t>system</t>
        </is>
      </c>
      <c r="O46" t="inlineStr">
        <is>
          <t>2026-06-22 14:11:25</t>
        </is>
      </c>
      <c r="P46" t="inlineStr">
        <is>
          <t>2026-06-22 14:11:25</t>
        </is>
      </c>
      <c r="Y46" t="inlineStr">
        <is>
          <t>27820543054</t>
        </is>
      </c>
    </row>
    <row r="47">
      <c r="A47" t="inlineStr">
        <is>
          <t>14974588</t>
        </is>
      </c>
      <c r="B47" t="inlineStr">
        <is>
          <t>8cd04fc7-d39d-4987-8689-c242bb4486b6</t>
        </is>
      </c>
      <c r="D47" t="inlineStr">
        <is>
          <t>11111127</t>
        </is>
      </c>
      <c r="E47" t="inlineStr">
        <is>
          <t>Vodacom Life 20260622</t>
        </is>
      </c>
      <c r="J47" t="inlineStr">
        <is>
          <t>AE</t>
        </is>
      </c>
      <c r="K47" t="inlineStr">
        <is>
          <t>Auto Engaged</t>
        </is>
      </c>
      <c r="L47" t="n">
        <v>6</v>
      </c>
      <c r="M47" t="inlineStr">
        <is>
          <t>2026-06-29 14:49:40</t>
        </is>
      </c>
      <c r="N47" t="inlineStr">
        <is>
          <t>system</t>
        </is>
      </c>
      <c r="O47" t="inlineStr">
        <is>
          <t>2026-06-22 14:11:25</t>
        </is>
      </c>
      <c r="P47" t="inlineStr">
        <is>
          <t>2026-06-22 14:11:25</t>
        </is>
      </c>
      <c r="Y47" t="inlineStr">
        <is>
          <t>27793440107</t>
        </is>
      </c>
    </row>
    <row r="48">
      <c r="A48" t="inlineStr">
        <is>
          <t>14974587</t>
        </is>
      </c>
      <c r="B48" t="inlineStr">
        <is>
          <t>ae7a3517-8d62-43cf-9176-768f5896cfb9</t>
        </is>
      </c>
      <c r="D48" t="inlineStr">
        <is>
          <t>11111127</t>
        </is>
      </c>
      <c r="E48" t="inlineStr">
        <is>
          <t>Vodacom Life 20260622</t>
        </is>
      </c>
      <c r="J48" t="inlineStr">
        <is>
          <t>CU</t>
        </is>
      </c>
      <c r="K48" t="inlineStr">
        <is>
          <t>Client Hung Up</t>
        </is>
      </c>
      <c r="L48" t="n">
        <v>6</v>
      </c>
      <c r="M48" t="inlineStr">
        <is>
          <t>2026-06-29 14:49:39</t>
        </is>
      </c>
      <c r="N48" t="inlineStr">
        <is>
          <t>Vanessa Kekana</t>
        </is>
      </c>
      <c r="O48" t="inlineStr">
        <is>
          <t>2026-06-22 14:11:25</t>
        </is>
      </c>
      <c r="P48" t="inlineStr">
        <is>
          <t>2026-06-22 14:11:25</t>
        </is>
      </c>
      <c r="Y48" t="inlineStr">
        <is>
          <t>27673324448</t>
        </is>
      </c>
    </row>
    <row r="49">
      <c r="A49" t="inlineStr">
        <is>
          <t>14974586</t>
        </is>
      </c>
      <c r="B49" t="inlineStr">
        <is>
          <t>d00c0c0f-183a-48e9-946f-3b0ffeb0804c</t>
        </is>
      </c>
      <c r="D49" t="inlineStr">
        <is>
          <t>11111127</t>
        </is>
      </c>
      <c r="E49" t="inlineStr">
        <is>
          <t>Vodacom Life 20260622</t>
        </is>
      </c>
      <c r="J49" t="inlineStr">
        <is>
          <t>AE</t>
        </is>
      </c>
      <c r="K49" t="inlineStr">
        <is>
          <t>Auto Engaged</t>
        </is>
      </c>
      <c r="L49" t="n">
        <v>6</v>
      </c>
      <c r="M49" t="inlineStr">
        <is>
          <t>2026-06-29 14:49:38</t>
        </is>
      </c>
      <c r="N49" t="inlineStr">
        <is>
          <t>system</t>
        </is>
      </c>
      <c r="O49" t="inlineStr">
        <is>
          <t>2026-06-22 14:11:25</t>
        </is>
      </c>
      <c r="P49" t="inlineStr">
        <is>
          <t>2026-06-22 14:11:25</t>
        </is>
      </c>
      <c r="Y49" t="inlineStr">
        <is>
          <t>27660114793</t>
        </is>
      </c>
    </row>
    <row r="50">
      <c r="A50" t="inlineStr">
        <is>
          <t>14974583</t>
        </is>
      </c>
      <c r="B50" t="inlineStr">
        <is>
          <t>2f7dde2b-d360-453f-848c-997c9cccf3bc</t>
        </is>
      </c>
      <c r="D50" t="inlineStr">
        <is>
          <t>11111127</t>
        </is>
      </c>
      <c r="E50" t="inlineStr">
        <is>
          <t>Vodacom Life 20260622</t>
        </is>
      </c>
      <c r="H50" t="inlineStr">
        <is>
          <t>27767846271</t>
        </is>
      </c>
      <c r="J50" t="inlineStr">
        <is>
          <t>CU</t>
        </is>
      </c>
      <c r="K50" t="inlineStr">
        <is>
          <t>Client Hung Up</t>
        </is>
      </c>
      <c r="L50" t="n">
        <v>6</v>
      </c>
      <c r="M50" t="inlineStr">
        <is>
          <t>2026-06-29 14:49:34</t>
        </is>
      </c>
      <c r="N50" t="inlineStr">
        <is>
          <t>Maureen Ntsoko</t>
        </is>
      </c>
      <c r="O50" t="inlineStr">
        <is>
          <t>2026-06-22 14:11:25</t>
        </is>
      </c>
      <c r="P50" t="inlineStr">
        <is>
          <t>2026-06-22 14:11:25</t>
        </is>
      </c>
      <c r="Y50" t="inlineStr">
        <is>
          <t>27767846271</t>
        </is>
      </c>
    </row>
    <row r="51">
      <c r="A51" t="inlineStr">
        <is>
          <t>14974584</t>
        </is>
      </c>
      <c r="B51" t="inlineStr">
        <is>
          <t>76c2e394-3f50-4904-8ec1-fa51357f3712</t>
        </is>
      </c>
      <c r="D51" t="inlineStr">
        <is>
          <t>11111127</t>
        </is>
      </c>
      <c r="E51" t="inlineStr">
        <is>
          <t>Vodacom Life 20260622</t>
        </is>
      </c>
      <c r="J51" t="inlineStr">
        <is>
          <t>AE</t>
        </is>
      </c>
      <c r="K51" t="inlineStr">
        <is>
          <t>Auto Engaged</t>
        </is>
      </c>
      <c r="L51" t="n">
        <v>6</v>
      </c>
      <c r="M51" t="inlineStr">
        <is>
          <t>2026-06-29 14:49:34</t>
        </is>
      </c>
      <c r="N51" t="inlineStr">
        <is>
          <t>system</t>
        </is>
      </c>
      <c r="O51" t="inlineStr">
        <is>
          <t>2026-06-22 14:11:25</t>
        </is>
      </c>
      <c r="P51" t="inlineStr">
        <is>
          <t>2026-06-22 14:11:25</t>
        </is>
      </c>
      <c r="Y51" t="inlineStr">
        <is>
          <t>27792100926</t>
        </is>
      </c>
    </row>
    <row r="52">
      <c r="A52" t="inlineStr">
        <is>
          <t>14974585</t>
        </is>
      </c>
      <c r="B52" t="inlineStr">
        <is>
          <t>bf115e1f-42fd-4b80-8f5e-f2dd461cd3f4</t>
        </is>
      </c>
      <c r="D52" t="inlineStr">
        <is>
          <t>11111127</t>
        </is>
      </c>
      <c r="E52" t="inlineStr">
        <is>
          <t>Vodacom Life 20260622</t>
        </is>
      </c>
      <c r="J52" t="inlineStr">
        <is>
          <t>ADC</t>
        </is>
      </c>
      <c r="K52" t="inlineStr">
        <is>
          <t>Auto Dial Disconnected</t>
        </is>
      </c>
      <c r="L52" t="n">
        <v>6</v>
      </c>
      <c r="M52" t="inlineStr">
        <is>
          <t>2026-06-29 14:49:34</t>
        </is>
      </c>
      <c r="N52" t="inlineStr">
        <is>
          <t>system</t>
        </is>
      </c>
      <c r="O52" t="inlineStr">
        <is>
          <t>2026-06-22 14:11:25</t>
        </is>
      </c>
      <c r="P52" t="inlineStr">
        <is>
          <t>2026-06-22 14:11:25</t>
        </is>
      </c>
      <c r="Y52" t="inlineStr">
        <is>
          <t>27636062541</t>
        </is>
      </c>
    </row>
    <row r="53">
      <c r="A53" t="inlineStr">
        <is>
          <t>14973741</t>
        </is>
      </c>
      <c r="B53" t="inlineStr">
        <is>
          <t>4f53c8b2-4b3a-469a-a006-10f9e09a9ad8</t>
        </is>
      </c>
      <c r="D53" t="inlineStr">
        <is>
          <t>11111127</t>
        </is>
      </c>
      <c r="E53" t="inlineStr">
        <is>
          <t>Vodacom Life 20260622</t>
        </is>
      </c>
      <c r="H53" t="inlineStr">
        <is>
          <t>27647431531</t>
        </is>
      </c>
      <c r="J53" t="inlineStr">
        <is>
          <t>CU</t>
        </is>
      </c>
      <c r="K53" t="inlineStr">
        <is>
          <t>Client Hung Up</t>
        </is>
      </c>
      <c r="L53" t="n">
        <v>6</v>
      </c>
      <c r="M53" t="inlineStr">
        <is>
          <t>2026-06-29 14:48:37</t>
        </is>
      </c>
      <c r="N53" t="inlineStr">
        <is>
          <t>Vanessa Kekana</t>
        </is>
      </c>
      <c r="O53" t="inlineStr">
        <is>
          <t>2026-06-22 14:11:25</t>
        </is>
      </c>
      <c r="P53" t="inlineStr">
        <is>
          <t>2026-06-22 14:11:25</t>
        </is>
      </c>
      <c r="Y53" t="inlineStr">
        <is>
          <t>27647431531</t>
        </is>
      </c>
    </row>
    <row r="54">
      <c r="A54" t="inlineStr">
        <is>
          <t>15000000</t>
        </is>
      </c>
      <c r="B54" t="inlineStr">
        <is>
          <t>034e611b-b82d-4f8a-a4e0-2375fda4e00e</t>
        </is>
      </c>
      <c r="D54" t="inlineStr">
        <is>
          <t>11111127</t>
        </is>
      </c>
      <c r="E54" t="inlineStr">
        <is>
          <t>Vodacom Life 20260622</t>
        </is>
      </c>
      <c r="J54" t="inlineStr">
        <is>
          <t>CU</t>
        </is>
      </c>
      <c r="K54" t="inlineStr">
        <is>
          <t>Client Hung Up</t>
        </is>
      </c>
      <c r="L54" t="n">
        <v>6</v>
      </c>
      <c r="M54" t="inlineStr">
        <is>
          <t>2026-06-29 14:48:32</t>
        </is>
      </c>
      <c r="N54" t="inlineStr">
        <is>
          <t>Vanessa Kekana</t>
        </is>
      </c>
      <c r="O54" t="inlineStr">
        <is>
          <t>2026-06-22 14:11:25</t>
        </is>
      </c>
      <c r="P54" t="inlineStr">
        <is>
          <t>2026-06-22 14:11:25</t>
        </is>
      </c>
      <c r="Y54" t="inlineStr">
        <is>
          <t>27731705032</t>
        </is>
      </c>
    </row>
    <row r="55">
      <c r="A55" t="inlineStr">
        <is>
          <t>14974672</t>
        </is>
      </c>
      <c r="B55" t="inlineStr">
        <is>
          <t>ccec78c5-60a2-47f3-8467-9de8ef3c0902</t>
        </is>
      </c>
      <c r="D55" t="inlineStr">
        <is>
          <t>11111127</t>
        </is>
      </c>
      <c r="E55" t="inlineStr">
        <is>
          <t>Vodacom Life 20260622</t>
        </is>
      </c>
      <c r="J55" t="inlineStr">
        <is>
          <t>AA</t>
        </is>
      </c>
      <c r="K55" t="inlineStr">
        <is>
          <t>Answering Machine Autodial</t>
        </is>
      </c>
      <c r="L55" t="n">
        <v>6</v>
      </c>
      <c r="M55" t="inlineStr">
        <is>
          <t>2026-06-29 14:48:31</t>
        </is>
      </c>
      <c r="N55" t="inlineStr">
        <is>
          <t>system</t>
        </is>
      </c>
      <c r="O55" t="inlineStr">
        <is>
          <t>2026-06-22 14:11:25</t>
        </is>
      </c>
      <c r="P55" t="inlineStr">
        <is>
          <t>2026-06-22 14:11:25</t>
        </is>
      </c>
      <c r="Y55" t="inlineStr">
        <is>
          <t>27648288794</t>
        </is>
      </c>
    </row>
    <row r="56">
      <c r="A56" t="inlineStr">
        <is>
          <t>14974662</t>
        </is>
      </c>
      <c r="B56" t="inlineStr">
        <is>
          <t>84683a73-5147-4453-8709-a3b15f1b2e1f</t>
        </is>
      </c>
      <c r="D56" t="inlineStr">
        <is>
          <t>11111127</t>
        </is>
      </c>
      <c r="E56" t="inlineStr">
        <is>
          <t>Vodacom Life 20260622</t>
        </is>
      </c>
      <c r="J56" t="inlineStr">
        <is>
          <t>AE</t>
        </is>
      </c>
      <c r="K56" t="inlineStr">
        <is>
          <t>Auto Engaged</t>
        </is>
      </c>
      <c r="L56" t="n">
        <v>6</v>
      </c>
      <c r="M56" t="inlineStr">
        <is>
          <t>2026-06-29 14:48:29</t>
        </is>
      </c>
      <c r="N56" t="inlineStr">
        <is>
          <t>system</t>
        </is>
      </c>
      <c r="O56" t="inlineStr">
        <is>
          <t>2026-06-22 14:11:25</t>
        </is>
      </c>
      <c r="P56" t="inlineStr">
        <is>
          <t>2026-06-22 14:11:25</t>
        </is>
      </c>
      <c r="Y56" t="inlineStr">
        <is>
          <t>27715685696</t>
        </is>
      </c>
    </row>
    <row r="57">
      <c r="A57" t="inlineStr">
        <is>
          <t>14974664</t>
        </is>
      </c>
      <c r="B57" t="inlineStr">
        <is>
          <t>96f98e6e-ff9c-4592-a5c1-bea3b4a2bcbe</t>
        </is>
      </c>
      <c r="D57" t="inlineStr">
        <is>
          <t>11111127</t>
        </is>
      </c>
      <c r="E57" t="inlineStr">
        <is>
          <t>Vodacom Life 20260622</t>
        </is>
      </c>
      <c r="H57" t="inlineStr">
        <is>
          <t>27663212743</t>
        </is>
      </c>
      <c r="J57" t="inlineStr">
        <is>
          <t>NA</t>
        </is>
      </c>
      <c r="K57" t="inlineStr">
        <is>
          <t>No Answer Autodial</t>
        </is>
      </c>
      <c r="L57" t="n">
        <v>6</v>
      </c>
      <c r="M57" t="inlineStr">
        <is>
          <t>2026-06-29 14:48:29</t>
        </is>
      </c>
      <c r="N57" t="inlineStr">
        <is>
          <t>system</t>
        </is>
      </c>
      <c r="O57" t="inlineStr">
        <is>
          <t>2026-06-22 14:11:25</t>
        </is>
      </c>
      <c r="P57" t="inlineStr">
        <is>
          <t>2026-06-22 14:11:25</t>
        </is>
      </c>
      <c r="Y57" t="inlineStr">
        <is>
          <t>27663212743</t>
        </is>
      </c>
    </row>
    <row r="58">
      <c r="A58" t="inlineStr">
        <is>
          <t>14974668</t>
        </is>
      </c>
      <c r="B58" t="inlineStr">
        <is>
          <t>74d45624-fe64-48e8-b918-653ae31ad89e</t>
        </is>
      </c>
      <c r="D58" t="inlineStr">
        <is>
          <t>11111127</t>
        </is>
      </c>
      <c r="E58" t="inlineStr">
        <is>
          <t>Vodacom Life 20260622</t>
        </is>
      </c>
      <c r="J58" t="inlineStr">
        <is>
          <t>AE</t>
        </is>
      </c>
      <c r="K58" t="inlineStr">
        <is>
          <t>Auto Engaged</t>
        </is>
      </c>
      <c r="L58" t="n">
        <v>6</v>
      </c>
      <c r="M58" t="inlineStr">
        <is>
          <t>2026-06-29 14:48:29</t>
        </is>
      </c>
      <c r="N58" t="inlineStr">
        <is>
          <t>system</t>
        </is>
      </c>
      <c r="O58" t="inlineStr">
        <is>
          <t>2026-06-22 14:11:25</t>
        </is>
      </c>
      <c r="P58" t="inlineStr">
        <is>
          <t>2026-06-22 14:11:25</t>
        </is>
      </c>
      <c r="Y58" t="inlineStr">
        <is>
          <t>27713677908</t>
        </is>
      </c>
    </row>
    <row r="59">
      <c r="A59" t="inlineStr">
        <is>
          <t>14974670</t>
        </is>
      </c>
      <c r="B59" t="inlineStr">
        <is>
          <t>a42b7392-6136-4a6a-9c48-f7b237d0a47e</t>
        </is>
      </c>
      <c r="D59" t="inlineStr">
        <is>
          <t>11111127</t>
        </is>
      </c>
      <c r="E59" t="inlineStr">
        <is>
          <t>Vodacom Life 20260622</t>
        </is>
      </c>
      <c r="J59" t="inlineStr">
        <is>
          <t>AE</t>
        </is>
      </c>
      <c r="K59" t="inlineStr">
        <is>
          <t>Auto Engaged</t>
        </is>
      </c>
      <c r="L59" t="n">
        <v>6</v>
      </c>
      <c r="M59" t="inlineStr">
        <is>
          <t>2026-06-29 14:48:29</t>
        </is>
      </c>
      <c r="N59" t="inlineStr">
        <is>
          <t>system</t>
        </is>
      </c>
      <c r="O59" t="inlineStr">
        <is>
          <t>2026-06-22 14:11:25</t>
        </is>
      </c>
      <c r="P59" t="inlineStr">
        <is>
          <t>2026-06-22 14:11:25</t>
        </is>
      </c>
      <c r="Y59" t="inlineStr">
        <is>
          <t>27749150829</t>
        </is>
      </c>
    </row>
    <row r="60">
      <c r="A60" t="inlineStr">
        <is>
          <t>14974671</t>
        </is>
      </c>
      <c r="B60" t="inlineStr">
        <is>
          <t>d5155dea-ab7d-4d6b-8a8c-627119ce162f</t>
        </is>
      </c>
      <c r="D60" t="inlineStr">
        <is>
          <t>11111127</t>
        </is>
      </c>
      <c r="E60" t="inlineStr">
        <is>
          <t>Vodacom Life 20260622</t>
        </is>
      </c>
      <c r="J60" t="inlineStr">
        <is>
          <t>ADC</t>
        </is>
      </c>
      <c r="K60" t="inlineStr">
        <is>
          <t>Auto Dial Disconnected</t>
        </is>
      </c>
      <c r="L60" t="n">
        <v>6</v>
      </c>
      <c r="M60" t="inlineStr">
        <is>
          <t>2026-06-29 14:48:29</t>
        </is>
      </c>
      <c r="N60" t="inlineStr">
        <is>
          <t>system</t>
        </is>
      </c>
      <c r="O60" t="inlineStr">
        <is>
          <t>2026-06-22 14:11:25</t>
        </is>
      </c>
      <c r="P60" t="inlineStr">
        <is>
          <t>2026-06-22 14:11:25</t>
        </is>
      </c>
      <c r="Y60" t="inlineStr">
        <is>
          <t>27665252833</t>
        </is>
      </c>
    </row>
    <row r="61">
      <c r="A61" t="inlineStr">
        <is>
          <t>14974660</t>
        </is>
      </c>
      <c r="B61" t="inlineStr">
        <is>
          <t>bbb14cdd-7516-49dd-a90f-ce83204b0d54</t>
        </is>
      </c>
      <c r="D61" t="inlineStr">
        <is>
          <t>11111127</t>
        </is>
      </c>
      <c r="E61" t="inlineStr">
        <is>
          <t>Vodacom Life 20260622</t>
        </is>
      </c>
      <c r="J61" t="inlineStr">
        <is>
          <t>AE</t>
        </is>
      </c>
      <c r="K61" t="inlineStr">
        <is>
          <t>Auto Engaged</t>
        </is>
      </c>
      <c r="L61" t="n">
        <v>6</v>
      </c>
      <c r="M61" t="inlineStr">
        <is>
          <t>2026-06-29 14:48:14</t>
        </is>
      </c>
      <c r="N61" t="inlineStr">
        <is>
          <t>system</t>
        </is>
      </c>
      <c r="O61" t="inlineStr">
        <is>
          <t>2026-06-22 14:11:25</t>
        </is>
      </c>
      <c r="P61" t="inlineStr">
        <is>
          <t>2026-06-22 14:11:25</t>
        </is>
      </c>
      <c r="Y61" t="inlineStr">
        <is>
          <t>27711414200</t>
        </is>
      </c>
    </row>
    <row r="62">
      <c r="A62" t="inlineStr">
        <is>
          <t>14974659</t>
        </is>
      </c>
      <c r="B62" t="inlineStr">
        <is>
          <t>aaa8a1d7-9393-4731-b3d5-66944888103d</t>
        </is>
      </c>
      <c r="D62" t="inlineStr">
        <is>
          <t>11111127</t>
        </is>
      </c>
      <c r="E62" t="inlineStr">
        <is>
          <t>Vodacom Life 20260622</t>
        </is>
      </c>
      <c r="J62" t="inlineStr">
        <is>
          <t>AE</t>
        </is>
      </c>
      <c r="K62" t="inlineStr">
        <is>
          <t>Auto Engaged</t>
        </is>
      </c>
      <c r="L62" t="n">
        <v>6</v>
      </c>
      <c r="M62" t="inlineStr">
        <is>
          <t>2026-06-29 14:48:13</t>
        </is>
      </c>
      <c r="N62" t="inlineStr">
        <is>
          <t>system</t>
        </is>
      </c>
      <c r="O62" t="inlineStr">
        <is>
          <t>2026-06-22 14:11:25</t>
        </is>
      </c>
      <c r="P62" t="inlineStr">
        <is>
          <t>2026-06-22 14:11:25</t>
        </is>
      </c>
      <c r="Y62" t="inlineStr">
        <is>
          <t>27663511651</t>
        </is>
      </c>
    </row>
    <row r="63">
      <c r="A63" t="inlineStr">
        <is>
          <t>14974656</t>
        </is>
      </c>
      <c r="B63" t="inlineStr">
        <is>
          <t>49989b27-ca28-4ee4-9101-bef8457b380b</t>
        </is>
      </c>
      <c r="D63" t="inlineStr">
        <is>
          <t>11111127</t>
        </is>
      </c>
      <c r="E63" t="inlineStr">
        <is>
          <t>Vodacom Life 20260622</t>
        </is>
      </c>
      <c r="J63" t="inlineStr">
        <is>
          <t>AE</t>
        </is>
      </c>
      <c r="K63" t="inlineStr">
        <is>
          <t>Auto Engaged</t>
        </is>
      </c>
      <c r="L63" t="n">
        <v>6</v>
      </c>
      <c r="M63" t="inlineStr">
        <is>
          <t>2026-06-29 14:48:11</t>
        </is>
      </c>
      <c r="N63" t="inlineStr">
        <is>
          <t>system</t>
        </is>
      </c>
      <c r="O63" t="inlineStr">
        <is>
          <t>2026-06-22 14:11:25</t>
        </is>
      </c>
      <c r="P63" t="inlineStr">
        <is>
          <t>2026-06-22 14:11:25</t>
        </is>
      </c>
      <c r="Y63" t="inlineStr">
        <is>
          <t>27711190635</t>
        </is>
      </c>
    </row>
    <row r="64">
      <c r="A64" t="inlineStr">
        <is>
          <t>14974657</t>
        </is>
      </c>
      <c r="B64" t="inlineStr">
        <is>
          <t>3acdf82e-a9af-47b9-b735-a17ebb1b153a</t>
        </is>
      </c>
      <c r="D64" t="inlineStr">
        <is>
          <t>11111127</t>
        </is>
      </c>
      <c r="E64" t="inlineStr">
        <is>
          <t>Vodacom Life 20260622</t>
        </is>
      </c>
      <c r="H64" t="inlineStr">
        <is>
          <t>27637183994</t>
        </is>
      </c>
      <c r="J64" t="inlineStr">
        <is>
          <t>AA</t>
        </is>
      </c>
      <c r="K64" t="inlineStr">
        <is>
          <t>Answering Machine Autodial</t>
        </is>
      </c>
      <c r="L64" t="n">
        <v>6</v>
      </c>
      <c r="M64" t="inlineStr">
        <is>
          <t>2026-06-29 14:48:11</t>
        </is>
      </c>
      <c r="N64" t="inlineStr">
        <is>
          <t>system</t>
        </is>
      </c>
      <c r="O64" t="inlineStr">
        <is>
          <t>2026-06-22 14:11:25</t>
        </is>
      </c>
      <c r="P64" t="inlineStr">
        <is>
          <t>2026-06-22 14:11:25</t>
        </is>
      </c>
      <c r="Y64" t="inlineStr">
        <is>
          <t>27637183994</t>
        </is>
      </c>
    </row>
    <row r="65">
      <c r="A65" t="inlineStr">
        <is>
          <t>14974658</t>
        </is>
      </c>
      <c r="B65" t="inlineStr">
        <is>
          <t>f87ede1d-1091-4926-96ce-67a284a4bdbc</t>
        </is>
      </c>
      <c r="D65" t="inlineStr">
        <is>
          <t>11111127</t>
        </is>
      </c>
      <c r="E65" t="inlineStr">
        <is>
          <t>Vodacom Life 20260622</t>
        </is>
      </c>
      <c r="J65" t="inlineStr">
        <is>
          <t>TDN</t>
        </is>
      </c>
      <c r="K65" t="inlineStr">
        <is>
          <t>Temporary Disconnected Number</t>
        </is>
      </c>
      <c r="L65" t="n">
        <v>6</v>
      </c>
      <c r="M65" t="inlineStr">
        <is>
          <t>2026-06-29 14:48:11</t>
        </is>
      </c>
      <c r="N65" t="inlineStr">
        <is>
          <t>system</t>
        </is>
      </c>
      <c r="O65" t="inlineStr">
        <is>
          <t>2026-06-22 14:11:25</t>
        </is>
      </c>
      <c r="P65" t="inlineStr">
        <is>
          <t>2026-06-22 14:11:25</t>
        </is>
      </c>
      <c r="Y65" t="inlineStr">
        <is>
          <t>27763293096</t>
        </is>
      </c>
    </row>
    <row r="66">
      <c r="A66" t="inlineStr">
        <is>
          <t>14974655</t>
        </is>
      </c>
      <c r="B66" t="inlineStr">
        <is>
          <t>255d212c-123f-47df-96e6-4ea00edfd5af</t>
        </is>
      </c>
      <c r="D66" t="inlineStr">
        <is>
          <t>11111127</t>
        </is>
      </c>
      <c r="E66" t="inlineStr">
        <is>
          <t>Vodacom Life 20260622</t>
        </is>
      </c>
      <c r="J66" t="inlineStr">
        <is>
          <t>NA</t>
        </is>
      </c>
      <c r="K66" t="inlineStr">
        <is>
          <t>No Answer Autodial</t>
        </is>
      </c>
      <c r="L66" t="n">
        <v>6</v>
      </c>
      <c r="M66" t="inlineStr">
        <is>
          <t>2026-06-29 14:48:10</t>
        </is>
      </c>
      <c r="N66" t="inlineStr">
        <is>
          <t>system</t>
        </is>
      </c>
      <c r="O66" t="inlineStr">
        <is>
          <t>2026-06-22 14:11:25</t>
        </is>
      </c>
      <c r="P66" t="inlineStr">
        <is>
          <t>2026-06-22 14:11:25</t>
        </is>
      </c>
      <c r="Y66" t="inlineStr">
        <is>
          <t>27820536806</t>
        </is>
      </c>
    </row>
    <row r="67">
      <c r="A67" t="inlineStr">
        <is>
          <t>15000000</t>
        </is>
      </c>
      <c r="B67" t="inlineStr">
        <is>
          <t>6713e608-7377-4aad-afc6-eef74f023c07</t>
        </is>
      </c>
      <c r="D67" t="inlineStr">
        <is>
          <t>11111127</t>
        </is>
      </c>
      <c r="E67" t="inlineStr">
        <is>
          <t>Vodacom Life 20260622</t>
        </is>
      </c>
      <c r="J67" t="inlineStr">
        <is>
          <t>AA</t>
        </is>
      </c>
      <c r="K67" t="inlineStr">
        <is>
          <t>Answering Machine Autodial</t>
        </is>
      </c>
      <c r="L67" t="n">
        <v>6</v>
      </c>
      <c r="M67" t="inlineStr">
        <is>
          <t>2026-06-29 14:48:07</t>
        </is>
      </c>
      <c r="N67" t="inlineStr">
        <is>
          <t>system</t>
        </is>
      </c>
      <c r="O67" t="inlineStr">
        <is>
          <t>2026-06-22 14:11:25</t>
        </is>
      </c>
      <c r="P67" t="inlineStr">
        <is>
          <t>2026-06-22 14:11:25</t>
        </is>
      </c>
      <c r="Y67" t="inlineStr">
        <is>
          <t>27713368922</t>
        </is>
      </c>
    </row>
    <row r="68">
      <c r="A68" t="inlineStr">
        <is>
          <t>14974650</t>
        </is>
      </c>
      <c r="B68" t="inlineStr">
        <is>
          <t>0aa63fba-0b93-4682-9b74-19de7eacc1f2</t>
        </is>
      </c>
      <c r="D68" t="inlineStr">
        <is>
          <t>11111127</t>
        </is>
      </c>
      <c r="E68" t="inlineStr">
        <is>
          <t>Vodacom Life 20260622</t>
        </is>
      </c>
      <c r="J68" t="inlineStr">
        <is>
          <t>AE</t>
        </is>
      </c>
      <c r="K68" t="inlineStr">
        <is>
          <t>Auto Engaged</t>
        </is>
      </c>
      <c r="L68" t="n">
        <v>6</v>
      </c>
      <c r="M68" t="inlineStr">
        <is>
          <t>2026-06-29 14:48:01</t>
        </is>
      </c>
      <c r="N68" t="inlineStr">
        <is>
          <t>system</t>
        </is>
      </c>
      <c r="O68" t="inlineStr">
        <is>
          <t>2026-06-22 14:11:25</t>
        </is>
      </c>
      <c r="P68" t="inlineStr">
        <is>
          <t>2026-06-22 14:11:25</t>
        </is>
      </c>
      <c r="Y68" t="inlineStr">
        <is>
          <t>27822634602</t>
        </is>
      </c>
    </row>
    <row r="69">
      <c r="A69" t="inlineStr">
        <is>
          <t>14974652</t>
        </is>
      </c>
      <c r="B69" t="inlineStr">
        <is>
          <t>0cd13037-24ab-48b6-92a8-81698f8fd1bf</t>
        </is>
      </c>
      <c r="D69" t="inlineStr">
        <is>
          <t>11111127</t>
        </is>
      </c>
      <c r="E69" t="inlineStr">
        <is>
          <t>Vodacom Life 20260622</t>
        </is>
      </c>
      <c r="H69" t="inlineStr">
        <is>
          <t>27792407030</t>
        </is>
      </c>
      <c r="J69" t="inlineStr">
        <is>
          <t>A</t>
        </is>
      </c>
      <c r="K69" t="inlineStr">
        <is>
          <t>Answering Machine</t>
        </is>
      </c>
      <c r="L69" t="n">
        <v>6</v>
      </c>
      <c r="M69" t="inlineStr">
        <is>
          <t>2026-06-29 14:48:01</t>
        </is>
      </c>
      <c r="N69" t="inlineStr">
        <is>
          <t>bongiwe lushaba</t>
        </is>
      </c>
      <c r="O69" t="inlineStr">
        <is>
          <t>2026-06-22 14:11:25</t>
        </is>
      </c>
      <c r="P69" t="inlineStr">
        <is>
          <t>2026-06-22 14:11:25</t>
        </is>
      </c>
      <c r="Y69" t="inlineStr">
        <is>
          <t>27792407030</t>
        </is>
      </c>
    </row>
    <row r="70">
      <c r="A70" t="inlineStr">
        <is>
          <t>14974649</t>
        </is>
      </c>
      <c r="B70" t="inlineStr">
        <is>
          <t>827827f9-6689-4d86-96a8-883fdb064e52</t>
        </is>
      </c>
      <c r="D70" t="inlineStr">
        <is>
          <t>11111127</t>
        </is>
      </c>
      <c r="E70" t="inlineStr">
        <is>
          <t>Vodacom Life 20260622</t>
        </is>
      </c>
      <c r="J70" t="inlineStr">
        <is>
          <t>AA</t>
        </is>
      </c>
      <c r="K70" t="inlineStr">
        <is>
          <t>Answering Machine Autodial</t>
        </is>
      </c>
      <c r="L70" t="n">
        <v>6</v>
      </c>
      <c r="M70" t="inlineStr">
        <is>
          <t>2026-06-29 14:47:42</t>
        </is>
      </c>
      <c r="N70" t="inlineStr">
        <is>
          <t>system</t>
        </is>
      </c>
      <c r="O70" t="inlineStr">
        <is>
          <t>2026-06-22 14:11:25</t>
        </is>
      </c>
      <c r="P70" t="inlineStr">
        <is>
          <t>2026-06-22 14:11:25</t>
        </is>
      </c>
      <c r="Y70" t="inlineStr">
        <is>
          <t>27798614307</t>
        </is>
      </c>
    </row>
    <row r="71">
      <c r="A71" t="inlineStr">
        <is>
          <t>14974647</t>
        </is>
      </c>
      <c r="B71" t="inlineStr">
        <is>
          <t>8e077b97-dfcb-43c7-bf42-4cac18ffce03</t>
        </is>
      </c>
      <c r="D71" t="inlineStr">
        <is>
          <t>11111127</t>
        </is>
      </c>
      <c r="E71" t="inlineStr">
        <is>
          <t>Vodacom Life 20260622</t>
        </is>
      </c>
      <c r="J71" t="inlineStr">
        <is>
          <t>CU</t>
        </is>
      </c>
      <c r="K71" t="inlineStr">
        <is>
          <t>Client Hung Up</t>
        </is>
      </c>
      <c r="L71" t="n">
        <v>6</v>
      </c>
      <c r="M71" t="inlineStr">
        <is>
          <t>2026-06-29 14:47:40</t>
        </is>
      </c>
      <c r="N71" t="inlineStr">
        <is>
          <t>Vanessa Kekana</t>
        </is>
      </c>
      <c r="O71" t="inlineStr">
        <is>
          <t>2026-06-22 14:11:25</t>
        </is>
      </c>
      <c r="P71" t="inlineStr">
        <is>
          <t>2026-06-22 14:11:25</t>
        </is>
      </c>
      <c r="Y71" t="inlineStr">
        <is>
          <t>27726922480</t>
        </is>
      </c>
    </row>
    <row r="72">
      <c r="A72" t="inlineStr">
        <is>
          <t>14973731</t>
        </is>
      </c>
      <c r="B72" t="inlineStr">
        <is>
          <t>e42e8a36-a46d-4c6e-b5a9-afd28d477ba3</t>
        </is>
      </c>
      <c r="D72" t="inlineStr">
        <is>
          <t>11111127</t>
        </is>
      </c>
      <c r="E72" t="inlineStr">
        <is>
          <t>Vodacom Life 20260622</t>
        </is>
      </c>
      <c r="J72" t="inlineStr">
        <is>
          <t>NA</t>
        </is>
      </c>
      <c r="K72" t="inlineStr">
        <is>
          <t>No Answer Autodial</t>
        </is>
      </c>
      <c r="L72" t="n">
        <v>6</v>
      </c>
      <c r="M72" t="inlineStr">
        <is>
          <t>2026-06-29 14:47:24</t>
        </is>
      </c>
      <c r="N72" t="inlineStr">
        <is>
          <t>system</t>
        </is>
      </c>
      <c r="O72" t="inlineStr">
        <is>
          <t>2026-06-22 14:11:25</t>
        </is>
      </c>
      <c r="P72" t="inlineStr">
        <is>
          <t>2026-06-22 14:11:25</t>
        </is>
      </c>
      <c r="Y72" t="inlineStr">
        <is>
          <t>27827932019</t>
        </is>
      </c>
    </row>
    <row r="73">
      <c r="A73" t="inlineStr">
        <is>
          <t>14973733</t>
        </is>
      </c>
      <c r="B73" t="inlineStr">
        <is>
          <t>7c779b50-f081-4f11-a0d8-46ca753f0de1</t>
        </is>
      </c>
      <c r="D73" t="inlineStr">
        <is>
          <t>11111127</t>
        </is>
      </c>
      <c r="E73" t="inlineStr">
        <is>
          <t>Vodacom Life 20260622</t>
        </is>
      </c>
      <c r="J73" t="inlineStr">
        <is>
          <t>AA</t>
        </is>
      </c>
      <c r="K73" t="inlineStr">
        <is>
          <t>Answering Machine Autodial</t>
        </is>
      </c>
      <c r="L73" t="n">
        <v>6</v>
      </c>
      <c r="M73" t="inlineStr">
        <is>
          <t>2026-06-29 14:47:24</t>
        </is>
      </c>
      <c r="N73" t="inlineStr">
        <is>
          <t>system</t>
        </is>
      </c>
      <c r="O73" t="inlineStr">
        <is>
          <t>2026-06-22 14:11:25</t>
        </is>
      </c>
      <c r="P73" t="inlineStr">
        <is>
          <t>2026-06-22 14:11:25</t>
        </is>
      </c>
      <c r="Y73" t="inlineStr">
        <is>
          <t>27711944114</t>
        </is>
      </c>
    </row>
    <row r="74">
      <c r="A74" t="inlineStr">
        <is>
          <t>14973734</t>
        </is>
      </c>
      <c r="B74" t="inlineStr">
        <is>
          <t>fa7feb3a-1e03-4c89-ba0e-7cffc1c4f993</t>
        </is>
      </c>
      <c r="D74" t="inlineStr">
        <is>
          <t>11111127</t>
        </is>
      </c>
      <c r="E74" t="inlineStr">
        <is>
          <t>Vodacom Life 20260622</t>
        </is>
      </c>
      <c r="H74" t="inlineStr">
        <is>
          <t>27712891289</t>
        </is>
      </c>
      <c r="J74" t="inlineStr">
        <is>
          <t>ADC</t>
        </is>
      </c>
      <c r="K74" t="inlineStr">
        <is>
          <t>Auto Dial Disconnected</t>
        </is>
      </c>
      <c r="L74" t="n">
        <v>6</v>
      </c>
      <c r="M74" t="inlineStr">
        <is>
          <t>2026-06-29 14:47:24</t>
        </is>
      </c>
      <c r="N74" t="inlineStr">
        <is>
          <t>system</t>
        </is>
      </c>
      <c r="O74" t="inlineStr">
        <is>
          <t>2026-06-22 14:11:25</t>
        </is>
      </c>
      <c r="P74" t="inlineStr">
        <is>
          <t>2026-06-22 14:11:25</t>
        </is>
      </c>
      <c r="Y74" t="inlineStr">
        <is>
          <t>27712891289</t>
        </is>
      </c>
    </row>
    <row r="75">
      <c r="A75" t="inlineStr">
        <is>
          <t>14973735</t>
        </is>
      </c>
      <c r="B75" t="inlineStr">
        <is>
          <t>1423b38b-95e7-454e-a9e2-2a5ec50b987c</t>
        </is>
      </c>
      <c r="D75" t="inlineStr">
        <is>
          <t>11111127</t>
        </is>
      </c>
      <c r="E75" t="inlineStr">
        <is>
          <t>Vodacom Life 20260622</t>
        </is>
      </c>
      <c r="J75" t="inlineStr">
        <is>
          <t>AE</t>
        </is>
      </c>
      <c r="K75" t="inlineStr">
        <is>
          <t>Auto Engaged</t>
        </is>
      </c>
      <c r="L75" t="n">
        <v>6</v>
      </c>
      <c r="M75" t="inlineStr">
        <is>
          <t>2026-06-29 14:47:24</t>
        </is>
      </c>
      <c r="N75" t="inlineStr">
        <is>
          <t>system</t>
        </is>
      </c>
      <c r="O75" t="inlineStr">
        <is>
          <t>2026-06-22 14:11:25</t>
        </is>
      </c>
      <c r="P75" t="inlineStr">
        <is>
          <t>2026-06-22 14:11:25</t>
        </is>
      </c>
      <c r="Y75" t="inlineStr">
        <is>
          <t>27721223014</t>
        </is>
      </c>
    </row>
    <row r="76">
      <c r="A76" t="inlineStr">
        <is>
          <t>14973744</t>
        </is>
      </c>
      <c r="B76" t="inlineStr">
        <is>
          <t>5ed421bd-873f-4049-bfad-11d287cd363d</t>
        </is>
      </c>
      <c r="D76" t="inlineStr">
        <is>
          <t>11111127</t>
        </is>
      </c>
      <c r="E76" t="inlineStr">
        <is>
          <t>Vodacom Life 20260622</t>
        </is>
      </c>
      <c r="J76" t="inlineStr">
        <is>
          <t>AA</t>
        </is>
      </c>
      <c r="K76" t="inlineStr">
        <is>
          <t>Answering Machine Autodial</t>
        </is>
      </c>
      <c r="L76" t="n">
        <v>6</v>
      </c>
      <c r="M76" t="inlineStr">
        <is>
          <t>2026-06-29 14:46:47</t>
        </is>
      </c>
      <c r="N76" t="inlineStr">
        <is>
          <t>system</t>
        </is>
      </c>
      <c r="O76" t="inlineStr">
        <is>
          <t>2026-06-22 14:11:25</t>
        </is>
      </c>
      <c r="P76" t="inlineStr">
        <is>
          <t>2026-06-22 14:11:25</t>
        </is>
      </c>
      <c r="Y76" t="inlineStr">
        <is>
          <t>27796673740</t>
        </is>
      </c>
    </row>
    <row r="77">
      <c r="A77" t="inlineStr">
        <is>
          <t>15000000</t>
        </is>
      </c>
      <c r="B77" t="inlineStr">
        <is>
          <t>04e80790-e4f1-490c-b766-7ccdcd2ccd90</t>
        </is>
      </c>
      <c r="D77" t="inlineStr">
        <is>
          <t>11111127</t>
        </is>
      </c>
      <c r="E77" t="inlineStr">
        <is>
          <t>Vodacom Life 20260622</t>
        </is>
      </c>
      <c r="J77" t="inlineStr">
        <is>
          <t>AE</t>
        </is>
      </c>
      <c r="K77" t="inlineStr">
        <is>
          <t>Auto Engaged</t>
        </is>
      </c>
      <c r="L77" t="n">
        <v>6</v>
      </c>
      <c r="M77" t="inlineStr">
        <is>
          <t>2026-06-29 14:46:47</t>
        </is>
      </c>
      <c r="N77" t="inlineStr">
        <is>
          <t>system</t>
        </is>
      </c>
      <c r="O77" t="inlineStr">
        <is>
          <t>2026-06-22 14:11:25</t>
        </is>
      </c>
      <c r="P77" t="inlineStr">
        <is>
          <t>2026-06-22 14:11:25</t>
        </is>
      </c>
      <c r="Y77" t="inlineStr">
        <is>
          <t>27797040484</t>
        </is>
      </c>
    </row>
    <row r="78">
      <c r="A78" t="inlineStr">
        <is>
          <t>14973746</t>
        </is>
      </c>
      <c r="B78" t="inlineStr">
        <is>
          <t>82448bfd-edde-4f75-9dbc-c205cce4ba01</t>
        </is>
      </c>
      <c r="D78" t="inlineStr">
        <is>
          <t>11111127</t>
        </is>
      </c>
      <c r="E78" t="inlineStr">
        <is>
          <t>Vodacom Life 20260622</t>
        </is>
      </c>
      <c r="J78" t="inlineStr">
        <is>
          <t>AA</t>
        </is>
      </c>
      <c r="K78" t="inlineStr">
        <is>
          <t>Answering Machine Autodial</t>
        </is>
      </c>
      <c r="L78" t="n">
        <v>6</v>
      </c>
      <c r="M78" t="inlineStr">
        <is>
          <t>2026-06-29 14:46:47</t>
        </is>
      </c>
      <c r="N78" t="inlineStr">
        <is>
          <t>system</t>
        </is>
      </c>
      <c r="O78" t="inlineStr">
        <is>
          <t>2026-06-22 14:11:25</t>
        </is>
      </c>
      <c r="P78" t="inlineStr">
        <is>
          <t>2026-06-22 14:11:25</t>
        </is>
      </c>
      <c r="Y78" t="inlineStr">
        <is>
          <t>27606543403</t>
        </is>
      </c>
    </row>
    <row r="79">
      <c r="A79" t="inlineStr">
        <is>
          <t>14973747</t>
        </is>
      </c>
      <c r="B79" t="inlineStr">
        <is>
          <t>469af1ab-5f73-4097-984e-bdd8b8251c2e</t>
        </is>
      </c>
      <c r="D79" t="inlineStr">
        <is>
          <t>11111127</t>
        </is>
      </c>
      <c r="E79" t="inlineStr">
        <is>
          <t>Vodacom Life 20260622</t>
        </is>
      </c>
      <c r="J79" t="inlineStr">
        <is>
          <t>ADC</t>
        </is>
      </c>
      <c r="K79" t="inlineStr">
        <is>
          <t>Auto Dial Disconnected</t>
        </is>
      </c>
      <c r="L79" t="n">
        <v>6</v>
      </c>
      <c r="M79" t="inlineStr">
        <is>
          <t>2026-06-29 14:46:47</t>
        </is>
      </c>
      <c r="N79" t="inlineStr">
        <is>
          <t>system</t>
        </is>
      </c>
      <c r="O79" t="inlineStr">
        <is>
          <t>2026-06-22 14:11:25</t>
        </is>
      </c>
      <c r="P79" t="inlineStr">
        <is>
          <t>2026-06-22 14:11:25</t>
        </is>
      </c>
      <c r="Y79" t="inlineStr">
        <is>
          <t>27765619967</t>
        </is>
      </c>
    </row>
    <row r="80">
      <c r="A80" t="inlineStr">
        <is>
          <t>14974102</t>
        </is>
      </c>
      <c r="B80" t="inlineStr">
        <is>
          <t>555346f7-23a0-4222-a1eb-df62098e84bf</t>
        </is>
      </c>
      <c r="D80" t="inlineStr">
        <is>
          <t>11111127</t>
        </is>
      </c>
      <c r="E80" t="inlineStr">
        <is>
          <t>Vodacom Life 20260622</t>
        </is>
      </c>
      <c r="H80" t="inlineStr">
        <is>
          <t>27725660615</t>
        </is>
      </c>
      <c r="J80" t="inlineStr">
        <is>
          <t>A</t>
        </is>
      </c>
      <c r="K80" t="inlineStr">
        <is>
          <t>Answering Machine</t>
        </is>
      </c>
      <c r="L80" t="n">
        <v>7</v>
      </c>
      <c r="M80" t="inlineStr">
        <is>
          <t>2026-06-29 14:46:47</t>
        </is>
      </c>
      <c r="N80" t="inlineStr">
        <is>
          <t>Vanessa Kekana</t>
        </is>
      </c>
      <c r="O80" t="inlineStr">
        <is>
          <t>2026-06-22 14:11:25</t>
        </is>
      </c>
      <c r="P80" t="inlineStr">
        <is>
          <t>2026-06-22 14:11:25</t>
        </is>
      </c>
      <c r="Y80" t="inlineStr">
        <is>
          <t>27725660615</t>
        </is>
      </c>
    </row>
    <row r="81">
      <c r="A81" t="inlineStr">
        <is>
          <t>14973742</t>
        </is>
      </c>
      <c r="B81" t="inlineStr">
        <is>
          <t>d015d4b3-2ef0-4b26-bcb1-38859ff01eb5</t>
        </is>
      </c>
      <c r="D81" t="inlineStr">
        <is>
          <t>11111127</t>
        </is>
      </c>
      <c r="E81" t="inlineStr">
        <is>
          <t>Vodacom Life 20260622</t>
        </is>
      </c>
      <c r="J81" t="inlineStr">
        <is>
          <t>AA</t>
        </is>
      </c>
      <c r="K81" t="inlineStr">
        <is>
          <t>Answering Machine Autodial</t>
        </is>
      </c>
      <c r="L81" t="n">
        <v>6</v>
      </c>
      <c r="M81" t="inlineStr">
        <is>
          <t>2026-06-29 14:46:13</t>
        </is>
      </c>
      <c r="N81" t="inlineStr">
        <is>
          <t>system</t>
        </is>
      </c>
      <c r="O81" t="inlineStr">
        <is>
          <t>2026-06-22 14:11:25</t>
        </is>
      </c>
      <c r="P81" t="inlineStr">
        <is>
          <t>2026-06-22 14:11:25</t>
        </is>
      </c>
      <c r="Y81" t="inlineStr">
        <is>
          <t>27793971914</t>
        </is>
      </c>
    </row>
    <row r="82">
      <c r="A82" t="inlineStr">
        <is>
          <t>14974680</t>
        </is>
      </c>
      <c r="B82" t="inlineStr">
        <is>
          <t>c78577d1-9897-451d-ab26-5281043afac5</t>
        </is>
      </c>
      <c r="D82" t="inlineStr">
        <is>
          <t>11111127</t>
        </is>
      </c>
      <c r="E82" t="inlineStr">
        <is>
          <t>Vodacom Life 20260622</t>
        </is>
      </c>
      <c r="J82" t="inlineStr">
        <is>
          <t>DROP</t>
        </is>
      </c>
      <c r="K82" t="inlineStr">
        <is>
          <t>Dropped</t>
        </is>
      </c>
      <c r="L82" t="n">
        <v>6</v>
      </c>
      <c r="M82" t="inlineStr">
        <is>
          <t>2026-06-29 14:46:10</t>
        </is>
      </c>
      <c r="N82" t="inlineStr">
        <is>
          <t>system</t>
        </is>
      </c>
      <c r="O82" t="inlineStr">
        <is>
          <t>2026-06-22 14:11:25</t>
        </is>
      </c>
      <c r="P82" t="inlineStr">
        <is>
          <t>2026-06-22 14:11:25</t>
        </is>
      </c>
      <c r="Y82" t="inlineStr">
        <is>
          <t>27660921114</t>
        </is>
      </c>
    </row>
    <row r="83">
      <c r="A83" t="inlineStr">
        <is>
          <t>14974691</t>
        </is>
      </c>
      <c r="B83" t="inlineStr">
        <is>
          <t>32ad47f1-8adf-4958-bd6e-014b22ea9ba4</t>
        </is>
      </c>
      <c r="D83" t="inlineStr">
        <is>
          <t>11111127</t>
        </is>
      </c>
      <c r="E83" t="inlineStr">
        <is>
          <t>Vodacom Life 20260622</t>
        </is>
      </c>
      <c r="H83" t="inlineStr">
        <is>
          <t>27765587766</t>
        </is>
      </c>
      <c r="J83" t="inlineStr">
        <is>
          <t>DNQF</t>
        </is>
      </c>
      <c r="K83" t="inlineStr">
        <is>
          <t>Do Not Qualify Failed Medical Question</t>
        </is>
      </c>
      <c r="L83" t="n">
        <v>6</v>
      </c>
      <c r="M83" t="inlineStr">
        <is>
          <t>2026-06-29 14:46:10</t>
        </is>
      </c>
      <c r="N83" t="inlineStr">
        <is>
          <t>Khensane Mabasa</t>
        </is>
      </c>
      <c r="O83" t="inlineStr">
        <is>
          <t>2026-06-22 14:11:25</t>
        </is>
      </c>
      <c r="P83" t="inlineStr">
        <is>
          <t>2026-06-22 14:11:25</t>
        </is>
      </c>
      <c r="Y83" t="inlineStr">
        <is>
          <t>27765587766</t>
        </is>
      </c>
    </row>
    <row r="84">
      <c r="A84" t="inlineStr">
        <is>
          <t>14974692</t>
        </is>
      </c>
      <c r="B84" t="inlineStr">
        <is>
          <t>9673acb1-4384-4d97-a474-559df525a26e</t>
        </is>
      </c>
      <c r="D84" t="inlineStr">
        <is>
          <t>11111127</t>
        </is>
      </c>
      <c r="E84" t="inlineStr">
        <is>
          <t>Vodacom Life 20260622</t>
        </is>
      </c>
      <c r="J84" t="inlineStr">
        <is>
          <t>AA</t>
        </is>
      </c>
      <c r="K84" t="inlineStr">
        <is>
          <t>Answering Machine Autodial</t>
        </is>
      </c>
      <c r="L84" t="n">
        <v>6</v>
      </c>
      <c r="M84" t="inlineStr">
        <is>
          <t>2026-06-29 14:46:10</t>
        </is>
      </c>
      <c r="N84" t="inlineStr">
        <is>
          <t>system</t>
        </is>
      </c>
      <c r="O84" t="inlineStr">
        <is>
          <t>2026-06-22 14:11:25</t>
        </is>
      </c>
      <c r="P84" t="inlineStr">
        <is>
          <t>2026-06-22 14:11:25</t>
        </is>
      </c>
      <c r="Y84" t="inlineStr">
        <is>
          <t>27818309661</t>
        </is>
      </c>
    </row>
    <row r="85">
      <c r="A85" t="inlineStr">
        <is>
          <t>14974677</t>
        </is>
      </c>
      <c r="B85" t="inlineStr">
        <is>
          <t>58f91a0f-8f8c-4618-b845-b33bb52db3bf</t>
        </is>
      </c>
      <c r="D85" t="inlineStr">
        <is>
          <t>11111127</t>
        </is>
      </c>
      <c r="E85" t="inlineStr">
        <is>
          <t>Vodacom Life 20260622</t>
        </is>
      </c>
      <c r="J85" t="inlineStr">
        <is>
          <t>DROP</t>
        </is>
      </c>
      <c r="K85" t="inlineStr">
        <is>
          <t>Dropped</t>
        </is>
      </c>
      <c r="L85" t="n">
        <v>6</v>
      </c>
      <c r="M85" t="inlineStr">
        <is>
          <t>2026-06-29 14:45:27</t>
        </is>
      </c>
      <c r="N85" t="inlineStr">
        <is>
          <t>system</t>
        </is>
      </c>
      <c r="O85" t="inlineStr">
        <is>
          <t>2026-06-22 14:11:25</t>
        </is>
      </c>
      <c r="P85" t="inlineStr">
        <is>
          <t>2026-06-22 14:11:25</t>
        </is>
      </c>
      <c r="Y85" t="inlineStr">
        <is>
          <t>27721872439</t>
        </is>
      </c>
    </row>
    <row r="86">
      <c r="A86" t="inlineStr">
        <is>
          <t>14974675</t>
        </is>
      </c>
      <c r="B86" t="inlineStr">
        <is>
          <t>95fbd9f5-1750-4705-a503-e814eb825c70</t>
        </is>
      </c>
      <c r="D86" t="inlineStr">
        <is>
          <t>11111127</t>
        </is>
      </c>
      <c r="E86" t="inlineStr">
        <is>
          <t>Vodacom Life 20260622</t>
        </is>
      </c>
      <c r="J86" t="inlineStr">
        <is>
          <t>AA</t>
        </is>
      </c>
      <c r="K86" t="inlineStr">
        <is>
          <t>Answering Machine Autodial</t>
        </is>
      </c>
      <c r="L86" t="n">
        <v>6</v>
      </c>
      <c r="M86" t="inlineStr">
        <is>
          <t>2026-06-29 14:45:24</t>
        </is>
      </c>
      <c r="N86" t="inlineStr">
        <is>
          <t>system</t>
        </is>
      </c>
      <c r="O86" t="inlineStr">
        <is>
          <t>2026-06-22 14:11:25</t>
        </is>
      </c>
      <c r="P86" t="inlineStr">
        <is>
          <t>2026-06-22 14:11:25</t>
        </is>
      </c>
      <c r="Y86" t="inlineStr">
        <is>
          <t>27663440590</t>
        </is>
      </c>
    </row>
    <row r="87">
      <c r="A87" t="inlineStr">
        <is>
          <t>14974112</t>
        </is>
      </c>
      <c r="B87" t="inlineStr">
        <is>
          <t>03bbedf6-c435-4a95-a046-f754699661be</t>
        </is>
      </c>
      <c r="D87" t="inlineStr">
        <is>
          <t>11111127</t>
        </is>
      </c>
      <c r="E87" t="inlineStr">
        <is>
          <t>Vodacom Life 20260622</t>
        </is>
      </c>
      <c r="J87" t="inlineStr">
        <is>
          <t>ADC</t>
        </is>
      </c>
      <c r="K87" t="inlineStr">
        <is>
          <t>Auto Dial Disconnected</t>
        </is>
      </c>
      <c r="L87" t="n">
        <v>6</v>
      </c>
      <c r="M87" t="inlineStr">
        <is>
          <t>2026-06-29 14:45:22</t>
        </is>
      </c>
      <c r="N87" t="inlineStr">
        <is>
          <t>system</t>
        </is>
      </c>
      <c r="O87" t="inlineStr">
        <is>
          <t>2026-06-22 14:11:25</t>
        </is>
      </c>
      <c r="P87" t="inlineStr">
        <is>
          <t>2026-06-22 14:11:25</t>
        </is>
      </c>
      <c r="Y87" t="inlineStr">
        <is>
          <t>27648900708</t>
        </is>
      </c>
    </row>
    <row r="88">
      <c r="A88" t="inlineStr">
        <is>
          <t>14974127</t>
        </is>
      </c>
      <c r="B88" t="inlineStr">
        <is>
          <t>2eda15cc-efe4-49ae-9594-719685a654aa</t>
        </is>
      </c>
      <c r="D88" t="inlineStr">
        <is>
          <t>11111127</t>
        </is>
      </c>
      <c r="E88" t="inlineStr">
        <is>
          <t>Vodacom Life 20260622</t>
        </is>
      </c>
      <c r="H88" t="inlineStr">
        <is>
          <t>27766469370</t>
        </is>
      </c>
      <c r="J88" t="inlineStr">
        <is>
          <t>A</t>
        </is>
      </c>
      <c r="K88" t="inlineStr">
        <is>
          <t>Answering Machine</t>
        </is>
      </c>
      <c r="L88" t="n">
        <v>6</v>
      </c>
      <c r="M88" t="inlineStr">
        <is>
          <t>2026-06-29 14:45:22</t>
        </is>
      </c>
      <c r="N88" t="inlineStr">
        <is>
          <t>Khensane Mabasa</t>
        </is>
      </c>
      <c r="O88" t="inlineStr">
        <is>
          <t>2026-06-22 14:11:25</t>
        </is>
      </c>
      <c r="P88" t="inlineStr">
        <is>
          <t>2026-06-22 14:11:25</t>
        </is>
      </c>
      <c r="Y88" t="inlineStr">
        <is>
          <t>27766469370</t>
        </is>
      </c>
    </row>
    <row r="89">
      <c r="A89" t="inlineStr">
        <is>
          <t>14974128</t>
        </is>
      </c>
      <c r="B89" t="inlineStr">
        <is>
          <t>8c7575a6-b926-42d1-a277-1dde0f00d2f6</t>
        </is>
      </c>
      <c r="D89" t="inlineStr">
        <is>
          <t>11111127</t>
        </is>
      </c>
      <c r="E89" t="inlineStr">
        <is>
          <t>Vodacom Life 20260622</t>
        </is>
      </c>
      <c r="J89" t="inlineStr">
        <is>
          <t>AE</t>
        </is>
      </c>
      <c r="K89" t="inlineStr">
        <is>
          <t>Auto Engaged</t>
        </is>
      </c>
      <c r="L89" t="n">
        <v>6</v>
      </c>
      <c r="M89" t="inlineStr">
        <is>
          <t>2026-06-29 14:45:21</t>
        </is>
      </c>
      <c r="N89" t="inlineStr">
        <is>
          <t>system</t>
        </is>
      </c>
      <c r="O89" t="inlineStr">
        <is>
          <t>2026-06-22 14:11:25</t>
        </is>
      </c>
      <c r="P89" t="inlineStr">
        <is>
          <t>2026-06-22 14:11:25</t>
        </is>
      </c>
      <c r="Y89" t="inlineStr">
        <is>
          <t>27646968421</t>
        </is>
      </c>
    </row>
    <row r="90">
      <c r="A90" t="inlineStr">
        <is>
          <t>14974130</t>
        </is>
      </c>
      <c r="B90" t="inlineStr">
        <is>
          <t>88ad3582-91a0-421f-9e9e-52d596d1efab</t>
        </is>
      </c>
      <c r="D90" t="inlineStr">
        <is>
          <t>11111127</t>
        </is>
      </c>
      <c r="E90" t="inlineStr">
        <is>
          <t>Vodacom Life 20260622</t>
        </is>
      </c>
      <c r="J90" t="inlineStr">
        <is>
          <t>NA</t>
        </is>
      </c>
      <c r="K90" t="inlineStr">
        <is>
          <t>No Answer Autodial</t>
        </is>
      </c>
      <c r="L90" t="n">
        <v>6</v>
      </c>
      <c r="M90" t="inlineStr">
        <is>
          <t>2026-06-29 14:45:21</t>
        </is>
      </c>
      <c r="N90" t="inlineStr">
        <is>
          <t>system</t>
        </is>
      </c>
      <c r="O90" t="inlineStr">
        <is>
          <t>2026-06-22 14:11:25</t>
        </is>
      </c>
      <c r="P90" t="inlineStr">
        <is>
          <t>2026-06-22 14:11:25</t>
        </is>
      </c>
      <c r="Y90" t="inlineStr">
        <is>
          <t>27797802680</t>
        </is>
      </c>
    </row>
    <row r="91">
      <c r="A91" t="inlineStr">
        <is>
          <t>14974113</t>
        </is>
      </c>
      <c r="B91" t="inlineStr">
        <is>
          <t>b986331d-dca7-49f6-83a3-5c7c9d02b61c</t>
        </is>
      </c>
      <c r="D91" t="inlineStr">
        <is>
          <t>11111127</t>
        </is>
      </c>
      <c r="E91" t="inlineStr">
        <is>
          <t>Vodacom Life 20260622</t>
        </is>
      </c>
      <c r="H91" t="inlineStr">
        <is>
          <t>27845801587</t>
        </is>
      </c>
      <c r="J91" t="inlineStr">
        <is>
          <t>IABDN</t>
        </is>
      </c>
      <c r="K91" t="inlineStr">
        <is>
          <t>Inbound Abandon</t>
        </is>
      </c>
      <c r="L91" t="n">
        <v>6</v>
      </c>
      <c r="M91" t="inlineStr">
        <is>
          <t>2026-06-29 14:44:34</t>
        </is>
      </c>
      <c r="N91" t="inlineStr">
        <is>
          <t>system</t>
        </is>
      </c>
      <c r="O91" t="inlineStr">
        <is>
          <t>2026-06-22 14:11:25</t>
        </is>
      </c>
      <c r="P91" t="inlineStr">
        <is>
          <t>2026-06-22 14:11:25</t>
        </is>
      </c>
      <c r="Y91" t="inlineStr">
        <is>
          <t>27845801587</t>
        </is>
      </c>
    </row>
    <row r="92">
      <c r="A92" t="inlineStr">
        <is>
          <t>14974131</t>
        </is>
      </c>
      <c r="B92" t="inlineStr">
        <is>
          <t>c2a14999-c119-40fd-a364-a4c5ad2113d7</t>
        </is>
      </c>
      <c r="D92" t="inlineStr">
        <is>
          <t>11111127</t>
        </is>
      </c>
      <c r="E92" t="inlineStr">
        <is>
          <t>Vodacom Life 20260622</t>
        </is>
      </c>
      <c r="J92" t="inlineStr">
        <is>
          <t>DROP</t>
        </is>
      </c>
      <c r="K92" t="inlineStr">
        <is>
          <t>Dropped</t>
        </is>
      </c>
      <c r="L92" t="n">
        <v>6</v>
      </c>
      <c r="M92" t="inlineStr">
        <is>
          <t>2026-06-29 14:44:24</t>
        </is>
      </c>
      <c r="N92" t="inlineStr">
        <is>
          <t>system</t>
        </is>
      </c>
      <c r="O92" t="inlineStr">
        <is>
          <t>2026-06-22 14:11:25</t>
        </is>
      </c>
      <c r="P92" t="inlineStr">
        <is>
          <t>2026-06-22 14:11:25</t>
        </is>
      </c>
      <c r="Y92" t="inlineStr">
        <is>
          <t>27794388098</t>
        </is>
      </c>
    </row>
    <row r="93">
      <c r="A93" t="inlineStr">
        <is>
          <t>14974132</t>
        </is>
      </c>
      <c r="B93" t="inlineStr">
        <is>
          <t>80ee18ef-2380-4337-88cd-dc0a190cf26b</t>
        </is>
      </c>
      <c r="D93" t="inlineStr">
        <is>
          <t>11111127</t>
        </is>
      </c>
      <c r="E93" t="inlineStr">
        <is>
          <t>Vodacom Life 20260622</t>
        </is>
      </c>
      <c r="J93" t="inlineStr">
        <is>
          <t>DROP</t>
        </is>
      </c>
      <c r="K93" t="inlineStr">
        <is>
          <t>Dropped</t>
        </is>
      </c>
      <c r="L93" t="n">
        <v>6</v>
      </c>
      <c r="M93" t="inlineStr">
        <is>
          <t>2026-06-29 14:44:24</t>
        </is>
      </c>
      <c r="N93" t="inlineStr">
        <is>
          <t>system</t>
        </is>
      </c>
      <c r="O93" t="inlineStr">
        <is>
          <t>2026-06-22 14:11:25</t>
        </is>
      </c>
      <c r="P93" t="inlineStr">
        <is>
          <t>2026-06-22 14:11:25</t>
        </is>
      </c>
      <c r="Y93" t="inlineStr">
        <is>
          <t>27769042827</t>
        </is>
      </c>
    </row>
    <row r="94">
      <c r="A94" t="inlineStr">
        <is>
          <t>14974133</t>
        </is>
      </c>
      <c r="B94" t="inlineStr">
        <is>
          <t>dbd2e27e-31c5-40a2-a4e0-b023821735d4</t>
        </is>
      </c>
      <c r="D94" t="inlineStr">
        <is>
          <t>11111127</t>
        </is>
      </c>
      <c r="E94" t="inlineStr">
        <is>
          <t>Vodacom Life 20260622</t>
        </is>
      </c>
      <c r="J94" t="inlineStr">
        <is>
          <t>NA</t>
        </is>
      </c>
      <c r="K94" t="inlineStr">
        <is>
          <t>No Answer Autodial</t>
        </is>
      </c>
      <c r="L94" t="n">
        <v>6</v>
      </c>
      <c r="M94" t="inlineStr">
        <is>
          <t>2026-06-29 14:44:08</t>
        </is>
      </c>
      <c r="N94" t="inlineStr">
        <is>
          <t>system</t>
        </is>
      </c>
      <c r="O94" t="inlineStr">
        <is>
          <t>2026-06-22 14:11:25</t>
        </is>
      </c>
      <c r="P94" t="inlineStr">
        <is>
          <t>2026-06-22 14:11:25</t>
        </is>
      </c>
      <c r="Y94" t="inlineStr">
        <is>
          <t>27673905873</t>
        </is>
      </c>
    </row>
    <row r="95">
      <c r="A95" t="inlineStr">
        <is>
          <t>14974134</t>
        </is>
      </c>
      <c r="B95" t="inlineStr">
        <is>
          <t>a770bee2-8a00-4c5f-9dcf-f8eeb3354746</t>
        </is>
      </c>
      <c r="D95" t="inlineStr">
        <is>
          <t>11111127</t>
        </is>
      </c>
      <c r="E95" t="inlineStr">
        <is>
          <t>Vodacom Life 20260622</t>
        </is>
      </c>
      <c r="H95" t="inlineStr">
        <is>
          <t>27722886096</t>
        </is>
      </c>
      <c r="J95" t="inlineStr">
        <is>
          <t>AA</t>
        </is>
      </c>
      <c r="K95" t="inlineStr">
        <is>
          <t>Answering Machine Autodial</t>
        </is>
      </c>
      <c r="L95" t="n">
        <v>6</v>
      </c>
      <c r="M95" t="inlineStr">
        <is>
          <t>2026-06-29 14:44:07</t>
        </is>
      </c>
      <c r="N95" t="inlineStr">
        <is>
          <t>system</t>
        </is>
      </c>
      <c r="O95" t="inlineStr">
        <is>
          <t>2026-06-22 14:11:25</t>
        </is>
      </c>
      <c r="P95" t="inlineStr">
        <is>
          <t>2026-06-22 14:11:25</t>
        </is>
      </c>
      <c r="Y95" t="inlineStr">
        <is>
          <t>27722886096</t>
        </is>
      </c>
    </row>
    <row r="96">
      <c r="A96" t="inlineStr">
        <is>
          <t>14974135</t>
        </is>
      </c>
      <c r="B96" t="inlineStr">
        <is>
          <t>1c61305e-71d2-4a74-988b-a0b35eae38b5</t>
        </is>
      </c>
      <c r="D96" t="inlineStr">
        <is>
          <t>11111127</t>
        </is>
      </c>
      <c r="E96" t="inlineStr">
        <is>
          <t>Vodacom Life 20260622</t>
        </is>
      </c>
      <c r="J96" t="inlineStr">
        <is>
          <t>AA</t>
        </is>
      </c>
      <c r="K96" t="inlineStr">
        <is>
          <t>Answering Machine Autodial</t>
        </is>
      </c>
      <c r="L96" t="n">
        <v>6</v>
      </c>
      <c r="M96" t="inlineStr">
        <is>
          <t>2026-06-29 14:44:07</t>
        </is>
      </c>
      <c r="N96" t="inlineStr">
        <is>
          <t>system</t>
        </is>
      </c>
      <c r="O96" t="inlineStr">
        <is>
          <t>2026-06-22 14:11:25</t>
        </is>
      </c>
      <c r="P96" t="inlineStr">
        <is>
          <t>2026-06-22 14:11:25</t>
        </is>
      </c>
      <c r="Y96" t="inlineStr">
        <is>
          <t>27727605668</t>
        </is>
      </c>
    </row>
    <row r="97">
      <c r="A97" t="inlineStr">
        <is>
          <t>14974137</t>
        </is>
      </c>
      <c r="B97" t="inlineStr">
        <is>
          <t>e1c97ea5-cbd5-4570-9e15-279e318ee22f</t>
        </is>
      </c>
      <c r="D97" t="inlineStr">
        <is>
          <t>11111127</t>
        </is>
      </c>
      <c r="E97" t="inlineStr">
        <is>
          <t>Vodacom Life 20260622</t>
        </is>
      </c>
      <c r="J97" t="inlineStr">
        <is>
          <t>CCB</t>
        </is>
      </c>
      <c r="K97" t="inlineStr">
        <is>
          <t>Call Dropped</t>
        </is>
      </c>
      <c r="L97" t="n">
        <v>6</v>
      </c>
      <c r="M97" t="inlineStr">
        <is>
          <t>2026-06-29 14:44:07</t>
        </is>
      </c>
      <c r="N97" t="inlineStr">
        <is>
          <t>Vanessa Kekana</t>
        </is>
      </c>
      <c r="O97" t="inlineStr">
        <is>
          <t>2026-06-22 14:11:25</t>
        </is>
      </c>
      <c r="P97" t="inlineStr">
        <is>
          <t>2026-06-22 14:11:25</t>
        </is>
      </c>
      <c r="Y97" t="inlineStr">
        <is>
          <t>27720551228</t>
        </is>
      </c>
    </row>
    <row r="98">
      <c r="A98" t="inlineStr">
        <is>
          <t>14974139</t>
        </is>
      </c>
      <c r="B98" t="inlineStr">
        <is>
          <t>63679d23-80e8-4f4a-a60f-30b72ca298e4</t>
        </is>
      </c>
      <c r="D98" t="inlineStr">
        <is>
          <t>11111127</t>
        </is>
      </c>
      <c r="E98" t="inlineStr">
        <is>
          <t>Vodacom Life 20260622</t>
        </is>
      </c>
      <c r="J98" t="inlineStr">
        <is>
          <t>CU</t>
        </is>
      </c>
      <c r="K98" t="inlineStr">
        <is>
          <t>Client Hung Up</t>
        </is>
      </c>
      <c r="L98" t="n">
        <v>6</v>
      </c>
      <c r="M98" t="inlineStr">
        <is>
          <t>2026-06-29 14:44:06</t>
        </is>
      </c>
      <c r="N98" t="inlineStr">
        <is>
          <t>Khensane Mabasa</t>
        </is>
      </c>
      <c r="O98" t="inlineStr">
        <is>
          <t>2026-06-22 14:11:25</t>
        </is>
      </c>
      <c r="P98" t="inlineStr">
        <is>
          <t>2026-06-22 14:11:25</t>
        </is>
      </c>
      <c r="Y98" t="inlineStr">
        <is>
          <t>27764514585</t>
        </is>
      </c>
    </row>
    <row r="99">
      <c r="A99" t="inlineStr">
        <is>
          <t>14974141</t>
        </is>
      </c>
      <c r="B99" t="inlineStr">
        <is>
          <t>4c65e108-6fda-4dd4-9af1-080d744249fe</t>
        </is>
      </c>
      <c r="D99" t="inlineStr">
        <is>
          <t>11111127</t>
        </is>
      </c>
      <c r="E99" t="inlineStr">
        <is>
          <t>Vodacom Life 20260622</t>
        </is>
      </c>
      <c r="H99" t="inlineStr">
        <is>
          <t>27826523022</t>
        </is>
      </c>
      <c r="J99" t="inlineStr">
        <is>
          <t>AA</t>
        </is>
      </c>
      <c r="K99" t="inlineStr">
        <is>
          <t>Answering Machine Autodial</t>
        </is>
      </c>
      <c r="L99" t="n">
        <v>6</v>
      </c>
      <c r="M99" t="inlineStr">
        <is>
          <t>2026-06-29 14:44:04</t>
        </is>
      </c>
      <c r="N99" t="inlineStr">
        <is>
          <t>system</t>
        </is>
      </c>
      <c r="O99" t="inlineStr">
        <is>
          <t>2026-06-22 14:11:25</t>
        </is>
      </c>
      <c r="P99" t="inlineStr">
        <is>
          <t>2026-06-22 14:11:25</t>
        </is>
      </c>
      <c r="Y99" t="inlineStr">
        <is>
          <t>27826523022</t>
        </is>
      </c>
    </row>
    <row r="100">
      <c r="A100" t="inlineStr">
        <is>
          <t>14974142</t>
        </is>
      </c>
      <c r="B100" t="inlineStr">
        <is>
          <t>f94bae35-13ef-4a85-819b-5334fa0a49b1</t>
        </is>
      </c>
      <c r="D100" t="inlineStr">
        <is>
          <t>11111127</t>
        </is>
      </c>
      <c r="E100" t="inlineStr">
        <is>
          <t>Vodacom Life 20260622</t>
        </is>
      </c>
      <c r="J100" t="inlineStr">
        <is>
          <t>AE</t>
        </is>
      </c>
      <c r="K100" t="inlineStr">
        <is>
          <t>Auto Engaged</t>
        </is>
      </c>
      <c r="L100" t="n">
        <v>6</v>
      </c>
      <c r="M100" t="inlineStr">
        <is>
          <t>2026-06-29 14:44:04</t>
        </is>
      </c>
      <c r="N100" t="inlineStr">
        <is>
          <t>system</t>
        </is>
      </c>
      <c r="O100" t="inlineStr">
        <is>
          <t>2026-06-22 14:11:25</t>
        </is>
      </c>
      <c r="P100" t="inlineStr">
        <is>
          <t>2026-06-22 14:11:25</t>
        </is>
      </c>
      <c r="Y100" t="inlineStr">
        <is>
          <t>27607778248</t>
        </is>
      </c>
    </row>
    <row r="101">
      <c r="A101" t="inlineStr">
        <is>
          <t>14974143</t>
        </is>
      </c>
      <c r="B101" t="inlineStr">
        <is>
          <t>e1d4cf49-c5a8-47a0-ad40-77a10218db19</t>
        </is>
      </c>
      <c r="D101" t="inlineStr">
        <is>
          <t>11111127</t>
        </is>
      </c>
      <c r="E101" t="inlineStr">
        <is>
          <t>Vodacom Life 20260622</t>
        </is>
      </c>
      <c r="H101" t="inlineStr">
        <is>
          <t>27637800327</t>
        </is>
      </c>
      <c r="J101" t="inlineStr">
        <is>
          <t>AE</t>
        </is>
      </c>
      <c r="K101" t="inlineStr">
        <is>
          <t>Auto Engaged</t>
        </is>
      </c>
      <c r="L101" t="n">
        <v>6</v>
      </c>
      <c r="M101" t="inlineStr">
        <is>
          <t>2026-06-29 14:44:02</t>
        </is>
      </c>
      <c r="N101" t="inlineStr">
        <is>
          <t>system</t>
        </is>
      </c>
      <c r="O101" t="inlineStr">
        <is>
          <t>2026-06-22 14:11:25</t>
        </is>
      </c>
      <c r="P101" t="inlineStr">
        <is>
          <t>2026-06-22 14:11:25</t>
        </is>
      </c>
      <c r="Y101" t="inlineStr">
        <is>
          <t>27637800327</t>
        </is>
      </c>
    </row>
    <row r="102">
      <c r="A102" t="inlineStr">
        <is>
          <t>14974144</t>
        </is>
      </c>
      <c r="B102" t="inlineStr">
        <is>
          <t>85138767-eea6-4987-a0a5-f174bb38dadf</t>
        </is>
      </c>
      <c r="D102" t="inlineStr">
        <is>
          <t>11111127</t>
        </is>
      </c>
      <c r="E102" t="inlineStr">
        <is>
          <t>Vodacom Life 20260622</t>
        </is>
      </c>
      <c r="J102" t="inlineStr">
        <is>
          <t>AA</t>
        </is>
      </c>
      <c r="K102" t="inlineStr">
        <is>
          <t>Answering Machine Autodial</t>
        </is>
      </c>
      <c r="L102" t="n">
        <v>6</v>
      </c>
      <c r="M102" t="inlineStr">
        <is>
          <t>2026-06-29 14:43:58</t>
        </is>
      </c>
      <c r="N102" t="inlineStr">
        <is>
          <t>system</t>
        </is>
      </c>
      <c r="O102" t="inlineStr">
        <is>
          <t>2026-06-22 14:11:25</t>
        </is>
      </c>
      <c r="P102" t="inlineStr">
        <is>
          <t>2026-06-22 14:11:25</t>
        </is>
      </c>
      <c r="Y102" t="inlineStr">
        <is>
          <t>27725563206</t>
        </is>
      </c>
    </row>
    <row r="103">
      <c r="A103" t="inlineStr">
        <is>
          <t>14974145</t>
        </is>
      </c>
      <c r="B103" t="inlineStr">
        <is>
          <t>157a3062-e9a5-4327-8654-95a950b4b08f</t>
        </is>
      </c>
      <c r="D103" t="inlineStr">
        <is>
          <t>11111127</t>
        </is>
      </c>
      <c r="E103" t="inlineStr">
        <is>
          <t>Vodacom Life 20260622</t>
        </is>
      </c>
      <c r="J103" t="inlineStr">
        <is>
          <t>NA</t>
        </is>
      </c>
      <c r="K103" t="inlineStr">
        <is>
          <t>No Answer Autodial</t>
        </is>
      </c>
      <c r="L103" t="n">
        <v>6</v>
      </c>
      <c r="M103" t="inlineStr">
        <is>
          <t>2026-06-29 14:43:51</t>
        </is>
      </c>
      <c r="N103" t="inlineStr">
        <is>
          <t>system</t>
        </is>
      </c>
      <c r="O103" t="inlineStr">
        <is>
          <t>2026-06-22 14:11:25</t>
        </is>
      </c>
      <c r="P103" t="inlineStr">
        <is>
          <t>2026-06-22 14:11:25</t>
        </is>
      </c>
      <c r="Y103" t="inlineStr">
        <is>
          <t>27792275814</t>
        </is>
      </c>
    </row>
    <row r="104">
      <c r="A104" t="inlineStr">
        <is>
          <t>14974146</t>
        </is>
      </c>
      <c r="B104" t="inlineStr">
        <is>
          <t>308d7ef5-7662-4282-bc1d-ef612c244c46</t>
        </is>
      </c>
      <c r="D104" t="inlineStr">
        <is>
          <t>11111127</t>
        </is>
      </c>
      <c r="E104" t="inlineStr">
        <is>
          <t>Vodacom Life 20260622</t>
        </is>
      </c>
      <c r="J104" t="inlineStr">
        <is>
          <t>AA</t>
        </is>
      </c>
      <c r="K104" t="inlineStr">
        <is>
          <t>Answering Machine Autodial</t>
        </is>
      </c>
      <c r="L104" t="n">
        <v>6</v>
      </c>
      <c r="M104" t="inlineStr">
        <is>
          <t>2026-06-29 14:43:50</t>
        </is>
      </c>
      <c r="N104" t="inlineStr">
        <is>
          <t>system</t>
        </is>
      </c>
      <c r="O104" t="inlineStr">
        <is>
          <t>2026-06-22 14:11:25</t>
        </is>
      </c>
      <c r="P104" t="inlineStr">
        <is>
          <t>2026-06-22 14:11:25</t>
        </is>
      </c>
      <c r="Y104" t="inlineStr">
        <is>
          <t>27660410737</t>
        </is>
      </c>
    </row>
    <row r="105">
      <c r="A105" t="inlineStr">
        <is>
          <t>14974147</t>
        </is>
      </c>
      <c r="B105" t="inlineStr">
        <is>
          <t>51fe3573-f7cc-40f3-86bf-3cbc44b4e012</t>
        </is>
      </c>
      <c r="D105" t="inlineStr">
        <is>
          <t>11111127</t>
        </is>
      </c>
      <c r="E105" t="inlineStr">
        <is>
          <t>Vodacom Life 20260622</t>
        </is>
      </c>
      <c r="H105" t="inlineStr">
        <is>
          <t>27732701290</t>
        </is>
      </c>
      <c r="J105" t="inlineStr">
        <is>
          <t>AA</t>
        </is>
      </c>
      <c r="K105" t="inlineStr">
        <is>
          <t>Answering Machine Autodial</t>
        </is>
      </c>
      <c r="L105" t="n">
        <v>6</v>
      </c>
      <c r="M105" t="inlineStr">
        <is>
          <t>2026-06-29 14:43:50</t>
        </is>
      </c>
      <c r="N105" t="inlineStr">
        <is>
          <t>system</t>
        </is>
      </c>
      <c r="O105" t="inlineStr">
        <is>
          <t>2026-06-22 14:11:25</t>
        </is>
      </c>
      <c r="P105" t="inlineStr">
        <is>
          <t>2026-06-22 14:11:25</t>
        </is>
      </c>
      <c r="Y105" t="inlineStr">
        <is>
          <t>27732701290</t>
        </is>
      </c>
    </row>
    <row r="106">
      <c r="A106" t="inlineStr">
        <is>
          <t>14974148</t>
        </is>
      </c>
      <c r="B106" t="inlineStr">
        <is>
          <t>a10c88f7-bca5-4f49-98f5-9eaf7a9c23c5</t>
        </is>
      </c>
      <c r="D106" t="inlineStr">
        <is>
          <t>11111127</t>
        </is>
      </c>
      <c r="E106" t="inlineStr">
        <is>
          <t>Vodacom Life 20260622</t>
        </is>
      </c>
      <c r="J106" t="inlineStr">
        <is>
          <t>AA</t>
        </is>
      </c>
      <c r="K106" t="inlineStr">
        <is>
          <t>Answering Machine Autodial</t>
        </is>
      </c>
      <c r="L106" t="n">
        <v>6</v>
      </c>
      <c r="M106" t="inlineStr">
        <is>
          <t>2026-06-29 14:43:50</t>
        </is>
      </c>
      <c r="N106" t="inlineStr">
        <is>
          <t>system</t>
        </is>
      </c>
      <c r="O106" t="inlineStr">
        <is>
          <t>2026-06-22 14:11:25</t>
        </is>
      </c>
      <c r="P106" t="inlineStr">
        <is>
          <t>2026-06-22 14:11:25</t>
        </is>
      </c>
      <c r="Y106" t="inlineStr">
        <is>
          <t>27768989123</t>
        </is>
      </c>
    </row>
    <row r="107">
      <c r="A107" t="inlineStr">
        <is>
          <t>14974149</t>
        </is>
      </c>
      <c r="B107" t="inlineStr">
        <is>
          <t>7ba1a611-baf1-4094-862e-8fd538d4ce81</t>
        </is>
      </c>
      <c r="D107" t="inlineStr">
        <is>
          <t>11111127</t>
        </is>
      </c>
      <c r="E107" t="inlineStr">
        <is>
          <t>Vodacom Life 20260622</t>
        </is>
      </c>
      <c r="J107" t="inlineStr">
        <is>
          <t>AE</t>
        </is>
      </c>
      <c r="K107" t="inlineStr">
        <is>
          <t>Auto Engaged</t>
        </is>
      </c>
      <c r="L107" t="n">
        <v>6</v>
      </c>
      <c r="M107" t="inlineStr">
        <is>
          <t>2026-06-29 14:43:50</t>
        </is>
      </c>
      <c r="N107" t="inlineStr">
        <is>
          <t>system</t>
        </is>
      </c>
      <c r="O107" t="inlineStr">
        <is>
          <t>2026-06-22 14:11:25</t>
        </is>
      </c>
      <c r="P107" t="inlineStr">
        <is>
          <t>2026-06-22 14:11:25</t>
        </is>
      </c>
      <c r="Y107" t="inlineStr">
        <is>
          <t>27763057627</t>
        </is>
      </c>
    </row>
    <row r="108">
      <c r="A108" t="inlineStr">
        <is>
          <t>14974114</t>
        </is>
      </c>
      <c r="B108" t="inlineStr">
        <is>
          <t>0152c79d-9dd6-4d24-9f33-f952bdea18cf</t>
        </is>
      </c>
      <c r="D108" t="inlineStr">
        <is>
          <t>11111127</t>
        </is>
      </c>
      <c r="E108" t="inlineStr">
        <is>
          <t>Vodacom Life 20260622</t>
        </is>
      </c>
      <c r="H108" t="inlineStr">
        <is>
          <t>27664444134</t>
        </is>
      </c>
      <c r="J108" t="inlineStr">
        <is>
          <t>CU</t>
        </is>
      </c>
      <c r="K108" t="inlineStr">
        <is>
          <t>Client Hung Up</t>
        </is>
      </c>
      <c r="L108" t="n">
        <v>6</v>
      </c>
      <c r="M108" t="inlineStr">
        <is>
          <t>2026-06-29 14:43:32</t>
        </is>
      </c>
      <c r="N108" t="inlineStr">
        <is>
          <t>Vanessa Kekana</t>
        </is>
      </c>
      <c r="O108" t="inlineStr">
        <is>
          <t>2026-06-22 14:11:25</t>
        </is>
      </c>
      <c r="P108" t="inlineStr">
        <is>
          <t>2026-06-22 14:11:25</t>
        </is>
      </c>
      <c r="Y108" t="inlineStr">
        <is>
          <t>27664444134</t>
        </is>
      </c>
    </row>
    <row r="109">
      <c r="A109" t="inlineStr">
        <is>
          <t>14974115</t>
        </is>
      </c>
      <c r="B109" t="inlineStr">
        <is>
          <t>a81884a8-da57-4110-ab25-766434f73ba4</t>
        </is>
      </c>
      <c r="D109" t="inlineStr">
        <is>
          <t>11111127</t>
        </is>
      </c>
      <c r="E109" t="inlineStr">
        <is>
          <t>Vodacom Life 20260622</t>
        </is>
      </c>
      <c r="J109" t="inlineStr">
        <is>
          <t>AA</t>
        </is>
      </c>
      <c r="K109" t="inlineStr">
        <is>
          <t>Answering Machine Autodial</t>
        </is>
      </c>
      <c r="L109" t="n">
        <v>6</v>
      </c>
      <c r="M109" t="inlineStr">
        <is>
          <t>2026-06-29 14:43:05</t>
        </is>
      </c>
      <c r="N109" t="inlineStr">
        <is>
          <t>system</t>
        </is>
      </c>
      <c r="O109" t="inlineStr">
        <is>
          <t>2026-06-22 14:11:25</t>
        </is>
      </c>
      <c r="P109" t="inlineStr">
        <is>
          <t>2026-06-22 14:11:25</t>
        </is>
      </c>
      <c r="Y109" t="inlineStr">
        <is>
          <t>27721337557</t>
        </is>
      </c>
    </row>
    <row r="110">
      <c r="A110" t="inlineStr">
        <is>
          <t>14974116</t>
        </is>
      </c>
      <c r="B110" t="inlineStr">
        <is>
          <t>743cf265-477c-40d3-bdd2-a843c779e268</t>
        </is>
      </c>
      <c r="D110" t="inlineStr">
        <is>
          <t>11111127</t>
        </is>
      </c>
      <c r="E110" t="inlineStr">
        <is>
          <t>Vodacom Life 20260622</t>
        </is>
      </c>
      <c r="H110" t="inlineStr">
        <is>
          <t>27647814496</t>
        </is>
      </c>
      <c r="J110" t="inlineStr">
        <is>
          <t>ADC</t>
        </is>
      </c>
      <c r="K110" t="inlineStr">
        <is>
          <t>Auto Dial Disconnected</t>
        </is>
      </c>
      <c r="L110" t="n">
        <v>6</v>
      </c>
      <c r="M110" t="inlineStr">
        <is>
          <t>2026-06-29 14:43:05</t>
        </is>
      </c>
      <c r="N110" t="inlineStr">
        <is>
          <t>system</t>
        </is>
      </c>
      <c r="O110" t="inlineStr">
        <is>
          <t>2026-06-22 14:11:25</t>
        </is>
      </c>
      <c r="P110" t="inlineStr">
        <is>
          <t>2026-06-22 14:11:25</t>
        </is>
      </c>
      <c r="Y110" t="inlineStr">
        <is>
          <t>27647814496</t>
        </is>
      </c>
    </row>
    <row r="111">
      <c r="A111" t="inlineStr">
        <is>
          <t>14974117</t>
        </is>
      </c>
      <c r="B111" t="inlineStr">
        <is>
          <t>13978064-3261-4aa6-89cf-894986a22b99</t>
        </is>
      </c>
      <c r="D111" t="inlineStr">
        <is>
          <t>11111127</t>
        </is>
      </c>
      <c r="E111" t="inlineStr">
        <is>
          <t>Vodacom Life 20260622</t>
        </is>
      </c>
      <c r="H111" t="inlineStr">
        <is>
          <t>27827708818</t>
        </is>
      </c>
      <c r="J111" t="inlineStr">
        <is>
          <t>CU</t>
        </is>
      </c>
      <c r="K111" t="inlineStr">
        <is>
          <t>Client Hung Up</t>
        </is>
      </c>
      <c r="L111" t="n">
        <v>6</v>
      </c>
      <c r="M111" t="inlineStr">
        <is>
          <t>2026-06-29 14:42:45</t>
        </is>
      </c>
      <c r="N111" t="inlineStr">
        <is>
          <t>Khensane Mabasa</t>
        </is>
      </c>
      <c r="O111" t="inlineStr">
        <is>
          <t>2026-06-22 14:11:25</t>
        </is>
      </c>
      <c r="P111" t="inlineStr">
        <is>
          <t>2026-06-22 14:11:25</t>
        </is>
      </c>
      <c r="Y111" t="inlineStr">
        <is>
          <t>27827708818</t>
        </is>
      </c>
    </row>
    <row r="112">
      <c r="A112" t="inlineStr">
        <is>
          <t>14974118</t>
        </is>
      </c>
      <c r="B112" t="inlineStr">
        <is>
          <t>6fdeda06-5e2e-4639-a811-9c22672ba2e9</t>
        </is>
      </c>
      <c r="D112" t="inlineStr">
        <is>
          <t>11111127</t>
        </is>
      </c>
      <c r="E112" t="inlineStr">
        <is>
          <t>Vodacom Life 20260622</t>
        </is>
      </c>
      <c r="J112" t="inlineStr">
        <is>
          <t>AA</t>
        </is>
      </c>
      <c r="K112" t="inlineStr">
        <is>
          <t>Answering Machine Autodial</t>
        </is>
      </c>
      <c r="L112" t="n">
        <v>6</v>
      </c>
      <c r="M112" t="inlineStr">
        <is>
          <t>2026-06-29 14:42:43</t>
        </is>
      </c>
      <c r="N112" t="inlineStr">
        <is>
          <t>system</t>
        </is>
      </c>
      <c r="O112" t="inlineStr">
        <is>
          <t>2026-06-22 14:11:25</t>
        </is>
      </c>
      <c r="P112" t="inlineStr">
        <is>
          <t>2026-06-22 14:11:25</t>
        </is>
      </c>
      <c r="Y112" t="inlineStr">
        <is>
          <t>27792915293</t>
        </is>
      </c>
    </row>
    <row r="113">
      <c r="A113" t="inlineStr">
        <is>
          <t>14974119</t>
        </is>
      </c>
      <c r="B113" t="inlineStr">
        <is>
          <t>2330ffb2-6bf7-4717-b2f9-df9f6d1709d6</t>
        </is>
      </c>
      <c r="D113" t="inlineStr">
        <is>
          <t>11111127</t>
        </is>
      </c>
      <c r="E113" t="inlineStr">
        <is>
          <t>Vodacom Life 20260622</t>
        </is>
      </c>
      <c r="J113" t="inlineStr">
        <is>
          <t>DROP</t>
        </is>
      </c>
      <c r="K113" t="inlineStr">
        <is>
          <t>Dropped</t>
        </is>
      </c>
      <c r="L113" t="n">
        <v>6</v>
      </c>
      <c r="M113" t="inlineStr">
        <is>
          <t>2026-06-29 14:42:39</t>
        </is>
      </c>
      <c r="N113" t="inlineStr">
        <is>
          <t>system</t>
        </is>
      </c>
      <c r="O113" t="inlineStr">
        <is>
          <t>2026-06-22 14:11:25</t>
        </is>
      </c>
      <c r="P113" t="inlineStr">
        <is>
          <t>2026-06-22 14:11:25</t>
        </is>
      </c>
      <c r="Y113" t="inlineStr">
        <is>
          <t>27798384992</t>
        </is>
      </c>
    </row>
    <row r="114">
      <c r="A114" t="inlineStr">
        <is>
          <t>14974120</t>
        </is>
      </c>
      <c r="B114" t="inlineStr">
        <is>
          <t>57b85b30-7230-49c6-b85f-3d2f95911fa9</t>
        </is>
      </c>
      <c r="D114" t="inlineStr">
        <is>
          <t>11111127</t>
        </is>
      </c>
      <c r="E114" t="inlineStr">
        <is>
          <t>Vodacom Life 20260622</t>
        </is>
      </c>
      <c r="H114" t="inlineStr">
        <is>
          <t>27649252868</t>
        </is>
      </c>
      <c r="J114" t="inlineStr">
        <is>
          <t>NIUP</t>
        </is>
      </c>
      <c r="K114" t="inlineStr">
        <is>
          <t>Not Interested Upfront</t>
        </is>
      </c>
      <c r="L114" t="n">
        <v>6</v>
      </c>
      <c r="M114" t="inlineStr">
        <is>
          <t>2026-06-29 14:42:39</t>
        </is>
      </c>
      <c r="N114" t="inlineStr">
        <is>
          <t>Vanessa Kekana</t>
        </is>
      </c>
      <c r="O114" t="inlineStr">
        <is>
          <t>2026-06-22 14:11:25</t>
        </is>
      </c>
      <c r="P114" t="inlineStr">
        <is>
          <t>2026-06-22 14:11:25</t>
        </is>
      </c>
      <c r="Y114" t="inlineStr">
        <is>
          <t>27649252868</t>
        </is>
      </c>
    </row>
    <row r="115">
      <c r="A115" t="inlineStr">
        <is>
          <t>14974121</t>
        </is>
      </c>
      <c r="B115" t="inlineStr">
        <is>
          <t>cc006a75-0e84-4997-a45b-5aca655be402</t>
        </is>
      </c>
      <c r="D115" t="inlineStr">
        <is>
          <t>11111127</t>
        </is>
      </c>
      <c r="E115" t="inlineStr">
        <is>
          <t>Vodacom Life 20260622</t>
        </is>
      </c>
      <c r="J115" t="inlineStr">
        <is>
          <t>AA</t>
        </is>
      </c>
      <c r="K115" t="inlineStr">
        <is>
          <t>Answering Machine Autodial</t>
        </is>
      </c>
      <c r="L115" t="n">
        <v>6</v>
      </c>
      <c r="M115" t="inlineStr">
        <is>
          <t>2026-06-29 14:42:39</t>
        </is>
      </c>
      <c r="N115" t="inlineStr">
        <is>
          <t>system</t>
        </is>
      </c>
      <c r="O115" t="inlineStr">
        <is>
          <t>2026-06-22 14:11:25</t>
        </is>
      </c>
      <c r="P115" t="inlineStr">
        <is>
          <t>2026-06-22 14:11:25</t>
        </is>
      </c>
      <c r="Y115" t="inlineStr">
        <is>
          <t>27715510995</t>
        </is>
      </c>
    </row>
    <row r="116">
      <c r="A116" t="inlineStr">
        <is>
          <t>14974122</t>
        </is>
      </c>
      <c r="B116" t="inlineStr">
        <is>
          <t>fcd2458b-1b7c-49f1-8203-7257ca085ac1</t>
        </is>
      </c>
      <c r="D116" t="inlineStr">
        <is>
          <t>11111127</t>
        </is>
      </c>
      <c r="E116" t="inlineStr">
        <is>
          <t>Vodacom Life 20260622</t>
        </is>
      </c>
      <c r="J116" t="inlineStr">
        <is>
          <t>AA</t>
        </is>
      </c>
      <c r="K116" t="inlineStr">
        <is>
          <t>Answering Machine Autodial</t>
        </is>
      </c>
      <c r="L116" t="n">
        <v>6</v>
      </c>
      <c r="M116" t="inlineStr">
        <is>
          <t>2026-06-29 14:42:38</t>
        </is>
      </c>
      <c r="N116" t="inlineStr">
        <is>
          <t>system</t>
        </is>
      </c>
      <c r="O116" t="inlineStr">
        <is>
          <t>2026-06-22 14:11:25</t>
        </is>
      </c>
      <c r="P116" t="inlineStr">
        <is>
          <t>2026-06-22 14:11:25</t>
        </is>
      </c>
      <c r="Y116" t="inlineStr">
        <is>
          <t>27791357697</t>
        </is>
      </c>
    </row>
    <row r="117">
      <c r="A117" t="inlineStr">
        <is>
          <t>14974124</t>
        </is>
      </c>
      <c r="B117" t="inlineStr">
        <is>
          <t>0021f13a-9357-4cc2-bf7a-15740f064bac</t>
        </is>
      </c>
      <c r="D117" t="inlineStr">
        <is>
          <t>11111127</t>
        </is>
      </c>
      <c r="E117" t="inlineStr">
        <is>
          <t>Vodacom Life 20260622</t>
        </is>
      </c>
      <c r="J117" t="inlineStr">
        <is>
          <t>DROP</t>
        </is>
      </c>
      <c r="K117" t="inlineStr">
        <is>
          <t>Dropped</t>
        </is>
      </c>
      <c r="L117" t="n">
        <v>6</v>
      </c>
      <c r="M117" t="inlineStr">
        <is>
          <t>2026-06-29 14:42:38</t>
        </is>
      </c>
      <c r="N117" t="inlineStr">
        <is>
          <t>system</t>
        </is>
      </c>
      <c r="O117" t="inlineStr">
        <is>
          <t>2026-06-22 14:11:25</t>
        </is>
      </c>
      <c r="P117" t="inlineStr">
        <is>
          <t>2026-06-22 14:11:25</t>
        </is>
      </c>
      <c r="Y117" t="inlineStr">
        <is>
          <t>27606209340</t>
        </is>
      </c>
    </row>
    <row r="118">
      <c r="A118" t="inlineStr">
        <is>
          <t>14974097</t>
        </is>
      </c>
      <c r="B118" t="inlineStr">
        <is>
          <t>0c40c571-6d03-4001-adba-1001380f7cd0</t>
        </is>
      </c>
      <c r="D118" t="inlineStr">
        <is>
          <t>11111127</t>
        </is>
      </c>
      <c r="E118" t="inlineStr">
        <is>
          <t>Vodacom Life 20260622</t>
        </is>
      </c>
      <c r="J118" t="inlineStr">
        <is>
          <t>AA</t>
        </is>
      </c>
      <c r="K118" t="inlineStr">
        <is>
          <t>Answering Machine Autodial</t>
        </is>
      </c>
      <c r="L118" t="n">
        <v>6</v>
      </c>
      <c r="M118" t="inlineStr">
        <is>
          <t>2026-06-29 14:42:00</t>
        </is>
      </c>
      <c r="N118" t="inlineStr">
        <is>
          <t>system</t>
        </is>
      </c>
      <c r="O118" t="inlineStr">
        <is>
          <t>2026-06-22 14:11:25</t>
        </is>
      </c>
      <c r="P118" t="inlineStr">
        <is>
          <t>2026-06-22 14:11:25</t>
        </is>
      </c>
      <c r="Y118" t="inlineStr">
        <is>
          <t>27711598591</t>
        </is>
      </c>
    </row>
    <row r="119">
      <c r="A119" t="inlineStr">
        <is>
          <t>14974098</t>
        </is>
      </c>
      <c r="B119" t="inlineStr">
        <is>
          <t>23323c63-1a40-4ddd-bda4-d5b2552d0a48</t>
        </is>
      </c>
      <c r="D119" t="inlineStr">
        <is>
          <t>11111127</t>
        </is>
      </c>
      <c r="E119" t="inlineStr">
        <is>
          <t>Vodacom Life 20260622</t>
        </is>
      </c>
      <c r="H119" t="inlineStr">
        <is>
          <t>27793417469</t>
        </is>
      </c>
      <c r="J119" t="inlineStr">
        <is>
          <t>DROP</t>
        </is>
      </c>
      <c r="K119" t="inlineStr">
        <is>
          <t>Dropped</t>
        </is>
      </c>
      <c r="L119" t="n">
        <v>6</v>
      </c>
      <c r="M119" t="inlineStr">
        <is>
          <t>2026-06-29 14:42:00</t>
        </is>
      </c>
      <c r="N119" t="inlineStr">
        <is>
          <t>system</t>
        </is>
      </c>
      <c r="O119" t="inlineStr">
        <is>
          <t>2026-06-22 14:11:25</t>
        </is>
      </c>
      <c r="P119" t="inlineStr">
        <is>
          <t>2026-06-22 14:11:25</t>
        </is>
      </c>
      <c r="Y119" t="inlineStr">
        <is>
          <t>27793417469</t>
        </is>
      </c>
    </row>
    <row r="120">
      <c r="A120" t="inlineStr">
        <is>
          <t>14974099</t>
        </is>
      </c>
      <c r="B120" t="inlineStr">
        <is>
          <t>7243e55b-f483-43ab-bd95-6a61ab9e8ad3</t>
        </is>
      </c>
      <c r="D120" t="inlineStr">
        <is>
          <t>11111127</t>
        </is>
      </c>
      <c r="E120" t="inlineStr">
        <is>
          <t>Vodacom Life 20260622</t>
        </is>
      </c>
      <c r="H120" t="inlineStr">
        <is>
          <t>27723974181</t>
        </is>
      </c>
      <c r="J120" t="inlineStr">
        <is>
          <t>DROP</t>
        </is>
      </c>
      <c r="K120" t="inlineStr">
        <is>
          <t>Dropped</t>
        </is>
      </c>
      <c r="L120" t="n">
        <v>6</v>
      </c>
      <c r="M120" t="inlineStr">
        <is>
          <t>2026-06-29 14:42:00</t>
        </is>
      </c>
      <c r="N120" t="inlineStr">
        <is>
          <t>system</t>
        </is>
      </c>
      <c r="O120" t="inlineStr">
        <is>
          <t>2026-06-22 14:11:25</t>
        </is>
      </c>
      <c r="P120" t="inlineStr">
        <is>
          <t>2026-06-22 14:11:25</t>
        </is>
      </c>
      <c r="Y120" t="inlineStr">
        <is>
          <t>27723974181</t>
        </is>
      </c>
    </row>
    <row r="121">
      <c r="A121" t="inlineStr">
        <is>
          <t>14974100</t>
        </is>
      </c>
      <c r="B121" t="inlineStr">
        <is>
          <t>efffaff3-6b4a-40b9-a15a-d81dd8ed1b9a</t>
        </is>
      </c>
      <c r="D121" t="inlineStr">
        <is>
          <t>11111127</t>
        </is>
      </c>
      <c r="E121" t="inlineStr">
        <is>
          <t>Vodacom Life 20260622</t>
        </is>
      </c>
      <c r="J121" t="inlineStr">
        <is>
          <t>AA</t>
        </is>
      </c>
      <c r="K121" t="inlineStr">
        <is>
          <t>Answering Machine Autodial</t>
        </is>
      </c>
      <c r="L121" t="n">
        <v>6</v>
      </c>
      <c r="M121" t="inlineStr">
        <is>
          <t>2026-06-29 14:42:00</t>
        </is>
      </c>
      <c r="N121" t="inlineStr">
        <is>
          <t>system</t>
        </is>
      </c>
      <c r="O121" t="inlineStr">
        <is>
          <t>2026-06-22 14:11:25</t>
        </is>
      </c>
      <c r="P121" t="inlineStr">
        <is>
          <t>2026-06-22 14:11:25</t>
        </is>
      </c>
      <c r="Y121" t="inlineStr">
        <is>
          <t>27724203303</t>
        </is>
      </c>
    </row>
    <row r="122">
      <c r="A122" t="inlineStr">
        <is>
          <t>14974103</t>
        </is>
      </c>
      <c r="B122" t="inlineStr">
        <is>
          <t>391157cc-33da-447c-a51b-f68292885e24</t>
        </is>
      </c>
      <c r="D122" t="inlineStr">
        <is>
          <t>11111127</t>
        </is>
      </c>
      <c r="E122" t="inlineStr">
        <is>
          <t>Vodacom Life 20260622</t>
        </is>
      </c>
      <c r="J122" t="inlineStr">
        <is>
          <t>CU</t>
        </is>
      </c>
      <c r="K122" t="inlineStr">
        <is>
          <t>Client Hung Up</t>
        </is>
      </c>
      <c r="L122" t="n">
        <v>6</v>
      </c>
      <c r="M122" t="inlineStr">
        <is>
          <t>2026-06-29 14:41:52</t>
        </is>
      </c>
      <c r="N122" t="inlineStr">
        <is>
          <t>Khensane Mabasa</t>
        </is>
      </c>
      <c r="O122" t="inlineStr">
        <is>
          <t>2026-06-22 14:11:25</t>
        </is>
      </c>
      <c r="P122" t="inlineStr">
        <is>
          <t>2026-06-22 14:11:25</t>
        </is>
      </c>
      <c r="Y122" t="inlineStr">
        <is>
          <t>27715730834</t>
        </is>
      </c>
    </row>
    <row r="123">
      <c r="A123" t="inlineStr">
        <is>
          <t>14974105</t>
        </is>
      </c>
      <c r="B123" t="inlineStr">
        <is>
          <t>63802bbe-d274-4645-b6f0-7643f67e6c8d</t>
        </is>
      </c>
      <c r="D123" t="inlineStr">
        <is>
          <t>11111127</t>
        </is>
      </c>
      <c r="E123" t="inlineStr">
        <is>
          <t>Vodacom Life 20260622</t>
        </is>
      </c>
      <c r="J123" t="inlineStr">
        <is>
          <t>AA</t>
        </is>
      </c>
      <c r="K123" t="inlineStr">
        <is>
          <t>Answering Machine Autodial</t>
        </is>
      </c>
      <c r="L123" t="n">
        <v>6</v>
      </c>
      <c r="M123" t="inlineStr">
        <is>
          <t>2026-06-29 14:41:52</t>
        </is>
      </c>
      <c r="N123" t="inlineStr">
        <is>
          <t>system</t>
        </is>
      </c>
      <c r="O123" t="inlineStr">
        <is>
          <t>2026-06-22 14:11:25</t>
        </is>
      </c>
      <c r="P123" t="inlineStr">
        <is>
          <t>2026-06-22 14:11:25</t>
        </is>
      </c>
      <c r="Y123" t="inlineStr">
        <is>
          <t>27712364048</t>
        </is>
      </c>
    </row>
    <row r="124">
      <c r="A124" t="inlineStr">
        <is>
          <t>14974106</t>
        </is>
      </c>
      <c r="B124" t="inlineStr">
        <is>
          <t>26d29184-c56b-4d68-a275-9a4f0edc1fce</t>
        </is>
      </c>
      <c r="D124" t="inlineStr">
        <is>
          <t>11111127</t>
        </is>
      </c>
      <c r="E124" t="inlineStr">
        <is>
          <t>Vodacom Life 20260622</t>
        </is>
      </c>
      <c r="H124" t="inlineStr">
        <is>
          <t>27721287177</t>
        </is>
      </c>
      <c r="J124" t="inlineStr">
        <is>
          <t>CU</t>
        </is>
      </c>
      <c r="K124" t="inlineStr">
        <is>
          <t>Client Hung Up</t>
        </is>
      </c>
      <c r="L124" t="n">
        <v>6</v>
      </c>
      <c r="M124" t="inlineStr">
        <is>
          <t>2026-06-29 14:41:52</t>
        </is>
      </c>
      <c r="N124" t="inlineStr">
        <is>
          <t>Vanessa Kekana</t>
        </is>
      </c>
      <c r="O124" t="inlineStr">
        <is>
          <t>2026-06-22 14:11:25</t>
        </is>
      </c>
      <c r="P124" t="inlineStr">
        <is>
          <t>2026-06-22 14:11:25</t>
        </is>
      </c>
      <c r="Y124" t="inlineStr">
        <is>
          <t>27721287177</t>
        </is>
      </c>
    </row>
    <row r="125">
      <c r="A125" t="inlineStr">
        <is>
          <t>14974107</t>
        </is>
      </c>
      <c r="B125" t="inlineStr">
        <is>
          <t>5ae995e2-9400-4627-bdee-07375a6a6015</t>
        </is>
      </c>
      <c r="D125" t="inlineStr">
        <is>
          <t>11111127</t>
        </is>
      </c>
      <c r="E125" t="inlineStr">
        <is>
          <t>Vodacom Life 20260622</t>
        </is>
      </c>
      <c r="H125" t="inlineStr">
        <is>
          <t>27797433173</t>
        </is>
      </c>
      <c r="J125" t="inlineStr">
        <is>
          <t>DROP</t>
        </is>
      </c>
      <c r="K125" t="inlineStr">
        <is>
          <t>Dropped</t>
        </is>
      </c>
      <c r="L125" t="n">
        <v>6</v>
      </c>
      <c r="M125" t="inlineStr">
        <is>
          <t>2026-06-29 14:41:52</t>
        </is>
      </c>
      <c r="N125" t="inlineStr">
        <is>
          <t>system</t>
        </is>
      </c>
      <c r="O125" t="inlineStr">
        <is>
          <t>2026-06-22 14:11:25</t>
        </is>
      </c>
      <c r="P125" t="inlineStr">
        <is>
          <t>2026-06-22 14:11:25</t>
        </is>
      </c>
      <c r="Y125" t="inlineStr">
        <is>
          <t>27797433173</t>
        </is>
      </c>
    </row>
    <row r="126">
      <c r="A126" t="inlineStr">
        <is>
          <t>14974108</t>
        </is>
      </c>
      <c r="B126" t="inlineStr">
        <is>
          <t>cfb176fb-825c-4ead-b9c5-c98a55fe29d2</t>
        </is>
      </c>
      <c r="D126" t="inlineStr">
        <is>
          <t>11111127</t>
        </is>
      </c>
      <c r="E126" t="inlineStr">
        <is>
          <t>Vodacom Life 20260622</t>
        </is>
      </c>
      <c r="J126" t="inlineStr">
        <is>
          <t>AE</t>
        </is>
      </c>
      <c r="K126" t="inlineStr">
        <is>
          <t>Auto Engaged</t>
        </is>
      </c>
      <c r="L126" t="n">
        <v>6</v>
      </c>
      <c r="M126" t="inlineStr">
        <is>
          <t>2026-06-29 14:41:51</t>
        </is>
      </c>
      <c r="N126" t="inlineStr">
        <is>
          <t>system</t>
        </is>
      </c>
      <c r="O126" t="inlineStr">
        <is>
          <t>2026-06-22 14:11:25</t>
        </is>
      </c>
      <c r="P126" t="inlineStr">
        <is>
          <t>2026-06-22 14:11:25</t>
        </is>
      </c>
      <c r="Y126" t="inlineStr">
        <is>
          <t>27766146859</t>
        </is>
      </c>
    </row>
    <row r="127">
      <c r="A127" t="inlineStr">
        <is>
          <t>14974088</t>
        </is>
      </c>
      <c r="B127" t="inlineStr">
        <is>
          <t>99a51e0a-5040-4e8c-beb3-ee88e828c623</t>
        </is>
      </c>
      <c r="D127" t="inlineStr">
        <is>
          <t>11111127</t>
        </is>
      </c>
      <c r="E127" t="inlineStr">
        <is>
          <t>Vodacom Life 20260622</t>
        </is>
      </c>
      <c r="H127" t="inlineStr">
        <is>
          <t>27763195501</t>
        </is>
      </c>
      <c r="J127" t="inlineStr">
        <is>
          <t>IABDN</t>
        </is>
      </c>
      <c r="K127" t="inlineStr">
        <is>
          <t>Inbound Abandon</t>
        </is>
      </c>
      <c r="L127" t="n">
        <v>6</v>
      </c>
      <c r="M127" t="inlineStr">
        <is>
          <t>2026-06-29 14:40:37</t>
        </is>
      </c>
      <c r="N127" t="inlineStr">
        <is>
          <t>system</t>
        </is>
      </c>
      <c r="O127" t="inlineStr">
        <is>
          <t>2026-06-22 14:11:25</t>
        </is>
      </c>
      <c r="P127" t="inlineStr">
        <is>
          <t>2026-06-22 14:11:25</t>
        </is>
      </c>
      <c r="Y127" t="inlineStr">
        <is>
          <t>27763195501</t>
        </is>
      </c>
    </row>
    <row r="128">
      <c r="A128" t="inlineStr">
        <is>
          <t>14974082</t>
        </is>
      </c>
      <c r="B128" t="inlineStr">
        <is>
          <t>cc2d407f-230c-4c14-98b2-65f0a6b6b90b</t>
        </is>
      </c>
      <c r="D128" t="inlineStr">
        <is>
          <t>11111127</t>
        </is>
      </c>
      <c r="E128" t="inlineStr">
        <is>
          <t>Vodacom Life 20260622</t>
        </is>
      </c>
      <c r="H128" t="inlineStr">
        <is>
          <t>27797877182</t>
        </is>
      </c>
      <c r="J128" t="inlineStr">
        <is>
          <t>AE</t>
        </is>
      </c>
      <c r="K128" t="inlineStr">
        <is>
          <t>Auto Engaged</t>
        </is>
      </c>
      <c r="L128" t="n">
        <v>6</v>
      </c>
      <c r="M128" t="inlineStr">
        <is>
          <t>2026-06-29 14:39:53</t>
        </is>
      </c>
      <c r="N128" t="inlineStr">
        <is>
          <t>system</t>
        </is>
      </c>
      <c r="O128" t="inlineStr">
        <is>
          <t>2026-06-22 14:11:25</t>
        </is>
      </c>
      <c r="P128" t="inlineStr">
        <is>
          <t>2026-06-22 14:11:25</t>
        </is>
      </c>
      <c r="Y128" t="inlineStr">
        <is>
          <t>27797877182</t>
        </is>
      </c>
    </row>
    <row r="129">
      <c r="A129" t="inlineStr">
        <is>
          <t>14974459</t>
        </is>
      </c>
      <c r="B129" t="inlineStr">
        <is>
          <t>c16e0783-4340-43cd-878e-41363e6845a3</t>
        </is>
      </c>
      <c r="D129" t="inlineStr">
        <is>
          <t>11111127</t>
        </is>
      </c>
      <c r="E129" t="inlineStr">
        <is>
          <t>Vodacom Life 20260622</t>
        </is>
      </c>
      <c r="H129" t="inlineStr">
        <is>
          <t>27769027149</t>
        </is>
      </c>
      <c r="J129" t="inlineStr">
        <is>
          <t>CBACK</t>
        </is>
      </c>
      <c r="K129" t="inlineStr">
        <is>
          <t>Callback</t>
        </is>
      </c>
      <c r="L129" t="n">
        <v>7</v>
      </c>
      <c r="M129" t="inlineStr">
        <is>
          <t>2026-06-29 14:39:53</t>
        </is>
      </c>
      <c r="N129" t="inlineStr">
        <is>
          <t>Vanessa Kekana</t>
        </is>
      </c>
      <c r="O129" t="inlineStr">
        <is>
          <t>2026-06-22 14:11:25</t>
        </is>
      </c>
      <c r="P129" t="inlineStr">
        <is>
          <t>2026-06-22 14:11:25</t>
        </is>
      </c>
      <c r="Y129" t="inlineStr">
        <is>
          <t>27769027149</t>
        </is>
      </c>
    </row>
    <row r="130">
      <c r="A130" t="inlineStr">
        <is>
          <t>14973953</t>
        </is>
      </c>
      <c r="B130" t="inlineStr">
        <is>
          <t>e28f162b-7e98-4068-82f2-9374d4505b06</t>
        </is>
      </c>
      <c r="D130" t="inlineStr">
        <is>
          <t>11111127</t>
        </is>
      </c>
      <c r="E130" t="inlineStr">
        <is>
          <t>Vodacom Life 20260622</t>
        </is>
      </c>
      <c r="H130" t="inlineStr">
        <is>
          <t>27726495872</t>
        </is>
      </c>
      <c r="J130" t="inlineStr">
        <is>
          <t>AA</t>
        </is>
      </c>
      <c r="K130" t="inlineStr">
        <is>
          <t>Answering Machine Autodial</t>
        </is>
      </c>
      <c r="L130" t="n">
        <v>6</v>
      </c>
      <c r="M130" t="inlineStr">
        <is>
          <t>2026-06-29 14:39:52</t>
        </is>
      </c>
      <c r="N130" t="inlineStr">
        <is>
          <t>system</t>
        </is>
      </c>
      <c r="O130" t="inlineStr">
        <is>
          <t>2026-06-22 14:11:25</t>
        </is>
      </c>
      <c r="P130" t="inlineStr">
        <is>
          <t>2026-06-22 14:11:25</t>
        </is>
      </c>
      <c r="Y130" t="inlineStr">
        <is>
          <t>27726495872</t>
        </is>
      </c>
    </row>
    <row r="131">
      <c r="A131" t="inlineStr">
        <is>
          <t>14974083</t>
        </is>
      </c>
      <c r="B131" t="inlineStr">
        <is>
          <t>0ed5e433-f88a-4779-8522-4ae0b254b4c7</t>
        </is>
      </c>
      <c r="D131" t="inlineStr">
        <is>
          <t>11111127</t>
        </is>
      </c>
      <c r="E131" t="inlineStr">
        <is>
          <t>Vodacom Life 20260622</t>
        </is>
      </c>
      <c r="J131" t="inlineStr">
        <is>
          <t>AA</t>
        </is>
      </c>
      <c r="K131" t="inlineStr">
        <is>
          <t>Answering Machine Autodial</t>
        </is>
      </c>
      <c r="L131" t="n">
        <v>6</v>
      </c>
      <c r="M131" t="inlineStr">
        <is>
          <t>2026-06-29 14:39:51</t>
        </is>
      </c>
      <c r="N131" t="inlineStr">
        <is>
          <t>system</t>
        </is>
      </c>
      <c r="O131" t="inlineStr">
        <is>
          <t>2026-06-22 14:11:25</t>
        </is>
      </c>
      <c r="P131" t="inlineStr">
        <is>
          <t>2026-06-22 14:11:25</t>
        </is>
      </c>
      <c r="Y131" t="inlineStr">
        <is>
          <t>27798444972</t>
        </is>
      </c>
    </row>
    <row r="132">
      <c r="A132" t="inlineStr">
        <is>
          <t>14974085</t>
        </is>
      </c>
      <c r="B132" t="inlineStr">
        <is>
          <t>d4bddbc8-3ca0-4cba-99e0-63e50624888f</t>
        </is>
      </c>
      <c r="D132" t="inlineStr">
        <is>
          <t>11111127</t>
        </is>
      </c>
      <c r="E132" t="inlineStr">
        <is>
          <t>Vodacom Life 20260622</t>
        </is>
      </c>
      <c r="J132" t="inlineStr">
        <is>
          <t>NA</t>
        </is>
      </c>
      <c r="K132" t="inlineStr">
        <is>
          <t>No Answer Autodial</t>
        </is>
      </c>
      <c r="L132" t="n">
        <v>6</v>
      </c>
      <c r="M132" t="inlineStr">
        <is>
          <t>2026-06-29 14:39:51</t>
        </is>
      </c>
      <c r="N132" t="inlineStr">
        <is>
          <t>system</t>
        </is>
      </c>
      <c r="O132" t="inlineStr">
        <is>
          <t>2026-06-22 14:11:25</t>
        </is>
      </c>
      <c r="P132" t="inlineStr">
        <is>
          <t>2026-06-22 14:11:25</t>
        </is>
      </c>
      <c r="Y132" t="inlineStr">
        <is>
          <t>27767095349</t>
        </is>
      </c>
    </row>
    <row r="133">
      <c r="A133" t="inlineStr">
        <is>
          <t>14974086</t>
        </is>
      </c>
      <c r="B133" t="inlineStr">
        <is>
          <t>328fbd0d-4832-45ef-9a76-d7825db6a744</t>
        </is>
      </c>
      <c r="D133" t="inlineStr">
        <is>
          <t>11111127</t>
        </is>
      </c>
      <c r="E133" t="inlineStr">
        <is>
          <t>Vodacom Life 20260622</t>
        </is>
      </c>
      <c r="J133" t="inlineStr">
        <is>
          <t>AA</t>
        </is>
      </c>
      <c r="K133" t="inlineStr">
        <is>
          <t>Answering Machine Autodial</t>
        </is>
      </c>
      <c r="L133" t="n">
        <v>6</v>
      </c>
      <c r="M133" t="inlineStr">
        <is>
          <t>2026-06-29 14:39:51</t>
        </is>
      </c>
      <c r="N133" t="inlineStr">
        <is>
          <t>system</t>
        </is>
      </c>
      <c r="O133" t="inlineStr">
        <is>
          <t>2026-06-22 14:11:25</t>
        </is>
      </c>
      <c r="P133" t="inlineStr">
        <is>
          <t>2026-06-22 14:11:25</t>
        </is>
      </c>
      <c r="Y133" t="inlineStr">
        <is>
          <t>27760811970</t>
        </is>
      </c>
    </row>
    <row r="134">
      <c r="A134" t="inlineStr">
        <is>
          <t>14974087</t>
        </is>
      </c>
      <c r="B134" t="inlineStr">
        <is>
          <t>fa3d5dc6-0115-4127-9839-02dc40ed6985</t>
        </is>
      </c>
      <c r="D134" t="inlineStr">
        <is>
          <t>11111127</t>
        </is>
      </c>
      <c r="E134" t="inlineStr">
        <is>
          <t>Vodacom Life 20260622</t>
        </is>
      </c>
      <c r="J134" t="inlineStr">
        <is>
          <t>AE</t>
        </is>
      </c>
      <c r="K134" t="inlineStr">
        <is>
          <t>Auto Engaged</t>
        </is>
      </c>
      <c r="L134" t="n">
        <v>6</v>
      </c>
      <c r="M134" t="inlineStr">
        <is>
          <t>2026-06-29 14:39:51</t>
        </is>
      </c>
      <c r="N134" t="inlineStr">
        <is>
          <t>system</t>
        </is>
      </c>
      <c r="O134" t="inlineStr">
        <is>
          <t>2026-06-22 14:11:25</t>
        </is>
      </c>
      <c r="P134" t="inlineStr">
        <is>
          <t>2026-06-22 14:11:25</t>
        </is>
      </c>
      <c r="Y134" t="inlineStr">
        <is>
          <t>27764271928</t>
        </is>
      </c>
    </row>
    <row r="135">
      <c r="A135" t="inlineStr">
        <is>
          <t>14974089</t>
        </is>
      </c>
      <c r="B135" t="inlineStr">
        <is>
          <t>c45a6c6f-fcb6-49ee-81fe-6751bdacfc7a</t>
        </is>
      </c>
      <c r="D135" t="inlineStr">
        <is>
          <t>11111127</t>
        </is>
      </c>
      <c r="E135" t="inlineStr">
        <is>
          <t>Vodacom Life 20260622</t>
        </is>
      </c>
      <c r="J135" t="inlineStr">
        <is>
          <t>AE</t>
        </is>
      </c>
      <c r="K135" t="inlineStr">
        <is>
          <t>Auto Engaged</t>
        </is>
      </c>
      <c r="L135" t="n">
        <v>6</v>
      </c>
      <c r="M135" t="inlineStr">
        <is>
          <t>2026-06-29 14:39:13</t>
        </is>
      </c>
      <c r="N135" t="inlineStr">
        <is>
          <t>system</t>
        </is>
      </c>
      <c r="O135" t="inlineStr">
        <is>
          <t>2026-06-22 14:11:25</t>
        </is>
      </c>
      <c r="P135" t="inlineStr">
        <is>
          <t>2026-06-22 14:11:25</t>
        </is>
      </c>
      <c r="Y135" t="inlineStr">
        <is>
          <t>27766147964</t>
        </is>
      </c>
    </row>
    <row r="136">
      <c r="A136" t="inlineStr">
        <is>
          <t>14974091</t>
        </is>
      </c>
      <c r="B136" t="inlineStr">
        <is>
          <t>4ab0fb88-7749-4e8c-9d6f-b16ba659e7d8</t>
        </is>
      </c>
      <c r="D136" t="inlineStr">
        <is>
          <t>11111127</t>
        </is>
      </c>
      <c r="E136" t="inlineStr">
        <is>
          <t>Vodacom Life 20260622</t>
        </is>
      </c>
      <c r="H136" t="inlineStr">
        <is>
          <t>27799410755</t>
        </is>
      </c>
      <c r="J136" t="inlineStr">
        <is>
          <t>AA</t>
        </is>
      </c>
      <c r="K136" t="inlineStr">
        <is>
          <t>Answering Machine Autodial</t>
        </is>
      </c>
      <c r="L136" t="n">
        <v>6</v>
      </c>
      <c r="M136" t="inlineStr">
        <is>
          <t>2026-06-29 14:39:12</t>
        </is>
      </c>
      <c r="N136" t="inlineStr">
        <is>
          <t>system</t>
        </is>
      </c>
      <c r="O136" t="inlineStr">
        <is>
          <t>2026-06-22 14:11:25</t>
        </is>
      </c>
      <c r="P136" t="inlineStr">
        <is>
          <t>2026-06-22 14:11:25</t>
        </is>
      </c>
      <c r="Y136" t="inlineStr">
        <is>
          <t>27799410755</t>
        </is>
      </c>
    </row>
    <row r="137">
      <c r="A137" t="inlineStr">
        <is>
          <t>14974092</t>
        </is>
      </c>
      <c r="B137" t="inlineStr">
        <is>
          <t>3c6470d7-d90d-490d-af39-39db3102c7a9</t>
        </is>
      </c>
      <c r="D137" t="inlineStr">
        <is>
          <t>11111127</t>
        </is>
      </c>
      <c r="E137" t="inlineStr">
        <is>
          <t>Vodacom Life 20260622</t>
        </is>
      </c>
      <c r="J137" t="inlineStr">
        <is>
          <t>AE</t>
        </is>
      </c>
      <c r="K137" t="inlineStr">
        <is>
          <t>Auto Engaged</t>
        </is>
      </c>
      <c r="L137" t="n">
        <v>6</v>
      </c>
      <c r="M137" t="inlineStr">
        <is>
          <t>2026-06-29 14:39:12</t>
        </is>
      </c>
      <c r="N137" t="inlineStr">
        <is>
          <t>system</t>
        </is>
      </c>
      <c r="O137" t="inlineStr">
        <is>
          <t>2026-06-22 14:11:25</t>
        </is>
      </c>
      <c r="P137" t="inlineStr">
        <is>
          <t>2026-06-22 14:11:25</t>
        </is>
      </c>
      <c r="Y137" t="inlineStr">
        <is>
          <t>27722955855</t>
        </is>
      </c>
    </row>
    <row r="138">
      <c r="A138" t="inlineStr">
        <is>
          <t>14974093</t>
        </is>
      </c>
      <c r="B138" t="inlineStr">
        <is>
          <t>e4db8003-b81d-4e84-8750-7c8a88b70e19</t>
        </is>
      </c>
      <c r="D138" t="inlineStr">
        <is>
          <t>11111127</t>
        </is>
      </c>
      <c r="E138" t="inlineStr">
        <is>
          <t>Vodacom Life 20260622</t>
        </is>
      </c>
      <c r="J138" t="inlineStr">
        <is>
          <t>AA</t>
        </is>
      </c>
      <c r="K138" t="inlineStr">
        <is>
          <t>Answering Machine Autodial</t>
        </is>
      </c>
      <c r="L138" t="n">
        <v>6</v>
      </c>
      <c r="M138" t="inlineStr">
        <is>
          <t>2026-06-29 14:39:12</t>
        </is>
      </c>
      <c r="N138" t="inlineStr">
        <is>
          <t>system</t>
        </is>
      </c>
      <c r="O138" t="inlineStr">
        <is>
          <t>2026-06-22 14:11:25</t>
        </is>
      </c>
      <c r="P138" t="inlineStr">
        <is>
          <t>2026-06-22 14:11:25</t>
        </is>
      </c>
      <c r="Y138" t="inlineStr">
        <is>
          <t>27725438219</t>
        </is>
      </c>
    </row>
    <row r="139">
      <c r="A139" t="inlineStr">
        <is>
          <t>14974094</t>
        </is>
      </c>
      <c r="B139" t="inlineStr">
        <is>
          <t>7b5b3cea-177f-4e8b-b975-4a323e855982</t>
        </is>
      </c>
      <c r="D139" t="inlineStr">
        <is>
          <t>11111127</t>
        </is>
      </c>
      <c r="E139" t="inlineStr">
        <is>
          <t>Vodacom Life 20260622</t>
        </is>
      </c>
      <c r="J139" t="inlineStr">
        <is>
          <t>DROP</t>
        </is>
      </c>
      <c r="K139" t="inlineStr">
        <is>
          <t>Dropped</t>
        </is>
      </c>
      <c r="L139" t="n">
        <v>6</v>
      </c>
      <c r="M139" t="inlineStr">
        <is>
          <t>2026-06-29 14:39:12</t>
        </is>
      </c>
      <c r="N139" t="inlineStr">
        <is>
          <t>system</t>
        </is>
      </c>
      <c r="O139" t="inlineStr">
        <is>
          <t>2026-06-22 14:11:25</t>
        </is>
      </c>
      <c r="P139" t="inlineStr">
        <is>
          <t>2026-06-22 14:11:25</t>
        </is>
      </c>
      <c r="Y139" t="inlineStr">
        <is>
          <t>27727581302</t>
        </is>
      </c>
    </row>
    <row r="140">
      <c r="A140" t="inlineStr">
        <is>
          <t>14974017</t>
        </is>
      </c>
      <c r="B140" t="inlineStr">
        <is>
          <t>91cb645c-cd6f-437c-b9fd-6ae332114096</t>
        </is>
      </c>
      <c r="D140" t="inlineStr">
        <is>
          <t>11111127</t>
        </is>
      </c>
      <c r="E140" t="inlineStr">
        <is>
          <t>Vodacom Life 20260622</t>
        </is>
      </c>
      <c r="J140" t="inlineStr">
        <is>
          <t>AA</t>
        </is>
      </c>
      <c r="K140" t="inlineStr">
        <is>
          <t>Answering Machine Autodial</t>
        </is>
      </c>
      <c r="L140" t="n">
        <v>6</v>
      </c>
      <c r="M140" t="inlineStr">
        <is>
          <t>2026-06-29 14:37:54</t>
        </is>
      </c>
      <c r="N140" t="inlineStr">
        <is>
          <t>system</t>
        </is>
      </c>
      <c r="O140" t="inlineStr">
        <is>
          <t>2026-06-22 14:11:25</t>
        </is>
      </c>
      <c r="P140" t="inlineStr">
        <is>
          <t>2026-06-22 14:11:25</t>
        </is>
      </c>
      <c r="Y140" t="inlineStr">
        <is>
          <t>27734384171</t>
        </is>
      </c>
    </row>
    <row r="141">
      <c r="A141" t="inlineStr">
        <is>
          <t>14974021</t>
        </is>
      </c>
      <c r="B141" t="inlineStr">
        <is>
          <t>1f837607-feee-427d-b89b-56d280faccd2</t>
        </is>
      </c>
      <c r="D141" t="inlineStr">
        <is>
          <t>11111127</t>
        </is>
      </c>
      <c r="E141" t="inlineStr">
        <is>
          <t>Vodacom Life 20260622</t>
        </is>
      </c>
      <c r="J141" t="inlineStr">
        <is>
          <t>AE</t>
        </is>
      </c>
      <c r="K141" t="inlineStr">
        <is>
          <t>Auto Engaged</t>
        </is>
      </c>
      <c r="L141" t="n">
        <v>6</v>
      </c>
      <c r="M141" t="inlineStr">
        <is>
          <t>2026-06-29 14:37:53</t>
        </is>
      </c>
      <c r="N141" t="inlineStr">
        <is>
          <t>system</t>
        </is>
      </c>
      <c r="O141" t="inlineStr">
        <is>
          <t>2026-06-22 14:11:25</t>
        </is>
      </c>
      <c r="P141" t="inlineStr">
        <is>
          <t>2026-06-22 14:11:25</t>
        </is>
      </c>
      <c r="Y141" t="inlineStr">
        <is>
          <t>27781799752</t>
        </is>
      </c>
    </row>
    <row r="142">
      <c r="A142" t="inlineStr">
        <is>
          <t>14974022</t>
        </is>
      </c>
      <c r="B142" t="inlineStr">
        <is>
          <t>6a02c84d-d3ce-4f62-aad6-5e62bdd2152c</t>
        </is>
      </c>
      <c r="D142" t="inlineStr">
        <is>
          <t>11111127</t>
        </is>
      </c>
      <c r="E142" t="inlineStr">
        <is>
          <t>Vodacom Life 20260622</t>
        </is>
      </c>
      <c r="J142" t="inlineStr">
        <is>
          <t>AE</t>
        </is>
      </c>
      <c r="K142" t="inlineStr">
        <is>
          <t>Auto Engaged</t>
        </is>
      </c>
      <c r="L142" t="n">
        <v>6</v>
      </c>
      <c r="M142" t="inlineStr">
        <is>
          <t>2026-06-29 14:37:51</t>
        </is>
      </c>
      <c r="N142" t="inlineStr">
        <is>
          <t>system</t>
        </is>
      </c>
      <c r="O142" t="inlineStr">
        <is>
          <t>2026-06-22 14:11:25</t>
        </is>
      </c>
      <c r="P142" t="inlineStr">
        <is>
          <t>2026-06-22 14:11:25</t>
        </is>
      </c>
      <c r="Y142" t="inlineStr">
        <is>
          <t>27796481266</t>
        </is>
      </c>
    </row>
    <row r="143">
      <c r="A143" t="inlineStr">
        <is>
          <t>14973976</t>
        </is>
      </c>
      <c r="B143" t="inlineStr">
        <is>
          <t>4f75afd4-f8f8-4dba-ad0c-270282ca6bad</t>
        </is>
      </c>
      <c r="D143" t="inlineStr">
        <is>
          <t>11111127</t>
        </is>
      </c>
      <c r="E143" t="inlineStr">
        <is>
          <t>Vodacom Life 20260622</t>
        </is>
      </c>
      <c r="H143" t="inlineStr">
        <is>
          <t>27648292171</t>
        </is>
      </c>
      <c r="J143" t="inlineStr">
        <is>
          <t>A</t>
        </is>
      </c>
      <c r="K143" t="inlineStr">
        <is>
          <t>Answering Machine</t>
        </is>
      </c>
      <c r="L143" t="n">
        <v>7</v>
      </c>
      <c r="M143" t="inlineStr">
        <is>
          <t>2026-06-29 14:37:41</t>
        </is>
      </c>
      <c r="N143" t="inlineStr">
        <is>
          <t>Vanessa Kekana</t>
        </is>
      </c>
      <c r="O143" t="inlineStr">
        <is>
          <t>2026-06-22 14:11:25</t>
        </is>
      </c>
      <c r="P143" t="inlineStr">
        <is>
          <t>2026-06-22 14:11:25</t>
        </is>
      </c>
      <c r="Y143" t="inlineStr">
        <is>
          <t>27648292171</t>
        </is>
      </c>
    </row>
    <row r="144">
      <c r="A144" t="inlineStr">
        <is>
          <t>14974023</t>
        </is>
      </c>
      <c r="B144" t="inlineStr">
        <is>
          <t>63cf892d-87b6-4063-be00-2e9919f31ff4</t>
        </is>
      </c>
      <c r="D144" t="inlineStr">
        <is>
          <t>11111127</t>
        </is>
      </c>
      <c r="E144" t="inlineStr">
        <is>
          <t>Vodacom Life 20260622</t>
        </is>
      </c>
      <c r="J144" t="inlineStr">
        <is>
          <t>NA</t>
        </is>
      </c>
      <c r="K144" t="inlineStr">
        <is>
          <t>No Answer Autodial</t>
        </is>
      </c>
      <c r="L144" t="n">
        <v>6</v>
      </c>
      <c r="M144" t="inlineStr">
        <is>
          <t>2026-06-29 14:37:40</t>
        </is>
      </c>
      <c r="N144" t="inlineStr">
        <is>
          <t>system</t>
        </is>
      </c>
      <c r="O144" t="inlineStr">
        <is>
          <t>2026-06-22 14:11:25</t>
        </is>
      </c>
      <c r="P144" t="inlineStr">
        <is>
          <t>2026-06-22 14:11:25</t>
        </is>
      </c>
      <c r="Y144" t="inlineStr">
        <is>
          <t>27794748380</t>
        </is>
      </c>
    </row>
    <row r="145">
      <c r="A145" t="inlineStr">
        <is>
          <t>14974024</t>
        </is>
      </c>
      <c r="B145" t="inlineStr">
        <is>
          <t>0130642d-3102-4b47-9136-129a70d3efe6</t>
        </is>
      </c>
      <c r="D145" t="inlineStr">
        <is>
          <t>11111127</t>
        </is>
      </c>
      <c r="E145" t="inlineStr">
        <is>
          <t>Vodacom Life 20260622</t>
        </is>
      </c>
      <c r="H145" t="inlineStr">
        <is>
          <t>27827028659</t>
        </is>
      </c>
      <c r="J145" t="inlineStr">
        <is>
          <t>DROP</t>
        </is>
      </c>
      <c r="K145" t="inlineStr">
        <is>
          <t>Dropped</t>
        </is>
      </c>
      <c r="L145" t="n">
        <v>6</v>
      </c>
      <c r="M145" t="inlineStr">
        <is>
          <t>2026-06-29 14:37:37</t>
        </is>
      </c>
      <c r="N145" t="inlineStr">
        <is>
          <t>system</t>
        </is>
      </c>
      <c r="O145" t="inlineStr">
        <is>
          <t>2026-06-22 14:11:25</t>
        </is>
      </c>
      <c r="P145" t="inlineStr">
        <is>
          <t>2026-06-22 14:11:25</t>
        </is>
      </c>
      <c r="Y145" t="inlineStr">
        <is>
          <t>27827028659</t>
        </is>
      </c>
    </row>
    <row r="146">
      <c r="A146" t="inlineStr">
        <is>
          <t>14974026</t>
        </is>
      </c>
      <c r="B146" t="inlineStr">
        <is>
          <t>cc03219a-90f6-437b-8f97-8a5e8cbd0d9f</t>
        </is>
      </c>
      <c r="D146" t="inlineStr">
        <is>
          <t>11111127</t>
        </is>
      </c>
      <c r="E146" t="inlineStr">
        <is>
          <t>Vodacom Life 20260622</t>
        </is>
      </c>
      <c r="H146" t="inlineStr">
        <is>
          <t>27724668981</t>
        </is>
      </c>
      <c r="J146" t="inlineStr">
        <is>
          <t>AA</t>
        </is>
      </c>
      <c r="K146" t="inlineStr">
        <is>
          <t>Answering Machine Autodial</t>
        </is>
      </c>
      <c r="L146" t="n">
        <v>6</v>
      </c>
      <c r="M146" t="inlineStr">
        <is>
          <t>2026-06-29 14:37:22</t>
        </is>
      </c>
      <c r="N146" t="inlineStr">
        <is>
          <t>system</t>
        </is>
      </c>
      <c r="O146" t="inlineStr">
        <is>
          <t>2026-06-22 14:11:25</t>
        </is>
      </c>
      <c r="P146" t="inlineStr">
        <is>
          <t>2026-06-22 14:11:25</t>
        </is>
      </c>
      <c r="Y146" t="inlineStr">
        <is>
          <t>27724668981</t>
        </is>
      </c>
    </row>
    <row r="147">
      <c r="A147" t="inlineStr">
        <is>
          <t>14974027</t>
        </is>
      </c>
      <c r="B147" t="inlineStr">
        <is>
          <t>464709a8-7181-41e6-a349-27fe2cef6dbc</t>
        </is>
      </c>
      <c r="D147" t="inlineStr">
        <is>
          <t>11111127</t>
        </is>
      </c>
      <c r="E147" t="inlineStr">
        <is>
          <t>Vodacom Life 20260622</t>
        </is>
      </c>
      <c r="J147" t="inlineStr">
        <is>
          <t>CU</t>
        </is>
      </c>
      <c r="K147" t="inlineStr">
        <is>
          <t>Client Hung Up</t>
        </is>
      </c>
      <c r="L147" t="n">
        <v>6</v>
      </c>
      <c r="M147" t="inlineStr">
        <is>
          <t>2026-06-29 14:37:22</t>
        </is>
      </c>
      <c r="N147" t="inlineStr">
        <is>
          <t>Vanessa Kekana</t>
        </is>
      </c>
      <c r="O147" t="inlineStr">
        <is>
          <t>2026-06-22 14:11:25</t>
        </is>
      </c>
      <c r="P147" t="inlineStr">
        <is>
          <t>2026-06-22 14:11:25</t>
        </is>
      </c>
      <c r="Y147" t="inlineStr">
        <is>
          <t>27765954454</t>
        </is>
      </c>
    </row>
    <row r="148">
      <c r="A148" t="inlineStr">
        <is>
          <t>14974028</t>
        </is>
      </c>
      <c r="B148" t="inlineStr">
        <is>
          <t>5dd726aa-2a9b-4716-80ba-596720125b63</t>
        </is>
      </c>
      <c r="D148" t="inlineStr">
        <is>
          <t>11111127</t>
        </is>
      </c>
      <c r="E148" t="inlineStr">
        <is>
          <t>Vodacom Life 20260622</t>
        </is>
      </c>
      <c r="J148" t="inlineStr">
        <is>
          <t>AA</t>
        </is>
      </c>
      <c r="K148" t="inlineStr">
        <is>
          <t>Answering Machine Autodial</t>
        </is>
      </c>
      <c r="L148" t="n">
        <v>6</v>
      </c>
      <c r="M148" t="inlineStr">
        <is>
          <t>2026-06-29 14:37:22</t>
        </is>
      </c>
      <c r="N148" t="inlineStr">
        <is>
          <t>system</t>
        </is>
      </c>
      <c r="O148" t="inlineStr">
        <is>
          <t>2026-06-22 14:11:25</t>
        </is>
      </c>
      <c r="P148" t="inlineStr">
        <is>
          <t>2026-06-22 14:11:25</t>
        </is>
      </c>
      <c r="Y148" t="inlineStr">
        <is>
          <t>27715095656</t>
        </is>
      </c>
    </row>
    <row r="149">
      <c r="A149" t="inlineStr">
        <is>
          <t>14974030</t>
        </is>
      </c>
      <c r="B149" t="inlineStr">
        <is>
          <t>60e23c29-6580-49f5-9f02-817ab70e5350</t>
        </is>
      </c>
      <c r="D149" t="inlineStr">
        <is>
          <t>11111127</t>
        </is>
      </c>
      <c r="E149" t="inlineStr">
        <is>
          <t>Vodacom Life 20260622</t>
        </is>
      </c>
      <c r="H149" t="inlineStr">
        <is>
          <t>27726100483</t>
        </is>
      </c>
      <c r="J149" t="inlineStr">
        <is>
          <t>DROP</t>
        </is>
      </c>
      <c r="K149" t="inlineStr">
        <is>
          <t>Dropped</t>
        </is>
      </c>
      <c r="L149" t="n">
        <v>6</v>
      </c>
      <c r="M149" t="inlineStr">
        <is>
          <t>2026-06-29 14:37:22</t>
        </is>
      </c>
      <c r="N149" t="inlineStr">
        <is>
          <t>system</t>
        </is>
      </c>
      <c r="O149" t="inlineStr">
        <is>
          <t>2026-06-22 14:11:25</t>
        </is>
      </c>
      <c r="P149" t="inlineStr">
        <is>
          <t>2026-06-22 14:11:25</t>
        </is>
      </c>
      <c r="Y149" t="inlineStr">
        <is>
          <t>27726100483</t>
        </is>
      </c>
    </row>
    <row r="150">
      <c r="A150" t="inlineStr">
        <is>
          <t>14974031</t>
        </is>
      </c>
      <c r="B150" t="inlineStr">
        <is>
          <t>a4f29c3b-c1f4-4221-8576-006e4a04d661</t>
        </is>
      </c>
      <c r="D150" t="inlineStr">
        <is>
          <t>11111127</t>
        </is>
      </c>
      <c r="E150" t="inlineStr">
        <is>
          <t>Vodacom Life 20260622</t>
        </is>
      </c>
      <c r="H150" t="inlineStr">
        <is>
          <t>27726270272</t>
        </is>
      </c>
      <c r="J150" t="inlineStr">
        <is>
          <t>AA</t>
        </is>
      </c>
      <c r="K150" t="inlineStr">
        <is>
          <t>Answering Machine Autodial</t>
        </is>
      </c>
      <c r="L150" t="n">
        <v>6</v>
      </c>
      <c r="M150" t="inlineStr">
        <is>
          <t>2026-06-29 14:36:47</t>
        </is>
      </c>
      <c r="N150" t="inlineStr">
        <is>
          <t>system</t>
        </is>
      </c>
      <c r="O150" t="inlineStr">
        <is>
          <t>2026-06-22 14:11:25</t>
        </is>
      </c>
      <c r="P150" t="inlineStr">
        <is>
          <t>2026-06-22 14:11:25</t>
        </is>
      </c>
      <c r="Y150" t="inlineStr">
        <is>
          <t>27726270272</t>
        </is>
      </c>
    </row>
    <row r="151">
      <c r="A151" t="inlineStr">
        <is>
          <t>14974032</t>
        </is>
      </c>
      <c r="B151" t="inlineStr">
        <is>
          <t>db5b99f3-6770-46a3-afa6-fb85d9c2c57c</t>
        </is>
      </c>
      <c r="D151" t="inlineStr">
        <is>
          <t>11111127</t>
        </is>
      </c>
      <c r="E151" t="inlineStr">
        <is>
          <t>Vodacom Life 20260622</t>
        </is>
      </c>
      <c r="J151" t="inlineStr">
        <is>
          <t>AE</t>
        </is>
      </c>
      <c r="K151" t="inlineStr">
        <is>
          <t>Auto Engaged</t>
        </is>
      </c>
      <c r="L151" t="n">
        <v>6</v>
      </c>
      <c r="M151" t="inlineStr">
        <is>
          <t>2026-06-29 14:36:47</t>
        </is>
      </c>
      <c r="N151" t="inlineStr">
        <is>
          <t>system</t>
        </is>
      </c>
      <c r="O151" t="inlineStr">
        <is>
          <t>2026-06-22 14:11:25</t>
        </is>
      </c>
      <c r="P151" t="inlineStr">
        <is>
          <t>2026-06-22 14:11:25</t>
        </is>
      </c>
      <c r="Y151" t="inlineStr">
        <is>
          <t>27791679426</t>
        </is>
      </c>
    </row>
    <row r="152">
      <c r="A152" t="inlineStr">
        <is>
          <t>14974033</t>
        </is>
      </c>
      <c r="B152" t="inlineStr">
        <is>
          <t>aab39267-2d8e-4e28-93f3-9b276500f9cb</t>
        </is>
      </c>
      <c r="D152" t="inlineStr">
        <is>
          <t>11111127</t>
        </is>
      </c>
      <c r="E152" t="inlineStr">
        <is>
          <t>Vodacom Life 20260622</t>
        </is>
      </c>
      <c r="J152" t="inlineStr">
        <is>
          <t>CU</t>
        </is>
      </c>
      <c r="K152" t="inlineStr">
        <is>
          <t>Client Hung Up</t>
        </is>
      </c>
      <c r="L152" t="n">
        <v>6</v>
      </c>
      <c r="M152" t="inlineStr">
        <is>
          <t>2026-06-29 14:36:32</t>
        </is>
      </c>
      <c r="N152" t="inlineStr">
        <is>
          <t>Vanessa Kekana</t>
        </is>
      </c>
      <c r="O152" t="inlineStr">
        <is>
          <t>2026-06-22 14:11:25</t>
        </is>
      </c>
      <c r="P152" t="inlineStr">
        <is>
          <t>2026-06-22 14:11:25</t>
        </is>
      </c>
      <c r="Y152" t="inlineStr">
        <is>
          <t>27765489376</t>
        </is>
      </c>
    </row>
    <row r="153">
      <c r="A153" t="inlineStr">
        <is>
          <t>14974034</t>
        </is>
      </c>
      <c r="B153" t="inlineStr">
        <is>
          <t>2d328b22-2662-4cce-924e-37696b16bbdf</t>
        </is>
      </c>
      <c r="D153" t="inlineStr">
        <is>
          <t>11111127</t>
        </is>
      </c>
      <c r="E153" t="inlineStr">
        <is>
          <t>Vodacom Life 20260622</t>
        </is>
      </c>
      <c r="J153" t="inlineStr">
        <is>
          <t>DROP</t>
        </is>
      </c>
      <c r="K153" t="inlineStr">
        <is>
          <t>Dropped</t>
        </is>
      </c>
      <c r="L153" t="n">
        <v>6</v>
      </c>
      <c r="M153" t="inlineStr">
        <is>
          <t>2026-06-29 14:36:24</t>
        </is>
      </c>
      <c r="N153" t="inlineStr">
        <is>
          <t>system</t>
        </is>
      </c>
      <c r="O153" t="inlineStr">
        <is>
          <t>2026-06-22 14:11:25</t>
        </is>
      </c>
      <c r="P153" t="inlineStr">
        <is>
          <t>2026-06-22 14:11:25</t>
        </is>
      </c>
      <c r="Y153" t="inlineStr">
        <is>
          <t>27765202748</t>
        </is>
      </c>
    </row>
    <row r="154">
      <c r="A154" t="inlineStr">
        <is>
          <t>14974035</t>
        </is>
      </c>
      <c r="B154" t="inlineStr">
        <is>
          <t>39c3b727-2a39-4896-a940-7ffb166d0317</t>
        </is>
      </c>
      <c r="D154" t="inlineStr">
        <is>
          <t>11111127</t>
        </is>
      </c>
      <c r="E154" t="inlineStr">
        <is>
          <t>Vodacom Life 20260622</t>
        </is>
      </c>
      <c r="J154" t="inlineStr">
        <is>
          <t>ADC</t>
        </is>
      </c>
      <c r="K154" t="inlineStr">
        <is>
          <t>Auto Dial Disconnected</t>
        </is>
      </c>
      <c r="L154" t="n">
        <v>6</v>
      </c>
      <c r="M154" t="inlineStr">
        <is>
          <t>2026-06-29 14:36:20</t>
        </is>
      </c>
      <c r="N154" t="inlineStr">
        <is>
          <t>system</t>
        </is>
      </c>
      <c r="O154" t="inlineStr">
        <is>
          <t>2026-06-22 14:11:25</t>
        </is>
      </c>
      <c r="P154" t="inlineStr">
        <is>
          <t>2026-06-22 14:11:25</t>
        </is>
      </c>
      <c r="Y154" t="inlineStr">
        <is>
          <t>27768615800</t>
        </is>
      </c>
    </row>
    <row r="155">
      <c r="A155" t="inlineStr">
        <is>
          <t>14973966</t>
        </is>
      </c>
      <c r="B155" t="inlineStr">
        <is>
          <t>2682b1c0-5cb0-4dde-943a-315bfc90253c</t>
        </is>
      </c>
      <c r="D155" t="inlineStr">
        <is>
          <t>11111127</t>
        </is>
      </c>
      <c r="E155" t="inlineStr">
        <is>
          <t>Vodacom Life 20260622</t>
        </is>
      </c>
      <c r="J155" t="inlineStr">
        <is>
          <t>AE</t>
        </is>
      </c>
      <c r="K155" t="inlineStr">
        <is>
          <t>Auto Engaged</t>
        </is>
      </c>
      <c r="L155" t="n">
        <v>6</v>
      </c>
      <c r="M155" t="inlineStr">
        <is>
          <t>2026-06-29 14:36:14</t>
        </is>
      </c>
      <c r="N155" t="inlineStr">
        <is>
          <t>system</t>
        </is>
      </c>
      <c r="O155" t="inlineStr">
        <is>
          <t>2026-06-22 14:11:25</t>
        </is>
      </c>
      <c r="P155" t="inlineStr">
        <is>
          <t>2026-06-22 14:11:25</t>
        </is>
      </c>
      <c r="Y155" t="inlineStr">
        <is>
          <t>27769098922</t>
        </is>
      </c>
    </row>
    <row r="156">
      <c r="A156" t="inlineStr">
        <is>
          <t>14973967</t>
        </is>
      </c>
      <c r="B156" t="inlineStr">
        <is>
          <t>d847b20d-941e-4f60-9044-3198a988f153</t>
        </is>
      </c>
      <c r="D156" t="inlineStr">
        <is>
          <t>11111127</t>
        </is>
      </c>
      <c r="E156" t="inlineStr">
        <is>
          <t>Vodacom Life 20260622</t>
        </is>
      </c>
      <c r="H156" t="inlineStr">
        <is>
          <t>27782961587</t>
        </is>
      </c>
      <c r="J156" t="inlineStr">
        <is>
          <t>AA</t>
        </is>
      </c>
      <c r="K156" t="inlineStr">
        <is>
          <t>Answering Machine Autodial</t>
        </is>
      </c>
      <c r="L156" t="n">
        <v>6</v>
      </c>
      <c r="M156" t="inlineStr">
        <is>
          <t>2026-06-29 14:36:14</t>
        </is>
      </c>
      <c r="N156" t="inlineStr">
        <is>
          <t>system</t>
        </is>
      </c>
      <c r="O156" t="inlineStr">
        <is>
          <t>2026-06-22 14:11:25</t>
        </is>
      </c>
      <c r="P156" t="inlineStr">
        <is>
          <t>2026-06-22 14:11:25</t>
        </is>
      </c>
      <c r="Y156" t="inlineStr">
        <is>
          <t>27782961587</t>
        </is>
      </c>
    </row>
    <row r="157">
      <c r="A157" t="inlineStr">
        <is>
          <t>14973968</t>
        </is>
      </c>
      <c r="B157" t="inlineStr">
        <is>
          <t>918f0f9d-9901-4133-88ee-4688431eb33b</t>
        </is>
      </c>
      <c r="D157" t="inlineStr">
        <is>
          <t>11111127</t>
        </is>
      </c>
      <c r="E157" t="inlineStr">
        <is>
          <t>Vodacom Life 20260622</t>
        </is>
      </c>
      <c r="J157" t="inlineStr">
        <is>
          <t>AA</t>
        </is>
      </c>
      <c r="K157" t="inlineStr">
        <is>
          <t>Answering Machine Autodial</t>
        </is>
      </c>
      <c r="L157" t="n">
        <v>6</v>
      </c>
      <c r="M157" t="inlineStr">
        <is>
          <t>2026-06-29 14:36:14</t>
        </is>
      </c>
      <c r="N157" t="inlineStr">
        <is>
          <t>system</t>
        </is>
      </c>
      <c r="O157" t="inlineStr">
        <is>
          <t>2026-06-22 14:11:25</t>
        </is>
      </c>
      <c r="P157" t="inlineStr">
        <is>
          <t>2026-06-22 14:11:25</t>
        </is>
      </c>
      <c r="Y157" t="inlineStr">
        <is>
          <t>27796177150</t>
        </is>
      </c>
    </row>
    <row r="158">
      <c r="A158" t="inlineStr">
        <is>
          <t>14973970</t>
        </is>
      </c>
      <c r="B158" t="inlineStr">
        <is>
          <t>16b7917b-e3d7-40a8-85b0-6d0cb67dc801</t>
        </is>
      </c>
      <c r="D158" t="inlineStr">
        <is>
          <t>11111127</t>
        </is>
      </c>
      <c r="E158" t="inlineStr">
        <is>
          <t>Vodacom Life 20260622</t>
        </is>
      </c>
      <c r="J158" t="inlineStr">
        <is>
          <t>NA</t>
        </is>
      </c>
      <c r="K158" t="inlineStr">
        <is>
          <t>No Answer Autodial</t>
        </is>
      </c>
      <c r="L158" t="n">
        <v>6</v>
      </c>
      <c r="M158" t="inlineStr">
        <is>
          <t>2026-06-29 14:36:14</t>
        </is>
      </c>
      <c r="N158" t="inlineStr">
        <is>
          <t>system</t>
        </is>
      </c>
      <c r="O158" t="inlineStr">
        <is>
          <t>2026-06-22 14:11:25</t>
        </is>
      </c>
      <c r="P158" t="inlineStr">
        <is>
          <t>2026-06-22 14:11:25</t>
        </is>
      </c>
      <c r="Y158" t="inlineStr">
        <is>
          <t>27762000738</t>
        </is>
      </c>
    </row>
    <row r="159">
      <c r="A159" t="inlineStr">
        <is>
          <t>14973971</t>
        </is>
      </c>
      <c r="B159" t="inlineStr">
        <is>
          <t>e8f2938e-8488-4995-9025-6230918303a6</t>
        </is>
      </c>
      <c r="D159" t="inlineStr">
        <is>
          <t>11111127</t>
        </is>
      </c>
      <c r="E159" t="inlineStr">
        <is>
          <t>Vodacom Life 20260622</t>
        </is>
      </c>
      <c r="J159" t="inlineStr">
        <is>
          <t>CU</t>
        </is>
      </c>
      <c r="K159" t="inlineStr">
        <is>
          <t>Client Hung Up</t>
        </is>
      </c>
      <c r="L159" t="n">
        <v>6</v>
      </c>
      <c r="M159" t="inlineStr">
        <is>
          <t>2026-06-29 14:36:14</t>
        </is>
      </c>
      <c r="N159" t="inlineStr">
        <is>
          <t>Vanessa Kekana</t>
        </is>
      </c>
      <c r="O159" t="inlineStr">
        <is>
          <t>2026-06-22 14:11:25</t>
        </is>
      </c>
      <c r="P159" t="inlineStr">
        <is>
          <t>2026-06-22 14:11:25</t>
        </is>
      </c>
      <c r="Y159" t="inlineStr">
        <is>
          <t>27762497663</t>
        </is>
      </c>
    </row>
    <row r="160">
      <c r="A160" t="inlineStr">
        <is>
          <t>14974211</t>
        </is>
      </c>
      <c r="B160" t="inlineStr">
        <is>
          <t>0b275292-3171-4bba-bf70-7d91a9191f71</t>
        </is>
      </c>
      <c r="D160" t="inlineStr">
        <is>
          <t>11111127</t>
        </is>
      </c>
      <c r="E160" t="inlineStr">
        <is>
          <t>Vodacom Life 20260622</t>
        </is>
      </c>
      <c r="J160" t="inlineStr">
        <is>
          <t>A</t>
        </is>
      </c>
      <c r="K160" t="inlineStr">
        <is>
          <t>Answering Machine</t>
        </is>
      </c>
      <c r="L160" t="n">
        <v>2</v>
      </c>
      <c r="M160" t="inlineStr">
        <is>
          <t>2026-06-29 14:34:29</t>
        </is>
      </c>
      <c r="N160" t="inlineStr">
        <is>
          <t>Maureen Ntsoko</t>
        </is>
      </c>
      <c r="O160" t="inlineStr">
        <is>
          <t>2026-06-22 14:11:25</t>
        </is>
      </c>
      <c r="P160" t="inlineStr">
        <is>
          <t>2026-06-22 14:11:25</t>
        </is>
      </c>
      <c r="Y160" t="inlineStr">
        <is>
          <t>27728299351</t>
        </is>
      </c>
    </row>
    <row r="161">
      <c r="A161" t="inlineStr">
        <is>
          <t>14973972</t>
        </is>
      </c>
      <c r="B161" t="inlineStr">
        <is>
          <t>f762b920-3413-4dd9-b64e-33a610380f24</t>
        </is>
      </c>
      <c r="D161" t="inlineStr">
        <is>
          <t>11111127</t>
        </is>
      </c>
      <c r="E161" t="inlineStr">
        <is>
          <t>Vodacom Life 20260622</t>
        </is>
      </c>
      <c r="J161" t="inlineStr">
        <is>
          <t>DROP</t>
        </is>
      </c>
      <c r="K161" t="inlineStr">
        <is>
          <t>Dropped</t>
        </is>
      </c>
      <c r="L161" t="n">
        <v>6</v>
      </c>
      <c r="M161" t="inlineStr">
        <is>
          <t>2026-06-29 14:34:28</t>
        </is>
      </c>
      <c r="N161" t="inlineStr">
        <is>
          <t>system</t>
        </is>
      </c>
      <c r="O161" t="inlineStr">
        <is>
          <t>2026-06-22 14:11:25</t>
        </is>
      </c>
      <c r="P161" t="inlineStr">
        <is>
          <t>2026-06-22 14:11:25</t>
        </is>
      </c>
      <c r="Y161" t="inlineStr">
        <is>
          <t>27765937961</t>
        </is>
      </c>
    </row>
    <row r="162">
      <c r="A162" t="inlineStr">
        <is>
          <t>14973973</t>
        </is>
      </c>
      <c r="B162" t="inlineStr">
        <is>
          <t>6aec502a-64a9-4b06-950d-db997bd8d203</t>
        </is>
      </c>
      <c r="D162" t="inlineStr">
        <is>
          <t>11111127</t>
        </is>
      </c>
      <c r="E162" t="inlineStr">
        <is>
          <t>Vodacom Life 20260622</t>
        </is>
      </c>
      <c r="J162" t="inlineStr">
        <is>
          <t>DROP</t>
        </is>
      </c>
      <c r="K162" t="inlineStr">
        <is>
          <t>Dropped</t>
        </is>
      </c>
      <c r="L162" t="n">
        <v>6</v>
      </c>
      <c r="M162" t="inlineStr">
        <is>
          <t>2026-06-29 14:34:28</t>
        </is>
      </c>
      <c r="N162" t="inlineStr">
        <is>
          <t>system</t>
        </is>
      </c>
      <c r="O162" t="inlineStr">
        <is>
          <t>2026-06-22 14:11:25</t>
        </is>
      </c>
      <c r="P162" t="inlineStr">
        <is>
          <t>2026-06-22 14:11:25</t>
        </is>
      </c>
      <c r="Y162" t="inlineStr">
        <is>
          <t>27648159821</t>
        </is>
      </c>
    </row>
    <row r="163">
      <c r="A163" t="inlineStr">
        <is>
          <t>14973975</t>
        </is>
      </c>
      <c r="B163" t="inlineStr">
        <is>
          <t>88fdb875-948c-462f-9266-ee87e7c3b7de</t>
        </is>
      </c>
      <c r="D163" t="inlineStr">
        <is>
          <t>11111127</t>
        </is>
      </c>
      <c r="E163" t="inlineStr">
        <is>
          <t>Vodacom Life 20260622</t>
        </is>
      </c>
      <c r="J163" t="inlineStr">
        <is>
          <t>AA</t>
        </is>
      </c>
      <c r="K163" t="inlineStr">
        <is>
          <t>Answering Machine Autodial</t>
        </is>
      </c>
      <c r="L163" t="n">
        <v>6</v>
      </c>
      <c r="M163" t="inlineStr">
        <is>
          <t>2026-06-29 14:34:28</t>
        </is>
      </c>
      <c r="N163" t="inlineStr">
        <is>
          <t>system</t>
        </is>
      </c>
      <c r="O163" t="inlineStr">
        <is>
          <t>2026-06-22 14:11:25</t>
        </is>
      </c>
      <c r="P163" t="inlineStr">
        <is>
          <t>2026-06-22 14:11:25</t>
        </is>
      </c>
      <c r="Y163" t="inlineStr">
        <is>
          <t>27663880886</t>
        </is>
      </c>
    </row>
    <row r="164">
      <c r="A164" t="inlineStr">
        <is>
          <t>14973977</t>
        </is>
      </c>
      <c r="B164" t="inlineStr">
        <is>
          <t>0f280371-d16c-45e9-b2c7-b4abc8dc8747</t>
        </is>
      </c>
      <c r="D164" t="inlineStr">
        <is>
          <t>11111127</t>
        </is>
      </c>
      <c r="E164" t="inlineStr">
        <is>
          <t>Vodacom Life 20260622</t>
        </is>
      </c>
      <c r="J164" t="inlineStr">
        <is>
          <t>AE</t>
        </is>
      </c>
      <c r="K164" t="inlineStr">
        <is>
          <t>Auto Engaged</t>
        </is>
      </c>
      <c r="L164" t="n">
        <v>6</v>
      </c>
      <c r="M164" t="inlineStr">
        <is>
          <t>2026-06-29 14:34:28</t>
        </is>
      </c>
      <c r="N164" t="inlineStr">
        <is>
          <t>system</t>
        </is>
      </c>
      <c r="O164" t="inlineStr">
        <is>
          <t>2026-06-22 14:11:25</t>
        </is>
      </c>
      <c r="P164" t="inlineStr">
        <is>
          <t>2026-06-22 14:11:25</t>
        </is>
      </c>
      <c r="Y164" t="inlineStr">
        <is>
          <t>27827470483</t>
        </is>
      </c>
    </row>
    <row r="165">
      <c r="A165" t="inlineStr">
        <is>
          <t>14973879</t>
        </is>
      </c>
      <c r="B165" t="inlineStr">
        <is>
          <t>8d31d8a4-84f8-44a8-a4ab-fe2433eac344</t>
        </is>
      </c>
      <c r="D165" t="inlineStr">
        <is>
          <t>11111127</t>
        </is>
      </c>
      <c r="E165" t="inlineStr">
        <is>
          <t>Vodacom Life 20260622</t>
        </is>
      </c>
      <c r="J165" t="inlineStr">
        <is>
          <t>DROP</t>
        </is>
      </c>
      <c r="K165" t="inlineStr">
        <is>
          <t>Dropped</t>
        </is>
      </c>
      <c r="L165" t="n">
        <v>6</v>
      </c>
      <c r="M165" t="inlineStr">
        <is>
          <t>2026-06-29 14:33:27</t>
        </is>
      </c>
      <c r="N165" t="inlineStr">
        <is>
          <t>system</t>
        </is>
      </c>
      <c r="O165" t="inlineStr">
        <is>
          <t>2026-06-22 14:11:25</t>
        </is>
      </c>
      <c r="P165" t="inlineStr">
        <is>
          <t>2026-06-22 14:11:25</t>
        </is>
      </c>
      <c r="Y165" t="inlineStr">
        <is>
          <t>27793750798</t>
        </is>
      </c>
    </row>
    <row r="166">
      <c r="A166" t="inlineStr">
        <is>
          <t>14973877</t>
        </is>
      </c>
      <c r="B166" t="inlineStr">
        <is>
          <t>eb92bda8-1bff-4133-8f3d-679bc9549f94</t>
        </is>
      </c>
      <c r="D166" t="inlineStr">
        <is>
          <t>11111127</t>
        </is>
      </c>
      <c r="E166" t="inlineStr">
        <is>
          <t>Vodacom Life 20260622</t>
        </is>
      </c>
      <c r="H166" t="inlineStr">
        <is>
          <t>27609169715</t>
        </is>
      </c>
      <c r="J166" t="inlineStr">
        <is>
          <t>DROP</t>
        </is>
      </c>
      <c r="K166" t="inlineStr">
        <is>
          <t>Dropped</t>
        </is>
      </c>
      <c r="L166" t="n">
        <v>6</v>
      </c>
      <c r="M166" t="inlineStr">
        <is>
          <t>2026-06-29 14:33:26</t>
        </is>
      </c>
      <c r="N166" t="inlineStr">
        <is>
          <t>system</t>
        </is>
      </c>
      <c r="O166" t="inlineStr">
        <is>
          <t>2026-06-22 14:11:25</t>
        </is>
      </c>
      <c r="P166" t="inlineStr">
        <is>
          <t>2026-06-22 14:11:25</t>
        </is>
      </c>
      <c r="Y166" t="inlineStr">
        <is>
          <t>27609169715</t>
        </is>
      </c>
    </row>
    <row r="167">
      <c r="A167" t="inlineStr">
        <is>
          <t>14973874</t>
        </is>
      </c>
      <c r="B167" t="inlineStr">
        <is>
          <t>8bec5392-fd04-4072-b1e9-29669119d2af</t>
        </is>
      </c>
      <c r="D167" t="inlineStr">
        <is>
          <t>11111127</t>
        </is>
      </c>
      <c r="E167" t="inlineStr">
        <is>
          <t>Vodacom Life 20260622</t>
        </is>
      </c>
      <c r="J167" t="inlineStr">
        <is>
          <t>DROP</t>
        </is>
      </c>
      <c r="K167" t="inlineStr">
        <is>
          <t>Dropped</t>
        </is>
      </c>
      <c r="L167" t="n">
        <v>6</v>
      </c>
      <c r="M167" t="inlineStr">
        <is>
          <t>2026-06-29 14:33:23</t>
        </is>
      </c>
      <c r="N167" t="inlineStr">
        <is>
          <t>system</t>
        </is>
      </c>
      <c r="O167" t="inlineStr">
        <is>
          <t>2026-06-22 14:11:25</t>
        </is>
      </c>
      <c r="P167" t="inlineStr">
        <is>
          <t>2026-06-22 14:11:25</t>
        </is>
      </c>
      <c r="Y167" t="inlineStr">
        <is>
          <t>27727273340</t>
        </is>
      </c>
    </row>
    <row r="168">
      <c r="A168" t="inlineStr">
        <is>
          <t>14973875</t>
        </is>
      </c>
      <c r="B168" t="inlineStr">
        <is>
          <t>76358299-5d26-4e78-96ef-e44c7c4687df</t>
        </is>
      </c>
      <c r="D168" t="inlineStr">
        <is>
          <t>11111127</t>
        </is>
      </c>
      <c r="E168" t="inlineStr">
        <is>
          <t>Vodacom Life 20260622</t>
        </is>
      </c>
      <c r="J168" t="inlineStr">
        <is>
          <t>CU</t>
        </is>
      </c>
      <c r="K168" t="inlineStr">
        <is>
          <t>Client Hung Up</t>
        </is>
      </c>
      <c r="L168" t="n">
        <v>6</v>
      </c>
      <c r="M168" t="inlineStr">
        <is>
          <t>2026-06-29 14:33:23</t>
        </is>
      </c>
      <c r="N168" t="inlineStr">
        <is>
          <t>Maureen Ntsoko</t>
        </is>
      </c>
      <c r="O168" t="inlineStr">
        <is>
          <t>2026-06-22 14:11:25</t>
        </is>
      </c>
      <c r="P168" t="inlineStr">
        <is>
          <t>2026-06-22 14:11:25</t>
        </is>
      </c>
      <c r="Y168" t="inlineStr">
        <is>
          <t>27764643316</t>
        </is>
      </c>
    </row>
    <row r="169">
      <c r="A169" t="inlineStr">
        <is>
          <t>14973870</t>
        </is>
      </c>
      <c r="B169" t="inlineStr">
        <is>
          <t>ca0d2619-451d-4eec-b256-22a17a9662c5</t>
        </is>
      </c>
      <c r="D169" t="inlineStr">
        <is>
          <t>11111127</t>
        </is>
      </c>
      <c r="E169" t="inlineStr">
        <is>
          <t>Vodacom Life 20260622</t>
        </is>
      </c>
      <c r="J169" t="inlineStr">
        <is>
          <t>AE</t>
        </is>
      </c>
      <c r="K169" t="inlineStr">
        <is>
          <t>Auto Engaged</t>
        </is>
      </c>
      <c r="L169" t="n">
        <v>6</v>
      </c>
      <c r="M169" t="inlineStr">
        <is>
          <t>2026-06-29 14:33:10</t>
        </is>
      </c>
      <c r="N169" t="inlineStr">
        <is>
          <t>system</t>
        </is>
      </c>
      <c r="O169" t="inlineStr">
        <is>
          <t>2026-06-22 14:11:25</t>
        </is>
      </c>
      <c r="P169" t="inlineStr">
        <is>
          <t>2026-06-22 14:11:25</t>
        </is>
      </c>
      <c r="Y169" t="inlineStr">
        <is>
          <t>27722175803</t>
        </is>
      </c>
    </row>
    <row r="170">
      <c r="A170" t="inlineStr">
        <is>
          <t>14973871</t>
        </is>
      </c>
      <c r="B170" t="inlineStr">
        <is>
          <t>272d2a4e-52de-4fa4-98e8-39eb880e42d3</t>
        </is>
      </c>
      <c r="D170" t="inlineStr">
        <is>
          <t>11111127</t>
        </is>
      </c>
      <c r="E170" t="inlineStr">
        <is>
          <t>Vodacom Life 20260622</t>
        </is>
      </c>
      <c r="H170" t="inlineStr">
        <is>
          <t>27725733438</t>
        </is>
      </c>
      <c r="J170" t="inlineStr">
        <is>
          <t>AA</t>
        </is>
      </c>
      <c r="K170" t="inlineStr">
        <is>
          <t>Answering Machine Autodial</t>
        </is>
      </c>
      <c r="L170" t="n">
        <v>6</v>
      </c>
      <c r="M170" t="inlineStr">
        <is>
          <t>2026-06-29 14:33:10</t>
        </is>
      </c>
      <c r="N170" t="inlineStr">
        <is>
          <t>system</t>
        </is>
      </c>
      <c r="O170" t="inlineStr">
        <is>
          <t>2026-06-22 14:11:25</t>
        </is>
      </c>
      <c r="P170" t="inlineStr">
        <is>
          <t>2026-06-22 14:11:25</t>
        </is>
      </c>
      <c r="Y170" t="inlineStr">
        <is>
          <t>27725733438</t>
        </is>
      </c>
    </row>
    <row r="171">
      <c r="A171" t="inlineStr">
        <is>
          <t>14973872</t>
        </is>
      </c>
      <c r="B171" t="inlineStr">
        <is>
          <t>48cd0ad4-4671-43f1-a093-20da14e6834f</t>
        </is>
      </c>
      <c r="D171" t="inlineStr">
        <is>
          <t>11111127</t>
        </is>
      </c>
      <c r="E171" t="inlineStr">
        <is>
          <t>Vodacom Life 20260622</t>
        </is>
      </c>
      <c r="J171" t="inlineStr">
        <is>
          <t>AE</t>
        </is>
      </c>
      <c r="K171" t="inlineStr">
        <is>
          <t>Auto Engaged</t>
        </is>
      </c>
      <c r="L171" t="n">
        <v>6</v>
      </c>
      <c r="M171" t="inlineStr">
        <is>
          <t>2026-06-29 14:33:10</t>
        </is>
      </c>
      <c r="N171" t="inlineStr">
        <is>
          <t>system</t>
        </is>
      </c>
      <c r="O171" t="inlineStr">
        <is>
          <t>2026-06-22 14:11:25</t>
        </is>
      </c>
      <c r="P171" t="inlineStr">
        <is>
          <t>2026-06-22 14:11:25</t>
        </is>
      </c>
      <c r="Y171" t="inlineStr">
        <is>
          <t>27766767286</t>
        </is>
      </c>
    </row>
    <row r="172">
      <c r="A172" t="inlineStr">
        <is>
          <t>14973873</t>
        </is>
      </c>
      <c r="B172" t="inlineStr">
        <is>
          <t>4f6c8e37-c893-45bd-b9da-0549bb0fe9c2</t>
        </is>
      </c>
      <c r="D172" t="inlineStr">
        <is>
          <t>11111127</t>
        </is>
      </c>
      <c r="E172" t="inlineStr">
        <is>
          <t>Vodacom Life 20260622</t>
        </is>
      </c>
      <c r="J172" t="inlineStr">
        <is>
          <t>AE</t>
        </is>
      </c>
      <c r="K172" t="inlineStr">
        <is>
          <t>Auto Engaged</t>
        </is>
      </c>
      <c r="L172" t="n">
        <v>6</v>
      </c>
      <c r="M172" t="inlineStr">
        <is>
          <t>2026-06-29 14:33:10</t>
        </is>
      </c>
      <c r="N172" t="inlineStr">
        <is>
          <t>system</t>
        </is>
      </c>
      <c r="O172" t="inlineStr">
        <is>
          <t>2026-06-22 14:11:25</t>
        </is>
      </c>
      <c r="P172" t="inlineStr">
        <is>
          <t>2026-06-22 14:11:25</t>
        </is>
      </c>
      <c r="Y172" t="inlineStr">
        <is>
          <t>27727088303</t>
        </is>
      </c>
    </row>
    <row r="173">
      <c r="A173" t="inlineStr">
        <is>
          <t>14973869</t>
        </is>
      </c>
      <c r="B173" t="inlineStr">
        <is>
          <t>4b84e717-33d7-4f76-9471-3832eb632cd4</t>
        </is>
      </c>
      <c r="D173" t="inlineStr">
        <is>
          <t>11111127</t>
        </is>
      </c>
      <c r="E173" t="inlineStr">
        <is>
          <t>Vodacom Life 20260622</t>
        </is>
      </c>
      <c r="J173" t="inlineStr">
        <is>
          <t>DROP</t>
        </is>
      </c>
      <c r="K173" t="inlineStr">
        <is>
          <t>Dropped</t>
        </is>
      </c>
      <c r="L173" t="n">
        <v>6</v>
      </c>
      <c r="M173" t="inlineStr">
        <is>
          <t>2026-06-29 14:32:37</t>
        </is>
      </c>
      <c r="N173" t="inlineStr">
        <is>
          <t>system</t>
        </is>
      </c>
      <c r="O173" t="inlineStr">
        <is>
          <t>2026-06-22 14:11:25</t>
        </is>
      </c>
      <c r="P173" t="inlineStr">
        <is>
          <t>2026-06-22 14:11:25</t>
        </is>
      </c>
      <c r="Y173" t="inlineStr">
        <is>
          <t>27729212498</t>
        </is>
      </c>
    </row>
    <row r="174">
      <c r="A174" t="inlineStr">
        <is>
          <t>14974580</t>
        </is>
      </c>
      <c r="B174" t="inlineStr">
        <is>
          <t>c854ed15-fca2-4f46-a2bf-acf20a317d78</t>
        </is>
      </c>
      <c r="D174" t="inlineStr">
        <is>
          <t>11111127</t>
        </is>
      </c>
      <c r="E174" t="inlineStr">
        <is>
          <t>Vodacom Life 20260622</t>
        </is>
      </c>
      <c r="H174" t="inlineStr">
        <is>
          <t>27774270772</t>
        </is>
      </c>
      <c r="J174" t="inlineStr">
        <is>
          <t>CU</t>
        </is>
      </c>
      <c r="K174" t="inlineStr">
        <is>
          <t>Client Hung Up</t>
        </is>
      </c>
      <c r="L174" t="n">
        <v>6</v>
      </c>
      <c r="M174" t="inlineStr">
        <is>
          <t>2026-06-29 14:32:37</t>
        </is>
      </c>
      <c r="N174" t="inlineStr">
        <is>
          <t>Khensane Mabasa</t>
        </is>
      </c>
      <c r="O174" t="inlineStr">
        <is>
          <t>2026-06-22 14:11:25</t>
        </is>
      </c>
      <c r="P174" t="inlineStr">
        <is>
          <t>2026-06-22 14:11:25</t>
        </is>
      </c>
      <c r="Y174" t="inlineStr">
        <is>
          <t>27774270772</t>
        </is>
      </c>
    </row>
    <row r="175">
      <c r="A175" t="inlineStr">
        <is>
          <t>14973845</t>
        </is>
      </c>
      <c r="B175" t="inlineStr">
        <is>
          <t>37add9da-565c-489a-a74d-0c6494601f47</t>
        </is>
      </c>
      <c r="D175" t="inlineStr">
        <is>
          <t>11111127</t>
        </is>
      </c>
      <c r="E175" t="inlineStr">
        <is>
          <t>Vodacom Life 20260622</t>
        </is>
      </c>
      <c r="J175" t="inlineStr">
        <is>
          <t>AA</t>
        </is>
      </c>
      <c r="K175" t="inlineStr">
        <is>
          <t>Answering Machine Autodial</t>
        </is>
      </c>
      <c r="L175" t="n">
        <v>6</v>
      </c>
      <c r="M175" t="inlineStr">
        <is>
          <t>2026-06-29 14:32:33</t>
        </is>
      </c>
      <c r="N175" t="inlineStr">
        <is>
          <t>system</t>
        </is>
      </c>
      <c r="O175" t="inlineStr">
        <is>
          <t>2026-06-22 14:11:25</t>
        </is>
      </c>
      <c r="P175" t="inlineStr">
        <is>
          <t>2026-06-22 14:11:25</t>
        </is>
      </c>
      <c r="Y175" t="inlineStr">
        <is>
          <t>27766902902</t>
        </is>
      </c>
    </row>
    <row r="176">
      <c r="A176" t="inlineStr">
        <is>
          <t>14973846</t>
        </is>
      </c>
      <c r="B176" t="inlineStr">
        <is>
          <t>a55e12f6-9151-4f6b-9fc1-d3b3b9aaa0b6</t>
        </is>
      </c>
      <c r="D176" t="inlineStr">
        <is>
          <t>11111127</t>
        </is>
      </c>
      <c r="E176" t="inlineStr">
        <is>
          <t>Vodacom Life 20260622</t>
        </is>
      </c>
      <c r="H176" t="inlineStr">
        <is>
          <t>27791423096</t>
        </is>
      </c>
      <c r="J176" t="inlineStr">
        <is>
          <t>CBACK</t>
        </is>
      </c>
      <c r="K176" t="inlineStr">
        <is>
          <t>Callback</t>
        </is>
      </c>
      <c r="L176" t="n">
        <v>6</v>
      </c>
      <c r="M176" t="inlineStr">
        <is>
          <t>2026-06-29 14:32:33</t>
        </is>
      </c>
      <c r="N176" t="inlineStr">
        <is>
          <t>Vanessa Kekana</t>
        </is>
      </c>
      <c r="O176" t="inlineStr">
        <is>
          <t>2026-06-22 14:11:25</t>
        </is>
      </c>
      <c r="P176" t="inlineStr">
        <is>
          <t>2026-06-22 14:11:25</t>
        </is>
      </c>
      <c r="Y176" t="inlineStr">
        <is>
          <t>27791423096</t>
        </is>
      </c>
    </row>
    <row r="177">
      <c r="A177" t="inlineStr">
        <is>
          <t>14973847</t>
        </is>
      </c>
      <c r="B177" t="inlineStr">
        <is>
          <t>789cd12a-7092-4cc0-b812-0f5d7bc5423a</t>
        </is>
      </c>
      <c r="D177" t="inlineStr">
        <is>
          <t>11111127</t>
        </is>
      </c>
      <c r="E177" t="inlineStr">
        <is>
          <t>Vodacom Life 20260622</t>
        </is>
      </c>
      <c r="J177" t="inlineStr">
        <is>
          <t>AE</t>
        </is>
      </c>
      <c r="K177" t="inlineStr">
        <is>
          <t>Auto Engaged</t>
        </is>
      </c>
      <c r="L177" t="n">
        <v>6</v>
      </c>
      <c r="M177" t="inlineStr">
        <is>
          <t>2026-06-29 14:32:33</t>
        </is>
      </c>
      <c r="N177" t="inlineStr">
        <is>
          <t>system</t>
        </is>
      </c>
      <c r="O177" t="inlineStr">
        <is>
          <t>2026-06-22 14:11:25</t>
        </is>
      </c>
      <c r="P177" t="inlineStr">
        <is>
          <t>2026-06-22 14:11:25</t>
        </is>
      </c>
      <c r="Y177" t="inlineStr">
        <is>
          <t>27796544684</t>
        </is>
      </c>
    </row>
    <row r="178">
      <c r="A178" t="inlineStr">
        <is>
          <t>15000000</t>
        </is>
      </c>
      <c r="B178" t="inlineStr">
        <is>
          <t>e362097a-0bc7-44b3-86c2-c972f39d3966</t>
        </is>
      </c>
      <c r="D178" t="inlineStr">
        <is>
          <t>11111127</t>
        </is>
      </c>
      <c r="E178" t="inlineStr">
        <is>
          <t>Vodacom Life 20260622</t>
        </is>
      </c>
      <c r="H178" t="inlineStr">
        <is>
          <t>27828448603</t>
        </is>
      </c>
      <c r="J178" t="inlineStr">
        <is>
          <t>DROP</t>
        </is>
      </c>
      <c r="K178" t="inlineStr">
        <is>
          <t>Dropped</t>
        </is>
      </c>
      <c r="L178" t="n">
        <v>6</v>
      </c>
      <c r="M178" t="inlineStr">
        <is>
          <t>2026-06-29 14:32:33</t>
        </is>
      </c>
      <c r="N178" t="inlineStr">
        <is>
          <t>system</t>
        </is>
      </c>
      <c r="O178" t="inlineStr">
        <is>
          <t>2026-06-22 14:11:25</t>
        </is>
      </c>
      <c r="P178" t="inlineStr">
        <is>
          <t>2026-06-22 14:11:25</t>
        </is>
      </c>
      <c r="Y178" t="inlineStr">
        <is>
          <t>27828448603</t>
        </is>
      </c>
    </row>
    <row r="179">
      <c r="A179" t="inlineStr">
        <is>
          <t>14973850</t>
        </is>
      </c>
      <c r="B179" t="inlineStr">
        <is>
          <t>317e37d5-cdb7-4c50-a892-28e97fb1c8af</t>
        </is>
      </c>
      <c r="D179" t="inlineStr">
        <is>
          <t>11111127</t>
        </is>
      </c>
      <c r="E179" t="inlineStr">
        <is>
          <t>Vodacom Life 20260622</t>
        </is>
      </c>
      <c r="H179" t="inlineStr">
        <is>
          <t>27767091626</t>
        </is>
      </c>
      <c r="J179" t="inlineStr">
        <is>
          <t>AE</t>
        </is>
      </c>
      <c r="K179" t="inlineStr">
        <is>
          <t>Auto Engaged</t>
        </is>
      </c>
      <c r="L179" t="n">
        <v>6</v>
      </c>
      <c r="M179" t="inlineStr">
        <is>
          <t>2026-06-29 14:32:32</t>
        </is>
      </c>
      <c r="N179" t="inlineStr">
        <is>
          <t>system</t>
        </is>
      </c>
      <c r="O179" t="inlineStr">
        <is>
          <t>2026-06-22 14:11:25</t>
        </is>
      </c>
      <c r="P179" t="inlineStr">
        <is>
          <t>2026-06-22 14:11:25</t>
        </is>
      </c>
      <c r="Y179" t="inlineStr">
        <is>
          <t>27767091626</t>
        </is>
      </c>
    </row>
    <row r="180">
      <c r="A180" t="inlineStr">
        <is>
          <t>14973844</t>
        </is>
      </c>
      <c r="B180" t="inlineStr">
        <is>
          <t>8f70b183-8bc8-4efd-b8f6-88f1fa4158e4</t>
        </is>
      </c>
      <c r="D180" t="inlineStr">
        <is>
          <t>11111127</t>
        </is>
      </c>
      <c r="E180" t="inlineStr">
        <is>
          <t>Vodacom Life 20260622</t>
        </is>
      </c>
      <c r="J180" t="inlineStr">
        <is>
          <t>NA</t>
        </is>
      </c>
      <c r="K180" t="inlineStr">
        <is>
          <t>No Answer Autodial</t>
        </is>
      </c>
      <c r="L180" t="n">
        <v>6</v>
      </c>
      <c r="M180" t="inlineStr">
        <is>
          <t>2026-06-29 14:32:23</t>
        </is>
      </c>
      <c r="N180" t="inlineStr">
        <is>
          <t>system</t>
        </is>
      </c>
      <c r="O180" t="inlineStr">
        <is>
          <t>2026-06-22 14:11:25</t>
        </is>
      </c>
      <c r="P180" t="inlineStr">
        <is>
          <t>2026-06-22 14:11:25</t>
        </is>
      </c>
      <c r="Y180" t="inlineStr">
        <is>
          <t>27824734264</t>
        </is>
      </c>
    </row>
    <row r="181">
      <c r="A181" t="inlineStr">
        <is>
          <t>14973842</t>
        </is>
      </c>
      <c r="B181" t="inlineStr">
        <is>
          <t>80666214-78db-4e11-8e8d-2f3a65c04c19</t>
        </is>
      </c>
      <c r="D181" t="inlineStr">
        <is>
          <t>11111127</t>
        </is>
      </c>
      <c r="E181" t="inlineStr">
        <is>
          <t>Vodacom Life 20260622</t>
        </is>
      </c>
      <c r="J181" t="inlineStr">
        <is>
          <t>AA</t>
        </is>
      </c>
      <c r="K181" t="inlineStr">
        <is>
          <t>Answering Machine Autodial</t>
        </is>
      </c>
      <c r="L181" t="n">
        <v>6</v>
      </c>
      <c r="M181" t="inlineStr">
        <is>
          <t>2026-06-29 14:32:21</t>
        </is>
      </c>
      <c r="N181" t="inlineStr">
        <is>
          <t>system</t>
        </is>
      </c>
      <c r="O181" t="inlineStr">
        <is>
          <t>2026-06-22 14:11:25</t>
        </is>
      </c>
      <c r="P181" t="inlineStr">
        <is>
          <t>2026-06-22 14:11:25</t>
        </is>
      </c>
      <c r="Y181" t="inlineStr">
        <is>
          <t>27794073676</t>
        </is>
      </c>
    </row>
    <row r="182">
      <c r="A182" t="inlineStr">
        <is>
          <t>14974582</t>
        </is>
      </c>
      <c r="B182" t="inlineStr">
        <is>
          <t>42eae682-d727-4b31-966f-ab94b0c89698</t>
        </is>
      </c>
      <c r="D182" t="inlineStr">
        <is>
          <t>11111127</t>
        </is>
      </c>
      <c r="E182" t="inlineStr">
        <is>
          <t>Vodacom Life 20260622</t>
        </is>
      </c>
      <c r="H182" t="inlineStr">
        <is>
          <t>27796134503</t>
        </is>
      </c>
      <c r="J182" t="inlineStr">
        <is>
          <t>AE</t>
        </is>
      </c>
      <c r="K182" t="inlineStr">
        <is>
          <t>Auto Engaged</t>
        </is>
      </c>
      <c r="L182" t="n">
        <v>6</v>
      </c>
      <c r="M182" t="inlineStr">
        <is>
          <t>2026-06-29 14:32:17</t>
        </is>
      </c>
      <c r="N182" t="inlineStr">
        <is>
          <t>system</t>
        </is>
      </c>
      <c r="O182" t="inlineStr">
        <is>
          <t>2026-06-22 14:11:25</t>
        </is>
      </c>
      <c r="P182" t="inlineStr">
        <is>
          <t>2026-06-22 14:11:25</t>
        </is>
      </c>
      <c r="Y182" t="inlineStr">
        <is>
          <t>27796134503</t>
        </is>
      </c>
    </row>
    <row r="183">
      <c r="A183" t="inlineStr">
        <is>
          <t>14974579</t>
        </is>
      </c>
      <c r="B183" t="inlineStr">
        <is>
          <t>59413633-4da4-4d0a-980a-b4018ef7b790</t>
        </is>
      </c>
      <c r="D183" t="inlineStr">
        <is>
          <t>11111127</t>
        </is>
      </c>
      <c r="E183" t="inlineStr">
        <is>
          <t>Vodacom Life 20260622</t>
        </is>
      </c>
      <c r="H183" t="inlineStr">
        <is>
          <t>27798057040</t>
        </is>
      </c>
      <c r="J183" t="inlineStr">
        <is>
          <t>AA</t>
        </is>
      </c>
      <c r="K183" t="inlineStr">
        <is>
          <t>Answering Machine Autodial</t>
        </is>
      </c>
      <c r="L183" t="n">
        <v>6</v>
      </c>
      <c r="M183" t="inlineStr">
        <is>
          <t>2026-06-29 14:32:16</t>
        </is>
      </c>
      <c r="N183" t="inlineStr">
        <is>
          <t>system</t>
        </is>
      </c>
      <c r="O183" t="inlineStr">
        <is>
          <t>2026-06-22 14:11:25</t>
        </is>
      </c>
      <c r="P183" t="inlineStr">
        <is>
          <t>2026-06-22 14:11:25</t>
        </is>
      </c>
      <c r="Y183" t="inlineStr">
        <is>
          <t>27798057040</t>
        </is>
      </c>
    </row>
    <row r="184">
      <c r="A184" t="inlineStr">
        <is>
          <t>14974578</t>
        </is>
      </c>
      <c r="B184" t="inlineStr">
        <is>
          <t>f704c259-d140-4f9f-9664-f89826789d3f</t>
        </is>
      </c>
      <c r="D184" t="inlineStr">
        <is>
          <t>11111127</t>
        </is>
      </c>
      <c r="E184" t="inlineStr">
        <is>
          <t>Vodacom Life 20260622</t>
        </is>
      </c>
      <c r="J184" t="inlineStr">
        <is>
          <t>NA</t>
        </is>
      </c>
      <c r="K184" t="inlineStr">
        <is>
          <t>No Answer Autodial</t>
        </is>
      </c>
      <c r="L184" t="n">
        <v>6</v>
      </c>
      <c r="M184" t="inlineStr">
        <is>
          <t>2026-06-29 14:31:35</t>
        </is>
      </c>
      <c r="N184" t="inlineStr">
        <is>
          <t>system</t>
        </is>
      </c>
      <c r="O184" t="inlineStr">
        <is>
          <t>2026-06-22 14:11:25</t>
        </is>
      </c>
      <c r="P184" t="inlineStr">
        <is>
          <t>2026-06-22 14:11:25</t>
        </is>
      </c>
      <c r="Y184" t="inlineStr">
        <is>
          <t>27760466462</t>
        </is>
      </c>
    </row>
    <row r="185">
      <c r="A185" t="inlineStr">
        <is>
          <t>14974575</t>
        </is>
      </c>
      <c r="B185" t="inlineStr">
        <is>
          <t>a48db001-e752-4867-9858-6202867e1657</t>
        </is>
      </c>
      <c r="D185" t="inlineStr">
        <is>
          <t>11111127</t>
        </is>
      </c>
      <c r="E185" t="inlineStr">
        <is>
          <t>Vodacom Life 20260622</t>
        </is>
      </c>
      <c r="J185" t="inlineStr">
        <is>
          <t>CU</t>
        </is>
      </c>
      <c r="K185" t="inlineStr">
        <is>
          <t>Client Hung Up</t>
        </is>
      </c>
      <c r="L185" t="n">
        <v>6</v>
      </c>
      <c r="M185" t="inlineStr">
        <is>
          <t>2026-06-29 14:31:22</t>
        </is>
      </c>
      <c r="N185" t="inlineStr">
        <is>
          <t>Maureen Ntsoko</t>
        </is>
      </c>
      <c r="O185" t="inlineStr">
        <is>
          <t>2026-06-22 14:11:25</t>
        </is>
      </c>
      <c r="P185" t="inlineStr">
        <is>
          <t>2026-06-22 14:11:25</t>
        </is>
      </c>
      <c r="Y185" t="inlineStr">
        <is>
          <t>27760927115</t>
        </is>
      </c>
    </row>
    <row r="186">
      <c r="A186" t="inlineStr">
        <is>
          <t>14974576</t>
        </is>
      </c>
      <c r="B186" t="inlineStr">
        <is>
          <t>fdc011f9-714e-429c-aef9-0d480bca8c16</t>
        </is>
      </c>
      <c r="D186" t="inlineStr">
        <is>
          <t>11111127</t>
        </is>
      </c>
      <c r="E186" t="inlineStr">
        <is>
          <t>Vodacom Life 20260622</t>
        </is>
      </c>
      <c r="J186" t="inlineStr">
        <is>
          <t>AA</t>
        </is>
      </c>
      <c r="K186" t="inlineStr">
        <is>
          <t>Answering Machine Autodial</t>
        </is>
      </c>
      <c r="L186" t="n">
        <v>6</v>
      </c>
      <c r="M186" t="inlineStr">
        <is>
          <t>2026-06-29 14:31:22</t>
        </is>
      </c>
      <c r="N186" t="inlineStr">
        <is>
          <t>system</t>
        </is>
      </c>
      <c r="O186" t="inlineStr">
        <is>
          <t>2026-06-22 14:11:25</t>
        </is>
      </c>
      <c r="P186" t="inlineStr">
        <is>
          <t>2026-06-22 14:11:25</t>
        </is>
      </c>
      <c r="Y186" t="inlineStr">
        <is>
          <t>27763144889</t>
        </is>
      </c>
    </row>
    <row r="187">
      <c r="A187" t="inlineStr">
        <is>
          <t>14974577</t>
        </is>
      </c>
      <c r="B187" t="inlineStr">
        <is>
          <t>188a79d8-fb66-4d0a-b00b-b7bfaeedc956</t>
        </is>
      </c>
      <c r="D187" t="inlineStr">
        <is>
          <t>11111127</t>
        </is>
      </c>
      <c r="E187" t="inlineStr">
        <is>
          <t>Vodacom Life 20260622</t>
        </is>
      </c>
      <c r="J187" t="inlineStr">
        <is>
          <t>AA</t>
        </is>
      </c>
      <c r="K187" t="inlineStr">
        <is>
          <t>Answering Machine Autodial</t>
        </is>
      </c>
      <c r="L187" t="n">
        <v>6</v>
      </c>
      <c r="M187" t="inlineStr">
        <is>
          <t>2026-06-29 14:31:22</t>
        </is>
      </c>
      <c r="N187" t="inlineStr">
        <is>
          <t>system</t>
        </is>
      </c>
      <c r="O187" t="inlineStr">
        <is>
          <t>2026-06-22 14:11:25</t>
        </is>
      </c>
      <c r="P187" t="inlineStr">
        <is>
          <t>2026-06-22 14:11:25</t>
        </is>
      </c>
      <c r="Y187" t="inlineStr">
        <is>
          <t>27762537284</t>
        </is>
      </c>
    </row>
    <row r="188">
      <c r="A188" t="inlineStr">
        <is>
          <t>14974574</t>
        </is>
      </c>
      <c r="B188" t="inlineStr">
        <is>
          <t>1beb925a-d731-4699-bde6-f4da5a4ec501</t>
        </is>
      </c>
      <c r="D188" t="inlineStr">
        <is>
          <t>11111127</t>
        </is>
      </c>
      <c r="E188" t="inlineStr">
        <is>
          <t>Vodacom Life 20260622</t>
        </is>
      </c>
      <c r="J188" t="inlineStr">
        <is>
          <t>AA</t>
        </is>
      </c>
      <c r="K188" t="inlineStr">
        <is>
          <t>Answering Machine Autodial</t>
        </is>
      </c>
      <c r="L188" t="n">
        <v>6</v>
      </c>
      <c r="M188" t="inlineStr">
        <is>
          <t>2026-06-29 14:31:02</t>
        </is>
      </c>
      <c r="N188" t="inlineStr">
        <is>
          <t>system</t>
        </is>
      </c>
      <c r="O188" t="inlineStr">
        <is>
          <t>2026-06-22 14:11:25</t>
        </is>
      </c>
      <c r="P188" t="inlineStr">
        <is>
          <t>2026-06-22 14:11:25</t>
        </is>
      </c>
      <c r="Y188" t="inlineStr">
        <is>
          <t>27675809789</t>
        </is>
      </c>
    </row>
    <row r="189">
      <c r="A189" t="inlineStr">
        <is>
          <t>14974571</t>
        </is>
      </c>
      <c r="B189" t="inlineStr">
        <is>
          <t>d27f31c4-c55c-493c-ac2b-b8f74533cc51</t>
        </is>
      </c>
      <c r="D189" t="inlineStr">
        <is>
          <t>11111127</t>
        </is>
      </c>
      <c r="E189" t="inlineStr">
        <is>
          <t>Vodacom Life 20260622</t>
        </is>
      </c>
      <c r="H189" t="inlineStr">
        <is>
          <t>27712863880</t>
        </is>
      </c>
      <c r="J189" t="inlineStr">
        <is>
          <t>ADC</t>
        </is>
      </c>
      <c r="K189" t="inlineStr">
        <is>
          <t>Auto Dial Disconnected</t>
        </is>
      </c>
      <c r="L189" t="n">
        <v>6</v>
      </c>
      <c r="M189" t="inlineStr">
        <is>
          <t>2026-06-29 14:31:01</t>
        </is>
      </c>
      <c r="N189" t="inlineStr">
        <is>
          <t>system</t>
        </is>
      </c>
      <c r="O189" t="inlineStr">
        <is>
          <t>2026-06-22 14:11:25</t>
        </is>
      </c>
      <c r="P189" t="inlineStr">
        <is>
          <t>2026-06-22 14:11:25</t>
        </is>
      </c>
      <c r="Y189" t="inlineStr">
        <is>
          <t>27712863880</t>
        </is>
      </c>
    </row>
    <row r="190">
      <c r="A190" t="inlineStr">
        <is>
          <t>14974572</t>
        </is>
      </c>
      <c r="B190" t="inlineStr">
        <is>
          <t>6152f732-031c-473d-a0bf-17e4a6cc4246</t>
        </is>
      </c>
      <c r="D190" t="inlineStr">
        <is>
          <t>11111127</t>
        </is>
      </c>
      <c r="E190" t="inlineStr">
        <is>
          <t>Vodacom Life 20260622</t>
        </is>
      </c>
      <c r="H190" t="inlineStr">
        <is>
          <t>27726646544</t>
        </is>
      </c>
      <c r="J190" t="inlineStr">
        <is>
          <t>AA</t>
        </is>
      </c>
      <c r="K190" t="inlineStr">
        <is>
          <t>Answering Machine Autodial</t>
        </is>
      </c>
      <c r="L190" t="n">
        <v>6</v>
      </c>
      <c r="M190" t="inlineStr">
        <is>
          <t>2026-06-29 14:31:01</t>
        </is>
      </c>
      <c r="N190" t="inlineStr">
        <is>
          <t>system</t>
        </is>
      </c>
      <c r="O190" t="inlineStr">
        <is>
          <t>2026-06-22 14:11:25</t>
        </is>
      </c>
      <c r="P190" t="inlineStr">
        <is>
          <t>2026-06-22 14:11:25</t>
        </is>
      </c>
      <c r="Y190" t="inlineStr">
        <is>
          <t>27726646544</t>
        </is>
      </c>
    </row>
    <row r="191">
      <c r="A191" t="inlineStr">
        <is>
          <t>14974573</t>
        </is>
      </c>
      <c r="B191" t="inlineStr">
        <is>
          <t>6cb8f3a5-fd35-440a-baaa-d45c21c4d632</t>
        </is>
      </c>
      <c r="D191" t="inlineStr">
        <is>
          <t>11111127</t>
        </is>
      </c>
      <c r="E191" t="inlineStr">
        <is>
          <t>Vodacom Life 20260622</t>
        </is>
      </c>
      <c r="J191" t="inlineStr">
        <is>
          <t>AA</t>
        </is>
      </c>
      <c r="K191" t="inlineStr">
        <is>
          <t>Answering Machine Autodial</t>
        </is>
      </c>
      <c r="L191" t="n">
        <v>6</v>
      </c>
      <c r="M191" t="inlineStr">
        <is>
          <t>2026-06-29 14:31:01</t>
        </is>
      </c>
      <c r="N191" t="inlineStr">
        <is>
          <t>system</t>
        </is>
      </c>
      <c r="O191" t="inlineStr">
        <is>
          <t>2026-06-22 14:11:25</t>
        </is>
      </c>
      <c r="P191" t="inlineStr">
        <is>
          <t>2026-06-22 14:11:25</t>
        </is>
      </c>
      <c r="Y191" t="inlineStr">
        <is>
          <t>27728938072</t>
        </is>
      </c>
    </row>
    <row r="192">
      <c r="A192" t="inlineStr">
        <is>
          <t>14974570</t>
        </is>
      </c>
      <c r="B192" t="inlineStr">
        <is>
          <t>4d6c1caf-9e2c-4465-9a4e-88c78424aadd</t>
        </is>
      </c>
      <c r="D192" t="inlineStr">
        <is>
          <t>11111127</t>
        </is>
      </c>
      <c r="E192" t="inlineStr">
        <is>
          <t>Vodacom Life 20260622</t>
        </is>
      </c>
      <c r="H192" t="inlineStr">
        <is>
          <t>27663974530</t>
        </is>
      </c>
      <c r="J192" t="inlineStr">
        <is>
          <t>CU</t>
        </is>
      </c>
      <c r="K192" t="inlineStr">
        <is>
          <t>Client Hung Up</t>
        </is>
      </c>
      <c r="L192" t="n">
        <v>6</v>
      </c>
      <c r="M192" t="inlineStr">
        <is>
          <t>2026-06-29 14:30:57</t>
        </is>
      </c>
      <c r="N192" t="inlineStr">
        <is>
          <t>Maureen Ntsoko</t>
        </is>
      </c>
      <c r="O192" t="inlineStr">
        <is>
          <t>2026-06-22 14:11:25</t>
        </is>
      </c>
      <c r="P192" t="inlineStr">
        <is>
          <t>2026-06-22 14:11:25</t>
        </is>
      </c>
      <c r="Y192" t="inlineStr">
        <is>
          <t>27663974530</t>
        </is>
      </c>
    </row>
    <row r="193">
      <c r="A193" t="inlineStr">
        <is>
          <t>14974564</t>
        </is>
      </c>
      <c r="B193" t="inlineStr">
        <is>
          <t>2cc9e6da-7e39-4392-b72f-a1ebe01ba67d</t>
        </is>
      </c>
      <c r="D193" t="inlineStr">
        <is>
          <t>11111127</t>
        </is>
      </c>
      <c r="E193" t="inlineStr">
        <is>
          <t>Vodacom Life 20260622</t>
        </is>
      </c>
      <c r="J193" t="inlineStr">
        <is>
          <t>CBACK</t>
        </is>
      </c>
      <c r="K193" t="inlineStr">
        <is>
          <t>Callback</t>
        </is>
      </c>
      <c r="L193" t="n">
        <v>6</v>
      </c>
      <c r="M193" t="inlineStr">
        <is>
          <t>2026-06-29 14:30:54</t>
        </is>
      </c>
      <c r="N193" t="inlineStr">
        <is>
          <t>Vanessa Kekana</t>
        </is>
      </c>
      <c r="O193" t="inlineStr">
        <is>
          <t>2026-06-22 14:11:25</t>
        </is>
      </c>
      <c r="P193" t="inlineStr">
        <is>
          <t>2026-06-22 14:11:25</t>
        </is>
      </c>
      <c r="Y193" t="inlineStr">
        <is>
          <t>27649441478</t>
        </is>
      </c>
    </row>
    <row r="194">
      <c r="A194" t="inlineStr">
        <is>
          <t>14974565</t>
        </is>
      </c>
      <c r="B194" t="inlineStr">
        <is>
          <t>d4ce04fe-b96e-4b51-889a-b92b3b0850ff</t>
        </is>
      </c>
      <c r="D194" t="inlineStr">
        <is>
          <t>11111127</t>
        </is>
      </c>
      <c r="E194" t="inlineStr">
        <is>
          <t>Vodacom Life 20260622</t>
        </is>
      </c>
      <c r="H194" t="inlineStr">
        <is>
          <t>27649626700</t>
        </is>
      </c>
      <c r="J194" t="inlineStr">
        <is>
          <t>DROP</t>
        </is>
      </c>
      <c r="K194" t="inlineStr">
        <is>
          <t>Dropped</t>
        </is>
      </c>
      <c r="L194" t="n">
        <v>6</v>
      </c>
      <c r="M194" t="inlineStr">
        <is>
          <t>2026-06-29 14:30:54</t>
        </is>
      </c>
      <c r="N194" t="inlineStr">
        <is>
          <t>system</t>
        </is>
      </c>
      <c r="O194" t="inlineStr">
        <is>
          <t>2026-06-22 14:11:25</t>
        </is>
      </c>
      <c r="P194" t="inlineStr">
        <is>
          <t>2026-06-22 14:11:25</t>
        </is>
      </c>
      <c r="Y194" t="inlineStr">
        <is>
          <t>27649626700</t>
        </is>
      </c>
    </row>
    <row r="195">
      <c r="A195" t="inlineStr">
        <is>
          <t>14974566</t>
        </is>
      </c>
      <c r="B195" t="inlineStr">
        <is>
          <t>71e8bbb6-4060-4233-b75a-feaf62cee351</t>
        </is>
      </c>
      <c r="D195" t="inlineStr">
        <is>
          <t>11111127</t>
        </is>
      </c>
      <c r="E195" t="inlineStr">
        <is>
          <t>Vodacom Life 20260622</t>
        </is>
      </c>
      <c r="J195" t="inlineStr">
        <is>
          <t>NA</t>
        </is>
      </c>
      <c r="K195" t="inlineStr">
        <is>
          <t>No Answer Autodial</t>
        </is>
      </c>
      <c r="L195" t="n">
        <v>6</v>
      </c>
      <c r="M195" t="inlineStr">
        <is>
          <t>2026-06-29 14:30:54</t>
        </is>
      </c>
      <c r="N195" t="inlineStr">
        <is>
          <t>system</t>
        </is>
      </c>
      <c r="O195" t="inlineStr">
        <is>
          <t>2026-06-22 14:11:25</t>
        </is>
      </c>
      <c r="P195" t="inlineStr">
        <is>
          <t>2026-06-22 14:11:25</t>
        </is>
      </c>
      <c r="Y195" t="inlineStr">
        <is>
          <t>27826063316</t>
        </is>
      </c>
    </row>
    <row r="196">
      <c r="A196" t="inlineStr">
        <is>
          <t>14974567</t>
        </is>
      </c>
      <c r="B196" t="inlineStr">
        <is>
          <t>f97c1c2e-31e1-4102-b609-02550a8684d7</t>
        </is>
      </c>
      <c r="D196" t="inlineStr">
        <is>
          <t>11111127</t>
        </is>
      </c>
      <c r="E196" t="inlineStr">
        <is>
          <t>Vodacom Life 20260622</t>
        </is>
      </c>
      <c r="J196" t="inlineStr">
        <is>
          <t>DROP</t>
        </is>
      </c>
      <c r="K196" t="inlineStr">
        <is>
          <t>Dropped</t>
        </is>
      </c>
      <c r="L196" t="n">
        <v>6</v>
      </c>
      <c r="M196" t="inlineStr">
        <is>
          <t>2026-06-29 14:30:54</t>
        </is>
      </c>
      <c r="N196" t="inlineStr">
        <is>
          <t>system</t>
        </is>
      </c>
      <c r="O196" t="inlineStr">
        <is>
          <t>2026-06-22 14:11:25</t>
        </is>
      </c>
      <c r="P196" t="inlineStr">
        <is>
          <t>2026-06-22 14:11:25</t>
        </is>
      </c>
      <c r="Y196" t="inlineStr">
        <is>
          <t>27664211318</t>
        </is>
      </c>
    </row>
    <row r="197">
      <c r="A197" t="inlineStr">
        <is>
          <t>14974569</t>
        </is>
      </c>
      <c r="B197" t="inlineStr">
        <is>
          <t>06672ccb-dbc9-4411-bdf4-3fdfe9ad6d49</t>
        </is>
      </c>
      <c r="D197" t="inlineStr">
        <is>
          <t>11111127</t>
        </is>
      </c>
      <c r="E197" t="inlineStr">
        <is>
          <t>Vodacom Life 20260622</t>
        </is>
      </c>
      <c r="J197" t="inlineStr">
        <is>
          <t>AE</t>
        </is>
      </c>
      <c r="K197" t="inlineStr">
        <is>
          <t>Auto Engaged</t>
        </is>
      </c>
      <c r="L197" t="n">
        <v>6</v>
      </c>
      <c r="M197" t="inlineStr">
        <is>
          <t>2026-06-29 14:30:54</t>
        </is>
      </c>
      <c r="N197" t="inlineStr">
        <is>
          <t>system</t>
        </is>
      </c>
      <c r="O197" t="inlineStr">
        <is>
          <t>2026-06-22 14:11:25</t>
        </is>
      </c>
      <c r="P197" t="inlineStr">
        <is>
          <t>2026-06-22 14:11:25</t>
        </is>
      </c>
      <c r="Y197" t="inlineStr">
        <is>
          <t>27726687972</t>
        </is>
      </c>
    </row>
    <row r="198">
      <c r="A198" t="inlineStr">
        <is>
          <t>14974513</t>
        </is>
      </c>
      <c r="B198" t="inlineStr">
        <is>
          <t>0f72da96-fb0e-4d6d-a542-63194ff59552</t>
        </is>
      </c>
      <c r="D198" t="inlineStr">
        <is>
          <t>11111127</t>
        </is>
      </c>
      <c r="E198" t="inlineStr">
        <is>
          <t>Vodacom Life 20260622</t>
        </is>
      </c>
      <c r="H198" t="inlineStr">
        <is>
          <t>27797079378</t>
        </is>
      </c>
      <c r="J198" t="inlineStr">
        <is>
          <t>CU</t>
        </is>
      </c>
      <c r="K198" t="inlineStr">
        <is>
          <t>Client Hung Up</t>
        </is>
      </c>
      <c r="L198" t="n">
        <v>7</v>
      </c>
      <c r="M198" t="inlineStr">
        <is>
          <t>2026-06-29 14:30:26</t>
        </is>
      </c>
      <c r="N198" t="inlineStr">
        <is>
          <t>Vanessa Kekana</t>
        </is>
      </c>
      <c r="O198" t="inlineStr">
        <is>
          <t>2026-06-22 14:11:25</t>
        </is>
      </c>
      <c r="P198" t="inlineStr">
        <is>
          <t>2026-06-22 14:11:25</t>
        </is>
      </c>
      <c r="Y198" t="inlineStr">
        <is>
          <t>27797079378</t>
        </is>
      </c>
    </row>
    <row r="199">
      <c r="A199" t="inlineStr">
        <is>
          <t>14974472</t>
        </is>
      </c>
      <c r="B199" t="inlineStr">
        <is>
          <t>f1d5b608-ccb9-4333-8cc1-4de9fd0b6c2f</t>
        </is>
      </c>
      <c r="D199" t="inlineStr">
        <is>
          <t>11111127</t>
        </is>
      </c>
      <c r="E199" t="inlineStr">
        <is>
          <t>Vodacom Life 20260622</t>
        </is>
      </c>
      <c r="J199" t="inlineStr">
        <is>
          <t>AE</t>
        </is>
      </c>
      <c r="K199" t="inlineStr">
        <is>
          <t>Auto Engaged</t>
        </is>
      </c>
      <c r="L199" t="n">
        <v>6</v>
      </c>
      <c r="M199" t="inlineStr">
        <is>
          <t>2026-06-29 14:30:21</t>
        </is>
      </c>
      <c r="N199" t="inlineStr">
        <is>
          <t>system</t>
        </is>
      </c>
      <c r="O199" t="inlineStr">
        <is>
          <t>2026-06-22 14:11:25</t>
        </is>
      </c>
      <c r="P199" t="inlineStr">
        <is>
          <t>2026-06-22 14:11:25</t>
        </is>
      </c>
      <c r="Y199" t="inlineStr">
        <is>
          <t>27721061338</t>
        </is>
      </c>
    </row>
    <row r="200">
      <c r="A200" t="inlineStr">
        <is>
          <t>14974473</t>
        </is>
      </c>
      <c r="B200" t="inlineStr">
        <is>
          <t>c7cd80e3-9b3f-4dcf-8b4e-2c8363bbfbee</t>
        </is>
      </c>
      <c r="D200" t="inlineStr">
        <is>
          <t>11111127</t>
        </is>
      </c>
      <c r="E200" t="inlineStr">
        <is>
          <t>Vodacom Life 20260622</t>
        </is>
      </c>
      <c r="J200" t="inlineStr">
        <is>
          <t>ADC</t>
        </is>
      </c>
      <c r="K200" t="inlineStr">
        <is>
          <t>Auto Dial Disconnected</t>
        </is>
      </c>
      <c r="L200" t="n">
        <v>6</v>
      </c>
      <c r="M200" t="inlineStr">
        <is>
          <t>2026-06-29 14:30:14</t>
        </is>
      </c>
      <c r="N200" t="inlineStr">
        <is>
          <t>system</t>
        </is>
      </c>
      <c r="O200" t="inlineStr">
        <is>
          <t>2026-06-22 14:11:25</t>
        </is>
      </c>
      <c r="P200" t="inlineStr">
        <is>
          <t>2026-06-22 14:11:25</t>
        </is>
      </c>
      <c r="Y200" t="inlineStr">
        <is>
          <t>27663227586</t>
        </is>
      </c>
    </row>
    <row r="201">
      <c r="A201" t="inlineStr">
        <is>
          <t>14974474</t>
        </is>
      </c>
      <c r="B201" t="inlineStr">
        <is>
          <t>d8fae417-334f-4396-bae0-1a6ab6eefd8b</t>
        </is>
      </c>
      <c r="D201" t="inlineStr">
        <is>
          <t>11111127</t>
        </is>
      </c>
      <c r="E201" t="inlineStr">
        <is>
          <t>Vodacom Life 20260622</t>
        </is>
      </c>
      <c r="J201" t="inlineStr">
        <is>
          <t>DROP</t>
        </is>
      </c>
      <c r="K201" t="inlineStr">
        <is>
          <t>Dropped</t>
        </is>
      </c>
      <c r="L201" t="n">
        <v>6</v>
      </c>
      <c r="M201" t="inlineStr">
        <is>
          <t>2026-06-29 14:30:14</t>
        </is>
      </c>
      <c r="N201" t="inlineStr">
        <is>
          <t>system</t>
        </is>
      </c>
      <c r="O201" t="inlineStr">
        <is>
          <t>2026-06-22 14:11:25</t>
        </is>
      </c>
      <c r="P201" t="inlineStr">
        <is>
          <t>2026-06-22 14:11:25</t>
        </is>
      </c>
      <c r="Y201" t="inlineStr">
        <is>
          <t>27761066577</t>
        </is>
      </c>
    </row>
    <row r="202">
      <c r="A202" t="inlineStr">
        <is>
          <t>14974475</t>
        </is>
      </c>
      <c r="B202" t="inlineStr">
        <is>
          <t>448c792e-7257-4b11-b967-c10980331a56</t>
        </is>
      </c>
      <c r="D202" t="inlineStr">
        <is>
          <t>11111127</t>
        </is>
      </c>
      <c r="E202" t="inlineStr">
        <is>
          <t>Vodacom Life 20260622</t>
        </is>
      </c>
      <c r="H202" t="inlineStr">
        <is>
          <t>27661337689</t>
        </is>
      </c>
      <c r="J202" t="inlineStr">
        <is>
          <t>DROP</t>
        </is>
      </c>
      <c r="K202" t="inlineStr">
        <is>
          <t>Dropped</t>
        </is>
      </c>
      <c r="L202" t="n">
        <v>6</v>
      </c>
      <c r="M202" t="inlineStr">
        <is>
          <t>2026-06-29 14:30:13</t>
        </is>
      </c>
      <c r="N202" t="inlineStr">
        <is>
          <t>system</t>
        </is>
      </c>
      <c r="O202" t="inlineStr">
        <is>
          <t>2026-06-22 14:11:25</t>
        </is>
      </c>
      <c r="P202" t="inlineStr">
        <is>
          <t>2026-06-22 14:11:25</t>
        </is>
      </c>
      <c r="Y202" t="inlineStr">
        <is>
          <t>27661337689</t>
        </is>
      </c>
    </row>
    <row r="203">
      <c r="A203" t="inlineStr">
        <is>
          <t>14974476</t>
        </is>
      </c>
      <c r="B203" t="inlineStr">
        <is>
          <t>032df914-cbd6-45d4-8a84-371d276500b4</t>
        </is>
      </c>
      <c r="D203" t="inlineStr">
        <is>
          <t>11111127</t>
        </is>
      </c>
      <c r="E203" t="inlineStr">
        <is>
          <t>Vodacom Life 20260622</t>
        </is>
      </c>
      <c r="J203" t="inlineStr">
        <is>
          <t>AA</t>
        </is>
      </c>
      <c r="K203" t="inlineStr">
        <is>
          <t>Answering Machine Autodial</t>
        </is>
      </c>
      <c r="L203" t="n">
        <v>6</v>
      </c>
      <c r="M203" t="inlineStr">
        <is>
          <t>2026-06-29 14:30:13</t>
        </is>
      </c>
      <c r="N203" t="inlineStr">
        <is>
          <t>system</t>
        </is>
      </c>
      <c r="O203" t="inlineStr">
        <is>
          <t>2026-06-22 14:11:25</t>
        </is>
      </c>
      <c r="P203" t="inlineStr">
        <is>
          <t>2026-06-22 14:11:25</t>
        </is>
      </c>
      <c r="Y203" t="inlineStr">
        <is>
          <t>27764538765</t>
        </is>
      </c>
    </row>
    <row r="204">
      <c r="A204" t="inlineStr">
        <is>
          <t>14974477</t>
        </is>
      </c>
      <c r="B204" t="inlineStr">
        <is>
          <t>fdf823ea-30d5-4e76-adae-74820ca667d9</t>
        </is>
      </c>
      <c r="D204" t="inlineStr">
        <is>
          <t>11111127</t>
        </is>
      </c>
      <c r="E204" t="inlineStr">
        <is>
          <t>Vodacom Life 20260622</t>
        </is>
      </c>
      <c r="H204" t="inlineStr">
        <is>
          <t>27766246296</t>
        </is>
      </c>
      <c r="J204" t="inlineStr">
        <is>
          <t>DROP</t>
        </is>
      </c>
      <c r="K204" t="inlineStr">
        <is>
          <t>Dropped</t>
        </is>
      </c>
      <c r="L204" t="n">
        <v>6</v>
      </c>
      <c r="M204" t="inlineStr">
        <is>
          <t>2026-06-29 14:30:13</t>
        </is>
      </c>
      <c r="N204" t="inlineStr">
        <is>
          <t>system</t>
        </is>
      </c>
      <c r="O204" t="inlineStr">
        <is>
          <t>2026-06-22 14:11:25</t>
        </is>
      </c>
      <c r="P204" t="inlineStr">
        <is>
          <t>2026-06-22 14:11:25</t>
        </is>
      </c>
      <c r="Y204" t="inlineStr">
        <is>
          <t>27766246296</t>
        </is>
      </c>
    </row>
    <row r="205">
      <c r="A205" t="inlineStr">
        <is>
          <t>14974478</t>
        </is>
      </c>
      <c r="B205" t="inlineStr">
        <is>
          <t>a8e79252-c46c-48a3-897b-32cbfc3b12d0</t>
        </is>
      </c>
      <c r="D205" t="inlineStr">
        <is>
          <t>11111127</t>
        </is>
      </c>
      <c r="E205" t="inlineStr">
        <is>
          <t>Vodacom Life 20260622</t>
        </is>
      </c>
      <c r="H205" t="inlineStr">
        <is>
          <t>27606966686</t>
        </is>
      </c>
      <c r="J205" t="inlineStr">
        <is>
          <t>CU</t>
        </is>
      </c>
      <c r="K205" t="inlineStr">
        <is>
          <t>Client Hung Up</t>
        </is>
      </c>
      <c r="L205" t="n">
        <v>6</v>
      </c>
      <c r="M205" t="inlineStr">
        <is>
          <t>2026-06-29 14:30:06</t>
        </is>
      </c>
      <c r="N205" t="inlineStr">
        <is>
          <t>Khensane Mabasa</t>
        </is>
      </c>
      <c r="O205" t="inlineStr">
        <is>
          <t>2026-06-22 14:11:25</t>
        </is>
      </c>
      <c r="P205" t="inlineStr">
        <is>
          <t>2026-06-22 14:11:25</t>
        </is>
      </c>
      <c r="Y205" t="inlineStr">
        <is>
          <t>27606966686</t>
        </is>
      </c>
    </row>
    <row r="206">
      <c r="A206" t="inlineStr">
        <is>
          <t>14974479</t>
        </is>
      </c>
      <c r="B206" t="inlineStr">
        <is>
          <t>baed15fd-9515-4044-a67a-dde614abea73</t>
        </is>
      </c>
      <c r="D206" t="inlineStr">
        <is>
          <t>11111127</t>
        </is>
      </c>
      <c r="E206" t="inlineStr">
        <is>
          <t>Vodacom Life 20260622</t>
        </is>
      </c>
      <c r="H206" t="inlineStr">
        <is>
          <t>27728335969</t>
        </is>
      </c>
      <c r="J206" t="inlineStr">
        <is>
          <t>AE</t>
        </is>
      </c>
      <c r="K206" t="inlineStr">
        <is>
          <t>Auto Engaged</t>
        </is>
      </c>
      <c r="L206" t="n">
        <v>6</v>
      </c>
      <c r="M206" t="inlineStr">
        <is>
          <t>2026-06-29 14:30:06</t>
        </is>
      </c>
      <c r="N206" t="inlineStr">
        <is>
          <t>system</t>
        </is>
      </c>
      <c r="O206" t="inlineStr">
        <is>
          <t>2026-06-22 14:11:25</t>
        </is>
      </c>
      <c r="P206" t="inlineStr">
        <is>
          <t>2026-06-22 14:11:25</t>
        </is>
      </c>
      <c r="Y206" t="inlineStr">
        <is>
          <t>27728335969</t>
        </is>
      </c>
    </row>
    <row r="207">
      <c r="A207" t="inlineStr">
        <is>
          <t>14973894</t>
        </is>
      </c>
      <c r="B207" t="inlineStr">
        <is>
          <t>dc10e621-3796-49b5-872c-028699f25bdf</t>
        </is>
      </c>
      <c r="D207" t="inlineStr">
        <is>
          <t>11111127</t>
        </is>
      </c>
      <c r="E207" t="inlineStr">
        <is>
          <t>Vodacom Life 20260622</t>
        </is>
      </c>
      <c r="J207" t="inlineStr">
        <is>
          <t>AA</t>
        </is>
      </c>
      <c r="K207" t="inlineStr">
        <is>
          <t>Answering Machine Autodial</t>
        </is>
      </c>
      <c r="L207" t="n">
        <v>6</v>
      </c>
      <c r="M207" t="inlineStr">
        <is>
          <t>2026-06-29 14:29:37</t>
        </is>
      </c>
      <c r="N207" t="inlineStr">
        <is>
          <t>system</t>
        </is>
      </c>
      <c r="O207" t="inlineStr">
        <is>
          <t>2026-06-22 14:11:25</t>
        </is>
      </c>
      <c r="P207" t="inlineStr">
        <is>
          <t>2026-06-22 14:11:25</t>
        </is>
      </c>
      <c r="Y207" t="inlineStr">
        <is>
          <t>27661540002</t>
        </is>
      </c>
    </row>
    <row r="208">
      <c r="A208" t="inlineStr">
        <is>
          <t>15000000</t>
        </is>
      </c>
      <c r="B208" t="inlineStr">
        <is>
          <t>3e03730f-176c-4333-a9ac-541f7aa42082</t>
        </is>
      </c>
      <c r="D208" t="inlineStr">
        <is>
          <t>11111127</t>
        </is>
      </c>
      <c r="E208" t="inlineStr">
        <is>
          <t>Vodacom Life 20260622</t>
        </is>
      </c>
      <c r="J208" t="inlineStr">
        <is>
          <t>AE</t>
        </is>
      </c>
      <c r="K208" t="inlineStr">
        <is>
          <t>Auto Engaged</t>
        </is>
      </c>
      <c r="L208" t="n">
        <v>6</v>
      </c>
      <c r="M208" t="inlineStr">
        <is>
          <t>2026-06-29 14:29:35</t>
        </is>
      </c>
      <c r="N208" t="inlineStr">
        <is>
          <t>system</t>
        </is>
      </c>
      <c r="O208" t="inlineStr">
        <is>
          <t>2026-06-22 14:11:25</t>
        </is>
      </c>
      <c r="P208" t="inlineStr">
        <is>
          <t>2026-06-22 14:11:25</t>
        </is>
      </c>
      <c r="Y208" t="inlineStr">
        <is>
          <t>27761102354</t>
        </is>
      </c>
    </row>
    <row r="209">
      <c r="A209" t="inlineStr">
        <is>
          <t>14974481</t>
        </is>
      </c>
      <c r="B209" t="inlineStr">
        <is>
          <t>4fe9ed45-964f-4d13-82e1-bdd97bbc6605</t>
        </is>
      </c>
      <c r="D209" t="inlineStr">
        <is>
          <t>11111127</t>
        </is>
      </c>
      <c r="E209" t="inlineStr">
        <is>
          <t>Vodacom Life 20260622</t>
        </is>
      </c>
      <c r="J209" t="inlineStr">
        <is>
          <t>ADC</t>
        </is>
      </c>
      <c r="K209" t="inlineStr">
        <is>
          <t>Auto Dial Disconnected</t>
        </is>
      </c>
      <c r="L209" t="n">
        <v>6</v>
      </c>
      <c r="M209" t="inlineStr">
        <is>
          <t>2026-06-29 14:29:35</t>
        </is>
      </c>
      <c r="N209" t="inlineStr">
        <is>
          <t>system</t>
        </is>
      </c>
      <c r="O209" t="inlineStr">
        <is>
          <t>2026-06-22 14:11:25</t>
        </is>
      </c>
      <c r="P209" t="inlineStr">
        <is>
          <t>2026-06-22 14:11:25</t>
        </is>
      </c>
      <c r="Y209" t="inlineStr">
        <is>
          <t>27761309997</t>
        </is>
      </c>
    </row>
    <row r="210">
      <c r="A210" t="inlineStr">
        <is>
          <t>14974489</t>
        </is>
      </c>
      <c r="B210" t="inlineStr">
        <is>
          <t>64896b9e-a7ec-488a-b928-ba093fcbc888</t>
        </is>
      </c>
      <c r="D210" t="inlineStr">
        <is>
          <t>11111127</t>
        </is>
      </c>
      <c r="E210" t="inlineStr">
        <is>
          <t>Vodacom Life 20260622</t>
        </is>
      </c>
      <c r="H210" t="inlineStr">
        <is>
          <t>27828355270</t>
        </is>
      </c>
      <c r="J210" t="inlineStr">
        <is>
          <t>IABDN</t>
        </is>
      </c>
      <c r="K210" t="inlineStr">
        <is>
          <t>Inbound Abandon</t>
        </is>
      </c>
      <c r="L210" t="n">
        <v>6</v>
      </c>
      <c r="M210" t="inlineStr">
        <is>
          <t>2026-06-29 14:29:19</t>
        </is>
      </c>
      <c r="N210" t="inlineStr">
        <is>
          <t>system</t>
        </is>
      </c>
      <c r="O210" t="inlineStr">
        <is>
          <t>2026-06-22 14:11:25</t>
        </is>
      </c>
      <c r="P210" t="inlineStr">
        <is>
          <t>2026-06-22 14:11:25</t>
        </is>
      </c>
      <c r="Y210" t="inlineStr">
        <is>
          <t>27828355270</t>
        </is>
      </c>
    </row>
    <row r="211">
      <c r="A211" t="inlineStr">
        <is>
          <t>14974485</t>
        </is>
      </c>
      <c r="B211" t="inlineStr">
        <is>
          <t>d3741fc3-108f-4187-af15-8a4589021f21</t>
        </is>
      </c>
      <c r="D211" t="inlineStr">
        <is>
          <t>11111127</t>
        </is>
      </c>
      <c r="E211" t="inlineStr">
        <is>
          <t>Vodacom Life 20260622</t>
        </is>
      </c>
      <c r="J211" t="inlineStr">
        <is>
          <t>CU</t>
        </is>
      </c>
      <c r="K211" t="inlineStr">
        <is>
          <t>Client Hung Up</t>
        </is>
      </c>
      <c r="L211" t="n">
        <v>6</v>
      </c>
      <c r="M211" t="inlineStr">
        <is>
          <t>2026-06-29 14:28:53</t>
        </is>
      </c>
      <c r="N211" t="inlineStr">
        <is>
          <t>Khensane Mabasa</t>
        </is>
      </c>
      <c r="O211" t="inlineStr">
        <is>
          <t>2026-06-22 14:11:25</t>
        </is>
      </c>
      <c r="P211" t="inlineStr">
        <is>
          <t>2026-06-22 14:11:25</t>
        </is>
      </c>
      <c r="Y211" t="inlineStr">
        <is>
          <t>27795772049</t>
        </is>
      </c>
    </row>
    <row r="212">
      <c r="A212" t="inlineStr">
        <is>
          <t>15000000</t>
        </is>
      </c>
      <c r="B212" t="inlineStr">
        <is>
          <t>e48933a4-5629-4a8a-a5f2-b89fa5a0ea5d</t>
        </is>
      </c>
      <c r="D212" t="inlineStr">
        <is>
          <t>11111127</t>
        </is>
      </c>
      <c r="E212" t="inlineStr">
        <is>
          <t>Vodacom Life 20260622</t>
        </is>
      </c>
      <c r="J212" t="inlineStr">
        <is>
          <t>AE</t>
        </is>
      </c>
      <c r="K212" t="inlineStr">
        <is>
          <t>Auto Engaged</t>
        </is>
      </c>
      <c r="L212" t="n">
        <v>6</v>
      </c>
      <c r="M212" t="inlineStr">
        <is>
          <t>2026-06-29 14:28:45</t>
        </is>
      </c>
      <c r="N212" t="inlineStr">
        <is>
          <t>system</t>
        </is>
      </c>
      <c r="O212" t="inlineStr">
        <is>
          <t>2026-06-22 14:11:25</t>
        </is>
      </c>
      <c r="P212" t="inlineStr">
        <is>
          <t>2026-06-22 14:11:25</t>
        </is>
      </c>
      <c r="Y212" t="inlineStr">
        <is>
          <t>27798023898</t>
        </is>
      </c>
    </row>
    <row r="213">
      <c r="A213" t="inlineStr">
        <is>
          <t>14974487</t>
        </is>
      </c>
      <c r="B213" t="inlineStr">
        <is>
          <t>9334a5cd-ca39-4dea-b0d3-2f9b520c5cdb</t>
        </is>
      </c>
      <c r="D213" t="inlineStr">
        <is>
          <t>11111127</t>
        </is>
      </c>
      <c r="E213" t="inlineStr">
        <is>
          <t>Vodacom Life 20260622</t>
        </is>
      </c>
      <c r="J213" t="inlineStr">
        <is>
          <t>AA</t>
        </is>
      </c>
      <c r="K213" t="inlineStr">
        <is>
          <t>Answering Machine Autodial</t>
        </is>
      </c>
      <c r="L213" t="n">
        <v>6</v>
      </c>
      <c r="M213" t="inlineStr">
        <is>
          <t>2026-06-29 14:28:44</t>
        </is>
      </c>
      <c r="N213" t="inlineStr">
        <is>
          <t>system</t>
        </is>
      </c>
      <c r="O213" t="inlineStr">
        <is>
          <t>2026-06-22 14:11:25</t>
        </is>
      </c>
      <c r="P213" t="inlineStr">
        <is>
          <t>2026-06-22 14:11:25</t>
        </is>
      </c>
      <c r="Y213" t="inlineStr">
        <is>
          <t>27795597724</t>
        </is>
      </c>
    </row>
    <row r="214">
      <c r="A214" t="inlineStr">
        <is>
          <t>14974488</t>
        </is>
      </c>
      <c r="B214" t="inlineStr">
        <is>
          <t>1b8ccdb5-f90c-4106-a47a-14b48219d9cd</t>
        </is>
      </c>
      <c r="D214" t="inlineStr">
        <is>
          <t>11111127</t>
        </is>
      </c>
      <c r="E214" t="inlineStr">
        <is>
          <t>Vodacom Life 20260622</t>
        </is>
      </c>
      <c r="J214" t="inlineStr">
        <is>
          <t>NA</t>
        </is>
      </c>
      <c r="K214" t="inlineStr">
        <is>
          <t>No Answer Autodial</t>
        </is>
      </c>
      <c r="L214" t="n">
        <v>6</v>
      </c>
      <c r="M214" t="inlineStr">
        <is>
          <t>2026-06-29 14:28:44</t>
        </is>
      </c>
      <c r="N214" t="inlineStr">
        <is>
          <t>system</t>
        </is>
      </c>
      <c r="O214" t="inlineStr">
        <is>
          <t>2026-06-22 14:11:25</t>
        </is>
      </c>
      <c r="P214" t="inlineStr">
        <is>
          <t>2026-06-22 14:11:25</t>
        </is>
      </c>
      <c r="Y214" t="inlineStr">
        <is>
          <t>27827140073</t>
        </is>
      </c>
    </row>
    <row r="215">
      <c r="A215" t="inlineStr">
        <is>
          <t>14974506</t>
        </is>
      </c>
      <c r="B215" t="inlineStr">
        <is>
          <t>f587465b-943e-4f10-96a2-64c2721760a5</t>
        </is>
      </c>
      <c r="D215" t="inlineStr">
        <is>
          <t>11111127</t>
        </is>
      </c>
      <c r="E215" t="inlineStr">
        <is>
          <t>Vodacom Life 20260622</t>
        </is>
      </c>
      <c r="J215" t="inlineStr">
        <is>
          <t>NIUP</t>
        </is>
      </c>
      <c r="K215" t="inlineStr">
        <is>
          <t>Not Interested Upfront</t>
        </is>
      </c>
      <c r="L215" t="n">
        <v>6</v>
      </c>
      <c r="M215" t="inlineStr">
        <is>
          <t>2026-06-29 14:28:33</t>
        </is>
      </c>
      <c r="N215" t="inlineStr">
        <is>
          <t>Vanessa Kekana</t>
        </is>
      </c>
      <c r="O215" t="inlineStr">
        <is>
          <t>2026-06-22 14:11:25</t>
        </is>
      </c>
      <c r="P215" t="inlineStr">
        <is>
          <t>2026-06-22 14:11:25</t>
        </is>
      </c>
      <c r="Y215" t="inlineStr">
        <is>
          <t>27664513033</t>
        </is>
      </c>
    </row>
    <row r="216">
      <c r="A216" t="inlineStr">
        <is>
          <t>14974507</t>
        </is>
      </c>
      <c r="B216" t="inlineStr">
        <is>
          <t>54d129c4-96a3-4685-adaf-7af6d04e6f5f</t>
        </is>
      </c>
      <c r="D216" t="inlineStr">
        <is>
          <t>11111127</t>
        </is>
      </c>
      <c r="E216" t="inlineStr">
        <is>
          <t>Vodacom Life 20260622</t>
        </is>
      </c>
      <c r="J216" t="inlineStr">
        <is>
          <t>AA</t>
        </is>
      </c>
      <c r="K216" t="inlineStr">
        <is>
          <t>Answering Machine Autodial</t>
        </is>
      </c>
      <c r="L216" t="n">
        <v>6</v>
      </c>
      <c r="M216" t="inlineStr">
        <is>
          <t>2026-06-29 14:28:32</t>
        </is>
      </c>
      <c r="N216" t="inlineStr">
        <is>
          <t>system</t>
        </is>
      </c>
      <c r="O216" t="inlineStr">
        <is>
          <t>2026-06-22 14:11:25</t>
        </is>
      </c>
      <c r="P216" t="inlineStr">
        <is>
          <t>2026-06-22 14:11:25</t>
        </is>
      </c>
      <c r="Y216" t="inlineStr">
        <is>
          <t>27606136397</t>
        </is>
      </c>
    </row>
    <row r="217">
      <c r="A217" t="inlineStr">
        <is>
          <t>14974509</t>
        </is>
      </c>
      <c r="B217" t="inlineStr">
        <is>
          <t>0a3fdcc9-4f62-4e84-a5d2-55ee22484a46</t>
        </is>
      </c>
      <c r="D217" t="inlineStr">
        <is>
          <t>11111127</t>
        </is>
      </c>
      <c r="E217" t="inlineStr">
        <is>
          <t>Vodacom Life 20260622</t>
        </is>
      </c>
      <c r="J217" t="inlineStr">
        <is>
          <t>DROP</t>
        </is>
      </c>
      <c r="K217" t="inlineStr">
        <is>
          <t>Dropped</t>
        </is>
      </c>
      <c r="L217" t="n">
        <v>6</v>
      </c>
      <c r="M217" t="inlineStr">
        <is>
          <t>2026-06-29 14:28:32</t>
        </is>
      </c>
      <c r="N217" t="inlineStr">
        <is>
          <t>system</t>
        </is>
      </c>
      <c r="O217" t="inlineStr">
        <is>
          <t>2026-06-22 14:11:25</t>
        </is>
      </c>
      <c r="P217" t="inlineStr">
        <is>
          <t>2026-06-22 14:11:25</t>
        </is>
      </c>
      <c r="Y217" t="inlineStr">
        <is>
          <t>27774442717</t>
        </is>
      </c>
    </row>
    <row r="218">
      <c r="A218" t="inlineStr">
        <is>
          <t>14974510</t>
        </is>
      </c>
      <c r="B218" t="inlineStr">
        <is>
          <t>45b7119b-20b1-496d-b153-8617184c8332</t>
        </is>
      </c>
      <c r="D218" t="inlineStr">
        <is>
          <t>11111127</t>
        </is>
      </c>
      <c r="E218" t="inlineStr">
        <is>
          <t>Vodacom Life 20260622</t>
        </is>
      </c>
      <c r="H218" t="inlineStr">
        <is>
          <t>27791010958</t>
        </is>
      </c>
      <c r="J218" t="inlineStr">
        <is>
          <t>CU</t>
        </is>
      </c>
      <c r="K218" t="inlineStr">
        <is>
          <t>Client Hung Up</t>
        </is>
      </c>
      <c r="L218" t="n">
        <v>6</v>
      </c>
      <c r="M218" t="inlineStr">
        <is>
          <t>2026-06-29 14:28:32</t>
        </is>
      </c>
      <c r="N218" t="inlineStr">
        <is>
          <t>Khensane Mabasa</t>
        </is>
      </c>
      <c r="O218" t="inlineStr">
        <is>
          <t>2026-06-22 14:11:25</t>
        </is>
      </c>
      <c r="P218" t="inlineStr">
        <is>
          <t>2026-06-22 14:11:25</t>
        </is>
      </c>
      <c r="Y218" t="inlineStr">
        <is>
          <t>27791010958</t>
        </is>
      </c>
    </row>
    <row r="219">
      <c r="A219" t="inlineStr">
        <is>
          <t>14973890</t>
        </is>
      </c>
      <c r="B219" t="inlineStr">
        <is>
          <t>8c820018-1461-4431-be4c-f8ae5f2823eb</t>
        </is>
      </c>
      <c r="D219" t="inlineStr">
        <is>
          <t>11111127</t>
        </is>
      </c>
      <c r="E219" t="inlineStr">
        <is>
          <t>Vodacom Life 20260622</t>
        </is>
      </c>
      <c r="J219" t="inlineStr">
        <is>
          <t>AA</t>
        </is>
      </c>
      <c r="K219" t="inlineStr">
        <is>
          <t>Answering Machine Autodial</t>
        </is>
      </c>
      <c r="L219" t="n">
        <v>6</v>
      </c>
      <c r="M219" t="inlineStr">
        <is>
          <t>2026-06-29 14:27:55</t>
        </is>
      </c>
      <c r="N219" t="inlineStr">
        <is>
          <t>system</t>
        </is>
      </c>
      <c r="O219" t="inlineStr">
        <is>
          <t>2026-06-22 14:11:25</t>
        </is>
      </c>
      <c r="P219" t="inlineStr">
        <is>
          <t>2026-06-22 14:11:25</t>
        </is>
      </c>
      <c r="Y219" t="inlineStr">
        <is>
          <t>27799512262</t>
        </is>
      </c>
    </row>
    <row r="220">
      <c r="A220" t="inlineStr">
        <is>
          <t>14974512</t>
        </is>
      </c>
      <c r="B220" t="inlineStr">
        <is>
          <t>de780547-53b0-426e-aad3-f7f62c63adda</t>
        </is>
      </c>
      <c r="D220" t="inlineStr">
        <is>
          <t>11111127</t>
        </is>
      </c>
      <c r="E220" t="inlineStr">
        <is>
          <t>Vodacom Life 20260622</t>
        </is>
      </c>
      <c r="J220" t="inlineStr">
        <is>
          <t>AA</t>
        </is>
      </c>
      <c r="K220" t="inlineStr">
        <is>
          <t>Answering Machine Autodial</t>
        </is>
      </c>
      <c r="L220" t="n">
        <v>6</v>
      </c>
      <c r="M220" t="inlineStr">
        <is>
          <t>2026-06-29 14:27:55</t>
        </is>
      </c>
      <c r="N220" t="inlineStr">
        <is>
          <t>system</t>
        </is>
      </c>
      <c r="O220" t="inlineStr">
        <is>
          <t>2026-06-22 14:11:25</t>
        </is>
      </c>
      <c r="P220" t="inlineStr">
        <is>
          <t>2026-06-22 14:11:25</t>
        </is>
      </c>
      <c r="Y220" t="inlineStr">
        <is>
          <t>27794400997</t>
        </is>
      </c>
    </row>
    <row r="221">
      <c r="A221" t="inlineStr">
        <is>
          <t>15000000</t>
        </is>
      </c>
      <c r="B221" t="inlineStr">
        <is>
          <t>724e7248-350b-45bb-8269-75fd93586b38</t>
        </is>
      </c>
      <c r="D221" t="inlineStr">
        <is>
          <t>11111127</t>
        </is>
      </c>
      <c r="E221" t="inlineStr">
        <is>
          <t>Vodacom Life 20260622</t>
        </is>
      </c>
      <c r="J221" t="inlineStr">
        <is>
          <t>AA</t>
        </is>
      </c>
      <c r="K221" t="inlineStr">
        <is>
          <t>Answering Machine Autodial</t>
        </is>
      </c>
      <c r="L221" t="n">
        <v>6</v>
      </c>
      <c r="M221" t="inlineStr">
        <is>
          <t>2026-06-29 14:27:55</t>
        </is>
      </c>
      <c r="N221" t="inlineStr">
        <is>
          <t>system</t>
        </is>
      </c>
      <c r="O221" t="inlineStr">
        <is>
          <t>2026-06-22 14:11:25</t>
        </is>
      </c>
      <c r="P221" t="inlineStr">
        <is>
          <t>2026-06-22 14:11:25</t>
        </is>
      </c>
      <c r="Y221" t="inlineStr">
        <is>
          <t>27766887159</t>
        </is>
      </c>
    </row>
    <row r="222">
      <c r="A222" t="inlineStr">
        <is>
          <t>14974515</t>
        </is>
      </c>
      <c r="B222" t="inlineStr">
        <is>
          <t>1b54380c-f930-42e1-bd50-49e77eafb5ec</t>
        </is>
      </c>
      <c r="D222" t="inlineStr">
        <is>
          <t>11111127</t>
        </is>
      </c>
      <c r="E222" t="inlineStr">
        <is>
          <t>Vodacom Life 20260622</t>
        </is>
      </c>
      <c r="J222" t="inlineStr">
        <is>
          <t>AA</t>
        </is>
      </c>
      <c r="K222" t="inlineStr">
        <is>
          <t>Answering Machine Autodial</t>
        </is>
      </c>
      <c r="L222" t="n">
        <v>6</v>
      </c>
      <c r="M222" t="inlineStr">
        <is>
          <t>2026-06-29 14:27:55</t>
        </is>
      </c>
      <c r="N222" t="inlineStr">
        <is>
          <t>system</t>
        </is>
      </c>
      <c r="O222" t="inlineStr">
        <is>
          <t>2026-06-22 14:11:25</t>
        </is>
      </c>
      <c r="P222" t="inlineStr">
        <is>
          <t>2026-06-22 14:11:25</t>
        </is>
      </c>
      <c r="Y222" t="inlineStr">
        <is>
          <t>27823967147</t>
        </is>
      </c>
    </row>
    <row r="223">
      <c r="A223" t="inlineStr">
        <is>
          <t>14974516</t>
        </is>
      </c>
      <c r="B223" t="inlineStr">
        <is>
          <t>119239c7-9f07-499a-903b-2264300b6621</t>
        </is>
      </c>
      <c r="D223" t="inlineStr">
        <is>
          <t>11111127</t>
        </is>
      </c>
      <c r="E223" t="inlineStr">
        <is>
          <t>Vodacom Life 20260622</t>
        </is>
      </c>
      <c r="J223" t="inlineStr">
        <is>
          <t>AA</t>
        </is>
      </c>
      <c r="K223" t="inlineStr">
        <is>
          <t>Answering Machine Autodial</t>
        </is>
      </c>
      <c r="L223" t="n">
        <v>6</v>
      </c>
      <c r="M223" t="inlineStr">
        <is>
          <t>2026-06-29 14:27:54</t>
        </is>
      </c>
      <c r="N223" t="inlineStr">
        <is>
          <t>system</t>
        </is>
      </c>
      <c r="O223" t="inlineStr">
        <is>
          <t>2026-06-22 14:11:25</t>
        </is>
      </c>
      <c r="P223" t="inlineStr">
        <is>
          <t>2026-06-22 14:11:25</t>
        </is>
      </c>
      <c r="Y223" t="inlineStr">
        <is>
          <t>27763645851</t>
        </is>
      </c>
    </row>
    <row r="224">
      <c r="A224" t="inlineStr">
        <is>
          <t>14973887</t>
        </is>
      </c>
      <c r="B224" t="inlineStr">
        <is>
          <t>3e5c18ff-0496-4956-bc11-fcd3668ea924</t>
        </is>
      </c>
      <c r="D224" t="inlineStr">
        <is>
          <t>11111127</t>
        </is>
      </c>
      <c r="E224" t="inlineStr">
        <is>
          <t>Vodacom Life 20260622</t>
        </is>
      </c>
      <c r="J224" t="inlineStr">
        <is>
          <t>ADC</t>
        </is>
      </c>
      <c r="K224" t="inlineStr">
        <is>
          <t>Auto Dial Disconnected</t>
        </is>
      </c>
      <c r="L224" t="n">
        <v>6</v>
      </c>
      <c r="M224" t="inlineStr">
        <is>
          <t>2026-06-29 14:27:52</t>
        </is>
      </c>
      <c r="N224" t="inlineStr">
        <is>
          <t>system</t>
        </is>
      </c>
      <c r="O224" t="inlineStr">
        <is>
          <t>2026-06-22 14:11:25</t>
        </is>
      </c>
      <c r="P224" t="inlineStr">
        <is>
          <t>2026-06-22 14:11:25</t>
        </is>
      </c>
      <c r="Y224" t="inlineStr">
        <is>
          <t>27818268100</t>
        </is>
      </c>
    </row>
    <row r="225">
      <c r="A225" t="inlineStr">
        <is>
          <t>14973886</t>
        </is>
      </c>
      <c r="B225" t="inlineStr">
        <is>
          <t>69437f85-890e-45b2-b89d-cbc1c088cfa2</t>
        </is>
      </c>
      <c r="D225" t="inlineStr">
        <is>
          <t>11111127</t>
        </is>
      </c>
      <c r="E225" t="inlineStr">
        <is>
          <t>Vodacom Life 20260622</t>
        </is>
      </c>
      <c r="J225" t="inlineStr">
        <is>
          <t>AE</t>
        </is>
      </c>
      <c r="K225" t="inlineStr">
        <is>
          <t>Auto Engaged</t>
        </is>
      </c>
      <c r="L225" t="n">
        <v>6</v>
      </c>
      <c r="M225" t="inlineStr">
        <is>
          <t>2026-06-29 14:27:51</t>
        </is>
      </c>
      <c r="N225" t="inlineStr">
        <is>
          <t>system</t>
        </is>
      </c>
      <c r="O225" t="inlineStr">
        <is>
          <t>2026-06-22 14:11:25</t>
        </is>
      </c>
      <c r="P225" t="inlineStr">
        <is>
          <t>2026-06-22 14:11:25</t>
        </is>
      </c>
      <c r="Y225" t="inlineStr">
        <is>
          <t>27820439754</t>
        </is>
      </c>
    </row>
    <row r="226">
      <c r="A226" t="inlineStr">
        <is>
          <t>14974517</t>
        </is>
      </c>
      <c r="B226" t="inlineStr">
        <is>
          <t>92bd9573-5b7e-45b5-9b1f-e462a2bd939b</t>
        </is>
      </c>
      <c r="D226" t="inlineStr">
        <is>
          <t>11111127</t>
        </is>
      </c>
      <c r="E226" t="inlineStr">
        <is>
          <t>Vodacom Life 20260622</t>
        </is>
      </c>
      <c r="J226" t="inlineStr">
        <is>
          <t>NIUP</t>
        </is>
      </c>
      <c r="K226" t="inlineStr">
        <is>
          <t>Not Interested Upfront</t>
        </is>
      </c>
      <c r="L226" t="n">
        <v>6</v>
      </c>
      <c r="M226" t="inlineStr">
        <is>
          <t>2026-06-29 14:27:51</t>
        </is>
      </c>
      <c r="N226" t="inlineStr">
        <is>
          <t>Vanessa Kekana</t>
        </is>
      </c>
      <c r="O226" t="inlineStr">
        <is>
          <t>2026-06-22 14:11:25</t>
        </is>
      </c>
      <c r="P226" t="inlineStr">
        <is>
          <t>2026-06-22 14:11:25</t>
        </is>
      </c>
      <c r="Y226" t="inlineStr">
        <is>
          <t>27763871379</t>
        </is>
      </c>
    </row>
    <row r="227">
      <c r="A227" t="inlineStr">
        <is>
          <t>14974518</t>
        </is>
      </c>
      <c r="B227" t="inlineStr">
        <is>
          <t>f14609b2-4839-4e0d-b2e2-13dde27362d6</t>
        </is>
      </c>
      <c r="D227" t="inlineStr">
        <is>
          <t>11111127</t>
        </is>
      </c>
      <c r="E227" t="inlineStr">
        <is>
          <t>Vodacom Life 20260622</t>
        </is>
      </c>
      <c r="H227" t="inlineStr">
        <is>
          <t>27649732244</t>
        </is>
      </c>
      <c r="J227" t="inlineStr">
        <is>
          <t>AC</t>
        </is>
      </c>
      <c r="K227" t="inlineStr">
        <is>
          <t>Already Contacted</t>
        </is>
      </c>
      <c r="L227" t="n">
        <v>6</v>
      </c>
      <c r="M227" t="inlineStr">
        <is>
          <t>2026-06-29 14:27:51</t>
        </is>
      </c>
      <c r="N227" t="inlineStr">
        <is>
          <t>Maureen Ntsoko</t>
        </is>
      </c>
      <c r="O227" t="inlineStr">
        <is>
          <t>2026-06-22 14:11:25</t>
        </is>
      </c>
      <c r="P227" t="inlineStr">
        <is>
          <t>2026-06-22 14:11:25</t>
        </is>
      </c>
      <c r="Y227" t="inlineStr">
        <is>
          <t>27649732244</t>
        </is>
      </c>
    </row>
    <row r="228">
      <c r="A228" t="inlineStr">
        <is>
          <t>14974519</t>
        </is>
      </c>
      <c r="B228" t="inlineStr">
        <is>
          <t>356cb93f-ade1-492f-9381-90654c0a0e8b</t>
        </is>
      </c>
      <c r="D228" t="inlineStr">
        <is>
          <t>11111127</t>
        </is>
      </c>
      <c r="E228" t="inlineStr">
        <is>
          <t>Vodacom Life 20260622</t>
        </is>
      </c>
      <c r="H228" t="inlineStr">
        <is>
          <t>27724379293</t>
        </is>
      </c>
      <c r="J228" t="inlineStr">
        <is>
          <t>DROP</t>
        </is>
      </c>
      <c r="K228" t="inlineStr">
        <is>
          <t>Dropped</t>
        </is>
      </c>
      <c r="L228" t="n">
        <v>6</v>
      </c>
      <c r="M228" t="inlineStr">
        <is>
          <t>2026-06-29 14:27:37</t>
        </is>
      </c>
      <c r="N228" t="inlineStr">
        <is>
          <t>system</t>
        </is>
      </c>
      <c r="O228" t="inlineStr">
        <is>
          <t>2026-06-22 14:11:25</t>
        </is>
      </c>
      <c r="P228" t="inlineStr">
        <is>
          <t>2026-06-22 14:11:25</t>
        </is>
      </c>
      <c r="Y228" t="inlineStr">
        <is>
          <t>27724379293</t>
        </is>
      </c>
    </row>
    <row r="229">
      <c r="A229" t="inlineStr">
        <is>
          <t>15000000</t>
        </is>
      </c>
      <c r="B229" t="inlineStr">
        <is>
          <t>7e02135b-822e-4636-a4be-4be48f93fb8c</t>
        </is>
      </c>
      <c r="D229" t="inlineStr">
        <is>
          <t>11111127</t>
        </is>
      </c>
      <c r="E229" t="inlineStr">
        <is>
          <t>Vodacom Life 20260622</t>
        </is>
      </c>
      <c r="J229" t="inlineStr">
        <is>
          <t>DROP</t>
        </is>
      </c>
      <c r="K229" t="inlineStr">
        <is>
          <t>Dropped</t>
        </is>
      </c>
      <c r="L229" t="n">
        <v>6</v>
      </c>
      <c r="M229" t="inlineStr">
        <is>
          <t>2026-06-29 14:27:37</t>
        </is>
      </c>
      <c r="N229" t="inlineStr">
        <is>
          <t>system</t>
        </is>
      </c>
      <c r="O229" t="inlineStr">
        <is>
          <t>2026-06-22 14:11:25</t>
        </is>
      </c>
      <c r="P229" t="inlineStr">
        <is>
          <t>2026-06-22 14:11:25</t>
        </is>
      </c>
      <c r="Y229" t="inlineStr">
        <is>
          <t>27727217654</t>
        </is>
      </c>
    </row>
    <row r="230">
      <c r="A230" t="inlineStr">
        <is>
          <t>14974521</t>
        </is>
      </c>
      <c r="B230" t="inlineStr">
        <is>
          <t>8aa0f815-3af1-41ed-b484-b6bc48cd1755</t>
        </is>
      </c>
      <c r="D230" t="inlineStr">
        <is>
          <t>11111127</t>
        </is>
      </c>
      <c r="E230" t="inlineStr">
        <is>
          <t>Vodacom Life 20260622</t>
        </is>
      </c>
      <c r="H230" t="inlineStr">
        <is>
          <t>27826811665</t>
        </is>
      </c>
      <c r="J230" t="inlineStr">
        <is>
          <t>AA</t>
        </is>
      </c>
      <c r="K230" t="inlineStr">
        <is>
          <t>Answering Machine Autodial</t>
        </is>
      </c>
      <c r="L230" t="n">
        <v>6</v>
      </c>
      <c r="M230" t="inlineStr">
        <is>
          <t>2026-06-29 14:27:37</t>
        </is>
      </c>
      <c r="N230" t="inlineStr">
        <is>
          <t>system</t>
        </is>
      </c>
      <c r="O230" t="inlineStr">
        <is>
          <t>2026-06-22 14:11:25</t>
        </is>
      </c>
      <c r="P230" t="inlineStr">
        <is>
          <t>2026-06-22 14:11:25</t>
        </is>
      </c>
      <c r="Y230" t="inlineStr">
        <is>
          <t>27826811665</t>
        </is>
      </c>
    </row>
    <row r="231">
      <c r="A231" t="inlineStr">
        <is>
          <t>14974522</t>
        </is>
      </c>
      <c r="B231" t="inlineStr">
        <is>
          <t>613500d7-06e9-4e36-80e0-8582fa68b8f1</t>
        </is>
      </c>
      <c r="D231" t="inlineStr">
        <is>
          <t>11111127</t>
        </is>
      </c>
      <c r="E231" t="inlineStr">
        <is>
          <t>Vodacom Life 20260622</t>
        </is>
      </c>
      <c r="J231" t="inlineStr">
        <is>
          <t>AE</t>
        </is>
      </c>
      <c r="K231" t="inlineStr">
        <is>
          <t>Auto Engaged</t>
        </is>
      </c>
      <c r="L231" t="n">
        <v>6</v>
      </c>
      <c r="M231" t="inlineStr">
        <is>
          <t>2026-06-29 14:27:36</t>
        </is>
      </c>
      <c r="N231" t="inlineStr">
        <is>
          <t>system</t>
        </is>
      </c>
      <c r="O231" t="inlineStr">
        <is>
          <t>2026-06-22 14:11:25</t>
        </is>
      </c>
      <c r="P231" t="inlineStr">
        <is>
          <t>2026-06-22 14:11:25</t>
        </is>
      </c>
      <c r="Y231" t="inlineStr">
        <is>
          <t>27847273177</t>
        </is>
      </c>
    </row>
    <row r="232">
      <c r="A232" t="inlineStr">
        <is>
          <t>14974523</t>
        </is>
      </c>
      <c r="B232" t="inlineStr">
        <is>
          <t>18758077-f1e1-42c7-ab72-56e8af22cb81</t>
        </is>
      </c>
      <c r="D232" t="inlineStr">
        <is>
          <t>11111127</t>
        </is>
      </c>
      <c r="E232" t="inlineStr">
        <is>
          <t>Vodacom Life 20260622</t>
        </is>
      </c>
      <c r="J232" t="inlineStr">
        <is>
          <t>AE</t>
        </is>
      </c>
      <c r="K232" t="inlineStr">
        <is>
          <t>Auto Engaged</t>
        </is>
      </c>
      <c r="L232" t="n">
        <v>6</v>
      </c>
      <c r="M232" t="inlineStr">
        <is>
          <t>2026-06-29 14:27:08</t>
        </is>
      </c>
      <c r="N232" t="inlineStr">
        <is>
          <t>system</t>
        </is>
      </c>
      <c r="O232" t="inlineStr">
        <is>
          <t>2026-06-22 14:11:25</t>
        </is>
      </c>
      <c r="P232" t="inlineStr">
        <is>
          <t>2026-06-22 14:11:25</t>
        </is>
      </c>
      <c r="Y232" t="inlineStr">
        <is>
          <t>27649435618</t>
        </is>
      </c>
    </row>
    <row r="233">
      <c r="A233" t="inlineStr">
        <is>
          <t>14974524</t>
        </is>
      </c>
      <c r="B233" t="inlineStr">
        <is>
          <t>73ac53e3-e564-484b-8a5e-2adbb6ad6fb6</t>
        </is>
      </c>
      <c r="D233" t="inlineStr">
        <is>
          <t>11111127</t>
        </is>
      </c>
      <c r="E233" t="inlineStr">
        <is>
          <t>Vodacom Life 20260622</t>
        </is>
      </c>
      <c r="J233" t="inlineStr">
        <is>
          <t>A</t>
        </is>
      </c>
      <c r="K233" t="inlineStr">
        <is>
          <t>Answering Machine</t>
        </is>
      </c>
      <c r="L233" t="n">
        <v>6</v>
      </c>
      <c r="M233" t="inlineStr">
        <is>
          <t>2026-06-29 14:27:08</t>
        </is>
      </c>
      <c r="N233" t="inlineStr">
        <is>
          <t>Vanessa Kekana</t>
        </is>
      </c>
      <c r="O233" t="inlineStr">
        <is>
          <t>2026-06-22 14:11:25</t>
        </is>
      </c>
      <c r="P233" t="inlineStr">
        <is>
          <t>2026-06-22 14:11:25</t>
        </is>
      </c>
      <c r="Y233" t="inlineStr">
        <is>
          <t>27646761312</t>
        </is>
      </c>
    </row>
    <row r="234">
      <c r="A234" t="inlineStr">
        <is>
          <t>14974525</t>
        </is>
      </c>
      <c r="B234" t="inlineStr">
        <is>
          <t>7b2fbcd5-34fc-4510-8f5a-30e4cfe098a1</t>
        </is>
      </c>
      <c r="D234" t="inlineStr">
        <is>
          <t>11111127</t>
        </is>
      </c>
      <c r="E234" t="inlineStr">
        <is>
          <t>Vodacom Life 20260622</t>
        </is>
      </c>
      <c r="J234" t="inlineStr">
        <is>
          <t>AA</t>
        </is>
      </c>
      <c r="K234" t="inlineStr">
        <is>
          <t>Answering Machine Autodial</t>
        </is>
      </c>
      <c r="L234" t="n">
        <v>6</v>
      </c>
      <c r="M234" t="inlineStr">
        <is>
          <t>2026-06-29 14:27:08</t>
        </is>
      </c>
      <c r="N234" t="inlineStr">
        <is>
          <t>system</t>
        </is>
      </c>
      <c r="O234" t="inlineStr">
        <is>
          <t>2026-06-22 14:11:25</t>
        </is>
      </c>
      <c r="P234" t="inlineStr">
        <is>
          <t>2026-06-22 14:11:25</t>
        </is>
      </c>
      <c r="Y234" t="inlineStr">
        <is>
          <t>27649768275</t>
        </is>
      </c>
    </row>
    <row r="235">
      <c r="A235" t="inlineStr">
        <is>
          <t>14974526</t>
        </is>
      </c>
      <c r="B235" t="inlineStr">
        <is>
          <t>118ec6d2-4197-4440-8c2e-eae364a0d6a0</t>
        </is>
      </c>
      <c r="D235" t="inlineStr">
        <is>
          <t>11111127</t>
        </is>
      </c>
      <c r="E235" t="inlineStr">
        <is>
          <t>Vodacom Life 20260622</t>
        </is>
      </c>
      <c r="J235" t="inlineStr">
        <is>
          <t>AE</t>
        </is>
      </c>
      <c r="K235" t="inlineStr">
        <is>
          <t>Auto Engaged</t>
        </is>
      </c>
      <c r="L235" t="n">
        <v>6</v>
      </c>
      <c r="M235" t="inlineStr">
        <is>
          <t>2026-06-29 14:27:07</t>
        </is>
      </c>
      <c r="N235" t="inlineStr">
        <is>
          <t>system</t>
        </is>
      </c>
      <c r="O235" t="inlineStr">
        <is>
          <t>2026-06-22 14:11:25</t>
        </is>
      </c>
      <c r="P235" t="inlineStr">
        <is>
          <t>2026-06-22 14:11:25</t>
        </is>
      </c>
      <c r="Y235" t="inlineStr">
        <is>
          <t>27674661498</t>
        </is>
      </c>
    </row>
    <row r="236">
      <c r="A236" t="inlineStr">
        <is>
          <t>14974528</t>
        </is>
      </c>
      <c r="B236" t="inlineStr">
        <is>
          <t>a24db5e6-8ca6-48fa-b9c2-58dbcddce221</t>
        </is>
      </c>
      <c r="D236" t="inlineStr">
        <is>
          <t>11111127</t>
        </is>
      </c>
      <c r="E236" t="inlineStr">
        <is>
          <t>Vodacom Life 20260622</t>
        </is>
      </c>
      <c r="J236" t="inlineStr">
        <is>
          <t>AE</t>
        </is>
      </c>
      <c r="K236" t="inlineStr">
        <is>
          <t>Auto Engaged</t>
        </is>
      </c>
      <c r="L236" t="n">
        <v>6</v>
      </c>
      <c r="M236" t="inlineStr">
        <is>
          <t>2026-06-29 14:27:07</t>
        </is>
      </c>
      <c r="N236" t="inlineStr">
        <is>
          <t>system</t>
        </is>
      </c>
      <c r="O236" t="inlineStr">
        <is>
          <t>2026-06-22 14:11:25</t>
        </is>
      </c>
      <c r="P236" t="inlineStr">
        <is>
          <t>2026-06-22 14:11:25</t>
        </is>
      </c>
      <c r="Y236" t="inlineStr">
        <is>
          <t>27712468984</t>
        </is>
      </c>
    </row>
    <row r="237">
      <c r="A237" t="inlineStr">
        <is>
          <t>14974531</t>
        </is>
      </c>
      <c r="B237" t="inlineStr">
        <is>
          <t>7d9a78b1-ea9b-4c15-84d6-b47c0ef243a1</t>
        </is>
      </c>
      <c r="D237" t="inlineStr">
        <is>
          <t>11111127</t>
        </is>
      </c>
      <c r="E237" t="inlineStr">
        <is>
          <t>Vodacom Life 20260622</t>
        </is>
      </c>
      <c r="J237" t="inlineStr">
        <is>
          <t>DROP</t>
        </is>
      </c>
      <c r="K237" t="inlineStr">
        <is>
          <t>Dropped</t>
        </is>
      </c>
      <c r="L237" t="n">
        <v>6</v>
      </c>
      <c r="M237" t="inlineStr">
        <is>
          <t>2026-06-29 14:26:38</t>
        </is>
      </c>
      <c r="N237" t="inlineStr">
        <is>
          <t>system</t>
        </is>
      </c>
      <c r="O237" t="inlineStr">
        <is>
          <t>2026-06-22 14:11:25</t>
        </is>
      </c>
      <c r="P237" t="inlineStr">
        <is>
          <t>2026-06-22 14:11:25</t>
        </is>
      </c>
      <c r="Y237" t="inlineStr">
        <is>
          <t>27646348456</t>
        </is>
      </c>
    </row>
    <row r="238">
      <c r="A238" t="inlineStr">
        <is>
          <t>14973913</t>
        </is>
      </c>
      <c r="B238" t="inlineStr">
        <is>
          <t>14895c5a-ad32-4af9-bae2-c3a55b56c462</t>
        </is>
      </c>
      <c r="D238" t="inlineStr">
        <is>
          <t>11111127</t>
        </is>
      </c>
      <c r="E238" t="inlineStr">
        <is>
          <t>Vodacom Life 20260622</t>
        </is>
      </c>
      <c r="J238" t="inlineStr">
        <is>
          <t>AE</t>
        </is>
      </c>
      <c r="K238" t="inlineStr">
        <is>
          <t>Auto Engaged</t>
        </is>
      </c>
      <c r="L238" t="n">
        <v>6</v>
      </c>
      <c r="M238" t="inlineStr">
        <is>
          <t>2026-06-29 14:26:35</t>
        </is>
      </c>
      <c r="N238" t="inlineStr">
        <is>
          <t>system</t>
        </is>
      </c>
      <c r="O238" t="inlineStr">
        <is>
          <t>2026-06-22 14:11:25</t>
        </is>
      </c>
      <c r="P238" t="inlineStr">
        <is>
          <t>2026-06-22 14:11:25</t>
        </is>
      </c>
      <c r="Y238" t="inlineStr">
        <is>
          <t>27607111848</t>
        </is>
      </c>
    </row>
    <row r="239">
      <c r="A239" t="inlineStr">
        <is>
          <t>14974430</t>
        </is>
      </c>
      <c r="B239" t="inlineStr">
        <is>
          <t>aa0e0707-1e88-47cf-83ae-bc029a83bf28</t>
        </is>
      </c>
      <c r="D239" t="inlineStr">
        <is>
          <t>11111127</t>
        </is>
      </c>
      <c r="E239" t="inlineStr">
        <is>
          <t>Vodacom Life 20260622</t>
        </is>
      </c>
      <c r="J239" t="inlineStr">
        <is>
          <t>CU</t>
        </is>
      </c>
      <c r="K239" t="inlineStr">
        <is>
          <t>Client Hung Up</t>
        </is>
      </c>
      <c r="L239" t="n">
        <v>6</v>
      </c>
      <c r="M239" t="inlineStr">
        <is>
          <t>2026-06-29 14:26:17</t>
        </is>
      </c>
      <c r="N239" t="inlineStr">
        <is>
          <t>Maureen Ntsoko</t>
        </is>
      </c>
      <c r="O239" t="inlineStr">
        <is>
          <t>2026-06-22 14:11:25</t>
        </is>
      </c>
      <c r="P239" t="inlineStr">
        <is>
          <t>2026-06-22 14:11:25</t>
        </is>
      </c>
      <c r="Y239" t="inlineStr">
        <is>
          <t>27766364204</t>
        </is>
      </c>
    </row>
    <row r="240">
      <c r="A240" t="inlineStr">
        <is>
          <t>14974431</t>
        </is>
      </c>
      <c r="B240" t="inlineStr">
        <is>
          <t>60d6ba68-737f-4f76-bc8f-c275ae0794d5</t>
        </is>
      </c>
      <c r="D240" t="inlineStr">
        <is>
          <t>11111127</t>
        </is>
      </c>
      <c r="E240" t="inlineStr">
        <is>
          <t>Vodacom Life 20260622</t>
        </is>
      </c>
      <c r="J240" t="inlineStr">
        <is>
          <t>AE</t>
        </is>
      </c>
      <c r="K240" t="inlineStr">
        <is>
          <t>Auto Engaged</t>
        </is>
      </c>
      <c r="L240" t="n">
        <v>6</v>
      </c>
      <c r="M240" t="inlineStr">
        <is>
          <t>2026-06-29 14:26:17</t>
        </is>
      </c>
      <c r="N240" t="inlineStr">
        <is>
          <t>system</t>
        </is>
      </c>
      <c r="O240" t="inlineStr">
        <is>
          <t>2026-06-22 14:11:25</t>
        </is>
      </c>
      <c r="P240" t="inlineStr">
        <is>
          <t>2026-06-22 14:11:25</t>
        </is>
      </c>
      <c r="Y240" t="inlineStr">
        <is>
          <t>27732576491</t>
        </is>
      </c>
    </row>
    <row r="241">
      <c r="A241" t="inlineStr">
        <is>
          <t>14974433</t>
        </is>
      </c>
      <c r="B241" t="inlineStr">
        <is>
          <t>5954fb1b-754f-4e52-8d64-44a04e8a93d8</t>
        </is>
      </c>
      <c r="D241" t="inlineStr">
        <is>
          <t>11111127</t>
        </is>
      </c>
      <c r="E241" t="inlineStr">
        <is>
          <t>Vodacom Life 20260622</t>
        </is>
      </c>
      <c r="J241" t="inlineStr">
        <is>
          <t>DROP</t>
        </is>
      </c>
      <c r="K241" t="inlineStr">
        <is>
          <t>Dropped</t>
        </is>
      </c>
      <c r="L241" t="n">
        <v>6</v>
      </c>
      <c r="M241" t="inlineStr">
        <is>
          <t>2026-06-29 14:25:44</t>
        </is>
      </c>
      <c r="N241" t="inlineStr">
        <is>
          <t>system</t>
        </is>
      </c>
      <c r="O241" t="inlineStr">
        <is>
          <t>2026-06-22 14:11:25</t>
        </is>
      </c>
      <c r="P241" t="inlineStr">
        <is>
          <t>2026-06-22 14:11:25</t>
        </is>
      </c>
      <c r="Y241" t="inlineStr">
        <is>
          <t>27607167430</t>
        </is>
      </c>
    </row>
    <row r="242">
      <c r="A242" t="inlineStr">
        <is>
          <t>14974435</t>
        </is>
      </c>
      <c r="B242" t="inlineStr">
        <is>
          <t>9ab8a274-586d-44fb-a190-318482212541</t>
        </is>
      </c>
      <c r="D242" t="inlineStr">
        <is>
          <t>11111127</t>
        </is>
      </c>
      <c r="E242" t="inlineStr">
        <is>
          <t>Vodacom Life 20260622</t>
        </is>
      </c>
      <c r="J242" t="inlineStr">
        <is>
          <t>AE</t>
        </is>
      </c>
      <c r="K242" t="inlineStr">
        <is>
          <t>Auto Engaged</t>
        </is>
      </c>
      <c r="L242" t="n">
        <v>6</v>
      </c>
      <c r="M242" t="inlineStr">
        <is>
          <t>2026-06-29 14:25:43</t>
        </is>
      </c>
      <c r="N242" t="inlineStr">
        <is>
          <t>system</t>
        </is>
      </c>
      <c r="O242" t="inlineStr">
        <is>
          <t>2026-06-22 14:11:25</t>
        </is>
      </c>
      <c r="P242" t="inlineStr">
        <is>
          <t>2026-06-22 14:11:25</t>
        </is>
      </c>
      <c r="Y242" t="inlineStr">
        <is>
          <t>27661832932</t>
        </is>
      </c>
    </row>
    <row r="243">
      <c r="A243" t="inlineStr">
        <is>
          <t>14974436</t>
        </is>
      </c>
      <c r="B243" t="inlineStr">
        <is>
          <t>b3039602-3b37-4d97-937c-622d3c6626de</t>
        </is>
      </c>
      <c r="D243" t="inlineStr">
        <is>
          <t>11111127</t>
        </is>
      </c>
      <c r="E243" t="inlineStr">
        <is>
          <t>Vodacom Life 20260622</t>
        </is>
      </c>
      <c r="J243" t="inlineStr">
        <is>
          <t>AA</t>
        </is>
      </c>
      <c r="K243" t="inlineStr">
        <is>
          <t>Answering Machine Autodial</t>
        </is>
      </c>
      <c r="L243" t="n">
        <v>6</v>
      </c>
      <c r="M243" t="inlineStr">
        <is>
          <t>2026-06-29 14:25:43</t>
        </is>
      </c>
      <c r="N243" t="inlineStr">
        <is>
          <t>system</t>
        </is>
      </c>
      <c r="O243" t="inlineStr">
        <is>
          <t>2026-06-22 14:11:25</t>
        </is>
      </c>
      <c r="P243" t="inlineStr">
        <is>
          <t>2026-06-22 14:11:25</t>
        </is>
      </c>
      <c r="Y243" t="inlineStr">
        <is>
          <t>27726712151</t>
        </is>
      </c>
    </row>
    <row r="244">
      <c r="A244" t="inlineStr">
        <is>
          <t>14974434</t>
        </is>
      </c>
      <c r="B244" t="inlineStr">
        <is>
          <t>d76f2149-555b-47f2-b1ff-de5061a70f26</t>
        </is>
      </c>
      <c r="D244" t="inlineStr">
        <is>
          <t>11111127</t>
        </is>
      </c>
      <c r="E244" t="inlineStr">
        <is>
          <t>Vodacom Life 20260622</t>
        </is>
      </c>
      <c r="J244" t="inlineStr">
        <is>
          <t>ADC</t>
        </is>
      </c>
      <c r="K244" t="inlineStr">
        <is>
          <t>Auto Dial Disconnected</t>
        </is>
      </c>
      <c r="L244" t="n">
        <v>6</v>
      </c>
      <c r="M244" t="inlineStr">
        <is>
          <t>2026-06-29 14:25:43</t>
        </is>
      </c>
      <c r="N244" t="inlineStr">
        <is>
          <t>system</t>
        </is>
      </c>
      <c r="O244" t="inlineStr">
        <is>
          <t>2026-06-22 14:11:25</t>
        </is>
      </c>
      <c r="P244" t="inlineStr">
        <is>
          <t>2026-06-22 14:11:25</t>
        </is>
      </c>
      <c r="Y244" t="inlineStr">
        <is>
          <t>27607958130</t>
        </is>
      </c>
    </row>
    <row r="245">
      <c r="A245" t="inlineStr">
        <is>
          <t>14974438</t>
        </is>
      </c>
      <c r="B245" t="inlineStr">
        <is>
          <t>2ea05355-4e81-4416-b736-fec08a6f0771</t>
        </is>
      </c>
      <c r="D245" t="inlineStr">
        <is>
          <t>11111127</t>
        </is>
      </c>
      <c r="E245" t="inlineStr">
        <is>
          <t>Vodacom Life 20260622</t>
        </is>
      </c>
      <c r="J245" t="inlineStr">
        <is>
          <t>CBACK</t>
        </is>
      </c>
      <c r="K245" t="inlineStr">
        <is>
          <t>Callback</t>
        </is>
      </c>
      <c r="L245" t="n">
        <v>6</v>
      </c>
      <c r="M245" t="inlineStr">
        <is>
          <t>2026-06-29 14:25:31</t>
        </is>
      </c>
      <c r="N245" t="inlineStr">
        <is>
          <t>Vanessa Kekana</t>
        </is>
      </c>
      <c r="O245" t="inlineStr">
        <is>
          <t>2026-06-22 14:11:25</t>
        </is>
      </c>
      <c r="P245" t="inlineStr">
        <is>
          <t>2026-06-22 14:11:25</t>
        </is>
      </c>
      <c r="Y245" t="inlineStr">
        <is>
          <t>27723023287</t>
        </is>
      </c>
    </row>
    <row r="246">
      <c r="A246" t="inlineStr">
        <is>
          <t>14973888</t>
        </is>
      </c>
      <c r="B246" t="inlineStr">
        <is>
          <t>add36bf7-6277-4b3f-bac1-5fc6c9f2a163</t>
        </is>
      </c>
      <c r="D246" t="inlineStr">
        <is>
          <t>11111127</t>
        </is>
      </c>
      <c r="E246" t="inlineStr">
        <is>
          <t>Vodacom Life 20260622</t>
        </is>
      </c>
      <c r="J246" t="inlineStr">
        <is>
          <t>AA</t>
        </is>
      </c>
      <c r="K246" t="inlineStr">
        <is>
          <t>Answering Machine Autodial</t>
        </is>
      </c>
      <c r="L246" t="n">
        <v>6</v>
      </c>
      <c r="M246" t="inlineStr">
        <is>
          <t>2026-06-29 14:25:29</t>
        </is>
      </c>
      <c r="N246" t="inlineStr">
        <is>
          <t>system</t>
        </is>
      </c>
      <c r="O246" t="inlineStr">
        <is>
          <t>2026-06-22 14:11:25</t>
        </is>
      </c>
      <c r="P246" t="inlineStr">
        <is>
          <t>2026-06-22 14:11:25</t>
        </is>
      </c>
      <c r="Y246" t="inlineStr">
        <is>
          <t>27822559240</t>
        </is>
      </c>
    </row>
    <row r="247">
      <c r="A247" t="inlineStr">
        <is>
          <t>14974439</t>
        </is>
      </c>
      <c r="B247" t="inlineStr">
        <is>
          <t>a3aa9070-9f5d-4391-8520-a28a743fd240</t>
        </is>
      </c>
      <c r="D247" t="inlineStr">
        <is>
          <t>11111127</t>
        </is>
      </c>
      <c r="E247" t="inlineStr">
        <is>
          <t>Vodacom Life 20260622</t>
        </is>
      </c>
      <c r="J247" t="inlineStr">
        <is>
          <t>NA</t>
        </is>
      </c>
      <c r="K247" t="inlineStr">
        <is>
          <t>No Answer Autodial</t>
        </is>
      </c>
      <c r="L247" t="n">
        <v>6</v>
      </c>
      <c r="M247" t="inlineStr">
        <is>
          <t>2026-06-29 14:25:29</t>
        </is>
      </c>
      <c r="N247" t="inlineStr">
        <is>
          <t>system</t>
        </is>
      </c>
      <c r="O247" t="inlineStr">
        <is>
          <t>2026-06-22 14:11:25</t>
        </is>
      </c>
      <c r="P247" t="inlineStr">
        <is>
          <t>2026-06-22 14:11:25</t>
        </is>
      </c>
      <c r="Y247" t="inlineStr">
        <is>
          <t>27675312201</t>
        </is>
      </c>
    </row>
    <row r="248">
      <c r="A248" t="inlineStr">
        <is>
          <t>14974440</t>
        </is>
      </c>
      <c r="B248" t="inlineStr">
        <is>
          <t>2f15056d-08a8-4c42-b00b-8e0410cd4a7a</t>
        </is>
      </c>
      <c r="D248" t="inlineStr">
        <is>
          <t>11111127</t>
        </is>
      </c>
      <c r="E248" t="inlineStr">
        <is>
          <t>Vodacom Life 20260622</t>
        </is>
      </c>
      <c r="J248" t="inlineStr">
        <is>
          <t>NA</t>
        </is>
      </c>
      <c r="K248" t="inlineStr">
        <is>
          <t>No Answer Autodial</t>
        </is>
      </c>
      <c r="L248" t="n">
        <v>6</v>
      </c>
      <c r="M248" t="inlineStr">
        <is>
          <t>2026-06-29 14:25:29</t>
        </is>
      </c>
      <c r="N248" t="inlineStr">
        <is>
          <t>system</t>
        </is>
      </c>
      <c r="O248" t="inlineStr">
        <is>
          <t>2026-06-22 14:11:25</t>
        </is>
      </c>
      <c r="P248" t="inlineStr">
        <is>
          <t>2026-06-22 14:11:25</t>
        </is>
      </c>
      <c r="Y248" t="inlineStr">
        <is>
          <t>27761331115</t>
        </is>
      </c>
    </row>
    <row r="249">
      <c r="A249" t="inlineStr">
        <is>
          <t>14974450</t>
        </is>
      </c>
      <c r="B249" t="inlineStr">
        <is>
          <t>81f07bf0-67fb-4071-861f-011ad5debed3</t>
        </is>
      </c>
      <c r="D249" t="inlineStr">
        <is>
          <t>11111127</t>
        </is>
      </c>
      <c r="E249" t="inlineStr">
        <is>
          <t>Vodacom Life 20260622</t>
        </is>
      </c>
      <c r="H249" t="inlineStr">
        <is>
          <t>27722464046</t>
        </is>
      </c>
      <c r="J249" t="inlineStr">
        <is>
          <t>BLQ</t>
        </is>
      </c>
      <c r="K249" t="inlineStr">
        <is>
          <t>Bad Line Quality</t>
        </is>
      </c>
      <c r="L249" t="n">
        <v>6</v>
      </c>
      <c r="M249" t="inlineStr">
        <is>
          <t>2026-06-29 14:25:29</t>
        </is>
      </c>
      <c r="N249" t="inlineStr">
        <is>
          <t>Maureen Ntsoko</t>
        </is>
      </c>
      <c r="O249" t="inlineStr">
        <is>
          <t>2026-06-22 14:11:25</t>
        </is>
      </c>
      <c r="P249" t="inlineStr">
        <is>
          <t>2026-06-22 14:11:25</t>
        </is>
      </c>
      <c r="Y249" t="inlineStr">
        <is>
          <t>27722464046</t>
        </is>
      </c>
    </row>
    <row r="250">
      <c r="A250" t="inlineStr">
        <is>
          <t>14974451</t>
        </is>
      </c>
      <c r="B250" t="inlineStr">
        <is>
          <t>09bbcb78-b466-452c-ab1c-392a05694e71</t>
        </is>
      </c>
      <c r="D250" t="inlineStr">
        <is>
          <t>11111127</t>
        </is>
      </c>
      <c r="E250" t="inlineStr">
        <is>
          <t>Vodacom Life 20260622</t>
        </is>
      </c>
      <c r="J250" t="inlineStr">
        <is>
          <t>DROP</t>
        </is>
      </c>
      <c r="K250" t="inlineStr">
        <is>
          <t>Dropped</t>
        </is>
      </c>
      <c r="L250" t="n">
        <v>6</v>
      </c>
      <c r="M250" t="inlineStr">
        <is>
          <t>2026-06-29 14:25:10</t>
        </is>
      </c>
      <c r="N250" t="inlineStr">
        <is>
          <t>system</t>
        </is>
      </c>
      <c r="O250" t="inlineStr">
        <is>
          <t>2026-06-22 14:11:25</t>
        </is>
      </c>
      <c r="P250" t="inlineStr">
        <is>
          <t>2026-06-22 14:11:25</t>
        </is>
      </c>
      <c r="Y250" t="inlineStr">
        <is>
          <t>27723518145</t>
        </is>
      </c>
    </row>
    <row r="251">
      <c r="A251" t="inlineStr">
        <is>
          <t>14974453</t>
        </is>
      </c>
      <c r="B251" t="inlineStr">
        <is>
          <t>45bcec77-9fca-44d2-87de-ce4b5a72c555</t>
        </is>
      </c>
      <c r="D251" t="inlineStr">
        <is>
          <t>11111127</t>
        </is>
      </c>
      <c r="E251" t="inlineStr">
        <is>
          <t>Vodacom Life 20260622</t>
        </is>
      </c>
      <c r="J251" t="inlineStr">
        <is>
          <t>A</t>
        </is>
      </c>
      <c r="K251" t="inlineStr">
        <is>
          <t>Answering Machine</t>
        </is>
      </c>
      <c r="L251" t="n">
        <v>6</v>
      </c>
      <c r="M251" t="inlineStr">
        <is>
          <t>2026-06-29 14:25:08</t>
        </is>
      </c>
      <c r="N251" t="inlineStr">
        <is>
          <t>Vanessa Kekana</t>
        </is>
      </c>
      <c r="O251" t="inlineStr">
        <is>
          <t>2026-06-22 14:11:25</t>
        </is>
      </c>
      <c r="P251" t="inlineStr">
        <is>
          <t>2026-06-22 14:11:25</t>
        </is>
      </c>
      <c r="Y251" t="inlineStr">
        <is>
          <t>27636220618</t>
        </is>
      </c>
    </row>
    <row r="252">
      <c r="A252" t="inlineStr">
        <is>
          <t>14974455</t>
        </is>
      </c>
      <c r="B252" t="inlineStr">
        <is>
          <t>c67daeb2-9290-4c7d-8b8c-d2e2ff987345</t>
        </is>
      </c>
      <c r="D252" t="inlineStr">
        <is>
          <t>11111127</t>
        </is>
      </c>
      <c r="E252" t="inlineStr">
        <is>
          <t>Vodacom Life 20260622</t>
        </is>
      </c>
      <c r="J252" t="inlineStr">
        <is>
          <t>AA</t>
        </is>
      </c>
      <c r="K252" t="inlineStr">
        <is>
          <t>Answering Machine Autodial</t>
        </is>
      </c>
      <c r="L252" t="n">
        <v>6</v>
      </c>
      <c r="M252" t="inlineStr">
        <is>
          <t>2026-06-29 14:25:07</t>
        </is>
      </c>
      <c r="N252" t="inlineStr">
        <is>
          <t>system</t>
        </is>
      </c>
      <c r="O252" t="inlineStr">
        <is>
          <t>2026-06-22 14:11:25</t>
        </is>
      </c>
      <c r="P252" t="inlineStr">
        <is>
          <t>2026-06-22 14:11:25</t>
        </is>
      </c>
      <c r="Y252" t="inlineStr">
        <is>
          <t>27699500865</t>
        </is>
      </c>
    </row>
    <row r="253">
      <c r="A253" t="inlineStr">
        <is>
          <t>14974457</t>
        </is>
      </c>
      <c r="B253" t="inlineStr">
        <is>
          <t>0177b6f2-2294-4afe-b859-8ecdbb50c1d9</t>
        </is>
      </c>
      <c r="D253" t="inlineStr">
        <is>
          <t>11111127</t>
        </is>
      </c>
      <c r="E253" t="inlineStr">
        <is>
          <t>Vodacom Life 20260622</t>
        </is>
      </c>
      <c r="J253" t="inlineStr">
        <is>
          <t>AE</t>
        </is>
      </c>
      <c r="K253" t="inlineStr">
        <is>
          <t>Auto Engaged</t>
        </is>
      </c>
      <c r="L253" t="n">
        <v>6</v>
      </c>
      <c r="M253" t="inlineStr">
        <is>
          <t>2026-06-29 14:25:02</t>
        </is>
      </c>
      <c r="N253" t="inlineStr">
        <is>
          <t>system</t>
        </is>
      </c>
      <c r="O253" t="inlineStr">
        <is>
          <t>2026-06-22 14:11:25</t>
        </is>
      </c>
      <c r="P253" t="inlineStr">
        <is>
          <t>2026-06-22 14:11:25</t>
        </is>
      </c>
      <c r="Y253" t="inlineStr">
        <is>
          <t>27795338229</t>
        </is>
      </c>
    </row>
    <row r="254">
      <c r="A254" t="inlineStr">
        <is>
          <t>14974458</t>
        </is>
      </c>
      <c r="B254" t="inlineStr">
        <is>
          <t>9d9d549d-a5ee-46dc-b743-cc5ed086d425</t>
        </is>
      </c>
      <c r="D254" t="inlineStr">
        <is>
          <t>11111127</t>
        </is>
      </c>
      <c r="E254" t="inlineStr">
        <is>
          <t>Vodacom Life 20260622</t>
        </is>
      </c>
      <c r="J254" t="inlineStr">
        <is>
          <t>AA</t>
        </is>
      </c>
      <c r="K254" t="inlineStr">
        <is>
          <t>Answering Machine Autodial</t>
        </is>
      </c>
      <c r="L254" t="n">
        <v>6</v>
      </c>
      <c r="M254" t="inlineStr">
        <is>
          <t>2026-06-29 14:25:02</t>
        </is>
      </c>
      <c r="N254" t="inlineStr">
        <is>
          <t>system</t>
        </is>
      </c>
      <c r="O254" t="inlineStr">
        <is>
          <t>2026-06-22 14:11:25</t>
        </is>
      </c>
      <c r="P254" t="inlineStr">
        <is>
          <t>2026-06-22 14:11:25</t>
        </is>
      </c>
      <c r="Y254" t="inlineStr">
        <is>
          <t>27762826270</t>
        </is>
      </c>
    </row>
    <row r="255">
      <c r="A255" t="inlineStr">
        <is>
          <t>14974460</t>
        </is>
      </c>
      <c r="B255" t="inlineStr">
        <is>
          <t>425ffcd6-4b77-4623-a596-7f46433461ae</t>
        </is>
      </c>
      <c r="D255" t="inlineStr">
        <is>
          <t>11111127</t>
        </is>
      </c>
      <c r="E255" t="inlineStr">
        <is>
          <t>Vodacom Life 20260622</t>
        </is>
      </c>
      <c r="J255" t="inlineStr">
        <is>
          <t>DROP</t>
        </is>
      </c>
      <c r="K255" t="inlineStr">
        <is>
          <t>Dropped</t>
        </is>
      </c>
      <c r="L255" t="n">
        <v>6</v>
      </c>
      <c r="M255" t="inlineStr">
        <is>
          <t>2026-06-29 14:25:02</t>
        </is>
      </c>
      <c r="N255" t="inlineStr">
        <is>
          <t>system</t>
        </is>
      </c>
      <c r="O255" t="inlineStr">
        <is>
          <t>2026-06-22 14:11:25</t>
        </is>
      </c>
      <c r="P255" t="inlineStr">
        <is>
          <t>2026-06-22 14:11:25</t>
        </is>
      </c>
      <c r="Y255" t="inlineStr">
        <is>
          <t>27713722086</t>
        </is>
      </c>
    </row>
    <row r="256">
      <c r="A256" t="inlineStr">
        <is>
          <t>14974462</t>
        </is>
      </c>
      <c r="B256" t="inlineStr">
        <is>
          <t>cd25e9ab-27a2-495a-8a5f-7953dbdaf363</t>
        </is>
      </c>
      <c r="D256" t="inlineStr">
        <is>
          <t>11111127</t>
        </is>
      </c>
      <c r="E256" t="inlineStr">
        <is>
          <t>Vodacom Life 20260622</t>
        </is>
      </c>
      <c r="J256" t="inlineStr">
        <is>
          <t>AE</t>
        </is>
      </c>
      <c r="K256" t="inlineStr">
        <is>
          <t>Auto Engaged</t>
        </is>
      </c>
      <c r="L256" t="n">
        <v>6</v>
      </c>
      <c r="M256" t="inlineStr">
        <is>
          <t>2026-06-29 14:25:00</t>
        </is>
      </c>
      <c r="N256" t="inlineStr">
        <is>
          <t>system</t>
        </is>
      </c>
      <c r="O256" t="inlineStr">
        <is>
          <t>2026-06-22 14:11:25</t>
        </is>
      </c>
      <c r="P256" t="inlineStr">
        <is>
          <t>2026-06-22 14:11:25</t>
        </is>
      </c>
      <c r="Y256" t="inlineStr">
        <is>
          <t>27764262755</t>
        </is>
      </c>
    </row>
    <row r="257">
      <c r="A257" t="inlineStr">
        <is>
          <t>14974463</t>
        </is>
      </c>
      <c r="B257" t="inlineStr">
        <is>
          <t>2c67c7bf-18a9-4638-a3bb-c74ea2e42e54</t>
        </is>
      </c>
      <c r="D257" t="inlineStr">
        <is>
          <t>11111127</t>
        </is>
      </c>
      <c r="E257" t="inlineStr">
        <is>
          <t>Vodacom Life 20260622</t>
        </is>
      </c>
      <c r="J257" t="inlineStr">
        <is>
          <t>AA</t>
        </is>
      </c>
      <c r="K257" t="inlineStr">
        <is>
          <t>Answering Machine Autodial</t>
        </is>
      </c>
      <c r="L257" t="n">
        <v>6</v>
      </c>
      <c r="M257" t="inlineStr">
        <is>
          <t>2026-06-29 14:25:00</t>
        </is>
      </c>
      <c r="N257" t="inlineStr">
        <is>
          <t>system</t>
        </is>
      </c>
      <c r="O257" t="inlineStr">
        <is>
          <t>2026-06-22 14:11:25</t>
        </is>
      </c>
      <c r="P257" t="inlineStr">
        <is>
          <t>2026-06-22 14:11:25</t>
        </is>
      </c>
      <c r="Y257" t="inlineStr">
        <is>
          <t>27764421765</t>
        </is>
      </c>
    </row>
    <row r="258">
      <c r="A258" t="inlineStr">
        <is>
          <t>14974464</t>
        </is>
      </c>
      <c r="B258" t="inlineStr">
        <is>
          <t>198a4831-21db-46de-937d-ee5e3f07195d</t>
        </is>
      </c>
      <c r="D258" t="inlineStr">
        <is>
          <t>11111127</t>
        </is>
      </c>
      <c r="E258" t="inlineStr">
        <is>
          <t>Vodacom Life 20260622</t>
        </is>
      </c>
      <c r="J258" t="inlineStr">
        <is>
          <t>AA</t>
        </is>
      </c>
      <c r="K258" t="inlineStr">
        <is>
          <t>Answering Machine Autodial</t>
        </is>
      </c>
      <c r="L258" t="n">
        <v>6</v>
      </c>
      <c r="M258" t="inlineStr">
        <is>
          <t>2026-06-29 14:24:59</t>
        </is>
      </c>
      <c r="N258" t="inlineStr">
        <is>
          <t>system</t>
        </is>
      </c>
      <c r="O258" t="inlineStr">
        <is>
          <t>2026-06-22 14:11:25</t>
        </is>
      </c>
      <c r="P258" t="inlineStr">
        <is>
          <t>2026-06-22 14:11:25</t>
        </is>
      </c>
      <c r="Y258" t="inlineStr">
        <is>
          <t>27769250706</t>
        </is>
      </c>
    </row>
    <row r="259">
      <c r="A259" t="inlineStr">
        <is>
          <t>14974465</t>
        </is>
      </c>
      <c r="B259" t="inlineStr">
        <is>
          <t>95dccebb-33ab-4d5e-abc8-f23932f00996</t>
        </is>
      </c>
      <c r="D259" t="inlineStr">
        <is>
          <t>11111127</t>
        </is>
      </c>
      <c r="E259" t="inlineStr">
        <is>
          <t>Vodacom Life 20260622</t>
        </is>
      </c>
      <c r="J259" t="inlineStr">
        <is>
          <t>DROP</t>
        </is>
      </c>
      <c r="K259" t="inlineStr">
        <is>
          <t>Dropped</t>
        </is>
      </c>
      <c r="L259" t="n">
        <v>6</v>
      </c>
      <c r="M259" t="inlineStr">
        <is>
          <t>2026-06-29 14:24:59</t>
        </is>
      </c>
      <c r="N259" t="inlineStr">
        <is>
          <t>system</t>
        </is>
      </c>
      <c r="O259" t="inlineStr">
        <is>
          <t>2026-06-22 14:11:25</t>
        </is>
      </c>
      <c r="P259" t="inlineStr">
        <is>
          <t>2026-06-22 14:11:25</t>
        </is>
      </c>
      <c r="Y259" t="inlineStr">
        <is>
          <t>27828584162</t>
        </is>
      </c>
    </row>
    <row r="260">
      <c r="A260" t="inlineStr">
        <is>
          <t>14974442</t>
        </is>
      </c>
      <c r="B260" t="inlineStr">
        <is>
          <t>fa2d547e-0b1f-4f56-b3e4-3ff1cf45ff7e</t>
        </is>
      </c>
      <c r="D260" t="inlineStr">
        <is>
          <t>11111127</t>
        </is>
      </c>
      <c r="E260" t="inlineStr">
        <is>
          <t>Vodacom Life 20260622</t>
        </is>
      </c>
      <c r="J260" t="inlineStr">
        <is>
          <t>AE</t>
        </is>
      </c>
      <c r="K260" t="inlineStr">
        <is>
          <t>Auto Engaged</t>
        </is>
      </c>
      <c r="L260" t="n">
        <v>6</v>
      </c>
      <c r="M260" t="inlineStr">
        <is>
          <t>2026-06-29 14:23:10</t>
        </is>
      </c>
      <c r="N260" t="inlineStr">
        <is>
          <t>system</t>
        </is>
      </c>
      <c r="O260" t="inlineStr">
        <is>
          <t>2026-06-22 14:11:25</t>
        </is>
      </c>
      <c r="P260" t="inlineStr">
        <is>
          <t>2026-06-22 14:11:25</t>
        </is>
      </c>
      <c r="Y260" t="inlineStr">
        <is>
          <t>27723411095</t>
        </is>
      </c>
    </row>
    <row r="261">
      <c r="A261" t="inlineStr">
        <is>
          <t>14974443</t>
        </is>
      </c>
      <c r="B261" t="inlineStr">
        <is>
          <t>d5c6f81a-f5b0-4b9c-bdfa-78c94cf81311</t>
        </is>
      </c>
      <c r="D261" t="inlineStr">
        <is>
          <t>11111127</t>
        </is>
      </c>
      <c r="E261" t="inlineStr">
        <is>
          <t>Vodacom Life 20260622</t>
        </is>
      </c>
      <c r="H261" t="inlineStr">
        <is>
          <t>27764177733</t>
        </is>
      </c>
      <c r="J261" t="inlineStr">
        <is>
          <t>DROP</t>
        </is>
      </c>
      <c r="K261" t="inlineStr">
        <is>
          <t>Dropped</t>
        </is>
      </c>
      <c r="L261" t="n">
        <v>6</v>
      </c>
      <c r="M261" t="inlineStr">
        <is>
          <t>2026-06-29 14:23:07</t>
        </is>
      </c>
      <c r="N261" t="inlineStr">
        <is>
          <t>system</t>
        </is>
      </c>
      <c r="O261" t="inlineStr">
        <is>
          <t>2026-06-22 14:11:25</t>
        </is>
      </c>
      <c r="P261" t="inlineStr">
        <is>
          <t>2026-06-22 14:11:25</t>
        </is>
      </c>
      <c r="Y261" t="inlineStr">
        <is>
          <t>27764177733</t>
        </is>
      </c>
    </row>
    <row r="262">
      <c r="A262" t="inlineStr">
        <is>
          <t>14974444</t>
        </is>
      </c>
      <c r="B262" t="inlineStr">
        <is>
          <t>5246400e-0e17-4a62-879d-e7ed4269dddc</t>
        </is>
      </c>
      <c r="D262" t="inlineStr">
        <is>
          <t>11111127</t>
        </is>
      </c>
      <c r="E262" t="inlineStr">
        <is>
          <t>Vodacom Life 20260622</t>
        </is>
      </c>
      <c r="J262" t="inlineStr">
        <is>
          <t>NA</t>
        </is>
      </c>
      <c r="K262" t="inlineStr">
        <is>
          <t>No Answer Autodial</t>
        </is>
      </c>
      <c r="L262" t="n">
        <v>6</v>
      </c>
      <c r="M262" t="inlineStr">
        <is>
          <t>2026-06-29 14:23:07</t>
        </is>
      </c>
      <c r="N262" t="inlineStr">
        <is>
          <t>system</t>
        </is>
      </c>
      <c r="O262" t="inlineStr">
        <is>
          <t>2026-06-22 14:11:25</t>
        </is>
      </c>
      <c r="P262" t="inlineStr">
        <is>
          <t>2026-06-22 14:11:25</t>
        </is>
      </c>
      <c r="Y262" t="inlineStr">
        <is>
          <t>27715818478</t>
        </is>
      </c>
    </row>
    <row r="263">
      <c r="A263" t="inlineStr">
        <is>
          <t>14974445</t>
        </is>
      </c>
      <c r="B263" t="inlineStr">
        <is>
          <t>c432dfc2-80e2-4890-b4da-7cf9c1fa082f</t>
        </is>
      </c>
      <c r="D263" t="inlineStr">
        <is>
          <t>11111127</t>
        </is>
      </c>
      <c r="E263" t="inlineStr">
        <is>
          <t>Vodacom Life 20260622</t>
        </is>
      </c>
      <c r="J263" t="inlineStr">
        <is>
          <t>DROP</t>
        </is>
      </c>
      <c r="K263" t="inlineStr">
        <is>
          <t>Dropped</t>
        </is>
      </c>
      <c r="L263" t="n">
        <v>6</v>
      </c>
      <c r="M263" t="inlineStr">
        <is>
          <t>2026-06-29 14:23:07</t>
        </is>
      </c>
      <c r="N263" t="inlineStr">
        <is>
          <t>system</t>
        </is>
      </c>
      <c r="O263" t="inlineStr">
        <is>
          <t>2026-06-22 14:11:25</t>
        </is>
      </c>
      <c r="P263" t="inlineStr">
        <is>
          <t>2026-06-22 14:11:25</t>
        </is>
      </c>
      <c r="Y263" t="inlineStr">
        <is>
          <t>27715865145</t>
        </is>
      </c>
    </row>
    <row r="264">
      <c r="A264" t="inlineStr">
        <is>
          <t>14974446</t>
        </is>
      </c>
      <c r="B264" t="inlineStr">
        <is>
          <t>7d785fa7-8f57-4459-88a5-962618e15c65</t>
        </is>
      </c>
      <c r="D264" t="inlineStr">
        <is>
          <t>11111127</t>
        </is>
      </c>
      <c r="E264" t="inlineStr">
        <is>
          <t>Vodacom Life 20260622</t>
        </is>
      </c>
      <c r="H264" t="inlineStr">
        <is>
          <t>27713670040</t>
        </is>
      </c>
      <c r="J264" t="inlineStr">
        <is>
          <t>AE</t>
        </is>
      </c>
      <c r="K264" t="inlineStr">
        <is>
          <t>Auto Engaged</t>
        </is>
      </c>
      <c r="L264" t="n">
        <v>6</v>
      </c>
      <c r="M264" t="inlineStr">
        <is>
          <t>2026-06-29 14:23:07</t>
        </is>
      </c>
      <c r="N264" t="inlineStr">
        <is>
          <t>system</t>
        </is>
      </c>
      <c r="O264" t="inlineStr">
        <is>
          <t>2026-06-22 14:11:25</t>
        </is>
      </c>
      <c r="P264" t="inlineStr">
        <is>
          <t>2026-06-22 14:11:25</t>
        </is>
      </c>
      <c r="Y264" t="inlineStr">
        <is>
          <t>27713670040</t>
        </is>
      </c>
    </row>
    <row r="265">
      <c r="A265" t="inlineStr">
        <is>
          <t>14974447</t>
        </is>
      </c>
      <c r="B265" t="inlineStr">
        <is>
          <t>e82ec279-319a-4849-8c26-f557f57a20cb</t>
        </is>
      </c>
      <c r="D265" t="inlineStr">
        <is>
          <t>11111127</t>
        </is>
      </c>
      <c r="E265" t="inlineStr">
        <is>
          <t>Vodacom Life 20260622</t>
        </is>
      </c>
      <c r="J265" t="inlineStr">
        <is>
          <t>NA</t>
        </is>
      </c>
      <c r="K265" t="inlineStr">
        <is>
          <t>No Answer Autodial</t>
        </is>
      </c>
      <c r="L265" t="n">
        <v>6</v>
      </c>
      <c r="M265" t="inlineStr">
        <is>
          <t>2026-06-29 14:23:07</t>
        </is>
      </c>
      <c r="N265" t="inlineStr">
        <is>
          <t>system</t>
        </is>
      </c>
      <c r="O265" t="inlineStr">
        <is>
          <t>2026-06-22 14:11:25</t>
        </is>
      </c>
      <c r="P265" t="inlineStr">
        <is>
          <t>2026-06-22 14:11:25</t>
        </is>
      </c>
      <c r="Y265" t="inlineStr">
        <is>
          <t>27763096024</t>
        </is>
      </c>
    </row>
    <row r="266">
      <c r="A266" t="inlineStr">
        <is>
          <t>14974449</t>
        </is>
      </c>
      <c r="B266" t="inlineStr">
        <is>
          <t>521542b6-e4d4-422c-b310-ca451ee40338</t>
        </is>
      </c>
      <c r="D266" t="inlineStr">
        <is>
          <t>11111127</t>
        </is>
      </c>
      <c r="E266" t="inlineStr">
        <is>
          <t>Vodacom Life 20260622</t>
        </is>
      </c>
      <c r="J266" t="inlineStr">
        <is>
          <t>AA</t>
        </is>
      </c>
      <c r="K266" t="inlineStr">
        <is>
          <t>Answering Machine Autodial</t>
        </is>
      </c>
      <c r="L266" t="n">
        <v>6</v>
      </c>
      <c r="M266" t="inlineStr">
        <is>
          <t>2026-06-29 14:22:35</t>
        </is>
      </c>
      <c r="N266" t="inlineStr">
        <is>
          <t>system</t>
        </is>
      </c>
      <c r="O266" t="inlineStr">
        <is>
          <t>2026-06-22 14:11:25</t>
        </is>
      </c>
      <c r="P266" t="inlineStr">
        <is>
          <t>2026-06-22 14:11:25</t>
        </is>
      </c>
      <c r="Y266" t="inlineStr">
        <is>
          <t>27762262728</t>
        </is>
      </c>
    </row>
    <row r="267">
      <c r="A267" t="inlineStr">
        <is>
          <t>14974393</t>
        </is>
      </c>
      <c r="B267" t="inlineStr">
        <is>
          <t>5ef500d9-486c-45ed-ba06-703b0d44d699</t>
        </is>
      </c>
      <c r="D267" t="inlineStr">
        <is>
          <t>11111127</t>
        </is>
      </c>
      <c r="E267" t="inlineStr">
        <is>
          <t>Vodacom Life 20260622</t>
        </is>
      </c>
      <c r="H267" t="inlineStr">
        <is>
          <t>27827383740</t>
        </is>
      </c>
      <c r="J267" t="inlineStr">
        <is>
          <t>IABDN</t>
        </is>
      </c>
      <c r="K267" t="inlineStr">
        <is>
          <t>Inbound Abandon</t>
        </is>
      </c>
      <c r="L267" t="n">
        <v>6</v>
      </c>
      <c r="M267" t="inlineStr">
        <is>
          <t>2026-06-29 14:22:32</t>
        </is>
      </c>
      <c r="N267" t="inlineStr">
        <is>
          <t>system</t>
        </is>
      </c>
      <c r="O267" t="inlineStr">
        <is>
          <t>2026-06-22 14:11:25</t>
        </is>
      </c>
      <c r="P267" t="inlineStr">
        <is>
          <t>2026-06-22 14:11:25</t>
        </is>
      </c>
      <c r="Y267" t="inlineStr">
        <is>
          <t>27827383740</t>
        </is>
      </c>
    </row>
    <row r="268">
      <c r="A268" t="inlineStr">
        <is>
          <t>15000000</t>
        </is>
      </c>
      <c r="B268" t="inlineStr">
        <is>
          <t>e74258e0-b41a-496b-b348-e30f0c44cd51</t>
        </is>
      </c>
      <c r="D268" t="inlineStr">
        <is>
          <t>11111127</t>
        </is>
      </c>
      <c r="E268" t="inlineStr">
        <is>
          <t>Vodacom Life 20260622</t>
        </is>
      </c>
      <c r="H268" t="inlineStr">
        <is>
          <t>27791854689</t>
        </is>
      </c>
      <c r="J268" t="inlineStr">
        <is>
          <t>CBACK</t>
        </is>
      </c>
      <c r="K268" t="inlineStr">
        <is>
          <t>Callback</t>
        </is>
      </c>
      <c r="L268" t="n">
        <v>6</v>
      </c>
      <c r="M268" t="inlineStr">
        <is>
          <t>2026-06-29 14:22:30</t>
        </is>
      </c>
      <c r="N268" t="inlineStr">
        <is>
          <t>Maureen Ntsoko</t>
        </is>
      </c>
      <c r="O268" t="inlineStr">
        <is>
          <t>2026-06-22 14:11:25</t>
        </is>
      </c>
      <c r="P268" t="inlineStr">
        <is>
          <t>2026-06-22 14:11:25</t>
        </is>
      </c>
      <c r="Y268" t="inlineStr">
        <is>
          <t>27791854689</t>
        </is>
      </c>
    </row>
    <row r="269">
      <c r="A269" t="inlineStr">
        <is>
          <t>14974372</t>
        </is>
      </c>
      <c r="B269" t="inlineStr">
        <is>
          <t>2d37c1cd-a40a-4f6c-9903-903f6bd84dde</t>
        </is>
      </c>
      <c r="D269" t="inlineStr">
        <is>
          <t>11111127</t>
        </is>
      </c>
      <c r="E269" t="inlineStr">
        <is>
          <t>Vodacom Life 20260622</t>
        </is>
      </c>
      <c r="J269" t="inlineStr">
        <is>
          <t>DROP</t>
        </is>
      </c>
      <c r="K269" t="inlineStr">
        <is>
          <t>Dropped</t>
        </is>
      </c>
      <c r="L269" t="n">
        <v>6</v>
      </c>
      <c r="M269" t="inlineStr">
        <is>
          <t>2026-06-29 14:22:24</t>
        </is>
      </c>
      <c r="N269" t="inlineStr">
        <is>
          <t>system</t>
        </is>
      </c>
      <c r="O269" t="inlineStr">
        <is>
          <t>2026-06-22 14:11:25</t>
        </is>
      </c>
      <c r="P269" t="inlineStr">
        <is>
          <t>2026-06-22 14:11:25</t>
        </is>
      </c>
      <c r="Y269" t="inlineStr">
        <is>
          <t>27715145897</t>
        </is>
      </c>
    </row>
    <row r="270">
      <c r="A270" t="inlineStr">
        <is>
          <t>14974382</t>
        </is>
      </c>
      <c r="B270" t="inlineStr">
        <is>
          <t>0ff9a4ca-f1d0-4848-8059-413f7582def3</t>
        </is>
      </c>
      <c r="D270" t="inlineStr">
        <is>
          <t>11111127</t>
        </is>
      </c>
      <c r="E270" t="inlineStr">
        <is>
          <t>Vodacom Life 20260622</t>
        </is>
      </c>
      <c r="J270" t="inlineStr">
        <is>
          <t>AA</t>
        </is>
      </c>
      <c r="K270" t="inlineStr">
        <is>
          <t>Answering Machine Autodial</t>
        </is>
      </c>
      <c r="L270" t="n">
        <v>6</v>
      </c>
      <c r="M270" t="inlineStr">
        <is>
          <t>2026-06-29 14:22:06</t>
        </is>
      </c>
      <c r="N270" t="inlineStr">
        <is>
          <t>system</t>
        </is>
      </c>
      <c r="O270" t="inlineStr">
        <is>
          <t>2026-06-22 14:11:25</t>
        </is>
      </c>
      <c r="P270" t="inlineStr">
        <is>
          <t>2026-06-22 14:11:25</t>
        </is>
      </c>
      <c r="Y270" t="inlineStr">
        <is>
          <t>27760323394</t>
        </is>
      </c>
    </row>
    <row r="271">
      <c r="A271" t="inlineStr">
        <is>
          <t>14974383</t>
        </is>
      </c>
      <c r="B271" t="inlineStr">
        <is>
          <t>835914ae-313a-4e16-b541-63a418235322</t>
        </is>
      </c>
      <c r="D271" t="inlineStr">
        <is>
          <t>11111127</t>
        </is>
      </c>
      <c r="E271" t="inlineStr">
        <is>
          <t>Vodacom Life 20260622</t>
        </is>
      </c>
      <c r="J271" t="inlineStr">
        <is>
          <t>AE</t>
        </is>
      </c>
      <c r="K271" t="inlineStr">
        <is>
          <t>Auto Engaged</t>
        </is>
      </c>
      <c r="L271" t="n">
        <v>6</v>
      </c>
      <c r="M271" t="inlineStr">
        <is>
          <t>2026-06-29 14:22:06</t>
        </is>
      </c>
      <c r="N271" t="inlineStr">
        <is>
          <t>system</t>
        </is>
      </c>
      <c r="O271" t="inlineStr">
        <is>
          <t>2026-06-22 14:11:25</t>
        </is>
      </c>
      <c r="P271" t="inlineStr">
        <is>
          <t>2026-06-22 14:11:25</t>
        </is>
      </c>
      <c r="Y271" t="inlineStr">
        <is>
          <t>27798602326</t>
        </is>
      </c>
    </row>
    <row r="272">
      <c r="A272" t="inlineStr">
        <is>
          <t>14974384</t>
        </is>
      </c>
      <c r="B272" t="inlineStr">
        <is>
          <t>3a0ab64d-15c4-456d-af83-42a746f5a17b</t>
        </is>
      </c>
      <c r="D272" t="inlineStr">
        <is>
          <t>11111127</t>
        </is>
      </c>
      <c r="E272" t="inlineStr">
        <is>
          <t>Vodacom Life 20260622</t>
        </is>
      </c>
      <c r="J272" t="inlineStr">
        <is>
          <t>AA</t>
        </is>
      </c>
      <c r="K272" t="inlineStr">
        <is>
          <t>Answering Machine Autodial</t>
        </is>
      </c>
      <c r="L272" t="n">
        <v>6</v>
      </c>
      <c r="M272" t="inlineStr">
        <is>
          <t>2026-06-29 14:22:06</t>
        </is>
      </c>
      <c r="N272" t="inlineStr">
        <is>
          <t>system</t>
        </is>
      </c>
      <c r="O272" t="inlineStr">
        <is>
          <t>2026-06-22 14:11:25</t>
        </is>
      </c>
      <c r="P272" t="inlineStr">
        <is>
          <t>2026-06-22 14:11:25</t>
        </is>
      </c>
      <c r="Y272" t="inlineStr">
        <is>
          <t>27790924109</t>
        </is>
      </c>
    </row>
    <row r="273">
      <c r="A273" t="inlineStr">
        <is>
          <t>14974386</t>
        </is>
      </c>
      <c r="B273" t="inlineStr">
        <is>
          <t>a5929360-c4fd-439d-8568-d1c146dafa7f</t>
        </is>
      </c>
      <c r="D273" t="inlineStr">
        <is>
          <t>11111127</t>
        </is>
      </c>
      <c r="E273" t="inlineStr">
        <is>
          <t>Vodacom Life 20260622</t>
        </is>
      </c>
      <c r="H273" t="inlineStr">
        <is>
          <t>27767567473</t>
        </is>
      </c>
      <c r="J273" t="inlineStr">
        <is>
          <t>CU</t>
        </is>
      </c>
      <c r="K273" t="inlineStr">
        <is>
          <t>Client Hung Up</t>
        </is>
      </c>
      <c r="L273" t="n">
        <v>6</v>
      </c>
      <c r="M273" t="inlineStr">
        <is>
          <t>2026-06-29 14:21:33</t>
        </is>
      </c>
      <c r="N273" t="inlineStr">
        <is>
          <t>Maureen Ntsoko</t>
        </is>
      </c>
      <c r="O273" t="inlineStr">
        <is>
          <t>2026-06-22 14:11:25</t>
        </is>
      </c>
      <c r="P273" t="inlineStr">
        <is>
          <t>2026-06-22 14:11:25</t>
        </is>
      </c>
      <c r="Y273" t="inlineStr">
        <is>
          <t>27767567473</t>
        </is>
      </c>
    </row>
    <row r="274">
      <c r="A274" t="inlineStr">
        <is>
          <t>14974388</t>
        </is>
      </c>
      <c r="B274" t="inlineStr">
        <is>
          <t>3b480e27-a545-4a34-81fa-396c714575d0</t>
        </is>
      </c>
      <c r="D274" t="inlineStr">
        <is>
          <t>11111127</t>
        </is>
      </c>
      <c r="E274" t="inlineStr">
        <is>
          <t>Vodacom Life 20260622</t>
        </is>
      </c>
      <c r="J274" t="inlineStr">
        <is>
          <t>NA</t>
        </is>
      </c>
      <c r="K274" t="inlineStr">
        <is>
          <t>No Answer Autodial</t>
        </is>
      </c>
      <c r="L274" t="n">
        <v>6</v>
      </c>
      <c r="M274" t="inlineStr">
        <is>
          <t>2026-06-29 14:21:33</t>
        </is>
      </c>
      <c r="N274" t="inlineStr">
        <is>
          <t>system</t>
        </is>
      </c>
      <c r="O274" t="inlineStr">
        <is>
          <t>2026-06-22 14:11:25</t>
        </is>
      </c>
      <c r="P274" t="inlineStr">
        <is>
          <t>2026-06-22 14:11:25</t>
        </is>
      </c>
      <c r="Y274" t="inlineStr">
        <is>
          <t>27764259465</t>
        </is>
      </c>
    </row>
    <row r="275">
      <c r="A275" t="inlineStr">
        <is>
          <t>14974391</t>
        </is>
      </c>
      <c r="B275" t="inlineStr">
        <is>
          <t>1aa815cd-816d-4e69-91d6-04ec6686451f</t>
        </is>
      </c>
      <c r="D275" t="inlineStr">
        <is>
          <t>11111127</t>
        </is>
      </c>
      <c r="E275" t="inlineStr">
        <is>
          <t>Vodacom Life 20260622</t>
        </is>
      </c>
      <c r="J275" t="inlineStr">
        <is>
          <t>DROP</t>
        </is>
      </c>
      <c r="K275" t="inlineStr">
        <is>
          <t>Dropped</t>
        </is>
      </c>
      <c r="L275" t="n">
        <v>6</v>
      </c>
      <c r="M275" t="inlineStr">
        <is>
          <t>2026-06-29 14:21:14</t>
        </is>
      </c>
      <c r="N275" t="inlineStr">
        <is>
          <t>system</t>
        </is>
      </c>
      <c r="O275" t="inlineStr">
        <is>
          <t>2026-06-22 14:11:25</t>
        </is>
      </c>
      <c r="P275" t="inlineStr">
        <is>
          <t>2026-06-22 14:11:25</t>
        </is>
      </c>
      <c r="Y275" t="inlineStr">
        <is>
          <t>27716272620</t>
        </is>
      </c>
    </row>
    <row r="276">
      <c r="A276" t="inlineStr">
        <is>
          <t>14974392</t>
        </is>
      </c>
      <c r="B276" t="inlineStr">
        <is>
          <t>4f3a405b-8e40-446b-9865-6d7d8286ab6b</t>
        </is>
      </c>
      <c r="D276" t="inlineStr">
        <is>
          <t>11111127</t>
        </is>
      </c>
      <c r="E276" t="inlineStr">
        <is>
          <t>Vodacom Life 20260622</t>
        </is>
      </c>
      <c r="J276" t="inlineStr">
        <is>
          <t>NA</t>
        </is>
      </c>
      <c r="K276" t="inlineStr">
        <is>
          <t>No Answer Autodial</t>
        </is>
      </c>
      <c r="L276" t="n">
        <v>6</v>
      </c>
      <c r="M276" t="inlineStr">
        <is>
          <t>2026-06-29 14:21:13</t>
        </is>
      </c>
      <c r="N276" t="inlineStr">
        <is>
          <t>system</t>
        </is>
      </c>
      <c r="O276" t="inlineStr">
        <is>
          <t>2026-06-22 14:11:25</t>
        </is>
      </c>
      <c r="P276" t="inlineStr">
        <is>
          <t>2026-06-22 14:11:25</t>
        </is>
      </c>
      <c r="Y276" t="inlineStr">
        <is>
          <t>27795977838</t>
        </is>
      </c>
    </row>
    <row r="277">
      <c r="A277" t="inlineStr">
        <is>
          <t>14974394</t>
        </is>
      </c>
      <c r="B277" t="inlineStr">
        <is>
          <t>fc9d0554-7f32-4fc8-bc1c-1b6a194b28aa</t>
        </is>
      </c>
      <c r="D277" t="inlineStr">
        <is>
          <t>11111127</t>
        </is>
      </c>
      <c r="E277" t="inlineStr">
        <is>
          <t>Vodacom Life 20260622</t>
        </is>
      </c>
      <c r="J277" t="inlineStr">
        <is>
          <t>AA</t>
        </is>
      </c>
      <c r="K277" t="inlineStr">
        <is>
          <t>Answering Machine Autodial</t>
        </is>
      </c>
      <c r="L277" t="n">
        <v>6</v>
      </c>
      <c r="M277" t="inlineStr">
        <is>
          <t>2026-06-29 14:21:13</t>
        </is>
      </c>
      <c r="N277" t="inlineStr">
        <is>
          <t>system</t>
        </is>
      </c>
      <c r="O277" t="inlineStr">
        <is>
          <t>2026-06-22 14:11:25</t>
        </is>
      </c>
      <c r="P277" t="inlineStr">
        <is>
          <t>2026-06-22 14:11:25</t>
        </is>
      </c>
      <c r="Y277" t="inlineStr">
        <is>
          <t>27614898989</t>
        </is>
      </c>
    </row>
    <row r="278">
      <c r="A278" t="inlineStr">
        <is>
          <t>14974376</t>
        </is>
      </c>
      <c r="B278" t="inlineStr">
        <is>
          <t>e75bacc9-e3e2-41b5-9a6d-2dc7d5137d2b</t>
        </is>
      </c>
      <c r="D278" t="inlineStr">
        <is>
          <t>11111127</t>
        </is>
      </c>
      <c r="E278" t="inlineStr">
        <is>
          <t>Vodacom Life 20260622</t>
        </is>
      </c>
      <c r="H278" t="inlineStr">
        <is>
          <t>27660994657</t>
        </is>
      </c>
      <c r="J278" t="inlineStr">
        <is>
          <t>CU</t>
        </is>
      </c>
      <c r="K278" t="inlineStr">
        <is>
          <t>Client Hung Up</t>
        </is>
      </c>
      <c r="L278" t="n">
        <v>6</v>
      </c>
      <c r="M278" t="inlineStr">
        <is>
          <t>2026-06-29 14:21:11</t>
        </is>
      </c>
      <c r="N278" t="inlineStr">
        <is>
          <t>Maureen Ntsoko</t>
        </is>
      </c>
      <c r="O278" t="inlineStr">
        <is>
          <t>2026-06-22 14:11:25</t>
        </is>
      </c>
      <c r="P278" t="inlineStr">
        <is>
          <t>2026-06-22 14:11:25</t>
        </is>
      </c>
      <c r="Y278" t="inlineStr">
        <is>
          <t>27660994657</t>
        </is>
      </c>
    </row>
    <row r="279">
      <c r="A279" t="inlineStr">
        <is>
          <t>14974395</t>
        </is>
      </c>
      <c r="B279" t="inlineStr">
        <is>
          <t>41fe4e24-3c34-4fa0-bdd8-4c71777cc1ac</t>
        </is>
      </c>
      <c r="D279" t="inlineStr">
        <is>
          <t>11111127</t>
        </is>
      </c>
      <c r="E279" t="inlineStr">
        <is>
          <t>Vodacom Life 20260622</t>
        </is>
      </c>
      <c r="J279" t="inlineStr">
        <is>
          <t>ADC</t>
        </is>
      </c>
      <c r="K279" t="inlineStr">
        <is>
          <t>Auto Dial Disconnected</t>
        </is>
      </c>
      <c r="L279" t="n">
        <v>6</v>
      </c>
      <c r="M279" t="inlineStr">
        <is>
          <t>2026-06-29 14:21:08</t>
        </is>
      </c>
      <c r="N279" t="inlineStr">
        <is>
          <t>system</t>
        </is>
      </c>
      <c r="O279" t="inlineStr">
        <is>
          <t>2026-06-22 14:11:25</t>
        </is>
      </c>
      <c r="P279" t="inlineStr">
        <is>
          <t>2026-06-22 14:11:25</t>
        </is>
      </c>
      <c r="Y279" t="inlineStr">
        <is>
          <t>27769708771</t>
        </is>
      </c>
    </row>
    <row r="280">
      <c r="A280" t="inlineStr">
        <is>
          <t>14974396</t>
        </is>
      </c>
      <c r="B280" t="inlineStr">
        <is>
          <t>ddd0711d-3668-4656-83ba-ad69a3ea6d9c</t>
        </is>
      </c>
      <c r="D280" t="inlineStr">
        <is>
          <t>11111127</t>
        </is>
      </c>
      <c r="E280" t="inlineStr">
        <is>
          <t>Vodacom Life 20260622</t>
        </is>
      </c>
      <c r="J280" t="inlineStr">
        <is>
          <t>DROP</t>
        </is>
      </c>
      <c r="K280" t="inlineStr">
        <is>
          <t>Dropped</t>
        </is>
      </c>
      <c r="L280" t="n">
        <v>6</v>
      </c>
      <c r="M280" t="inlineStr">
        <is>
          <t>2026-06-29 14:21:07</t>
        </is>
      </c>
      <c r="N280" t="inlineStr">
        <is>
          <t>system</t>
        </is>
      </c>
      <c r="O280" t="inlineStr">
        <is>
          <t>2026-06-22 14:11:25</t>
        </is>
      </c>
      <c r="P280" t="inlineStr">
        <is>
          <t>2026-06-22 14:11:25</t>
        </is>
      </c>
      <c r="Y280" t="inlineStr">
        <is>
          <t>27715134224</t>
        </is>
      </c>
    </row>
    <row r="281">
      <c r="A281" t="inlineStr">
        <is>
          <t>14974398</t>
        </is>
      </c>
      <c r="B281" t="inlineStr">
        <is>
          <t>dc5ed283-19bf-4562-a34e-28ebed1cf243</t>
        </is>
      </c>
      <c r="D281" t="inlineStr">
        <is>
          <t>11111127</t>
        </is>
      </c>
      <c r="E281" t="inlineStr">
        <is>
          <t>Vodacom Life 20260622</t>
        </is>
      </c>
      <c r="J281" t="inlineStr">
        <is>
          <t>AA</t>
        </is>
      </c>
      <c r="K281" t="inlineStr">
        <is>
          <t>Answering Machine Autodial</t>
        </is>
      </c>
      <c r="L281" t="n">
        <v>6</v>
      </c>
      <c r="M281" t="inlineStr">
        <is>
          <t>2026-06-29 14:20:54</t>
        </is>
      </c>
      <c r="N281" t="inlineStr">
        <is>
          <t>system</t>
        </is>
      </c>
      <c r="O281" t="inlineStr">
        <is>
          <t>2026-06-22 14:11:25</t>
        </is>
      </c>
      <c r="P281" t="inlineStr">
        <is>
          <t>2026-06-22 14:11:25</t>
        </is>
      </c>
      <c r="Y281" t="inlineStr">
        <is>
          <t>27729050250</t>
        </is>
      </c>
    </row>
    <row r="282">
      <c r="A282" t="inlineStr">
        <is>
          <t>14974399</t>
        </is>
      </c>
      <c r="B282" t="inlineStr">
        <is>
          <t>05d2719e-9ee1-4d78-9832-d65b65018650</t>
        </is>
      </c>
      <c r="D282" t="inlineStr">
        <is>
          <t>11111127</t>
        </is>
      </c>
      <c r="E282" t="inlineStr">
        <is>
          <t>Vodacom Life 20260622</t>
        </is>
      </c>
      <c r="J282" t="inlineStr">
        <is>
          <t>AA</t>
        </is>
      </c>
      <c r="K282" t="inlineStr">
        <is>
          <t>Answering Machine Autodial</t>
        </is>
      </c>
      <c r="L282" t="n">
        <v>6</v>
      </c>
      <c r="M282" t="inlineStr">
        <is>
          <t>2026-06-29 14:20:54</t>
        </is>
      </c>
      <c r="N282" t="inlineStr">
        <is>
          <t>system</t>
        </is>
      </c>
      <c r="O282" t="inlineStr">
        <is>
          <t>2026-06-22 14:11:25</t>
        </is>
      </c>
      <c r="P282" t="inlineStr">
        <is>
          <t>2026-06-22 14:11:25</t>
        </is>
      </c>
      <c r="Y282" t="inlineStr">
        <is>
          <t>27728384600</t>
        </is>
      </c>
    </row>
    <row r="283">
      <c r="A283" t="inlineStr">
        <is>
          <t>14974400</t>
        </is>
      </c>
      <c r="B283" t="inlineStr">
        <is>
          <t>17d24bb4-2ebf-44e4-891f-f5cc3c167079</t>
        </is>
      </c>
      <c r="D283" t="inlineStr">
        <is>
          <t>11111127</t>
        </is>
      </c>
      <c r="E283" t="inlineStr">
        <is>
          <t>Vodacom Life 20260622</t>
        </is>
      </c>
      <c r="J283" t="inlineStr">
        <is>
          <t>AA</t>
        </is>
      </c>
      <c r="K283" t="inlineStr">
        <is>
          <t>Answering Machine Autodial</t>
        </is>
      </c>
      <c r="L283" t="n">
        <v>6</v>
      </c>
      <c r="M283" t="inlineStr">
        <is>
          <t>2026-06-29 14:20:53</t>
        </is>
      </c>
      <c r="N283" t="inlineStr">
        <is>
          <t>system</t>
        </is>
      </c>
      <c r="O283" t="inlineStr">
        <is>
          <t>2026-06-22 14:11:25</t>
        </is>
      </c>
      <c r="P283" t="inlineStr">
        <is>
          <t>2026-06-22 14:11:25</t>
        </is>
      </c>
      <c r="Y283" t="inlineStr">
        <is>
          <t>27824442748</t>
        </is>
      </c>
    </row>
    <row r="284">
      <c r="A284" t="inlineStr">
        <is>
          <t>14974402</t>
        </is>
      </c>
      <c r="B284" t="inlineStr">
        <is>
          <t>7423ca6e-6abc-4b40-bce0-4dc050fae6e1</t>
        </is>
      </c>
      <c r="D284" t="inlineStr">
        <is>
          <t>11111127</t>
        </is>
      </c>
      <c r="E284" t="inlineStr">
        <is>
          <t>Vodacom Life 20260622</t>
        </is>
      </c>
      <c r="J284" t="inlineStr">
        <is>
          <t>AE</t>
        </is>
      </c>
      <c r="K284" t="inlineStr">
        <is>
          <t>Auto Engaged</t>
        </is>
      </c>
      <c r="L284" t="n">
        <v>6</v>
      </c>
      <c r="M284" t="inlineStr">
        <is>
          <t>2026-06-29 14:20:27</t>
        </is>
      </c>
      <c r="N284" t="inlineStr">
        <is>
          <t>system</t>
        </is>
      </c>
      <c r="O284" t="inlineStr">
        <is>
          <t>2026-06-22 14:11:25</t>
        </is>
      </c>
      <c r="P284" t="inlineStr">
        <is>
          <t>2026-06-22 14:11:25</t>
        </is>
      </c>
      <c r="Y284" t="inlineStr">
        <is>
          <t>27797172868</t>
        </is>
      </c>
    </row>
    <row r="285">
      <c r="A285" t="inlineStr">
        <is>
          <t>14974373</t>
        </is>
      </c>
      <c r="B285" t="inlineStr">
        <is>
          <t>4e4d7c40-bdcf-4d7b-ba85-0b8aebd49295</t>
        </is>
      </c>
      <c r="D285" t="inlineStr">
        <is>
          <t>11111127</t>
        </is>
      </c>
      <c r="E285" t="inlineStr">
        <is>
          <t>Vodacom Life 20260622</t>
        </is>
      </c>
      <c r="H285" t="inlineStr">
        <is>
          <t>27715742511</t>
        </is>
      </c>
      <c r="J285" t="inlineStr">
        <is>
          <t>AA</t>
        </is>
      </c>
      <c r="K285" t="inlineStr">
        <is>
          <t>Answering Machine Autodial</t>
        </is>
      </c>
      <c r="L285" t="n">
        <v>6</v>
      </c>
      <c r="M285" t="inlineStr">
        <is>
          <t>2026-06-29 14:20:25</t>
        </is>
      </c>
      <c r="N285" t="inlineStr">
        <is>
          <t>system</t>
        </is>
      </c>
      <c r="O285" t="inlineStr">
        <is>
          <t>2026-06-22 14:11:25</t>
        </is>
      </c>
      <c r="P285" t="inlineStr">
        <is>
          <t>2026-06-22 14:11:25</t>
        </is>
      </c>
      <c r="Y285" t="inlineStr">
        <is>
          <t>27715742511</t>
        </is>
      </c>
    </row>
    <row r="286">
      <c r="A286" t="inlineStr">
        <is>
          <t>14974374</t>
        </is>
      </c>
      <c r="B286" t="inlineStr">
        <is>
          <t>2fb73273-aa60-485f-beba-a8a244084547</t>
        </is>
      </c>
      <c r="D286" t="inlineStr">
        <is>
          <t>11111127</t>
        </is>
      </c>
      <c r="E286" t="inlineStr">
        <is>
          <t>Vodacom Life 20260622</t>
        </is>
      </c>
      <c r="J286" t="inlineStr">
        <is>
          <t>NA</t>
        </is>
      </c>
      <c r="K286" t="inlineStr">
        <is>
          <t>No Answer Autodial</t>
        </is>
      </c>
      <c r="L286" t="n">
        <v>6</v>
      </c>
      <c r="M286" t="inlineStr">
        <is>
          <t>2026-06-29 14:20:25</t>
        </is>
      </c>
      <c r="N286" t="inlineStr">
        <is>
          <t>system</t>
        </is>
      </c>
      <c r="O286" t="inlineStr">
        <is>
          <t>2026-06-22 14:11:25</t>
        </is>
      </c>
      <c r="P286" t="inlineStr">
        <is>
          <t>2026-06-22 14:11:25</t>
        </is>
      </c>
      <c r="Y286" t="inlineStr">
        <is>
          <t>27721823034</t>
        </is>
      </c>
    </row>
    <row r="287">
      <c r="A287" t="inlineStr">
        <is>
          <t>14974375</t>
        </is>
      </c>
      <c r="B287" t="inlineStr">
        <is>
          <t>fd07a260-c68a-4b75-8610-a00fbc351a1b</t>
        </is>
      </c>
      <c r="D287" t="inlineStr">
        <is>
          <t>11111127</t>
        </is>
      </c>
      <c r="E287" t="inlineStr">
        <is>
          <t>Vodacom Life 20260622</t>
        </is>
      </c>
      <c r="J287" t="inlineStr">
        <is>
          <t>AE</t>
        </is>
      </c>
      <c r="K287" t="inlineStr">
        <is>
          <t>Auto Engaged</t>
        </is>
      </c>
      <c r="L287" t="n">
        <v>6</v>
      </c>
      <c r="M287" t="inlineStr">
        <is>
          <t>2026-06-29 14:20:25</t>
        </is>
      </c>
      <c r="N287" t="inlineStr">
        <is>
          <t>system</t>
        </is>
      </c>
      <c r="O287" t="inlineStr">
        <is>
          <t>2026-06-22 14:11:25</t>
        </is>
      </c>
      <c r="P287" t="inlineStr">
        <is>
          <t>2026-06-22 14:11:25</t>
        </is>
      </c>
      <c r="Y287" t="inlineStr">
        <is>
          <t>27767245076</t>
        </is>
      </c>
    </row>
    <row r="288">
      <c r="A288" t="inlineStr">
        <is>
          <t>15000000</t>
        </is>
      </c>
      <c r="B288" t="inlineStr">
        <is>
          <t>54e574a9-de51-4d38-a1de-9196529db244</t>
        </is>
      </c>
      <c r="D288" t="inlineStr">
        <is>
          <t>11111127</t>
        </is>
      </c>
      <c r="E288" t="inlineStr">
        <is>
          <t>Vodacom Life 20260622</t>
        </is>
      </c>
      <c r="J288" t="inlineStr">
        <is>
          <t>DROP</t>
        </is>
      </c>
      <c r="K288" t="inlineStr">
        <is>
          <t>Dropped</t>
        </is>
      </c>
      <c r="L288" t="n">
        <v>6</v>
      </c>
      <c r="M288" t="inlineStr">
        <is>
          <t>2026-06-29 14:19:43</t>
        </is>
      </c>
      <c r="N288" t="inlineStr">
        <is>
          <t>system</t>
        </is>
      </c>
      <c r="O288" t="inlineStr">
        <is>
          <t>2026-06-22 14:11:25</t>
        </is>
      </c>
      <c r="P288" t="inlineStr">
        <is>
          <t>2026-06-22 14:11:25</t>
        </is>
      </c>
      <c r="Y288" t="inlineStr">
        <is>
          <t>27828308447</t>
        </is>
      </c>
    </row>
    <row r="289">
      <c r="A289" t="inlineStr">
        <is>
          <t>14974378</t>
        </is>
      </c>
      <c r="B289" t="inlineStr">
        <is>
          <t>6c24cd51-8206-4278-910e-f74a1a1e13c9</t>
        </is>
      </c>
      <c r="D289" t="inlineStr">
        <is>
          <t>11111127</t>
        </is>
      </c>
      <c r="E289" t="inlineStr">
        <is>
          <t>Vodacom Life 20260622</t>
        </is>
      </c>
      <c r="J289" t="inlineStr">
        <is>
          <t>CU</t>
        </is>
      </c>
      <c r="K289" t="inlineStr">
        <is>
          <t>Client Hung Up</t>
        </is>
      </c>
      <c r="L289" t="n">
        <v>6</v>
      </c>
      <c r="M289" t="inlineStr">
        <is>
          <t>2026-06-29 14:19:39</t>
        </is>
      </c>
      <c r="N289" t="inlineStr">
        <is>
          <t>Vanessa Kekana</t>
        </is>
      </c>
      <c r="O289" t="inlineStr">
        <is>
          <t>2026-06-22 14:11:25</t>
        </is>
      </c>
      <c r="P289" t="inlineStr">
        <is>
          <t>2026-06-22 14:11:25</t>
        </is>
      </c>
      <c r="Y289" t="inlineStr">
        <is>
          <t>27825571243</t>
        </is>
      </c>
    </row>
    <row r="290">
      <c r="A290" t="inlineStr">
        <is>
          <t>14974379</t>
        </is>
      </c>
      <c r="B290" t="inlineStr">
        <is>
          <t>21ac7057-05f1-4af1-92be-b346d84ff314</t>
        </is>
      </c>
      <c r="D290" t="inlineStr">
        <is>
          <t>11111127</t>
        </is>
      </c>
      <c r="E290" t="inlineStr">
        <is>
          <t>Vodacom Life 20260622</t>
        </is>
      </c>
      <c r="H290" t="inlineStr">
        <is>
          <t>27714485123</t>
        </is>
      </c>
      <c r="J290" t="inlineStr">
        <is>
          <t>DROP</t>
        </is>
      </c>
      <c r="K290" t="inlineStr">
        <is>
          <t>Dropped</t>
        </is>
      </c>
      <c r="L290" t="n">
        <v>6</v>
      </c>
      <c r="M290" t="inlineStr">
        <is>
          <t>2026-06-29 14:19:39</t>
        </is>
      </c>
      <c r="N290" t="inlineStr">
        <is>
          <t>system</t>
        </is>
      </c>
      <c r="O290" t="inlineStr">
        <is>
          <t>2026-06-22 14:11:25</t>
        </is>
      </c>
      <c r="P290" t="inlineStr">
        <is>
          <t>2026-06-22 14:11:25</t>
        </is>
      </c>
      <c r="Y290" t="inlineStr">
        <is>
          <t>27714485123</t>
        </is>
      </c>
    </row>
    <row r="291">
      <c r="A291" t="inlineStr">
        <is>
          <t>14974380</t>
        </is>
      </c>
      <c r="B291" t="inlineStr">
        <is>
          <t>0fe0f1f8-7ded-415c-8052-2fe7d3e048d7</t>
        </is>
      </c>
      <c r="D291" t="inlineStr">
        <is>
          <t>11111127</t>
        </is>
      </c>
      <c r="E291" t="inlineStr">
        <is>
          <t>Vodacom Life 20260622</t>
        </is>
      </c>
      <c r="H291" t="inlineStr">
        <is>
          <t>27637247016</t>
        </is>
      </c>
      <c r="J291" t="inlineStr">
        <is>
          <t>AE</t>
        </is>
      </c>
      <c r="K291" t="inlineStr">
        <is>
          <t>Auto Engaged</t>
        </is>
      </c>
      <c r="L291" t="n">
        <v>6</v>
      </c>
      <c r="M291" t="inlineStr">
        <is>
          <t>2026-06-29 14:19:39</t>
        </is>
      </c>
      <c r="N291" t="inlineStr">
        <is>
          <t>system</t>
        </is>
      </c>
      <c r="O291" t="inlineStr">
        <is>
          <t>2026-06-22 14:11:25</t>
        </is>
      </c>
      <c r="P291" t="inlineStr">
        <is>
          <t>2026-06-22 14:11:25</t>
        </is>
      </c>
      <c r="Y291" t="inlineStr">
        <is>
          <t>27637247016</t>
        </is>
      </c>
    </row>
    <row r="292">
      <c r="A292" t="inlineStr">
        <is>
          <t>14974381</t>
        </is>
      </c>
      <c r="B292" t="inlineStr">
        <is>
          <t>d4061f68-485b-4503-bb06-d131b9567946</t>
        </is>
      </c>
      <c r="D292" t="inlineStr">
        <is>
          <t>11111127</t>
        </is>
      </c>
      <c r="E292" t="inlineStr">
        <is>
          <t>Vodacom Life 20260622</t>
        </is>
      </c>
      <c r="J292" t="inlineStr">
        <is>
          <t>DROP</t>
        </is>
      </c>
      <c r="K292" t="inlineStr">
        <is>
          <t>Dropped</t>
        </is>
      </c>
      <c r="L292" t="n">
        <v>6</v>
      </c>
      <c r="M292" t="inlineStr">
        <is>
          <t>2026-06-29 14:19:39</t>
        </is>
      </c>
      <c r="N292" t="inlineStr">
        <is>
          <t>system</t>
        </is>
      </c>
      <c r="O292" t="inlineStr">
        <is>
          <t>2026-06-22 14:11:25</t>
        </is>
      </c>
      <c r="P292" t="inlineStr">
        <is>
          <t>2026-06-22 14:11:25</t>
        </is>
      </c>
      <c r="Y292" t="inlineStr">
        <is>
          <t>27797918083</t>
        </is>
      </c>
    </row>
    <row r="293">
      <c r="A293" t="inlineStr">
        <is>
          <t>14974357</t>
        </is>
      </c>
      <c r="B293" t="inlineStr">
        <is>
          <t>e64cce7c-ee5f-44a5-a90b-0beeea804563</t>
        </is>
      </c>
      <c r="D293" t="inlineStr">
        <is>
          <t>11111127</t>
        </is>
      </c>
      <c r="E293" t="inlineStr">
        <is>
          <t>Vodacom Life 20260622</t>
        </is>
      </c>
      <c r="H293" t="inlineStr">
        <is>
          <t>27607798375</t>
        </is>
      </c>
      <c r="J293" t="inlineStr">
        <is>
          <t>IABDN</t>
        </is>
      </c>
      <c r="K293" t="inlineStr">
        <is>
          <t>Inbound Abandon</t>
        </is>
      </c>
      <c r="L293" t="n">
        <v>6</v>
      </c>
      <c r="M293" t="inlineStr">
        <is>
          <t>2026-06-29 14:18:58</t>
        </is>
      </c>
      <c r="N293" t="inlineStr">
        <is>
          <t>system</t>
        </is>
      </c>
      <c r="O293" t="inlineStr">
        <is>
          <t>2026-06-22 14:11:25</t>
        </is>
      </c>
      <c r="P293" t="inlineStr">
        <is>
          <t>2026-06-22 14:11:25</t>
        </is>
      </c>
      <c r="Y293" t="inlineStr">
        <is>
          <t>27607798375</t>
        </is>
      </c>
    </row>
    <row r="294">
      <c r="A294" t="inlineStr">
        <is>
          <t>15000000</t>
        </is>
      </c>
      <c r="B294" t="inlineStr">
        <is>
          <t>658e2359-a0eb-460a-9c3d-1842a27f6758</t>
        </is>
      </c>
      <c r="D294" t="inlineStr">
        <is>
          <t>11111127</t>
        </is>
      </c>
      <c r="E294" t="inlineStr">
        <is>
          <t>Vodacom Life 20260622</t>
        </is>
      </c>
      <c r="J294" t="inlineStr">
        <is>
          <t>ADC</t>
        </is>
      </c>
      <c r="K294" t="inlineStr">
        <is>
          <t>Auto Dial Disconnected</t>
        </is>
      </c>
      <c r="L294" t="n">
        <v>6</v>
      </c>
      <c r="M294" t="inlineStr">
        <is>
          <t>2026-06-29 14:17:46</t>
        </is>
      </c>
      <c r="N294" t="inlineStr">
        <is>
          <t>system</t>
        </is>
      </c>
      <c r="O294" t="inlineStr">
        <is>
          <t>2026-06-22 14:11:25</t>
        </is>
      </c>
      <c r="P294" t="inlineStr">
        <is>
          <t>2026-06-22 14:11:25</t>
        </is>
      </c>
      <c r="Y294" t="inlineStr">
        <is>
          <t>27636251036</t>
        </is>
      </c>
    </row>
    <row r="295">
      <c r="A295" t="inlineStr">
        <is>
          <t>14974354</t>
        </is>
      </c>
      <c r="B295" t="inlineStr">
        <is>
          <t>eb6bd0fb-983c-4716-9200-3e12230a5db5</t>
        </is>
      </c>
      <c r="D295" t="inlineStr">
        <is>
          <t>11111127</t>
        </is>
      </c>
      <c r="E295" t="inlineStr">
        <is>
          <t>Vodacom Life 20260622</t>
        </is>
      </c>
      <c r="J295" t="inlineStr">
        <is>
          <t>NA</t>
        </is>
      </c>
      <c r="K295" t="inlineStr">
        <is>
          <t>No Answer Autodial</t>
        </is>
      </c>
      <c r="L295" t="n">
        <v>6</v>
      </c>
      <c r="M295" t="inlineStr">
        <is>
          <t>2026-06-29 14:17:46</t>
        </is>
      </c>
      <c r="N295" t="inlineStr">
        <is>
          <t>system</t>
        </is>
      </c>
      <c r="O295" t="inlineStr">
        <is>
          <t>2026-06-22 14:11:25</t>
        </is>
      </c>
      <c r="P295" t="inlineStr">
        <is>
          <t>2026-06-22 14:11:25</t>
        </is>
      </c>
      <c r="Y295" t="inlineStr">
        <is>
          <t>27722717695</t>
        </is>
      </c>
    </row>
    <row r="296">
      <c r="A296" t="inlineStr">
        <is>
          <t>14974355</t>
        </is>
      </c>
      <c r="B296" t="inlineStr">
        <is>
          <t>185cd644-55a2-4905-9c61-a2cd39e514ae</t>
        </is>
      </c>
      <c r="D296" t="inlineStr">
        <is>
          <t>11111127</t>
        </is>
      </c>
      <c r="E296" t="inlineStr">
        <is>
          <t>Vodacom Life 20260622</t>
        </is>
      </c>
      <c r="J296" t="inlineStr">
        <is>
          <t>AA</t>
        </is>
      </c>
      <c r="K296" t="inlineStr">
        <is>
          <t>Answering Machine Autodial</t>
        </is>
      </c>
      <c r="L296" t="n">
        <v>6</v>
      </c>
      <c r="M296" t="inlineStr">
        <is>
          <t>2026-06-29 14:17:46</t>
        </is>
      </c>
      <c r="N296" t="inlineStr">
        <is>
          <t>system</t>
        </is>
      </c>
      <c r="O296" t="inlineStr">
        <is>
          <t>2026-06-22 14:11:25</t>
        </is>
      </c>
      <c r="P296" t="inlineStr">
        <is>
          <t>2026-06-22 14:11:25</t>
        </is>
      </c>
      <c r="Y296" t="inlineStr">
        <is>
          <t>27725228501</t>
        </is>
      </c>
    </row>
    <row r="297">
      <c r="A297" t="inlineStr">
        <is>
          <t>14974356</t>
        </is>
      </c>
      <c r="B297" t="inlineStr">
        <is>
          <t>e35f9926-9012-4f2a-acdb-1d54bc1af317</t>
        </is>
      </c>
      <c r="D297" t="inlineStr">
        <is>
          <t>11111127</t>
        </is>
      </c>
      <c r="E297" t="inlineStr">
        <is>
          <t>Vodacom Life 20260622</t>
        </is>
      </c>
      <c r="J297" t="inlineStr">
        <is>
          <t>NA</t>
        </is>
      </c>
      <c r="K297" t="inlineStr">
        <is>
          <t>No Answer Autodial</t>
        </is>
      </c>
      <c r="L297" t="n">
        <v>6</v>
      </c>
      <c r="M297" t="inlineStr">
        <is>
          <t>2026-06-29 14:17:37</t>
        </is>
      </c>
      <c r="N297" t="inlineStr">
        <is>
          <t>system</t>
        </is>
      </c>
      <c r="O297" t="inlineStr">
        <is>
          <t>2026-06-22 14:11:25</t>
        </is>
      </c>
      <c r="P297" t="inlineStr">
        <is>
          <t>2026-06-22 14:11:25</t>
        </is>
      </c>
      <c r="Y297" t="inlineStr">
        <is>
          <t>27711440887</t>
        </is>
      </c>
    </row>
    <row r="298">
      <c r="A298" t="inlineStr">
        <is>
          <t>14974358</t>
        </is>
      </c>
      <c r="B298" t="inlineStr">
        <is>
          <t>5c351ceb-4d73-409a-9ba9-578fd7adf762</t>
        </is>
      </c>
      <c r="D298" t="inlineStr">
        <is>
          <t>11111127</t>
        </is>
      </c>
      <c r="E298" t="inlineStr">
        <is>
          <t>Vodacom Life 20260622</t>
        </is>
      </c>
      <c r="J298" t="inlineStr">
        <is>
          <t>AA</t>
        </is>
      </c>
      <c r="K298" t="inlineStr">
        <is>
          <t>Answering Machine Autodial</t>
        </is>
      </c>
      <c r="L298" t="n">
        <v>6</v>
      </c>
      <c r="M298" t="inlineStr">
        <is>
          <t>2026-06-29 14:17:16</t>
        </is>
      </c>
      <c r="N298" t="inlineStr">
        <is>
          <t>system</t>
        </is>
      </c>
      <c r="O298" t="inlineStr">
        <is>
          <t>2026-06-22 14:11:25</t>
        </is>
      </c>
      <c r="P298" t="inlineStr">
        <is>
          <t>2026-06-22 14:11:25</t>
        </is>
      </c>
      <c r="Y298" t="inlineStr">
        <is>
          <t>27646390459</t>
        </is>
      </c>
    </row>
    <row r="299">
      <c r="A299" t="inlineStr">
        <is>
          <t>14974359</t>
        </is>
      </c>
      <c r="B299" t="inlineStr">
        <is>
          <t>988a8def-b8e5-4403-ad26-145ed3b3c925</t>
        </is>
      </c>
      <c r="D299" t="inlineStr">
        <is>
          <t>11111127</t>
        </is>
      </c>
      <c r="E299" t="inlineStr">
        <is>
          <t>Vodacom Life 20260622</t>
        </is>
      </c>
      <c r="J299" t="inlineStr">
        <is>
          <t>NA</t>
        </is>
      </c>
      <c r="K299" t="inlineStr">
        <is>
          <t>No Answer Autodial</t>
        </is>
      </c>
      <c r="L299" t="n">
        <v>6</v>
      </c>
      <c r="M299" t="inlineStr">
        <is>
          <t>2026-06-29 14:17:16</t>
        </is>
      </c>
      <c r="N299" t="inlineStr">
        <is>
          <t>system</t>
        </is>
      </c>
      <c r="O299" t="inlineStr">
        <is>
          <t>2026-06-22 14:11:25</t>
        </is>
      </c>
      <c r="P299" t="inlineStr">
        <is>
          <t>2026-06-22 14:11:25</t>
        </is>
      </c>
      <c r="Y299" t="inlineStr">
        <is>
          <t>27715469247</t>
        </is>
      </c>
    </row>
    <row r="300">
      <c r="A300" t="inlineStr">
        <is>
          <t>14974360</t>
        </is>
      </c>
      <c r="B300" t="inlineStr">
        <is>
          <t>42ece736-d11a-428a-b07a-b81ea5d9ff16</t>
        </is>
      </c>
      <c r="D300" t="inlineStr">
        <is>
          <t>11111127</t>
        </is>
      </c>
      <c r="E300" t="inlineStr">
        <is>
          <t>Vodacom Life 20260622</t>
        </is>
      </c>
      <c r="J300" t="inlineStr">
        <is>
          <t>AE</t>
        </is>
      </c>
      <c r="K300" t="inlineStr">
        <is>
          <t>Auto Engaged</t>
        </is>
      </c>
      <c r="L300" t="n">
        <v>6</v>
      </c>
      <c r="M300" t="inlineStr">
        <is>
          <t>2026-06-29 14:17:16</t>
        </is>
      </c>
      <c r="N300" t="inlineStr">
        <is>
          <t>system</t>
        </is>
      </c>
      <c r="O300" t="inlineStr">
        <is>
          <t>2026-06-22 14:11:25</t>
        </is>
      </c>
      <c r="P300" t="inlineStr">
        <is>
          <t>2026-06-22 14:11:25</t>
        </is>
      </c>
      <c r="Y300" t="inlineStr">
        <is>
          <t>27721576494</t>
        </is>
      </c>
    </row>
    <row r="301">
      <c r="A301" t="inlineStr">
        <is>
          <t>14974361</t>
        </is>
      </c>
      <c r="B301" t="inlineStr">
        <is>
          <t>d303d92c-6f2c-40ee-8372-cd97a3780b39</t>
        </is>
      </c>
      <c r="D301" t="inlineStr">
        <is>
          <t>11111127</t>
        </is>
      </c>
      <c r="E301" t="inlineStr">
        <is>
          <t>Vodacom Life 20260622</t>
        </is>
      </c>
      <c r="H301" t="inlineStr">
        <is>
          <t>27713367878</t>
        </is>
      </c>
      <c r="J301" t="inlineStr">
        <is>
          <t>AA</t>
        </is>
      </c>
      <c r="K301" t="inlineStr">
        <is>
          <t>Answering Machine Autodial</t>
        </is>
      </c>
      <c r="L301" t="n">
        <v>6</v>
      </c>
      <c r="M301" t="inlineStr">
        <is>
          <t>2026-06-29 14:17:16</t>
        </is>
      </c>
      <c r="N301" t="inlineStr">
        <is>
          <t>system</t>
        </is>
      </c>
      <c r="O301" t="inlineStr">
        <is>
          <t>2026-06-22 14:11:25</t>
        </is>
      </c>
      <c r="P301" t="inlineStr">
        <is>
          <t>2026-06-22 14:11:25</t>
        </is>
      </c>
      <c r="Y301" t="inlineStr">
        <is>
          <t>27713367878</t>
        </is>
      </c>
    </row>
    <row r="302">
      <c r="A302" t="inlineStr">
        <is>
          <t>14974362</t>
        </is>
      </c>
      <c r="B302" t="inlineStr">
        <is>
          <t>f5667d1a-1861-4eea-bc46-5ae8fa30107b</t>
        </is>
      </c>
      <c r="D302" t="inlineStr">
        <is>
          <t>11111127</t>
        </is>
      </c>
      <c r="E302" t="inlineStr">
        <is>
          <t>Vodacom Life 20260622</t>
        </is>
      </c>
      <c r="H302" t="inlineStr">
        <is>
          <t>27660000690</t>
        </is>
      </c>
      <c r="J302" t="inlineStr">
        <is>
          <t>CU</t>
        </is>
      </c>
      <c r="K302" t="inlineStr">
        <is>
          <t>Client Hung Up</t>
        </is>
      </c>
      <c r="L302" t="n">
        <v>6</v>
      </c>
      <c r="M302" t="inlineStr">
        <is>
          <t>2026-06-29 14:17:16</t>
        </is>
      </c>
      <c r="N302" t="inlineStr">
        <is>
          <t>Khensane Mabasa</t>
        </is>
      </c>
      <c r="O302" t="inlineStr">
        <is>
          <t>2026-06-22 14:11:25</t>
        </is>
      </c>
      <c r="P302" t="inlineStr">
        <is>
          <t>2026-06-22 14:11:25</t>
        </is>
      </c>
      <c r="Y302" t="inlineStr">
        <is>
          <t>27660000690</t>
        </is>
      </c>
    </row>
    <row r="303">
      <c r="A303" t="inlineStr">
        <is>
          <t>14974619</t>
        </is>
      </c>
      <c r="B303" t="inlineStr">
        <is>
          <t>5d5ea689-aef4-4277-b22f-861490b62891</t>
        </is>
      </c>
      <c r="D303" t="inlineStr">
        <is>
          <t>11111127</t>
        </is>
      </c>
      <c r="E303" t="inlineStr">
        <is>
          <t>Vodacom Life 20260622</t>
        </is>
      </c>
      <c r="H303" t="inlineStr">
        <is>
          <t>27662427838</t>
        </is>
      </c>
      <c r="J303" t="inlineStr">
        <is>
          <t>CBACK</t>
        </is>
      </c>
      <c r="K303" t="inlineStr">
        <is>
          <t>Callback</t>
        </is>
      </c>
      <c r="L303" t="n">
        <v>7</v>
      </c>
      <c r="M303" t="inlineStr">
        <is>
          <t>2026-06-29 14:15:58</t>
        </is>
      </c>
      <c r="N303" t="inlineStr">
        <is>
          <t>Khensane Mabasa</t>
        </is>
      </c>
      <c r="O303" t="inlineStr">
        <is>
          <t>2026-06-22 14:11:25</t>
        </is>
      </c>
      <c r="P303" t="inlineStr">
        <is>
          <t>2026-06-22 14:11:25</t>
        </is>
      </c>
      <c r="Y303" t="inlineStr">
        <is>
          <t>27662427838</t>
        </is>
      </c>
    </row>
    <row r="304">
      <c r="A304" t="inlineStr">
        <is>
          <t>14974663</t>
        </is>
      </c>
      <c r="B304" t="inlineStr">
        <is>
          <t>bb035b9c-4d3d-4553-bad1-17488ea040ab</t>
        </is>
      </c>
      <c r="D304" t="inlineStr">
        <is>
          <t>11111127</t>
        </is>
      </c>
      <c r="E304" t="inlineStr">
        <is>
          <t>Vodacom Life 20260622</t>
        </is>
      </c>
      <c r="J304" t="inlineStr">
        <is>
          <t>AA</t>
        </is>
      </c>
      <c r="K304" t="inlineStr">
        <is>
          <t>Answering Machine Autodial</t>
        </is>
      </c>
      <c r="L304" t="n">
        <v>6</v>
      </c>
      <c r="M304" t="inlineStr">
        <is>
          <t>2026-06-29 14:15:57</t>
        </is>
      </c>
      <c r="N304" t="inlineStr">
        <is>
          <t>system</t>
        </is>
      </c>
      <c r="O304" t="inlineStr">
        <is>
          <t>2026-06-22 14:11:25</t>
        </is>
      </c>
      <c r="P304" t="inlineStr">
        <is>
          <t>2026-06-22 14:11:25</t>
        </is>
      </c>
      <c r="Y304" t="inlineStr">
        <is>
          <t>27716384719</t>
        </is>
      </c>
    </row>
    <row r="305">
      <c r="A305" t="inlineStr">
        <is>
          <t>14974694</t>
        </is>
      </c>
      <c r="B305" t="inlineStr">
        <is>
          <t>9ed02066-9030-49ef-9805-529c927bed23</t>
        </is>
      </c>
      <c r="D305" t="inlineStr">
        <is>
          <t>11111127</t>
        </is>
      </c>
      <c r="E305" t="inlineStr">
        <is>
          <t>Vodacom Life 20260622</t>
        </is>
      </c>
      <c r="J305" t="inlineStr">
        <is>
          <t>AA</t>
        </is>
      </c>
      <c r="K305" t="inlineStr">
        <is>
          <t>Answering Machine Autodial</t>
        </is>
      </c>
      <c r="L305" t="n">
        <v>6</v>
      </c>
      <c r="M305" t="inlineStr">
        <is>
          <t>2026-06-29 14:15:55</t>
        </is>
      </c>
      <c r="N305" t="inlineStr">
        <is>
          <t>system</t>
        </is>
      </c>
      <c r="O305" t="inlineStr">
        <is>
          <t>2026-06-22 14:11:25</t>
        </is>
      </c>
      <c r="P305" t="inlineStr">
        <is>
          <t>2026-06-22 14:11:25</t>
        </is>
      </c>
      <c r="Y305" t="inlineStr">
        <is>
          <t>27721328340</t>
        </is>
      </c>
    </row>
    <row r="306">
      <c r="A306" t="inlineStr">
        <is>
          <t>14974665</t>
        </is>
      </c>
      <c r="B306" t="inlineStr">
        <is>
          <t>5deb4a2a-94c1-49ae-b41b-9eaa6f6b20a8</t>
        </is>
      </c>
      <c r="D306" t="inlineStr">
        <is>
          <t>11111127</t>
        </is>
      </c>
      <c r="E306" t="inlineStr">
        <is>
          <t>Vodacom Life 20260622</t>
        </is>
      </c>
      <c r="J306" t="inlineStr">
        <is>
          <t>AE</t>
        </is>
      </c>
      <c r="K306" t="inlineStr">
        <is>
          <t>Auto Engaged</t>
        </is>
      </c>
      <c r="L306" t="n">
        <v>6</v>
      </c>
      <c r="M306" t="inlineStr">
        <is>
          <t>2026-06-29 14:15:52</t>
        </is>
      </c>
      <c r="N306" t="inlineStr">
        <is>
          <t>system</t>
        </is>
      </c>
      <c r="O306" t="inlineStr">
        <is>
          <t>2026-06-22 14:11:25</t>
        </is>
      </c>
      <c r="P306" t="inlineStr">
        <is>
          <t>2026-06-22 14:11:25</t>
        </is>
      </c>
      <c r="Y306" t="inlineStr">
        <is>
          <t>27712976128</t>
        </is>
      </c>
    </row>
    <row r="307">
      <c r="A307" t="inlineStr">
        <is>
          <t>14974676</t>
        </is>
      </c>
      <c r="B307" t="inlineStr">
        <is>
          <t>993e40ca-c092-42e0-b8fe-91c78a15bf24</t>
        </is>
      </c>
      <c r="D307" t="inlineStr">
        <is>
          <t>11111127</t>
        </is>
      </c>
      <c r="E307" t="inlineStr">
        <is>
          <t>Vodacom Life 20260622</t>
        </is>
      </c>
      <c r="J307" t="inlineStr">
        <is>
          <t>AE</t>
        </is>
      </c>
      <c r="K307" t="inlineStr">
        <is>
          <t>Auto Engaged</t>
        </is>
      </c>
      <c r="L307" t="n">
        <v>6</v>
      </c>
      <c r="M307" t="inlineStr">
        <is>
          <t>2026-06-29 14:15:52</t>
        </is>
      </c>
      <c r="N307" t="inlineStr">
        <is>
          <t>system</t>
        </is>
      </c>
      <c r="O307" t="inlineStr">
        <is>
          <t>2026-06-22 14:11:25</t>
        </is>
      </c>
      <c r="P307" t="inlineStr">
        <is>
          <t>2026-06-22 14:11:25</t>
        </is>
      </c>
      <c r="Y307" t="inlineStr">
        <is>
          <t>27724553344</t>
        </is>
      </c>
    </row>
    <row r="308">
      <c r="A308" t="inlineStr">
        <is>
          <t>14974685</t>
        </is>
      </c>
      <c r="B308" t="inlineStr">
        <is>
          <t>2d205299-ea61-4f67-abfc-6297f8c22da8</t>
        </is>
      </c>
      <c r="D308" t="inlineStr">
        <is>
          <t>11111127</t>
        </is>
      </c>
      <c r="E308" t="inlineStr">
        <is>
          <t>Vodacom Life 20260622</t>
        </is>
      </c>
      <c r="J308" t="inlineStr">
        <is>
          <t>AA</t>
        </is>
      </c>
      <c r="K308" t="inlineStr">
        <is>
          <t>Answering Machine Autodial</t>
        </is>
      </c>
      <c r="L308" t="n">
        <v>6</v>
      </c>
      <c r="M308" t="inlineStr">
        <is>
          <t>2026-06-29 14:15:52</t>
        </is>
      </c>
      <c r="N308" t="inlineStr">
        <is>
          <t>system</t>
        </is>
      </c>
      <c r="O308" t="inlineStr">
        <is>
          <t>2026-06-22 14:11:25</t>
        </is>
      </c>
      <c r="P308" t="inlineStr">
        <is>
          <t>2026-06-22 14:11:25</t>
        </is>
      </c>
      <c r="Y308" t="inlineStr">
        <is>
          <t>27762348659</t>
        </is>
      </c>
    </row>
    <row r="309">
      <c r="A309" t="inlineStr">
        <is>
          <t>14974661</t>
        </is>
      </c>
      <c r="B309" t="inlineStr">
        <is>
          <t>2761d558-1568-4884-ba48-18a650e776ad</t>
        </is>
      </c>
      <c r="D309" t="inlineStr">
        <is>
          <t>11111127</t>
        </is>
      </c>
      <c r="E309" t="inlineStr">
        <is>
          <t>Vodacom Life 20260622</t>
        </is>
      </c>
      <c r="J309" t="inlineStr">
        <is>
          <t>AA</t>
        </is>
      </c>
      <c r="K309" t="inlineStr">
        <is>
          <t>Answering Machine Autodial</t>
        </is>
      </c>
      <c r="L309" t="n">
        <v>6</v>
      </c>
      <c r="M309" t="inlineStr">
        <is>
          <t>2026-06-29 14:15:51</t>
        </is>
      </c>
      <c r="N309" t="inlineStr">
        <is>
          <t>system</t>
        </is>
      </c>
      <c r="O309" t="inlineStr">
        <is>
          <t>2026-06-22 14:11:25</t>
        </is>
      </c>
      <c r="P309" t="inlineStr">
        <is>
          <t>2026-06-22 14:11:25</t>
        </is>
      </c>
      <c r="Y309" t="inlineStr">
        <is>
          <t>27647686378</t>
        </is>
      </c>
    </row>
    <row r="310">
      <c r="A310" t="inlineStr">
        <is>
          <t>14974669</t>
        </is>
      </c>
      <c r="B310" t="inlineStr">
        <is>
          <t>c274cf79-3ad9-40fb-b999-5da1c4b59cb4</t>
        </is>
      </c>
      <c r="D310" t="inlineStr">
        <is>
          <t>11111127</t>
        </is>
      </c>
      <c r="E310" t="inlineStr">
        <is>
          <t>Vodacom Life 20260622</t>
        </is>
      </c>
      <c r="J310" t="inlineStr">
        <is>
          <t>AA</t>
        </is>
      </c>
      <c r="K310" t="inlineStr">
        <is>
          <t>Answering Machine Autodial</t>
        </is>
      </c>
      <c r="L310" t="n">
        <v>6</v>
      </c>
      <c r="M310" t="inlineStr">
        <is>
          <t>2026-06-29 14:15:51</t>
        </is>
      </c>
      <c r="N310" t="inlineStr">
        <is>
          <t>system</t>
        </is>
      </c>
      <c r="O310" t="inlineStr">
        <is>
          <t>2026-06-22 14:11:25</t>
        </is>
      </c>
      <c r="P310" t="inlineStr">
        <is>
          <t>2026-06-22 14:11:25</t>
        </is>
      </c>
      <c r="Y310" t="inlineStr">
        <is>
          <t>27714066165</t>
        </is>
      </c>
    </row>
    <row r="311">
      <c r="A311" t="inlineStr">
        <is>
          <t>14974666</t>
        </is>
      </c>
      <c r="B311" t="inlineStr">
        <is>
          <t>7eac51bf-bd46-4a6d-b958-965f53604af6</t>
        </is>
      </c>
      <c r="D311" t="inlineStr">
        <is>
          <t>11111127</t>
        </is>
      </c>
      <c r="E311" t="inlineStr">
        <is>
          <t>Vodacom Life 20260622</t>
        </is>
      </c>
      <c r="J311" t="inlineStr">
        <is>
          <t>DROP</t>
        </is>
      </c>
      <c r="K311" t="inlineStr">
        <is>
          <t>Dropped</t>
        </is>
      </c>
      <c r="L311" t="n">
        <v>6</v>
      </c>
      <c r="M311" t="inlineStr">
        <is>
          <t>2026-06-29 14:15:12</t>
        </is>
      </c>
      <c r="N311" t="inlineStr">
        <is>
          <t>system</t>
        </is>
      </c>
      <c r="O311" t="inlineStr">
        <is>
          <t>2026-06-22 14:11:25</t>
        </is>
      </c>
      <c r="P311" t="inlineStr">
        <is>
          <t>2026-06-22 14:11:25</t>
        </is>
      </c>
      <c r="Y311" t="inlineStr">
        <is>
          <t>27665092486</t>
        </is>
      </c>
    </row>
    <row r="312">
      <c r="A312" t="inlineStr">
        <is>
          <t>14974681</t>
        </is>
      </c>
      <c r="B312" t="inlineStr">
        <is>
          <t>8e6c5fa2-e597-405b-b5f1-5028dd923e5e</t>
        </is>
      </c>
      <c r="D312" t="inlineStr">
        <is>
          <t>11111127</t>
        </is>
      </c>
      <c r="E312" t="inlineStr">
        <is>
          <t>Vodacom Life 20260622</t>
        </is>
      </c>
      <c r="J312" t="inlineStr">
        <is>
          <t>AA</t>
        </is>
      </c>
      <c r="K312" t="inlineStr">
        <is>
          <t>Answering Machine Autodial</t>
        </is>
      </c>
      <c r="L312" t="n">
        <v>6</v>
      </c>
      <c r="M312" t="inlineStr">
        <is>
          <t>2026-06-29 14:15:12</t>
        </is>
      </c>
      <c r="N312" t="inlineStr">
        <is>
          <t>system</t>
        </is>
      </c>
      <c r="O312" t="inlineStr">
        <is>
          <t>2026-06-22 14:11:25</t>
        </is>
      </c>
      <c r="P312" t="inlineStr">
        <is>
          <t>2026-06-22 14:11:25</t>
        </is>
      </c>
      <c r="Y312" t="inlineStr">
        <is>
          <t>27673060747</t>
        </is>
      </c>
    </row>
    <row r="313">
      <c r="A313" t="inlineStr">
        <is>
          <t>14974690</t>
        </is>
      </c>
      <c r="B313" t="inlineStr">
        <is>
          <t>226a8ca0-c29e-4750-acbd-eacc8f678e1a</t>
        </is>
      </c>
      <c r="D313" t="inlineStr">
        <is>
          <t>11111127</t>
        </is>
      </c>
      <c r="E313" t="inlineStr">
        <is>
          <t>Vodacom Life 20260622</t>
        </is>
      </c>
      <c r="J313" t="inlineStr">
        <is>
          <t>AA</t>
        </is>
      </c>
      <c r="K313" t="inlineStr">
        <is>
          <t>Answering Machine Autodial</t>
        </is>
      </c>
      <c r="L313" t="n">
        <v>6</v>
      </c>
      <c r="M313" t="inlineStr">
        <is>
          <t>2026-06-29 14:15:12</t>
        </is>
      </c>
      <c r="N313" t="inlineStr">
        <is>
          <t>system</t>
        </is>
      </c>
      <c r="O313" t="inlineStr">
        <is>
          <t>2026-06-22 14:11:25</t>
        </is>
      </c>
      <c r="P313" t="inlineStr">
        <is>
          <t>2026-06-22 14:11:25</t>
        </is>
      </c>
      <c r="Y313" t="inlineStr">
        <is>
          <t>27729411915</t>
        </is>
      </c>
    </row>
    <row r="314">
      <c r="A314" t="inlineStr">
        <is>
          <t>14974679</t>
        </is>
      </c>
      <c r="B314" t="inlineStr">
        <is>
          <t>d385ba1a-33cb-4ee1-a1c6-1357d3cca048</t>
        </is>
      </c>
      <c r="D314" t="inlineStr">
        <is>
          <t>11111127</t>
        </is>
      </c>
      <c r="E314" t="inlineStr">
        <is>
          <t>Vodacom Life 20260622</t>
        </is>
      </c>
      <c r="J314" t="inlineStr">
        <is>
          <t>AA</t>
        </is>
      </c>
      <c r="K314" t="inlineStr">
        <is>
          <t>Answering Machine Autodial</t>
        </is>
      </c>
      <c r="L314" t="n">
        <v>6</v>
      </c>
      <c r="M314" t="inlineStr">
        <is>
          <t>2026-06-29 14:15:11</t>
        </is>
      </c>
      <c r="N314" t="inlineStr">
        <is>
          <t>system</t>
        </is>
      </c>
      <c r="O314" t="inlineStr">
        <is>
          <t>2026-06-22 14:11:25</t>
        </is>
      </c>
      <c r="P314" t="inlineStr">
        <is>
          <t>2026-06-22 14:11:25</t>
        </is>
      </c>
      <c r="Y314" t="inlineStr">
        <is>
          <t>27646444893</t>
        </is>
      </c>
    </row>
    <row r="315">
      <c r="A315" t="inlineStr">
        <is>
          <t>14974686</t>
        </is>
      </c>
      <c r="B315" t="inlineStr">
        <is>
          <t>e94a5def-0887-4a7c-9d15-c7e40e38a399</t>
        </is>
      </c>
      <c r="D315" t="inlineStr">
        <is>
          <t>11111127</t>
        </is>
      </c>
      <c r="E315" t="inlineStr">
        <is>
          <t>Vodacom Life 20260622</t>
        </is>
      </c>
      <c r="J315" t="inlineStr">
        <is>
          <t>AE</t>
        </is>
      </c>
      <c r="K315" t="inlineStr">
        <is>
          <t>Auto Engaged</t>
        </is>
      </c>
      <c r="L315" t="n">
        <v>6</v>
      </c>
      <c r="M315" t="inlineStr">
        <is>
          <t>2026-06-29 14:15:08</t>
        </is>
      </c>
      <c r="N315" t="inlineStr">
        <is>
          <t>system</t>
        </is>
      </c>
      <c r="O315" t="inlineStr">
        <is>
          <t>2026-06-22 14:11:25</t>
        </is>
      </c>
      <c r="P315" t="inlineStr">
        <is>
          <t>2026-06-22 14:11:25</t>
        </is>
      </c>
      <c r="Y315" t="inlineStr">
        <is>
          <t>27764592025</t>
        </is>
      </c>
    </row>
    <row r="316">
      <c r="A316" t="inlineStr">
        <is>
          <t>14974687</t>
        </is>
      </c>
      <c r="B316" t="inlineStr">
        <is>
          <t>c3cf86df-5867-4fb0-b6f3-19fab37a378f</t>
        </is>
      </c>
      <c r="D316" t="inlineStr">
        <is>
          <t>11111127</t>
        </is>
      </c>
      <c r="E316" t="inlineStr">
        <is>
          <t>Vodacom Life 20260622</t>
        </is>
      </c>
      <c r="J316" t="inlineStr">
        <is>
          <t>AE</t>
        </is>
      </c>
      <c r="K316" t="inlineStr">
        <is>
          <t>Auto Engaged</t>
        </is>
      </c>
      <c r="L316" t="n">
        <v>6</v>
      </c>
      <c r="M316" t="inlineStr">
        <is>
          <t>2026-06-29 14:15:08</t>
        </is>
      </c>
      <c r="N316" t="inlineStr">
        <is>
          <t>system</t>
        </is>
      </c>
      <c r="O316" t="inlineStr">
        <is>
          <t>2026-06-22 14:11:25</t>
        </is>
      </c>
      <c r="P316" t="inlineStr">
        <is>
          <t>2026-06-22 14:11:25</t>
        </is>
      </c>
      <c r="Y316" t="inlineStr">
        <is>
          <t>27727576787</t>
        </is>
      </c>
    </row>
    <row r="317">
      <c r="A317" t="inlineStr">
        <is>
          <t>14974695</t>
        </is>
      </c>
      <c r="B317" t="inlineStr">
        <is>
          <t>d591c163-4892-471b-96e0-a7e43ad00b06</t>
        </is>
      </c>
      <c r="D317" t="inlineStr">
        <is>
          <t>11111127</t>
        </is>
      </c>
      <c r="E317" t="inlineStr">
        <is>
          <t>Vodacom Life 20260622</t>
        </is>
      </c>
      <c r="H317" t="inlineStr">
        <is>
          <t>27724213689</t>
        </is>
      </c>
      <c r="J317" t="inlineStr">
        <is>
          <t>AA</t>
        </is>
      </c>
      <c r="K317" t="inlineStr">
        <is>
          <t>Answering Machine Autodial</t>
        </is>
      </c>
      <c r="L317" t="n">
        <v>6</v>
      </c>
      <c r="M317" t="inlineStr">
        <is>
          <t>2026-06-29 14:15:08</t>
        </is>
      </c>
      <c r="N317" t="inlineStr">
        <is>
          <t>system</t>
        </is>
      </c>
      <c r="O317" t="inlineStr">
        <is>
          <t>2026-06-22 14:11:25</t>
        </is>
      </c>
      <c r="P317" t="inlineStr">
        <is>
          <t>2026-06-22 14:11:25</t>
        </is>
      </c>
      <c r="Y317" t="inlineStr">
        <is>
          <t>27724213689</t>
        </is>
      </c>
    </row>
    <row r="318">
      <c r="A318" t="inlineStr">
        <is>
          <t>14974696</t>
        </is>
      </c>
      <c r="B318" t="inlineStr">
        <is>
          <t>8f975144-3e5c-4eed-b414-6f0d76cc6c2a</t>
        </is>
      </c>
      <c r="D318" t="inlineStr">
        <is>
          <t>11111127</t>
        </is>
      </c>
      <c r="E318" t="inlineStr">
        <is>
          <t>Vodacom Life 20260622</t>
        </is>
      </c>
      <c r="J318" t="inlineStr">
        <is>
          <t>AE</t>
        </is>
      </c>
      <c r="K318" t="inlineStr">
        <is>
          <t>Auto Engaged</t>
        </is>
      </c>
      <c r="L318" t="n">
        <v>6</v>
      </c>
      <c r="M318" t="inlineStr">
        <is>
          <t>2026-06-29 14:15:08</t>
        </is>
      </c>
      <c r="N318" t="inlineStr">
        <is>
          <t>system</t>
        </is>
      </c>
      <c r="O318" t="inlineStr">
        <is>
          <t>2026-06-22 14:11:25</t>
        </is>
      </c>
      <c r="P318" t="inlineStr">
        <is>
          <t>2026-06-22 14:11:25</t>
        </is>
      </c>
      <c r="Y318" t="inlineStr">
        <is>
          <t>27726200204</t>
        </is>
      </c>
    </row>
    <row r="319">
      <c r="A319" t="inlineStr">
        <is>
          <t>14973876</t>
        </is>
      </c>
      <c r="B319" t="inlineStr">
        <is>
          <t>d9ab39d7-79b9-4cca-8c21-d50ae050087d</t>
        </is>
      </c>
      <c r="D319" t="inlineStr">
        <is>
          <t>11111127</t>
        </is>
      </c>
      <c r="E319" t="inlineStr">
        <is>
          <t>Vodacom Life 20260622</t>
        </is>
      </c>
      <c r="J319" t="inlineStr">
        <is>
          <t>AA</t>
        </is>
      </c>
      <c r="K319" t="inlineStr">
        <is>
          <t>Answering Machine Autodial</t>
        </is>
      </c>
      <c r="L319" t="n">
        <v>6</v>
      </c>
      <c r="M319" t="inlineStr">
        <is>
          <t>2026-06-29 14:14:39</t>
        </is>
      </c>
      <c r="N319" t="inlineStr">
        <is>
          <t>system</t>
        </is>
      </c>
      <c r="O319" t="inlineStr">
        <is>
          <t>2026-06-22 14:11:25</t>
        </is>
      </c>
      <c r="P319" t="inlineStr">
        <is>
          <t>2026-06-22 14:11:25</t>
        </is>
      </c>
      <c r="Y319" t="inlineStr">
        <is>
          <t>27790517990</t>
        </is>
      </c>
    </row>
    <row r="320">
      <c r="A320" t="inlineStr">
        <is>
          <t>14974674</t>
        </is>
      </c>
      <c r="B320" t="inlineStr">
        <is>
          <t>1b9f3b5c-8180-48ca-b6a4-8d846421b411</t>
        </is>
      </c>
      <c r="D320" t="inlineStr">
        <is>
          <t>11111127</t>
        </is>
      </c>
      <c r="E320" t="inlineStr">
        <is>
          <t>Vodacom Life 20260622</t>
        </is>
      </c>
      <c r="J320" t="inlineStr">
        <is>
          <t>AA</t>
        </is>
      </c>
      <c r="K320" t="inlineStr">
        <is>
          <t>Answering Machine Autodial</t>
        </is>
      </c>
      <c r="L320" t="n">
        <v>6</v>
      </c>
      <c r="M320" t="inlineStr">
        <is>
          <t>2026-06-29 14:14:31</t>
        </is>
      </c>
      <c r="N320" t="inlineStr">
        <is>
          <t>system</t>
        </is>
      </c>
      <c r="O320" t="inlineStr">
        <is>
          <t>2026-06-22 14:11:25</t>
        </is>
      </c>
      <c r="P320" t="inlineStr">
        <is>
          <t>2026-06-22 14:11:25</t>
        </is>
      </c>
      <c r="Y320" t="inlineStr">
        <is>
          <t>27661437763</t>
        </is>
      </c>
    </row>
    <row r="321">
      <c r="A321" t="inlineStr">
        <is>
          <t>14974693</t>
        </is>
      </c>
      <c r="B321" t="inlineStr">
        <is>
          <t>3079ecd8-4f25-4f5f-9748-67800936ba80</t>
        </is>
      </c>
      <c r="D321" t="inlineStr">
        <is>
          <t>11111127</t>
        </is>
      </c>
      <c r="E321" t="inlineStr">
        <is>
          <t>Vodacom Life 20260622</t>
        </is>
      </c>
      <c r="H321" t="inlineStr">
        <is>
          <t>27818590231</t>
        </is>
      </c>
      <c r="J321" t="inlineStr">
        <is>
          <t>AA</t>
        </is>
      </c>
      <c r="K321" t="inlineStr">
        <is>
          <t>Answering Machine Autodial</t>
        </is>
      </c>
      <c r="L321" t="n">
        <v>6</v>
      </c>
      <c r="M321" t="inlineStr">
        <is>
          <t>2026-06-29 14:14:30</t>
        </is>
      </c>
      <c r="N321" t="inlineStr">
        <is>
          <t>system</t>
        </is>
      </c>
      <c r="O321" t="inlineStr">
        <is>
          <t>2026-06-22 14:11:25</t>
        </is>
      </c>
      <c r="P321" t="inlineStr">
        <is>
          <t>2026-06-22 14:11:25</t>
        </is>
      </c>
      <c r="Y321" t="inlineStr">
        <is>
          <t>27818590231</t>
        </is>
      </c>
    </row>
    <row r="322">
      <c r="A322" t="inlineStr">
        <is>
          <t>14974682</t>
        </is>
      </c>
      <c r="B322" t="inlineStr">
        <is>
          <t>9f4ca0dc-5d9d-406a-a5c5-2ae61793d8ec</t>
        </is>
      </c>
      <c r="D322" t="inlineStr">
        <is>
          <t>11111127</t>
        </is>
      </c>
      <c r="E322" t="inlineStr">
        <is>
          <t>Vodacom Life 20260622</t>
        </is>
      </c>
      <c r="J322" t="inlineStr">
        <is>
          <t>AA</t>
        </is>
      </c>
      <c r="K322" t="inlineStr">
        <is>
          <t>Answering Machine Autodial</t>
        </is>
      </c>
      <c r="L322" t="n">
        <v>6</v>
      </c>
      <c r="M322" t="inlineStr">
        <is>
          <t>2026-06-29 14:14:26</t>
        </is>
      </c>
      <c r="N322" t="inlineStr">
        <is>
          <t>system</t>
        </is>
      </c>
      <c r="O322" t="inlineStr">
        <is>
          <t>2026-06-22 14:11:25</t>
        </is>
      </c>
      <c r="P322" t="inlineStr">
        <is>
          <t>2026-06-22 14:11:25</t>
        </is>
      </c>
      <c r="Y322" t="inlineStr">
        <is>
          <t>27825472676</t>
        </is>
      </c>
    </row>
    <row r="323">
      <c r="A323" t="inlineStr">
        <is>
          <t>14974689</t>
        </is>
      </c>
      <c r="B323" t="inlineStr">
        <is>
          <t>cdaf1982-098d-4855-9155-f7f5f85ad946</t>
        </is>
      </c>
      <c r="D323" t="inlineStr">
        <is>
          <t>11111127</t>
        </is>
      </c>
      <c r="E323" t="inlineStr">
        <is>
          <t>Vodacom Life 20260622</t>
        </is>
      </c>
      <c r="H323" t="inlineStr">
        <is>
          <t>27761202230</t>
        </is>
      </c>
      <c r="J323" t="inlineStr">
        <is>
          <t>CCB</t>
        </is>
      </c>
      <c r="K323" t="inlineStr">
        <is>
          <t>Call Dropped</t>
        </is>
      </c>
      <c r="L323" t="n">
        <v>6</v>
      </c>
      <c r="M323" t="inlineStr">
        <is>
          <t>2026-06-29 14:14:21</t>
        </is>
      </c>
      <c r="N323" t="inlineStr">
        <is>
          <t>Khensane Mabasa</t>
        </is>
      </c>
      <c r="O323" t="inlineStr">
        <is>
          <t>2026-06-22 14:11:25</t>
        </is>
      </c>
      <c r="P323" t="inlineStr">
        <is>
          <t>2026-06-22 14:11:25</t>
        </is>
      </c>
      <c r="Y323" t="inlineStr">
        <is>
          <t>27761202230</t>
        </is>
      </c>
    </row>
    <row r="324">
      <c r="A324" t="inlineStr">
        <is>
          <t>14973867</t>
        </is>
      </c>
      <c r="B324" t="inlineStr">
        <is>
          <t>20862289-b19c-4e30-a26f-81003e4be7e3</t>
        </is>
      </c>
      <c r="D324" t="inlineStr">
        <is>
          <t>11111127</t>
        </is>
      </c>
      <c r="E324" t="inlineStr">
        <is>
          <t>Vodacom Life 20260622</t>
        </is>
      </c>
      <c r="J324" t="inlineStr">
        <is>
          <t>AA</t>
        </is>
      </c>
      <c r="K324" t="inlineStr">
        <is>
          <t>Answering Machine Autodial</t>
        </is>
      </c>
      <c r="L324" t="n">
        <v>6</v>
      </c>
      <c r="M324" t="inlineStr">
        <is>
          <t>2026-06-29 14:14:13</t>
        </is>
      </c>
      <c r="N324" t="inlineStr">
        <is>
          <t>system</t>
        </is>
      </c>
      <c r="O324" t="inlineStr">
        <is>
          <t>2026-06-22 14:11:25</t>
        </is>
      </c>
      <c r="P324" t="inlineStr">
        <is>
          <t>2026-06-22 14:11:25</t>
        </is>
      </c>
      <c r="Y324" t="inlineStr">
        <is>
          <t>27721358727</t>
        </is>
      </c>
    </row>
    <row r="325">
      <c r="A325" t="inlineStr">
        <is>
          <t>14973863</t>
        </is>
      </c>
      <c r="B325" t="inlineStr">
        <is>
          <t>40a97267-2524-409a-aaca-5abf75dfc543</t>
        </is>
      </c>
      <c r="D325" t="inlineStr">
        <is>
          <t>11111127</t>
        </is>
      </c>
      <c r="E325" t="inlineStr">
        <is>
          <t>Vodacom Life 20260622</t>
        </is>
      </c>
      <c r="J325" t="inlineStr">
        <is>
          <t>ADC</t>
        </is>
      </c>
      <c r="K325" t="inlineStr">
        <is>
          <t>Auto Dial Disconnected</t>
        </is>
      </c>
      <c r="L325" t="n">
        <v>6</v>
      </c>
      <c r="M325" t="inlineStr">
        <is>
          <t>2026-06-29 14:14:11</t>
        </is>
      </c>
      <c r="N325" t="inlineStr">
        <is>
          <t>system</t>
        </is>
      </c>
      <c r="O325" t="inlineStr">
        <is>
          <t>2026-06-22 14:11:25</t>
        </is>
      </c>
      <c r="P325" t="inlineStr">
        <is>
          <t>2026-06-22 14:11:25</t>
        </is>
      </c>
      <c r="Y325" t="inlineStr">
        <is>
          <t>27824254919</t>
        </is>
      </c>
    </row>
    <row r="326">
      <c r="A326" t="inlineStr">
        <is>
          <t>14973864</t>
        </is>
      </c>
      <c r="B326" t="inlineStr">
        <is>
          <t>4232dadf-b651-4d4e-be5d-afe14e7a105c</t>
        </is>
      </c>
      <c r="D326" t="inlineStr">
        <is>
          <t>11111127</t>
        </is>
      </c>
      <c r="E326" t="inlineStr">
        <is>
          <t>Vodacom Life 20260622</t>
        </is>
      </c>
      <c r="J326" t="inlineStr">
        <is>
          <t>A</t>
        </is>
      </c>
      <c r="K326" t="inlineStr">
        <is>
          <t>Answering Machine</t>
        </is>
      </c>
      <c r="L326" t="n">
        <v>6</v>
      </c>
      <c r="M326" t="inlineStr">
        <is>
          <t>2026-06-29 14:14:11</t>
        </is>
      </c>
      <c r="N326" t="inlineStr">
        <is>
          <t>Khensane Mabasa</t>
        </is>
      </c>
      <c r="O326" t="inlineStr">
        <is>
          <t>2026-06-22 14:11:25</t>
        </is>
      </c>
      <c r="P326" t="inlineStr">
        <is>
          <t>2026-06-22 14:11:25</t>
        </is>
      </c>
      <c r="Y326" t="inlineStr">
        <is>
          <t>27820753831</t>
        </is>
      </c>
    </row>
    <row r="327">
      <c r="A327" t="inlineStr">
        <is>
          <t>14973865</t>
        </is>
      </c>
      <c r="B327" t="inlineStr">
        <is>
          <t>79cbabf4-1469-4509-bf71-8b63324bab7a</t>
        </is>
      </c>
      <c r="D327" t="inlineStr">
        <is>
          <t>11111127</t>
        </is>
      </c>
      <c r="E327" t="inlineStr">
        <is>
          <t>Vodacom Life 20260622</t>
        </is>
      </c>
      <c r="J327" t="inlineStr">
        <is>
          <t>AA</t>
        </is>
      </c>
      <c r="K327" t="inlineStr">
        <is>
          <t>Answering Machine Autodial</t>
        </is>
      </c>
      <c r="L327" t="n">
        <v>6</v>
      </c>
      <c r="M327" t="inlineStr">
        <is>
          <t>2026-06-29 14:14:11</t>
        </is>
      </c>
      <c r="N327" t="inlineStr">
        <is>
          <t>system</t>
        </is>
      </c>
      <c r="O327" t="inlineStr">
        <is>
          <t>2026-06-22 14:11:25</t>
        </is>
      </c>
      <c r="P327" t="inlineStr">
        <is>
          <t>2026-06-22 14:11:25</t>
        </is>
      </c>
      <c r="Y327" t="inlineStr">
        <is>
          <t>27760378668</t>
        </is>
      </c>
    </row>
    <row r="328">
      <c r="A328" t="inlineStr">
        <is>
          <t>14973862</t>
        </is>
      </c>
      <c r="B328" t="inlineStr">
        <is>
          <t>a730f94f-20d7-4a3c-ab5f-cb31409726d9</t>
        </is>
      </c>
      <c r="D328" t="inlineStr">
        <is>
          <t>11111127</t>
        </is>
      </c>
      <c r="E328" t="inlineStr">
        <is>
          <t>Vodacom Life 20260622</t>
        </is>
      </c>
      <c r="J328" t="inlineStr">
        <is>
          <t>AA</t>
        </is>
      </c>
      <c r="K328" t="inlineStr">
        <is>
          <t>Answering Machine Autodial</t>
        </is>
      </c>
      <c r="L328" t="n">
        <v>6</v>
      </c>
      <c r="M328" t="inlineStr">
        <is>
          <t>2026-06-29 14:14:10</t>
        </is>
      </c>
      <c r="N328" t="inlineStr">
        <is>
          <t>system</t>
        </is>
      </c>
      <c r="O328" t="inlineStr">
        <is>
          <t>2026-06-22 14:11:25</t>
        </is>
      </c>
      <c r="P328" t="inlineStr">
        <is>
          <t>2026-06-22 14:11:25</t>
        </is>
      </c>
      <c r="Y328" t="inlineStr">
        <is>
          <t>27769237210</t>
        </is>
      </c>
    </row>
    <row r="329">
      <c r="A329" t="inlineStr">
        <is>
          <t>14974157</t>
        </is>
      </c>
      <c r="B329" t="inlineStr">
        <is>
          <t>a6960f82-7265-468d-9a39-4a9f589c4657</t>
        </is>
      </c>
      <c r="D329" t="inlineStr">
        <is>
          <t>11111127</t>
        </is>
      </c>
      <c r="E329" t="inlineStr">
        <is>
          <t>Vodacom Life 20260622</t>
        </is>
      </c>
      <c r="H329" t="inlineStr">
        <is>
          <t>27710681894</t>
        </is>
      </c>
      <c r="J329" t="inlineStr">
        <is>
          <t>AA</t>
        </is>
      </c>
      <c r="K329" t="inlineStr">
        <is>
          <t>Answering Machine Autodial</t>
        </is>
      </c>
      <c r="L329" t="n">
        <v>6</v>
      </c>
      <c r="M329" t="inlineStr">
        <is>
          <t>2026-06-29 14:14:10</t>
        </is>
      </c>
      <c r="N329" t="inlineStr">
        <is>
          <t>system</t>
        </is>
      </c>
      <c r="O329" t="inlineStr">
        <is>
          <t>2026-06-22 14:11:25</t>
        </is>
      </c>
      <c r="P329" t="inlineStr">
        <is>
          <t>2026-06-22 14:11:25</t>
        </is>
      </c>
      <c r="Y329" t="inlineStr">
        <is>
          <t>27710681894</t>
        </is>
      </c>
    </row>
    <row r="330">
      <c r="A330" t="inlineStr">
        <is>
          <t>14973860</t>
        </is>
      </c>
      <c r="B330" t="inlineStr">
        <is>
          <t>9b500f17-5d55-4b3f-ab0f-cf96ebbaa70c</t>
        </is>
      </c>
      <c r="D330" t="inlineStr">
        <is>
          <t>11111127</t>
        </is>
      </c>
      <c r="E330" t="inlineStr">
        <is>
          <t>Vodacom Life 20260622</t>
        </is>
      </c>
      <c r="J330" t="inlineStr">
        <is>
          <t>CU</t>
        </is>
      </c>
      <c r="K330" t="inlineStr">
        <is>
          <t>Client Hung Up</t>
        </is>
      </c>
      <c r="L330" t="n">
        <v>6</v>
      </c>
      <c r="M330" t="inlineStr">
        <is>
          <t>2026-06-29 14:13:22</t>
        </is>
      </c>
      <c r="N330" t="inlineStr">
        <is>
          <t>Khensane Mabasa</t>
        </is>
      </c>
      <c r="O330" t="inlineStr">
        <is>
          <t>2026-06-22 14:11:25</t>
        </is>
      </c>
      <c r="P330" t="inlineStr">
        <is>
          <t>2026-06-22 14:11:25</t>
        </is>
      </c>
      <c r="Y330" t="inlineStr">
        <is>
          <t>27722656462</t>
        </is>
      </c>
    </row>
    <row r="331">
      <c r="A331" t="inlineStr">
        <is>
          <t>14973857</t>
        </is>
      </c>
      <c r="B331" t="inlineStr">
        <is>
          <t>9479b6b5-ef44-49ec-9da1-ad0766c5b1c3</t>
        </is>
      </c>
      <c r="D331" t="inlineStr">
        <is>
          <t>11111127</t>
        </is>
      </c>
      <c r="E331" t="inlineStr">
        <is>
          <t>Vodacom Life 20260622</t>
        </is>
      </c>
      <c r="J331" t="inlineStr">
        <is>
          <t>AE</t>
        </is>
      </c>
      <c r="K331" t="inlineStr">
        <is>
          <t>Auto Engaged</t>
        </is>
      </c>
      <c r="L331" t="n">
        <v>6</v>
      </c>
      <c r="M331" t="inlineStr">
        <is>
          <t>2026-06-29 14:13:19</t>
        </is>
      </c>
      <c r="N331" t="inlineStr">
        <is>
          <t>system</t>
        </is>
      </c>
      <c r="O331" t="inlineStr">
        <is>
          <t>2026-06-22 14:11:25</t>
        </is>
      </c>
      <c r="P331" t="inlineStr">
        <is>
          <t>2026-06-22 14:11:25</t>
        </is>
      </c>
      <c r="Y331" t="inlineStr">
        <is>
          <t>27825824021</t>
        </is>
      </c>
    </row>
    <row r="332">
      <c r="A332" t="inlineStr">
        <is>
          <t>14973858</t>
        </is>
      </c>
      <c r="B332" t="inlineStr">
        <is>
          <t>b2491df2-4b0e-4bbe-b88c-7e19d45c886a</t>
        </is>
      </c>
      <c r="D332" t="inlineStr">
        <is>
          <t>11111127</t>
        </is>
      </c>
      <c r="E332" t="inlineStr">
        <is>
          <t>Vodacom Life 20260622</t>
        </is>
      </c>
      <c r="J332" t="inlineStr">
        <is>
          <t>AA</t>
        </is>
      </c>
      <c r="K332" t="inlineStr">
        <is>
          <t>Answering Machine Autodial</t>
        </is>
      </c>
      <c r="L332" t="n">
        <v>6</v>
      </c>
      <c r="M332" t="inlineStr">
        <is>
          <t>2026-06-29 14:13:19</t>
        </is>
      </c>
      <c r="N332" t="inlineStr">
        <is>
          <t>system</t>
        </is>
      </c>
      <c r="O332" t="inlineStr">
        <is>
          <t>2026-06-22 14:11:25</t>
        </is>
      </c>
      <c r="P332" t="inlineStr">
        <is>
          <t>2026-06-22 14:11:25</t>
        </is>
      </c>
      <c r="Y332" t="inlineStr">
        <is>
          <t>27673720047</t>
        </is>
      </c>
    </row>
    <row r="333">
      <c r="A333" t="inlineStr">
        <is>
          <t>14973855</t>
        </is>
      </c>
      <c r="B333" t="inlineStr">
        <is>
          <t>ccfbe0b3-3793-428f-a181-0b3bddd2ce2b</t>
        </is>
      </c>
      <c r="D333" t="inlineStr">
        <is>
          <t>11111127</t>
        </is>
      </c>
      <c r="E333" t="inlineStr">
        <is>
          <t>Vodacom Life 20260622</t>
        </is>
      </c>
      <c r="J333" t="inlineStr">
        <is>
          <t>ADC</t>
        </is>
      </c>
      <c r="K333" t="inlineStr">
        <is>
          <t>Auto Dial Disconnected</t>
        </is>
      </c>
      <c r="L333" t="n">
        <v>6</v>
      </c>
      <c r="M333" t="inlineStr">
        <is>
          <t>2026-06-29 14:13:18</t>
        </is>
      </c>
      <c r="N333" t="inlineStr">
        <is>
          <t>system</t>
        </is>
      </c>
      <c r="O333" t="inlineStr">
        <is>
          <t>2026-06-22 14:11:25</t>
        </is>
      </c>
      <c r="P333" t="inlineStr">
        <is>
          <t>2026-06-22 14:11:25</t>
        </is>
      </c>
      <c r="Y333" t="inlineStr">
        <is>
          <t>27647845191</t>
        </is>
      </c>
    </row>
    <row r="334">
      <c r="A334" t="inlineStr">
        <is>
          <t>14973856</t>
        </is>
      </c>
      <c r="B334" t="inlineStr">
        <is>
          <t>d07f0c95-3058-40f3-81bf-56a241a1417c</t>
        </is>
      </c>
      <c r="D334" t="inlineStr">
        <is>
          <t>11111127</t>
        </is>
      </c>
      <c r="E334" t="inlineStr">
        <is>
          <t>Vodacom Life 20260622</t>
        </is>
      </c>
      <c r="J334" t="inlineStr">
        <is>
          <t>DNQS</t>
        </is>
      </c>
      <c r="K334" t="inlineStr">
        <is>
          <t>Does Not Qualify</t>
        </is>
      </c>
      <c r="L334" t="n">
        <v>6</v>
      </c>
      <c r="M334" t="inlineStr">
        <is>
          <t>2026-06-29 14:13:18</t>
        </is>
      </c>
      <c r="N334" t="inlineStr">
        <is>
          <t>Vanessa Kekana</t>
        </is>
      </c>
      <c r="O334" t="inlineStr">
        <is>
          <t>2026-06-22 14:11:25</t>
        </is>
      </c>
      <c r="P334" t="inlineStr">
        <is>
          <t>2026-06-22 14:11:25</t>
        </is>
      </c>
      <c r="Y334" t="inlineStr">
        <is>
          <t>27828496204</t>
        </is>
      </c>
    </row>
    <row r="335">
      <c r="A335" t="inlineStr">
        <is>
          <t>14973852</t>
        </is>
      </c>
      <c r="B335" t="inlineStr">
        <is>
          <t>c0a69bd5-4941-473b-80c2-3ceb746890f6</t>
        </is>
      </c>
      <c r="D335" t="inlineStr">
        <is>
          <t>11111127</t>
        </is>
      </c>
      <c r="E335" t="inlineStr">
        <is>
          <t>Vodacom Life 20260622</t>
        </is>
      </c>
      <c r="J335" t="inlineStr">
        <is>
          <t>AE</t>
        </is>
      </c>
      <c r="K335" t="inlineStr">
        <is>
          <t>Auto Engaged</t>
        </is>
      </c>
      <c r="L335" t="n">
        <v>6</v>
      </c>
      <c r="M335" t="inlineStr">
        <is>
          <t>2026-06-29 14:13:16</t>
        </is>
      </c>
      <c r="N335" t="inlineStr">
        <is>
          <t>system</t>
        </is>
      </c>
      <c r="O335" t="inlineStr">
        <is>
          <t>2026-06-22 14:11:25</t>
        </is>
      </c>
      <c r="P335" t="inlineStr">
        <is>
          <t>2026-06-22 14:11:25</t>
        </is>
      </c>
      <c r="Y335" t="inlineStr">
        <is>
          <t>27712148373</t>
        </is>
      </c>
    </row>
    <row r="336">
      <c r="A336" t="inlineStr">
        <is>
          <t>14973853</t>
        </is>
      </c>
      <c r="B336" t="inlineStr">
        <is>
          <t>f834c797-7980-4e5c-9247-8dbbe0e9c1d3</t>
        </is>
      </c>
      <c r="D336" t="inlineStr">
        <is>
          <t>11111127</t>
        </is>
      </c>
      <c r="E336" t="inlineStr">
        <is>
          <t>Vodacom Life 20260622</t>
        </is>
      </c>
      <c r="J336" t="inlineStr">
        <is>
          <t>AA</t>
        </is>
      </c>
      <c r="K336" t="inlineStr">
        <is>
          <t>Answering Machine Autodial</t>
        </is>
      </c>
      <c r="L336" t="n">
        <v>6</v>
      </c>
      <c r="M336" t="inlineStr">
        <is>
          <t>2026-06-29 14:13:16</t>
        </is>
      </c>
      <c r="N336" t="inlineStr">
        <is>
          <t>system</t>
        </is>
      </c>
      <c r="O336" t="inlineStr">
        <is>
          <t>2026-06-22 14:11:25</t>
        </is>
      </c>
      <c r="P336" t="inlineStr">
        <is>
          <t>2026-06-22 14:11:25</t>
        </is>
      </c>
      <c r="Y336" t="inlineStr">
        <is>
          <t>27720630621</t>
        </is>
      </c>
    </row>
    <row r="337">
      <c r="A337" t="inlineStr">
        <is>
          <t>14973854</t>
        </is>
      </c>
      <c r="B337" t="inlineStr">
        <is>
          <t>9fe9bf81-2f90-4b6b-9faa-bce97e5f24e8</t>
        </is>
      </c>
      <c r="D337" t="inlineStr">
        <is>
          <t>11111127</t>
        </is>
      </c>
      <c r="E337" t="inlineStr">
        <is>
          <t>Vodacom Life 20260622</t>
        </is>
      </c>
      <c r="J337" t="inlineStr">
        <is>
          <t>AA</t>
        </is>
      </c>
      <c r="K337" t="inlineStr">
        <is>
          <t>Answering Machine Autodial</t>
        </is>
      </c>
      <c r="L337" t="n">
        <v>6</v>
      </c>
      <c r="M337" t="inlineStr">
        <is>
          <t>2026-06-29 14:13:16</t>
        </is>
      </c>
      <c r="N337" t="inlineStr">
        <is>
          <t>system</t>
        </is>
      </c>
      <c r="O337" t="inlineStr">
        <is>
          <t>2026-06-22 14:11:25</t>
        </is>
      </c>
      <c r="P337" t="inlineStr">
        <is>
          <t>2026-06-22 14:11:25</t>
        </is>
      </c>
      <c r="Y337" t="inlineStr">
        <is>
          <t>27609565096</t>
        </is>
      </c>
    </row>
    <row r="338">
      <c r="A338" t="inlineStr">
        <is>
          <t>14973851</t>
        </is>
      </c>
      <c r="B338" t="inlineStr">
        <is>
          <t>942204d1-d1ee-4cc3-a310-74dcd578b92a</t>
        </is>
      </c>
      <c r="D338" t="inlineStr">
        <is>
          <t>11111127</t>
        </is>
      </c>
      <c r="E338" t="inlineStr">
        <is>
          <t>Vodacom Life 20260622</t>
        </is>
      </c>
      <c r="J338" t="inlineStr">
        <is>
          <t>DROP</t>
        </is>
      </c>
      <c r="K338" t="inlineStr">
        <is>
          <t>Dropped</t>
        </is>
      </c>
      <c r="L338" t="n">
        <v>6</v>
      </c>
      <c r="M338" t="inlineStr">
        <is>
          <t>2026-06-29 14:12:24</t>
        </is>
      </c>
      <c r="N338" t="inlineStr">
        <is>
          <t>system</t>
        </is>
      </c>
      <c r="O338" t="inlineStr">
        <is>
          <t>2026-06-22 14:11:25</t>
        </is>
      </c>
      <c r="P338" t="inlineStr">
        <is>
          <t>2026-06-22 14:11:25</t>
        </is>
      </c>
      <c r="Y338" t="inlineStr">
        <is>
          <t>27774234234</t>
        </is>
      </c>
    </row>
    <row r="339">
      <c r="A339" t="inlineStr">
        <is>
          <t>14974641</t>
        </is>
      </c>
      <c r="B339" t="inlineStr">
        <is>
          <t>9b146019-4f3a-43be-83f1-6bd7e1cca934</t>
        </is>
      </c>
      <c r="D339" t="inlineStr">
        <is>
          <t>11111127</t>
        </is>
      </c>
      <c r="E339" t="inlineStr">
        <is>
          <t>Vodacom Life 20260622</t>
        </is>
      </c>
      <c r="H339" t="inlineStr">
        <is>
          <t>27727170345</t>
        </is>
      </c>
      <c r="J339" t="inlineStr">
        <is>
          <t>NIUP</t>
        </is>
      </c>
      <c r="K339" t="inlineStr">
        <is>
          <t>Not Interested Upfront</t>
        </is>
      </c>
      <c r="L339" t="n">
        <v>6</v>
      </c>
      <c r="M339" t="inlineStr">
        <is>
          <t>2026-06-29 14:12:11</t>
        </is>
      </c>
      <c r="N339" t="inlineStr">
        <is>
          <t>Vanessa Kekana</t>
        </is>
      </c>
      <c r="O339" t="inlineStr">
        <is>
          <t>2026-06-22 14:11:25</t>
        </is>
      </c>
      <c r="P339" t="inlineStr">
        <is>
          <t>2026-06-22 14:11:25</t>
        </is>
      </c>
      <c r="Y339" t="inlineStr">
        <is>
          <t>27727170345</t>
        </is>
      </c>
    </row>
    <row r="340">
      <c r="A340" t="inlineStr">
        <is>
          <t>14974642</t>
        </is>
      </c>
      <c r="B340" t="inlineStr">
        <is>
          <t>b2868c87-795b-4b04-8822-abbbaeb096e1</t>
        </is>
      </c>
      <c r="D340" t="inlineStr">
        <is>
          <t>11111127</t>
        </is>
      </c>
      <c r="E340" t="inlineStr">
        <is>
          <t>Vodacom Life 20260622</t>
        </is>
      </c>
      <c r="J340" t="inlineStr">
        <is>
          <t>NA</t>
        </is>
      </c>
      <c r="K340" t="inlineStr">
        <is>
          <t>No Answer Autodial</t>
        </is>
      </c>
      <c r="L340" t="n">
        <v>6</v>
      </c>
      <c r="M340" t="inlineStr">
        <is>
          <t>2026-06-29 14:12:11</t>
        </is>
      </c>
      <c r="N340" t="inlineStr">
        <is>
          <t>system</t>
        </is>
      </c>
      <c r="O340" t="inlineStr">
        <is>
          <t>2026-06-22 14:11:25</t>
        </is>
      </c>
      <c r="P340" t="inlineStr">
        <is>
          <t>2026-06-22 14:11:25</t>
        </is>
      </c>
      <c r="Y340" t="inlineStr">
        <is>
          <t>27762098359</t>
        </is>
      </c>
    </row>
    <row r="341">
      <c r="A341" t="inlineStr">
        <is>
          <t>14974643</t>
        </is>
      </c>
      <c r="B341" t="inlineStr">
        <is>
          <t>4fbb905e-ae08-4d60-8803-0992d768b859</t>
        </is>
      </c>
      <c r="D341" t="inlineStr">
        <is>
          <t>11111127</t>
        </is>
      </c>
      <c r="E341" t="inlineStr">
        <is>
          <t>Vodacom Life 20260622</t>
        </is>
      </c>
      <c r="J341" t="inlineStr">
        <is>
          <t>AA</t>
        </is>
      </c>
      <c r="K341" t="inlineStr">
        <is>
          <t>Answering Machine Autodial</t>
        </is>
      </c>
      <c r="L341" t="n">
        <v>6</v>
      </c>
      <c r="M341" t="inlineStr">
        <is>
          <t>2026-06-29 14:12:11</t>
        </is>
      </c>
      <c r="N341" t="inlineStr">
        <is>
          <t>system</t>
        </is>
      </c>
      <c r="O341" t="inlineStr">
        <is>
          <t>2026-06-22 14:11:25</t>
        </is>
      </c>
      <c r="P341" t="inlineStr">
        <is>
          <t>2026-06-22 14:11:25</t>
        </is>
      </c>
      <c r="Y341" t="inlineStr">
        <is>
          <t>27726625725</t>
        </is>
      </c>
    </row>
    <row r="342">
      <c r="A342" t="inlineStr">
        <is>
          <t>14974644</t>
        </is>
      </c>
      <c r="B342" t="inlineStr">
        <is>
          <t>0a6550f4-c5bb-4fa7-9fd1-dd1468e5673e</t>
        </is>
      </c>
      <c r="D342" t="inlineStr">
        <is>
          <t>11111127</t>
        </is>
      </c>
      <c r="E342" t="inlineStr">
        <is>
          <t>Vodacom Life 20260622</t>
        </is>
      </c>
      <c r="H342" t="inlineStr">
        <is>
          <t>27764716902</t>
        </is>
      </c>
      <c r="J342" t="inlineStr">
        <is>
          <t>NA</t>
        </is>
      </c>
      <c r="K342" t="inlineStr">
        <is>
          <t>No Answer Autodial</t>
        </is>
      </c>
      <c r="L342" t="n">
        <v>6</v>
      </c>
      <c r="M342" t="inlineStr">
        <is>
          <t>2026-06-29 14:12:11</t>
        </is>
      </c>
      <c r="N342" t="inlineStr">
        <is>
          <t>system</t>
        </is>
      </c>
      <c r="O342" t="inlineStr">
        <is>
          <t>2026-06-22 14:11:25</t>
        </is>
      </c>
      <c r="P342" t="inlineStr">
        <is>
          <t>2026-06-22 14:11:25</t>
        </is>
      </c>
      <c r="Y342" t="inlineStr">
        <is>
          <t>27764716902</t>
        </is>
      </c>
    </row>
    <row r="343">
      <c r="A343" t="inlineStr">
        <is>
          <t>14974645</t>
        </is>
      </c>
      <c r="B343" t="inlineStr">
        <is>
          <t>a34a625a-44e3-4062-898f-3eadc2b2ab4f</t>
        </is>
      </c>
      <c r="D343" t="inlineStr">
        <is>
          <t>11111127</t>
        </is>
      </c>
      <c r="E343" t="inlineStr">
        <is>
          <t>Vodacom Life 20260622</t>
        </is>
      </c>
      <c r="H343" t="inlineStr">
        <is>
          <t>27793355050</t>
        </is>
      </c>
      <c r="J343" t="inlineStr">
        <is>
          <t>DROP</t>
        </is>
      </c>
      <c r="K343" t="inlineStr">
        <is>
          <t>Dropped</t>
        </is>
      </c>
      <c r="L343" t="n">
        <v>6</v>
      </c>
      <c r="M343" t="inlineStr">
        <is>
          <t>2026-06-29 14:12:11</t>
        </is>
      </c>
      <c r="N343" t="inlineStr">
        <is>
          <t>system</t>
        </is>
      </c>
      <c r="O343" t="inlineStr">
        <is>
          <t>2026-06-22 14:11:25</t>
        </is>
      </c>
      <c r="P343" t="inlineStr">
        <is>
          <t>2026-06-22 14:11:25</t>
        </is>
      </c>
      <c r="Y343" t="inlineStr">
        <is>
          <t>27793355050</t>
        </is>
      </c>
    </row>
    <row r="344">
      <c r="A344" t="inlineStr">
        <is>
          <t>14974637</t>
        </is>
      </c>
      <c r="B344" t="inlineStr">
        <is>
          <t>09076952-674a-406a-a279-f1f73a35da03</t>
        </is>
      </c>
      <c r="D344" t="inlineStr">
        <is>
          <t>11111127</t>
        </is>
      </c>
      <c r="E344" t="inlineStr">
        <is>
          <t>Vodacom Life 20260622</t>
        </is>
      </c>
      <c r="H344" t="inlineStr">
        <is>
          <t>27765742810</t>
        </is>
      </c>
      <c r="J344" t="inlineStr">
        <is>
          <t>IABDN</t>
        </is>
      </c>
      <c r="K344" t="inlineStr">
        <is>
          <t>Inbound Abandon</t>
        </is>
      </c>
      <c r="L344" t="n">
        <v>6</v>
      </c>
      <c r="M344" t="inlineStr">
        <is>
          <t>2026-06-29 14:11:34</t>
        </is>
      </c>
      <c r="N344" t="inlineStr">
        <is>
          <t>system</t>
        </is>
      </c>
      <c r="O344" t="inlineStr">
        <is>
          <t>2026-06-22 14:11:25</t>
        </is>
      </c>
      <c r="P344" t="inlineStr">
        <is>
          <t>2026-06-22 14:11:25</t>
        </is>
      </c>
      <c r="Y344" t="inlineStr">
        <is>
          <t>27765742810</t>
        </is>
      </c>
    </row>
    <row r="345">
      <c r="A345" t="inlineStr">
        <is>
          <t>14974640</t>
        </is>
      </c>
      <c r="B345" t="inlineStr">
        <is>
          <t>47cb482b-b6d4-4da0-b816-e46941733ae8</t>
        </is>
      </c>
      <c r="D345" t="inlineStr">
        <is>
          <t>11111127</t>
        </is>
      </c>
      <c r="E345" t="inlineStr">
        <is>
          <t>Vodacom Life 20260622</t>
        </is>
      </c>
      <c r="J345" t="inlineStr">
        <is>
          <t>AA</t>
        </is>
      </c>
      <c r="K345" t="inlineStr">
        <is>
          <t>Answering Machine Autodial</t>
        </is>
      </c>
      <c r="L345" t="n">
        <v>6</v>
      </c>
      <c r="M345" t="inlineStr">
        <is>
          <t>2026-06-29 14:11:18</t>
        </is>
      </c>
      <c r="N345" t="inlineStr">
        <is>
          <t>system</t>
        </is>
      </c>
      <c r="O345" t="inlineStr">
        <is>
          <t>2026-06-22 14:11:25</t>
        </is>
      </c>
      <c r="P345" t="inlineStr">
        <is>
          <t>2026-06-22 14:11:25</t>
        </is>
      </c>
      <c r="Y345" t="inlineStr">
        <is>
          <t>27649538156</t>
        </is>
      </c>
    </row>
    <row r="346">
      <c r="A346" t="inlineStr">
        <is>
          <t>14974635</t>
        </is>
      </c>
      <c r="B346" t="inlineStr">
        <is>
          <t>b334fde3-cea4-4506-b10f-c231ea90a92d</t>
        </is>
      </c>
      <c r="D346" t="inlineStr">
        <is>
          <t>11111127</t>
        </is>
      </c>
      <c r="E346" t="inlineStr">
        <is>
          <t>Vodacom Life 20260622</t>
        </is>
      </c>
      <c r="J346" t="inlineStr">
        <is>
          <t>DROP</t>
        </is>
      </c>
      <c r="K346" t="inlineStr">
        <is>
          <t>Dropped</t>
        </is>
      </c>
      <c r="L346" t="n">
        <v>6</v>
      </c>
      <c r="M346" t="inlineStr">
        <is>
          <t>2026-06-29 14:11:14</t>
        </is>
      </c>
      <c r="N346" t="inlineStr">
        <is>
          <t>system</t>
        </is>
      </c>
      <c r="O346" t="inlineStr">
        <is>
          <t>2026-06-22 14:11:25</t>
        </is>
      </c>
      <c r="P346" t="inlineStr">
        <is>
          <t>2026-06-22 14:11:25</t>
        </is>
      </c>
      <c r="Y346" t="inlineStr">
        <is>
          <t>27792383819</t>
        </is>
      </c>
    </row>
    <row r="347">
      <c r="A347" t="inlineStr">
        <is>
          <t>14974636</t>
        </is>
      </c>
      <c r="B347" t="inlineStr">
        <is>
          <t>283f5baf-e6e1-47ed-bb7e-803b4fcc23b9</t>
        </is>
      </c>
      <c r="D347" t="inlineStr">
        <is>
          <t>11111127</t>
        </is>
      </c>
      <c r="E347" t="inlineStr">
        <is>
          <t>Vodacom Life 20260622</t>
        </is>
      </c>
      <c r="J347" t="inlineStr">
        <is>
          <t>AE</t>
        </is>
      </c>
      <c r="K347" t="inlineStr">
        <is>
          <t>Auto Engaged</t>
        </is>
      </c>
      <c r="L347" t="n">
        <v>6</v>
      </c>
      <c r="M347" t="inlineStr">
        <is>
          <t>2026-06-29 14:11:14</t>
        </is>
      </c>
      <c r="N347" t="inlineStr">
        <is>
          <t>system</t>
        </is>
      </c>
      <c r="O347" t="inlineStr">
        <is>
          <t>2026-06-22 14:11:25</t>
        </is>
      </c>
      <c r="P347" t="inlineStr">
        <is>
          <t>2026-06-22 14:11:25</t>
        </is>
      </c>
      <c r="Y347" t="inlineStr">
        <is>
          <t>27828497890</t>
        </is>
      </c>
    </row>
    <row r="348">
      <c r="A348" t="inlineStr">
        <is>
          <t>14974639</t>
        </is>
      </c>
      <c r="B348" t="inlineStr">
        <is>
          <t>ce16675b-8bcb-45e1-8966-6bcbcd62f38e</t>
        </is>
      </c>
      <c r="D348" t="inlineStr">
        <is>
          <t>11111127</t>
        </is>
      </c>
      <c r="E348" t="inlineStr">
        <is>
          <t>Vodacom Life 20260622</t>
        </is>
      </c>
      <c r="J348" t="inlineStr">
        <is>
          <t>DROP</t>
        </is>
      </c>
      <c r="K348" t="inlineStr">
        <is>
          <t>Dropped</t>
        </is>
      </c>
      <c r="L348" t="n">
        <v>6</v>
      </c>
      <c r="M348" t="inlineStr">
        <is>
          <t>2026-06-29 14:11:14</t>
        </is>
      </c>
      <c r="N348" t="inlineStr">
        <is>
          <t>system</t>
        </is>
      </c>
      <c r="O348" t="inlineStr">
        <is>
          <t>2026-06-22 14:11:25</t>
        </is>
      </c>
      <c r="P348" t="inlineStr">
        <is>
          <t>2026-06-22 14:11:25</t>
        </is>
      </c>
      <c r="Y348" t="inlineStr">
        <is>
          <t>27768108908</t>
        </is>
      </c>
    </row>
    <row r="349">
      <c r="A349" t="inlineStr">
        <is>
          <t>14974610</t>
        </is>
      </c>
      <c r="B349" t="inlineStr">
        <is>
          <t>fccd72b2-859b-4f5a-a8d9-c2f728d49abe</t>
        </is>
      </c>
      <c r="D349" t="inlineStr">
        <is>
          <t>11111127</t>
        </is>
      </c>
      <c r="E349" t="inlineStr">
        <is>
          <t>Vodacom Life 20260622</t>
        </is>
      </c>
      <c r="H349" t="inlineStr">
        <is>
          <t>27724180328</t>
        </is>
      </c>
      <c r="J349" t="inlineStr">
        <is>
          <t>A</t>
        </is>
      </c>
      <c r="K349" t="inlineStr">
        <is>
          <t>Answering Machine</t>
        </is>
      </c>
      <c r="L349" t="n">
        <v>6</v>
      </c>
      <c r="M349" t="inlineStr">
        <is>
          <t>2026-06-29 14:06:40</t>
        </is>
      </c>
      <c r="N349" t="inlineStr">
        <is>
          <t>Maureen Ntsoko</t>
        </is>
      </c>
      <c r="O349" t="inlineStr">
        <is>
          <t>2026-06-22 14:11:25</t>
        </is>
      </c>
      <c r="P349" t="inlineStr">
        <is>
          <t>2026-06-22 14:11:25</t>
        </is>
      </c>
      <c r="Y349" t="inlineStr">
        <is>
          <t>27724180328</t>
        </is>
      </c>
    </row>
    <row r="350">
      <c r="A350" t="inlineStr">
        <is>
          <t>14974667</t>
        </is>
      </c>
      <c r="B350" t="inlineStr">
        <is>
          <t>9db1f4d1-1ac4-46fc-8547-da7a78aaad69</t>
        </is>
      </c>
      <c r="D350" t="inlineStr">
        <is>
          <t>11111127</t>
        </is>
      </c>
      <c r="E350" t="inlineStr">
        <is>
          <t>Vodacom Life 20260622</t>
        </is>
      </c>
      <c r="J350" t="inlineStr">
        <is>
          <t>AC</t>
        </is>
      </c>
      <c r="K350" t="inlineStr">
        <is>
          <t>Already Contacted</t>
        </is>
      </c>
      <c r="L350" t="n">
        <v>6</v>
      </c>
      <c r="M350" t="inlineStr">
        <is>
          <t>2026-06-29 12:32:56</t>
        </is>
      </c>
      <c r="N350" t="inlineStr">
        <is>
          <t>Maureen Ntsoko</t>
        </is>
      </c>
      <c r="O350" t="inlineStr">
        <is>
          <t>2026-06-22 14:11:25</t>
        </is>
      </c>
      <c r="P350" t="inlineStr">
        <is>
          <t>2026-06-22 14:11:25</t>
        </is>
      </c>
      <c r="Y350" t="inlineStr">
        <is>
          <t>27713472383</t>
        </is>
      </c>
    </row>
    <row r="351">
      <c r="A351" t="inlineStr">
        <is>
          <t>14974074</t>
        </is>
      </c>
      <c r="B351" t="inlineStr">
        <is>
          <t>3e70f975-b269-4024-9689-2b9e3e4bcffa</t>
        </is>
      </c>
      <c r="D351" t="inlineStr">
        <is>
          <t>11111127</t>
        </is>
      </c>
      <c r="E351" t="inlineStr">
        <is>
          <t>Vodacom Life 20260622</t>
        </is>
      </c>
      <c r="J351" t="inlineStr">
        <is>
          <t>CU</t>
        </is>
      </c>
      <c r="K351" t="inlineStr">
        <is>
          <t>Client Hung Up</t>
        </is>
      </c>
      <c r="L351" t="n">
        <v>12</v>
      </c>
      <c r="M351" t="inlineStr">
        <is>
          <t>2026-06-29 11:51:07</t>
        </is>
      </c>
      <c r="N351" t="inlineStr">
        <is>
          <t>Musiiwa Mary Mabirimisa</t>
        </is>
      </c>
      <c r="O351" t="inlineStr">
        <is>
          <t>2026-06-22 14:11:25</t>
        </is>
      </c>
      <c r="P351" t="inlineStr">
        <is>
          <t>2026-06-22 14:11:25</t>
        </is>
      </c>
      <c r="Y351" t="inlineStr">
        <is>
          <t>27722138870</t>
        </is>
      </c>
    </row>
    <row r="352">
      <c r="A352" t="inlineStr">
        <is>
          <t>14973936</t>
        </is>
      </c>
      <c r="B352" t="inlineStr">
        <is>
          <t>1503a727-e1bd-4209-a459-689b0191afad</t>
        </is>
      </c>
      <c r="D352" t="inlineStr">
        <is>
          <t>11111127</t>
        </is>
      </c>
      <c r="E352" t="inlineStr">
        <is>
          <t>Vodacom Life 20260622</t>
        </is>
      </c>
      <c r="J352" t="inlineStr">
        <is>
          <t>CB</t>
        </is>
      </c>
      <c r="K352" t="inlineStr">
        <is>
          <t>Busy Tone</t>
        </is>
      </c>
      <c r="L352" t="n">
        <v>6</v>
      </c>
      <c r="M352" t="inlineStr">
        <is>
          <t>2026-06-29 10:55:25</t>
        </is>
      </c>
      <c r="N352" t="inlineStr">
        <is>
          <t>Khensane Mabasa</t>
        </is>
      </c>
      <c r="O352" t="inlineStr">
        <is>
          <t>2026-06-22 14:11:25</t>
        </is>
      </c>
      <c r="P352" t="inlineStr">
        <is>
          <t>2026-06-22 14:11:25</t>
        </is>
      </c>
      <c r="Y352" t="inlineStr">
        <is>
          <t>27824318616</t>
        </is>
      </c>
    </row>
    <row r="353">
      <c r="A353" t="inlineStr">
        <is>
          <t>14974551</t>
        </is>
      </c>
      <c r="B353" t="inlineStr">
        <is>
          <t>7085af90-150b-40a1-99c4-a7d8515c40e2</t>
        </is>
      </c>
      <c r="D353" t="inlineStr">
        <is>
          <t>11111127</t>
        </is>
      </c>
      <c r="E353" t="inlineStr">
        <is>
          <t>Vodacom Life 20260622</t>
        </is>
      </c>
      <c r="J353" t="inlineStr">
        <is>
          <t>AC</t>
        </is>
      </c>
      <c r="K353" t="inlineStr">
        <is>
          <t>Already Contacted</t>
        </is>
      </c>
      <c r="L353" t="n">
        <v>6</v>
      </c>
      <c r="M353" t="inlineStr">
        <is>
          <t>2026-06-29 10:45:43</t>
        </is>
      </c>
      <c r="N353" t="inlineStr">
        <is>
          <t>Maureen Ntsoko</t>
        </is>
      </c>
      <c r="O353" t="inlineStr">
        <is>
          <t>2026-06-22 14:11:25</t>
        </is>
      </c>
      <c r="P353" t="inlineStr">
        <is>
          <t>2026-06-22 14:11:25</t>
        </is>
      </c>
      <c r="Y353" t="inlineStr">
        <is>
          <t>27728098949</t>
        </is>
      </c>
    </row>
    <row r="354">
      <c r="A354" t="inlineStr">
        <is>
          <t>14974427</t>
        </is>
      </c>
      <c r="B354" t="inlineStr">
        <is>
          <t>5d8c7556-f137-4c70-a596-110cfc996dd0</t>
        </is>
      </c>
      <c r="D354" t="inlineStr">
        <is>
          <t>11111127</t>
        </is>
      </c>
      <c r="E354" t="inlineStr">
        <is>
          <t>Vodacom Life 20260622</t>
        </is>
      </c>
      <c r="H354" t="inlineStr">
        <is>
          <t>27761462745</t>
        </is>
      </c>
      <c r="J354" t="inlineStr">
        <is>
          <t>IABDN</t>
        </is>
      </c>
      <c r="K354" t="inlineStr">
        <is>
          <t>Inbound Abandon</t>
        </is>
      </c>
      <c r="L354" t="n">
        <v>5</v>
      </c>
      <c r="M354" t="inlineStr">
        <is>
          <t>2026-06-29 10:43:01</t>
        </is>
      </c>
      <c r="N354" t="inlineStr">
        <is>
          <t>system</t>
        </is>
      </c>
      <c r="O354" t="inlineStr">
        <is>
          <t>2026-06-22 14:11:25</t>
        </is>
      </c>
      <c r="P354" t="inlineStr">
        <is>
          <t>2026-06-22 14:11:25</t>
        </is>
      </c>
      <c r="Y354" t="inlineStr">
        <is>
          <t>27761462745</t>
        </is>
      </c>
    </row>
    <row r="355">
      <c r="A355" t="inlineStr">
        <is>
          <t>14973703</t>
        </is>
      </c>
      <c r="B355" t="inlineStr">
        <is>
          <t>56ab3a35-0390-4e77-8784-14e226029b8e</t>
        </is>
      </c>
      <c r="D355" t="inlineStr">
        <is>
          <t>11111127</t>
        </is>
      </c>
      <c r="E355" t="inlineStr">
        <is>
          <t>Vodacom Life 20260622</t>
        </is>
      </c>
      <c r="H355" t="inlineStr">
        <is>
          <t>27725310271</t>
        </is>
      </c>
      <c r="J355" t="inlineStr">
        <is>
          <t>AA</t>
        </is>
      </c>
      <c r="K355" t="inlineStr">
        <is>
          <t>Answering Machine Autodial</t>
        </is>
      </c>
      <c r="L355" t="n">
        <v>5</v>
      </c>
      <c r="M355" t="inlineStr">
        <is>
          <t>2026-06-29 10:16:13</t>
        </is>
      </c>
      <c r="N355" t="inlineStr">
        <is>
          <t>system</t>
        </is>
      </c>
      <c r="O355" t="inlineStr">
        <is>
          <t>2026-06-22 14:11:25</t>
        </is>
      </c>
      <c r="P355" t="inlineStr">
        <is>
          <t>2026-06-22 14:11:25</t>
        </is>
      </c>
      <c r="Y355" t="inlineStr">
        <is>
          <t>27725310271</t>
        </is>
      </c>
    </row>
    <row r="356">
      <c r="A356" t="inlineStr">
        <is>
          <t>14974441</t>
        </is>
      </c>
      <c r="B356" t="inlineStr">
        <is>
          <t>9f1f19e6-215c-4b22-9dc8-1e366dce3fed</t>
        </is>
      </c>
      <c r="D356" t="inlineStr">
        <is>
          <t>11111127</t>
        </is>
      </c>
      <c r="E356" t="inlineStr">
        <is>
          <t>Vodacom Life 20260622</t>
        </is>
      </c>
      <c r="J356" t="inlineStr">
        <is>
          <t>N</t>
        </is>
      </c>
      <c r="K356" t="inlineStr">
        <is>
          <t>No Answer</t>
        </is>
      </c>
      <c r="L356" t="n">
        <v>7</v>
      </c>
      <c r="M356" t="inlineStr">
        <is>
          <t>2026-06-29 09:04:44</t>
        </is>
      </c>
      <c r="N356" t="inlineStr">
        <is>
          <t>Musiiwa Mary Mabirimisa</t>
        </is>
      </c>
      <c r="O356" t="inlineStr">
        <is>
          <t>2026-06-22 14:11:25</t>
        </is>
      </c>
      <c r="P356" t="inlineStr">
        <is>
          <t>2026-06-22 14:11:25</t>
        </is>
      </c>
      <c r="Y356" t="inlineStr">
        <is>
          <t>27720999554</t>
        </is>
      </c>
    </row>
    <row r="357">
      <c r="A357" t="inlineStr">
        <is>
          <t>14974423</t>
        </is>
      </c>
      <c r="B357" t="inlineStr">
        <is>
          <t>ff7da795-1db0-4902-a112-4cc67b99782f</t>
        </is>
      </c>
      <c r="D357" t="inlineStr">
        <is>
          <t>11111127</t>
        </is>
      </c>
      <c r="E357" t="inlineStr">
        <is>
          <t>Vodacom Life 20260622</t>
        </is>
      </c>
      <c r="H357" t="inlineStr">
        <is>
          <t>27785126975</t>
        </is>
      </c>
      <c r="J357" t="inlineStr">
        <is>
          <t>CBACK</t>
        </is>
      </c>
      <c r="K357" t="inlineStr">
        <is>
          <t>Callback</t>
        </is>
      </c>
      <c r="L357" t="n">
        <v>6</v>
      </c>
      <c r="M357" t="inlineStr">
        <is>
          <t>2026-06-29 09:01:36</t>
        </is>
      </c>
      <c r="N357" t="inlineStr">
        <is>
          <t>Musiiwa Mary Mabirimisa</t>
        </is>
      </c>
      <c r="O357" t="inlineStr">
        <is>
          <t>2026-06-22 14:11:25</t>
        </is>
      </c>
      <c r="P357" t="inlineStr">
        <is>
          <t>2026-06-22 14:11:25</t>
        </is>
      </c>
      <c r="Y357" t="inlineStr">
        <is>
          <t>27785126975</t>
        </is>
      </c>
    </row>
    <row r="358">
      <c r="A358" t="inlineStr">
        <is>
          <t>14974268</t>
        </is>
      </c>
      <c r="B358" t="inlineStr">
        <is>
          <t>5ce83d61-cdbb-4a62-985b-043587d986d6</t>
        </is>
      </c>
      <c r="D358" t="inlineStr">
        <is>
          <t>11111127</t>
        </is>
      </c>
      <c r="E358" t="inlineStr">
        <is>
          <t>Vodacom Life 20260622</t>
        </is>
      </c>
      <c r="H358" t="inlineStr">
        <is>
          <t>27827300770</t>
        </is>
      </c>
      <c r="J358" t="inlineStr">
        <is>
          <t>CB</t>
        </is>
      </c>
      <c r="K358" t="inlineStr">
        <is>
          <t>Busy Tone</t>
        </is>
      </c>
      <c r="L358" t="n">
        <v>6</v>
      </c>
      <c r="M358" t="inlineStr">
        <is>
          <t>2026-06-29 08:59:42</t>
        </is>
      </c>
      <c r="N358" t="inlineStr">
        <is>
          <t>Khensane Mabasa</t>
        </is>
      </c>
      <c r="O358" t="inlineStr">
        <is>
          <t>2026-06-22 14:11:25</t>
        </is>
      </c>
      <c r="P358" t="inlineStr">
        <is>
          <t>2026-06-22 14:11:25</t>
        </is>
      </c>
      <c r="Y358" t="inlineStr">
        <is>
          <t>27827300770</t>
        </is>
      </c>
    </row>
    <row r="359">
      <c r="A359" t="inlineStr">
        <is>
          <t>14974590</t>
        </is>
      </c>
      <c r="B359" t="inlineStr">
        <is>
          <t>6b336c6f-9741-4d6d-a38a-039b61993edb</t>
        </is>
      </c>
      <c r="D359" t="inlineStr">
        <is>
          <t>11111127</t>
        </is>
      </c>
      <c r="E359" t="inlineStr">
        <is>
          <t>Vodacom Life 20260622</t>
        </is>
      </c>
      <c r="J359" t="inlineStr">
        <is>
          <t>NI</t>
        </is>
      </c>
      <c r="K359" t="inlineStr">
        <is>
          <t>Not Interested</t>
        </is>
      </c>
      <c r="L359" t="n">
        <v>6</v>
      </c>
      <c r="M359" t="inlineStr">
        <is>
          <t>2026-06-29 08:53:28</t>
        </is>
      </c>
      <c r="N359" t="inlineStr">
        <is>
          <t>Khensane Mabasa</t>
        </is>
      </c>
      <c r="O359" t="inlineStr">
        <is>
          <t>2026-06-22 14:11:25</t>
        </is>
      </c>
      <c r="P359" t="inlineStr">
        <is>
          <t>2026-06-22 14:11:25</t>
        </is>
      </c>
      <c r="Y359" t="inlineStr">
        <is>
          <t>27647340098</t>
        </is>
      </c>
    </row>
    <row r="360">
      <c r="A360" t="inlineStr">
        <is>
          <t>14974432</t>
        </is>
      </c>
      <c r="B360" t="inlineStr">
        <is>
          <t>a5c80649-db75-41c3-a007-cc1f0fe42da8</t>
        </is>
      </c>
      <c r="D360" t="inlineStr">
        <is>
          <t>11111127</t>
        </is>
      </c>
      <c r="E360" t="inlineStr">
        <is>
          <t>Vodacom Life 20260622</t>
        </is>
      </c>
      <c r="H360" t="inlineStr">
        <is>
          <t>27793089390</t>
        </is>
      </c>
      <c r="J360" t="inlineStr">
        <is>
          <t>OAL</t>
        </is>
      </c>
      <c r="K360" t="inlineStr">
        <is>
          <t>Over Age Limit</t>
        </is>
      </c>
      <c r="L360" t="n">
        <v>5</v>
      </c>
      <c r="M360" t="inlineStr">
        <is>
          <t>2026-06-29 07:00:05</t>
        </is>
      </c>
      <c r="N360" t="inlineStr">
        <is>
          <t>Vanessa Kekana</t>
        </is>
      </c>
      <c r="O360" t="inlineStr">
        <is>
          <t>2026-06-22 14:11:25</t>
        </is>
      </c>
      <c r="P360" t="inlineStr">
        <is>
          <t>2026-06-22 14:11:25</t>
        </is>
      </c>
      <c r="Y360" t="inlineStr">
        <is>
          <t>27793089390</t>
        </is>
      </c>
    </row>
    <row r="361">
      <c r="A361" t="inlineStr">
        <is>
          <t>14974425</t>
        </is>
      </c>
      <c r="B361" t="inlineStr">
        <is>
          <t>4306918a-d412-418c-a87a-3d88e43a3909</t>
        </is>
      </c>
      <c r="D361" t="inlineStr">
        <is>
          <t>11111127</t>
        </is>
      </c>
      <c r="E361" t="inlineStr">
        <is>
          <t>Vodacom Life 20260622</t>
        </is>
      </c>
      <c r="H361" t="inlineStr">
        <is>
          <t>27818152276</t>
        </is>
      </c>
      <c r="J361" t="inlineStr">
        <is>
          <t>CU</t>
        </is>
      </c>
      <c r="K361" t="inlineStr">
        <is>
          <t>Client Hung Up</t>
        </is>
      </c>
      <c r="L361" t="n">
        <v>5</v>
      </c>
      <c r="M361" t="inlineStr">
        <is>
          <t>2026-06-29 06:50:19</t>
        </is>
      </c>
      <c r="N361" t="inlineStr">
        <is>
          <t>bongiwe lushaba</t>
        </is>
      </c>
      <c r="O361" t="inlineStr">
        <is>
          <t>2026-06-22 14:11:25</t>
        </is>
      </c>
      <c r="P361" t="inlineStr">
        <is>
          <t>2026-06-22 14:11:25</t>
        </is>
      </c>
      <c r="Y361" t="inlineStr">
        <is>
          <t>27818152276</t>
        </is>
      </c>
    </row>
    <row r="362">
      <c r="A362" t="inlineStr">
        <is>
          <t>14974527</t>
        </is>
      </c>
      <c r="B362" t="inlineStr">
        <is>
          <t>a9713253-861e-4a94-b9cc-9a43b248b6bf</t>
        </is>
      </c>
      <c r="D362" t="inlineStr">
        <is>
          <t>11111127</t>
        </is>
      </c>
      <c r="E362" t="inlineStr">
        <is>
          <t>Vodacom Life 20260622</t>
        </is>
      </c>
      <c r="H362" t="inlineStr">
        <is>
          <t>27660715932</t>
        </is>
      </c>
      <c r="J362" t="inlineStr">
        <is>
          <t>QAVET</t>
        </is>
      </c>
      <c r="K362" t="inlineStr">
        <is>
          <t>Sale Made</t>
        </is>
      </c>
      <c r="L362" t="n">
        <v>7</v>
      </c>
      <c r="M362" t="inlineStr">
        <is>
          <t>2026-06-29 06:45:03</t>
        </is>
      </c>
      <c r="N362" t="inlineStr">
        <is>
          <t>Maureen Ntsoko</t>
        </is>
      </c>
      <c r="O362" t="inlineStr">
        <is>
          <t>2026-06-22 14:11:25</t>
        </is>
      </c>
      <c r="P362" t="inlineStr">
        <is>
          <t>2026-06-22 14:11:25</t>
        </is>
      </c>
      <c r="Y362" t="inlineStr">
        <is>
          <t>27660715932</t>
        </is>
      </c>
    </row>
    <row r="363">
      <c r="A363" t="inlineStr">
        <is>
          <t>14974613</t>
        </is>
      </c>
      <c r="B363" t="inlineStr">
        <is>
          <t>86191b28-944e-4fd0-8b4e-55dbdc40fb58</t>
        </is>
      </c>
      <c r="D363" t="inlineStr">
        <is>
          <t>11111127</t>
        </is>
      </c>
      <c r="E363" t="inlineStr">
        <is>
          <t>Vodacom Life 20260622</t>
        </is>
      </c>
      <c r="H363" t="inlineStr">
        <is>
          <t>27724276062</t>
        </is>
      </c>
      <c r="J363" t="inlineStr">
        <is>
          <t>NA</t>
        </is>
      </c>
      <c r="K363" t="inlineStr">
        <is>
          <t>No Answer Autodial</t>
        </is>
      </c>
      <c r="L363" t="n">
        <v>5</v>
      </c>
      <c r="M363" t="inlineStr">
        <is>
          <t>2026-06-29 06:40:40</t>
        </is>
      </c>
      <c r="N363" t="inlineStr">
        <is>
          <t>system</t>
        </is>
      </c>
      <c r="O363" t="inlineStr">
        <is>
          <t>2026-06-22 14:11:25</t>
        </is>
      </c>
      <c r="P363" t="inlineStr">
        <is>
          <t>2026-06-22 14:11:25</t>
        </is>
      </c>
      <c r="Y363" t="inlineStr">
        <is>
          <t>27724276062</t>
        </is>
      </c>
    </row>
    <row r="364">
      <c r="A364" t="inlineStr">
        <is>
          <t>14974411</t>
        </is>
      </c>
      <c r="B364" t="inlineStr">
        <is>
          <t>8f2fa267-41f4-4318-9454-f7353fd21a1e</t>
        </is>
      </c>
      <c r="D364" t="inlineStr">
        <is>
          <t>11111127</t>
        </is>
      </c>
      <c r="E364" t="inlineStr">
        <is>
          <t>Vodacom Life 20260622</t>
        </is>
      </c>
      <c r="J364" t="inlineStr">
        <is>
          <t>AA</t>
        </is>
      </c>
      <c r="K364" t="inlineStr">
        <is>
          <t>Answering Machine Autodial</t>
        </is>
      </c>
      <c r="L364" t="n">
        <v>5</v>
      </c>
      <c r="M364" t="inlineStr">
        <is>
          <t>2026-06-29 06:40:14</t>
        </is>
      </c>
      <c r="N364" t="inlineStr">
        <is>
          <t>system</t>
        </is>
      </c>
      <c r="O364" t="inlineStr">
        <is>
          <t>2026-06-22 14:11:25</t>
        </is>
      </c>
      <c r="P364" t="inlineStr">
        <is>
          <t>2026-06-22 14:11:25</t>
        </is>
      </c>
      <c r="Y364" t="inlineStr">
        <is>
          <t>27761270959</t>
        </is>
      </c>
    </row>
    <row r="365">
      <c r="A365" t="inlineStr">
        <is>
          <t>14974426</t>
        </is>
      </c>
      <c r="B365" t="inlineStr">
        <is>
          <t>b9926a1b-35ec-420d-9aeb-8299511e9496</t>
        </is>
      </c>
      <c r="D365" t="inlineStr">
        <is>
          <t>11111127</t>
        </is>
      </c>
      <c r="E365" t="inlineStr">
        <is>
          <t>Vodacom Life 20260622</t>
        </is>
      </c>
      <c r="J365" t="inlineStr">
        <is>
          <t>DROP</t>
        </is>
      </c>
      <c r="K365" t="inlineStr">
        <is>
          <t>Dropped</t>
        </is>
      </c>
      <c r="L365" t="n">
        <v>5</v>
      </c>
      <c r="M365" t="inlineStr">
        <is>
          <t>2026-06-29 06:40:14</t>
        </is>
      </c>
      <c r="N365" t="inlineStr">
        <is>
          <t>system</t>
        </is>
      </c>
      <c r="O365" t="inlineStr">
        <is>
          <t>2026-06-22 14:11:25</t>
        </is>
      </c>
      <c r="P365" t="inlineStr">
        <is>
          <t>2026-06-22 14:11:25</t>
        </is>
      </c>
      <c r="Y365" t="inlineStr">
        <is>
          <t>27761155487</t>
        </is>
      </c>
    </row>
    <row r="366">
      <c r="A366" t="inlineStr">
        <is>
          <t>15000000</t>
        </is>
      </c>
      <c r="B366" t="inlineStr">
        <is>
          <t>31e349c8-1351-45d0-ae64-3cc895596eb9</t>
        </is>
      </c>
      <c r="D366" t="inlineStr">
        <is>
          <t>11111127</t>
        </is>
      </c>
      <c r="E366" t="inlineStr">
        <is>
          <t>Vodacom Life 20260622</t>
        </is>
      </c>
      <c r="J366" t="inlineStr">
        <is>
          <t>AA</t>
        </is>
      </c>
      <c r="K366" t="inlineStr">
        <is>
          <t>Answering Machine Autodial</t>
        </is>
      </c>
      <c r="L366" t="n">
        <v>5</v>
      </c>
      <c r="M366" t="inlineStr">
        <is>
          <t>2026-06-29 06:39:51</t>
        </is>
      </c>
      <c r="N366" t="inlineStr">
        <is>
          <t>system</t>
        </is>
      </c>
      <c r="O366" t="inlineStr">
        <is>
          <t>2026-06-22 14:11:25</t>
        </is>
      </c>
      <c r="P366" t="inlineStr">
        <is>
          <t>2026-06-22 14:11:25</t>
        </is>
      </c>
      <c r="Y366" t="inlineStr">
        <is>
          <t>27795870382</t>
        </is>
      </c>
    </row>
    <row r="367">
      <c r="A367" t="inlineStr">
        <is>
          <t>14974601</t>
        </is>
      </c>
      <c r="B367" t="inlineStr">
        <is>
          <t>c8d532c4-311d-4f5d-8869-86842bc85cd6</t>
        </is>
      </c>
      <c r="D367" t="inlineStr">
        <is>
          <t>11111127</t>
        </is>
      </c>
      <c r="E367" t="inlineStr">
        <is>
          <t>Vodacom Life 20260622</t>
        </is>
      </c>
      <c r="J367" t="inlineStr">
        <is>
          <t>AE</t>
        </is>
      </c>
      <c r="K367" t="inlineStr">
        <is>
          <t>Auto Engaged</t>
        </is>
      </c>
      <c r="L367" t="n">
        <v>5</v>
      </c>
      <c r="M367" t="inlineStr">
        <is>
          <t>2026-06-29 06:39:51</t>
        </is>
      </c>
      <c r="N367" t="inlineStr">
        <is>
          <t>system</t>
        </is>
      </c>
      <c r="O367" t="inlineStr">
        <is>
          <t>2026-06-22 14:11:25</t>
        </is>
      </c>
      <c r="P367" t="inlineStr">
        <is>
          <t>2026-06-22 14:11:25</t>
        </is>
      </c>
      <c r="Y367" t="inlineStr">
        <is>
          <t>27660464909</t>
        </is>
      </c>
    </row>
    <row r="368">
      <c r="A368" t="inlineStr">
        <is>
          <t>14974611</t>
        </is>
      </c>
      <c r="B368" t="inlineStr">
        <is>
          <t>0d290f41-5aa3-4cd1-a4f6-c169c21bf909</t>
        </is>
      </c>
      <c r="D368" t="inlineStr">
        <is>
          <t>11111127</t>
        </is>
      </c>
      <c r="E368" t="inlineStr">
        <is>
          <t>Vodacom Life 20260622</t>
        </is>
      </c>
      <c r="J368" t="inlineStr">
        <is>
          <t>NA</t>
        </is>
      </c>
      <c r="K368" t="inlineStr">
        <is>
          <t>No Answer Autodial</t>
        </is>
      </c>
      <c r="L368" t="n">
        <v>5</v>
      </c>
      <c r="M368" t="inlineStr">
        <is>
          <t>2026-06-29 06:39:51</t>
        </is>
      </c>
      <c r="N368" t="inlineStr">
        <is>
          <t>system</t>
        </is>
      </c>
      <c r="O368" t="inlineStr">
        <is>
          <t>2026-06-22 14:11:25</t>
        </is>
      </c>
      <c r="P368" t="inlineStr">
        <is>
          <t>2026-06-22 14:11:25</t>
        </is>
      </c>
      <c r="Y368" t="inlineStr">
        <is>
          <t>27725082071</t>
        </is>
      </c>
    </row>
    <row r="369">
      <c r="A369" t="inlineStr">
        <is>
          <t>14974493</t>
        </is>
      </c>
      <c r="B369" t="inlineStr">
        <is>
          <t>dc8abeb9-4e84-40df-937b-0cd384b40d9f</t>
        </is>
      </c>
      <c r="D369" t="inlineStr">
        <is>
          <t>11111127</t>
        </is>
      </c>
      <c r="E369" t="inlineStr">
        <is>
          <t>Vodacom Life 20260622</t>
        </is>
      </c>
      <c r="H369" t="inlineStr">
        <is>
          <t>27712005372</t>
        </is>
      </c>
      <c r="J369" t="inlineStr">
        <is>
          <t>IABDN</t>
        </is>
      </c>
      <c r="K369" t="inlineStr">
        <is>
          <t>Inbound Abandon</t>
        </is>
      </c>
      <c r="L369" t="n">
        <v>5</v>
      </c>
      <c r="M369" t="inlineStr">
        <is>
          <t>2026-06-29 06:39:32</t>
        </is>
      </c>
      <c r="N369" t="inlineStr">
        <is>
          <t>system</t>
        </is>
      </c>
      <c r="O369" t="inlineStr">
        <is>
          <t>2026-06-22 14:11:25</t>
        </is>
      </c>
      <c r="P369" t="inlineStr">
        <is>
          <t>2026-06-22 14:11:25</t>
        </is>
      </c>
      <c r="Y369" t="inlineStr">
        <is>
          <t>27712005372</t>
        </is>
      </c>
    </row>
    <row r="370">
      <c r="A370" t="inlineStr">
        <is>
          <t>14974598</t>
        </is>
      </c>
      <c r="B370" t="inlineStr">
        <is>
          <t>5613c62a-cf53-461d-ba2e-45afd6bf0803</t>
        </is>
      </c>
      <c r="D370" t="inlineStr">
        <is>
          <t>11111127</t>
        </is>
      </c>
      <c r="E370" t="inlineStr">
        <is>
          <t>Vodacom Life 20260622</t>
        </is>
      </c>
      <c r="J370" t="inlineStr">
        <is>
          <t>DROP</t>
        </is>
      </c>
      <c r="K370" t="inlineStr">
        <is>
          <t>Dropped</t>
        </is>
      </c>
      <c r="L370" t="n">
        <v>5</v>
      </c>
      <c r="M370" t="inlineStr">
        <is>
          <t>2026-06-29 06:39:23</t>
        </is>
      </c>
      <c r="N370" t="inlineStr">
        <is>
          <t>system</t>
        </is>
      </c>
      <c r="O370" t="inlineStr">
        <is>
          <t>2026-06-22 14:11:25</t>
        </is>
      </c>
      <c r="P370" t="inlineStr">
        <is>
          <t>2026-06-22 14:11:25</t>
        </is>
      </c>
      <c r="Y370" t="inlineStr">
        <is>
          <t>27823835905</t>
        </is>
      </c>
    </row>
    <row r="371">
      <c r="A371" t="inlineStr">
        <is>
          <t>14974505</t>
        </is>
      </c>
      <c r="B371" t="inlineStr">
        <is>
          <t>be358982-591e-4f62-9df3-65f0122a05ca</t>
        </is>
      </c>
      <c r="D371" t="inlineStr">
        <is>
          <t>11111127</t>
        </is>
      </c>
      <c r="E371" t="inlineStr">
        <is>
          <t>Vodacom Life 20260622</t>
        </is>
      </c>
      <c r="J371" t="inlineStr">
        <is>
          <t>ADC</t>
        </is>
      </c>
      <c r="K371" t="inlineStr">
        <is>
          <t>Auto Dial Disconnected</t>
        </is>
      </c>
      <c r="L371" t="n">
        <v>5</v>
      </c>
      <c r="M371" t="inlineStr">
        <is>
          <t>2026-06-29 06:37:35</t>
        </is>
      </c>
      <c r="N371" t="inlineStr">
        <is>
          <t>system</t>
        </is>
      </c>
      <c r="O371" t="inlineStr">
        <is>
          <t>2026-06-22 14:11:25</t>
        </is>
      </c>
      <c r="P371" t="inlineStr">
        <is>
          <t>2026-06-22 14:11:25</t>
        </is>
      </c>
      <c r="Y371" t="inlineStr">
        <is>
          <t>27820839592</t>
        </is>
      </c>
    </row>
    <row r="372">
      <c r="A372" t="inlineStr">
        <is>
          <t>14974504</t>
        </is>
      </c>
      <c r="B372" t="inlineStr">
        <is>
          <t>07f57d45-3f0a-451a-8b67-a2b66ebf390f</t>
        </is>
      </c>
      <c r="D372" t="inlineStr">
        <is>
          <t>11111127</t>
        </is>
      </c>
      <c r="E372" t="inlineStr">
        <is>
          <t>Vodacom Life 20260622</t>
        </is>
      </c>
      <c r="J372" t="inlineStr">
        <is>
          <t>NA</t>
        </is>
      </c>
      <c r="K372" t="inlineStr">
        <is>
          <t>No Answer Autodial</t>
        </is>
      </c>
      <c r="L372" t="n">
        <v>5</v>
      </c>
      <c r="M372" t="inlineStr">
        <is>
          <t>2026-06-29 06:37:26</t>
        </is>
      </c>
      <c r="N372" t="inlineStr">
        <is>
          <t>system</t>
        </is>
      </c>
      <c r="O372" t="inlineStr">
        <is>
          <t>2026-06-22 14:11:25</t>
        </is>
      </c>
      <c r="P372" t="inlineStr">
        <is>
          <t>2026-06-22 14:11:25</t>
        </is>
      </c>
      <c r="Y372" t="inlineStr">
        <is>
          <t>27825563924</t>
        </is>
      </c>
    </row>
    <row r="373">
      <c r="A373" t="inlineStr">
        <is>
          <t>14974503</t>
        </is>
      </c>
      <c r="B373" t="inlineStr">
        <is>
          <t>cf327d1c-79b0-449d-9ac4-9334d3c82a6b</t>
        </is>
      </c>
      <c r="D373" t="inlineStr">
        <is>
          <t>11111127</t>
        </is>
      </c>
      <c r="E373" t="inlineStr">
        <is>
          <t>Vodacom Life 20260622</t>
        </is>
      </c>
      <c r="H373" t="inlineStr">
        <is>
          <t>27715549524</t>
        </is>
      </c>
      <c r="J373" t="inlineStr">
        <is>
          <t>NA</t>
        </is>
      </c>
      <c r="K373" t="inlineStr">
        <is>
          <t>No Answer Autodial</t>
        </is>
      </c>
      <c r="L373" t="n">
        <v>5</v>
      </c>
      <c r="M373" t="inlineStr">
        <is>
          <t>2026-06-29 06:37:25</t>
        </is>
      </c>
      <c r="N373" t="inlineStr">
        <is>
          <t>system</t>
        </is>
      </c>
      <c r="O373" t="inlineStr">
        <is>
          <t>2026-06-22 14:11:25</t>
        </is>
      </c>
      <c r="P373" t="inlineStr">
        <is>
          <t>2026-06-22 14:11:25</t>
        </is>
      </c>
      <c r="Y373" t="inlineStr">
        <is>
          <t>27715549524</t>
        </is>
      </c>
    </row>
    <row r="374">
      <c r="A374" t="inlineStr">
        <is>
          <t>14974502</t>
        </is>
      </c>
      <c r="B374" t="inlineStr">
        <is>
          <t>6d726de4-d49c-4035-ac6f-e5985acb31f8</t>
        </is>
      </c>
      <c r="D374" t="inlineStr">
        <is>
          <t>11111127</t>
        </is>
      </c>
      <c r="E374" t="inlineStr">
        <is>
          <t>Vodacom Life 20260622</t>
        </is>
      </c>
      <c r="J374" t="inlineStr">
        <is>
          <t>DROP</t>
        </is>
      </c>
      <c r="K374" t="inlineStr">
        <is>
          <t>Dropped</t>
        </is>
      </c>
      <c r="L374" t="n">
        <v>5</v>
      </c>
      <c r="M374" t="inlineStr">
        <is>
          <t>2026-06-29 06:37:23</t>
        </is>
      </c>
      <c r="N374" t="inlineStr">
        <is>
          <t>system</t>
        </is>
      </c>
      <c r="O374" t="inlineStr">
        <is>
          <t>2026-06-22 14:11:25</t>
        </is>
      </c>
      <c r="P374" t="inlineStr">
        <is>
          <t>2026-06-22 14:11:25</t>
        </is>
      </c>
      <c r="Y374" t="inlineStr">
        <is>
          <t>27728907237</t>
        </is>
      </c>
    </row>
    <row r="375">
      <c r="A375" t="inlineStr">
        <is>
          <t>14974498</t>
        </is>
      </c>
      <c r="B375" t="inlineStr">
        <is>
          <t>b5d337f0-685a-4b16-af05-78a91e86845d</t>
        </is>
      </c>
      <c r="D375" t="inlineStr">
        <is>
          <t>11111127</t>
        </is>
      </c>
      <c r="E375" t="inlineStr">
        <is>
          <t>Vodacom Life 20260622</t>
        </is>
      </c>
      <c r="J375" t="inlineStr">
        <is>
          <t>AA</t>
        </is>
      </c>
      <c r="K375" t="inlineStr">
        <is>
          <t>Answering Machine Autodial</t>
        </is>
      </c>
      <c r="L375" t="n">
        <v>5</v>
      </c>
      <c r="M375" t="inlineStr">
        <is>
          <t>2026-06-29 06:37:22</t>
        </is>
      </c>
      <c r="N375" t="inlineStr">
        <is>
          <t>system</t>
        </is>
      </c>
      <c r="O375" t="inlineStr">
        <is>
          <t>2026-06-22 14:11:25</t>
        </is>
      </c>
      <c r="P375" t="inlineStr">
        <is>
          <t>2026-06-22 14:11:25</t>
        </is>
      </c>
      <c r="Y375" t="inlineStr">
        <is>
          <t>27727160205</t>
        </is>
      </c>
    </row>
    <row r="376">
      <c r="A376" t="inlineStr">
        <is>
          <t>14974499</t>
        </is>
      </c>
      <c r="B376" t="inlineStr">
        <is>
          <t>b5d7322f-add3-43b2-8fa5-aa54ed191372</t>
        </is>
      </c>
      <c r="D376" t="inlineStr">
        <is>
          <t>11111127</t>
        </is>
      </c>
      <c r="E376" t="inlineStr">
        <is>
          <t>Vodacom Life 20260622</t>
        </is>
      </c>
      <c r="J376" t="inlineStr">
        <is>
          <t>AE</t>
        </is>
      </c>
      <c r="K376" t="inlineStr">
        <is>
          <t>Auto Engaged</t>
        </is>
      </c>
      <c r="L376" t="n">
        <v>5</v>
      </c>
      <c r="M376" t="inlineStr">
        <is>
          <t>2026-06-29 06:37:22</t>
        </is>
      </c>
      <c r="N376" t="inlineStr">
        <is>
          <t>system</t>
        </is>
      </c>
      <c r="O376" t="inlineStr">
        <is>
          <t>2026-06-22 14:11:25</t>
        </is>
      </c>
      <c r="P376" t="inlineStr">
        <is>
          <t>2026-06-22 14:11:25</t>
        </is>
      </c>
      <c r="Y376" t="inlineStr">
        <is>
          <t>27729377689</t>
        </is>
      </c>
    </row>
    <row r="377">
      <c r="A377" t="inlineStr">
        <is>
          <t>14974500</t>
        </is>
      </c>
      <c r="B377" t="inlineStr">
        <is>
          <t>fa1db952-75f7-4203-ae21-768b00a02ede</t>
        </is>
      </c>
      <c r="D377" t="inlineStr">
        <is>
          <t>11111127</t>
        </is>
      </c>
      <c r="E377" t="inlineStr">
        <is>
          <t>Vodacom Life 20260622</t>
        </is>
      </c>
      <c r="J377" t="inlineStr">
        <is>
          <t>CU</t>
        </is>
      </c>
      <c r="K377" t="inlineStr">
        <is>
          <t>Client Hung Up</t>
        </is>
      </c>
      <c r="L377" t="n">
        <v>5</v>
      </c>
      <c r="M377" t="inlineStr">
        <is>
          <t>2026-06-29 06:37:22</t>
        </is>
      </c>
      <c r="N377" t="inlineStr">
        <is>
          <t>bongiwe lushaba</t>
        </is>
      </c>
      <c r="O377" t="inlineStr">
        <is>
          <t>2026-06-22 14:11:25</t>
        </is>
      </c>
      <c r="P377" t="inlineStr">
        <is>
          <t>2026-06-22 14:11:25</t>
        </is>
      </c>
      <c r="Y377" t="inlineStr">
        <is>
          <t>27729725220</t>
        </is>
      </c>
    </row>
    <row r="378">
      <c r="A378" t="inlineStr">
        <is>
          <t>14974501</t>
        </is>
      </c>
      <c r="B378" t="inlineStr">
        <is>
          <t>68483b47-4eec-40b3-b7ec-9bc8416d8fa6</t>
        </is>
      </c>
      <c r="D378" t="inlineStr">
        <is>
          <t>11111127</t>
        </is>
      </c>
      <c r="E378" t="inlineStr">
        <is>
          <t>Vodacom Life 20260622</t>
        </is>
      </c>
      <c r="H378" t="inlineStr">
        <is>
          <t>27725471705</t>
        </is>
      </c>
      <c r="J378" t="inlineStr">
        <is>
          <t>AE</t>
        </is>
      </c>
      <c r="K378" t="inlineStr">
        <is>
          <t>Auto Engaged</t>
        </is>
      </c>
      <c r="L378" t="n">
        <v>5</v>
      </c>
      <c r="M378" t="inlineStr">
        <is>
          <t>2026-06-29 06:37:22</t>
        </is>
      </c>
      <c r="N378" t="inlineStr">
        <is>
          <t>system</t>
        </is>
      </c>
      <c r="O378" t="inlineStr">
        <is>
          <t>2026-06-22 14:11:25</t>
        </is>
      </c>
      <c r="P378" t="inlineStr">
        <is>
          <t>2026-06-22 14:11:25</t>
        </is>
      </c>
      <c r="Y378" t="inlineStr">
        <is>
          <t>27725471705</t>
        </is>
      </c>
    </row>
    <row r="379">
      <c r="A379" t="inlineStr">
        <is>
          <t>15000000</t>
        </is>
      </c>
      <c r="B379" t="inlineStr">
        <is>
          <t>42e88680-248e-4ade-be76-0f522d09625b</t>
        </is>
      </c>
      <c r="D379" t="inlineStr">
        <is>
          <t>11111127</t>
        </is>
      </c>
      <c r="E379" t="inlineStr">
        <is>
          <t>Vodacom Life 20260622</t>
        </is>
      </c>
      <c r="J379" t="inlineStr">
        <is>
          <t>AA</t>
        </is>
      </c>
      <c r="K379" t="inlineStr">
        <is>
          <t>Answering Machine Autodial</t>
        </is>
      </c>
      <c r="L379" t="n">
        <v>5</v>
      </c>
      <c r="M379" t="inlineStr">
        <is>
          <t>2026-06-29 06:35:38</t>
        </is>
      </c>
      <c r="N379" t="inlineStr">
        <is>
          <t>system</t>
        </is>
      </c>
      <c r="O379" t="inlineStr">
        <is>
          <t>2026-06-22 14:11:25</t>
        </is>
      </c>
      <c r="P379" t="inlineStr">
        <is>
          <t>2026-06-22 14:11:25</t>
        </is>
      </c>
      <c r="Y379" t="inlineStr">
        <is>
          <t>27714607018</t>
        </is>
      </c>
    </row>
    <row r="380">
      <c r="A380" t="inlineStr">
        <is>
          <t>14974331</t>
        </is>
      </c>
      <c r="B380" t="inlineStr">
        <is>
          <t>af7c7500-70bb-44d9-87a7-bcab48f51859</t>
        </is>
      </c>
      <c r="D380" t="inlineStr">
        <is>
          <t>11111127</t>
        </is>
      </c>
      <c r="E380" t="inlineStr">
        <is>
          <t>Vodacom Life 20260622</t>
        </is>
      </c>
      <c r="J380" t="inlineStr">
        <is>
          <t>AE</t>
        </is>
      </c>
      <c r="K380" t="inlineStr">
        <is>
          <t>Auto Engaged</t>
        </is>
      </c>
      <c r="L380" t="n">
        <v>5</v>
      </c>
      <c r="M380" t="inlineStr">
        <is>
          <t>2026-06-29 06:35:33</t>
        </is>
      </c>
      <c r="N380" t="inlineStr">
        <is>
          <t>system</t>
        </is>
      </c>
      <c r="O380" t="inlineStr">
        <is>
          <t>2026-06-22 14:11:25</t>
        </is>
      </c>
      <c r="P380" t="inlineStr">
        <is>
          <t>2026-06-22 14:11:25</t>
        </is>
      </c>
      <c r="Y380" t="inlineStr">
        <is>
          <t>27607981646</t>
        </is>
      </c>
    </row>
    <row r="381">
      <c r="A381" t="inlineStr">
        <is>
          <t>14974324</t>
        </is>
      </c>
      <c r="B381" t="inlineStr">
        <is>
          <t>4ee1360e-ebac-4b00-8ac9-80d98ebad54d</t>
        </is>
      </c>
      <c r="D381" t="inlineStr">
        <is>
          <t>11111127</t>
        </is>
      </c>
      <c r="E381" t="inlineStr">
        <is>
          <t>Vodacom Life 20260622</t>
        </is>
      </c>
      <c r="J381" t="inlineStr">
        <is>
          <t>AE</t>
        </is>
      </c>
      <c r="K381" t="inlineStr">
        <is>
          <t>Auto Engaged</t>
        </is>
      </c>
      <c r="L381" t="n">
        <v>5</v>
      </c>
      <c r="M381" t="inlineStr">
        <is>
          <t>2026-06-29 06:35:27</t>
        </is>
      </c>
      <c r="N381" t="inlineStr">
        <is>
          <t>system</t>
        </is>
      </c>
      <c r="O381" t="inlineStr">
        <is>
          <t>2026-06-22 14:11:25</t>
        </is>
      </c>
      <c r="P381" t="inlineStr">
        <is>
          <t>2026-06-22 14:11:25</t>
        </is>
      </c>
      <c r="Y381" t="inlineStr">
        <is>
          <t>27665837036</t>
        </is>
      </c>
    </row>
    <row r="382">
      <c r="A382" t="inlineStr">
        <is>
          <t>14974329</t>
        </is>
      </c>
      <c r="B382" t="inlineStr">
        <is>
          <t>a42f70cf-dcd4-4e59-9203-180ad4255f92</t>
        </is>
      </c>
      <c r="D382" t="inlineStr">
        <is>
          <t>11111127</t>
        </is>
      </c>
      <c r="E382" t="inlineStr">
        <is>
          <t>Vodacom Life 20260622</t>
        </is>
      </c>
      <c r="J382" t="inlineStr">
        <is>
          <t>CU</t>
        </is>
      </c>
      <c r="K382" t="inlineStr">
        <is>
          <t>Client Hung Up</t>
        </is>
      </c>
      <c r="L382" t="n">
        <v>5</v>
      </c>
      <c r="M382" t="inlineStr">
        <is>
          <t>2026-06-29 06:35:27</t>
        </is>
      </c>
      <c r="N382" t="inlineStr">
        <is>
          <t>bongiwe lushaba</t>
        </is>
      </c>
      <c r="O382" t="inlineStr">
        <is>
          <t>2026-06-22 14:11:25</t>
        </is>
      </c>
      <c r="P382" t="inlineStr">
        <is>
          <t>2026-06-22 14:11:25</t>
        </is>
      </c>
      <c r="Y382" t="inlineStr">
        <is>
          <t>27790816338</t>
        </is>
      </c>
    </row>
    <row r="383">
      <c r="A383" t="inlineStr">
        <is>
          <t>14974330</t>
        </is>
      </c>
      <c r="B383" t="inlineStr">
        <is>
          <t>1bdd6b16-483c-46a5-83df-a2f6e7d05046</t>
        </is>
      </c>
      <c r="D383" t="inlineStr">
        <is>
          <t>11111127</t>
        </is>
      </c>
      <c r="E383" t="inlineStr">
        <is>
          <t>Vodacom Life 20260622</t>
        </is>
      </c>
      <c r="J383" t="inlineStr">
        <is>
          <t>ADC</t>
        </is>
      </c>
      <c r="K383" t="inlineStr">
        <is>
          <t>Auto Dial Disconnected</t>
        </is>
      </c>
      <c r="L383" t="n">
        <v>5</v>
      </c>
      <c r="M383" t="inlineStr">
        <is>
          <t>2026-06-29 06:35:27</t>
        </is>
      </c>
      <c r="N383" t="inlineStr">
        <is>
          <t>system</t>
        </is>
      </c>
      <c r="O383" t="inlineStr">
        <is>
          <t>2026-06-22 14:11:25</t>
        </is>
      </c>
      <c r="P383" t="inlineStr">
        <is>
          <t>2026-06-22 14:11:25</t>
        </is>
      </c>
      <c r="Y383" t="inlineStr">
        <is>
          <t>27823900466</t>
        </is>
      </c>
    </row>
    <row r="384">
      <c r="A384" t="inlineStr">
        <is>
          <t>14974322</t>
        </is>
      </c>
      <c r="B384" t="inlineStr">
        <is>
          <t>fb25af5e-2810-42ff-b4d1-eb788029d399</t>
        </is>
      </c>
      <c r="D384" t="inlineStr">
        <is>
          <t>11111127</t>
        </is>
      </c>
      <c r="E384" t="inlineStr">
        <is>
          <t>Vodacom Life 20260622</t>
        </is>
      </c>
      <c r="J384" t="inlineStr">
        <is>
          <t>NA</t>
        </is>
      </c>
      <c r="K384" t="inlineStr">
        <is>
          <t>No Answer Autodial</t>
        </is>
      </c>
      <c r="L384" t="n">
        <v>5</v>
      </c>
      <c r="M384" t="inlineStr">
        <is>
          <t>2026-06-29 06:34:46</t>
        </is>
      </c>
      <c r="N384" t="inlineStr">
        <is>
          <t>system</t>
        </is>
      </c>
      <c r="O384" t="inlineStr">
        <is>
          <t>2026-06-22 14:11:25</t>
        </is>
      </c>
      <c r="P384" t="inlineStr">
        <is>
          <t>2026-06-22 14:11:25</t>
        </is>
      </c>
      <c r="Y384" t="inlineStr">
        <is>
          <t>27728571875</t>
        </is>
      </c>
    </row>
    <row r="385">
      <c r="A385" t="inlineStr">
        <is>
          <t>14974321</t>
        </is>
      </c>
      <c r="B385" t="inlineStr">
        <is>
          <t>a5aa8b90-1b82-4c30-a05f-39ade224c345</t>
        </is>
      </c>
      <c r="D385" t="inlineStr">
        <is>
          <t>11111127</t>
        </is>
      </c>
      <c r="E385" t="inlineStr">
        <is>
          <t>Vodacom Life 20260622</t>
        </is>
      </c>
      <c r="J385" t="inlineStr">
        <is>
          <t>AA</t>
        </is>
      </c>
      <c r="K385" t="inlineStr">
        <is>
          <t>Answering Machine Autodial</t>
        </is>
      </c>
      <c r="L385" t="n">
        <v>5</v>
      </c>
      <c r="M385" t="inlineStr">
        <is>
          <t>2026-06-29 06:34:42</t>
        </is>
      </c>
      <c r="N385" t="inlineStr">
        <is>
          <t>system</t>
        </is>
      </c>
      <c r="O385" t="inlineStr">
        <is>
          <t>2026-06-22 14:11:25</t>
        </is>
      </c>
      <c r="P385" t="inlineStr">
        <is>
          <t>2026-06-22 14:11:25</t>
        </is>
      </c>
      <c r="Y385" t="inlineStr">
        <is>
          <t>27794335762</t>
        </is>
      </c>
    </row>
    <row r="386">
      <c r="A386" t="inlineStr">
        <is>
          <t>14974320</t>
        </is>
      </c>
      <c r="B386" t="inlineStr">
        <is>
          <t>1486bea3-c128-4796-ae4f-8727604f9ea3</t>
        </is>
      </c>
      <c r="D386" t="inlineStr">
        <is>
          <t>11111127</t>
        </is>
      </c>
      <c r="E386" t="inlineStr">
        <is>
          <t>Vodacom Life 20260622</t>
        </is>
      </c>
      <c r="J386" t="inlineStr">
        <is>
          <t>AE</t>
        </is>
      </c>
      <c r="K386" t="inlineStr">
        <is>
          <t>Auto Engaged</t>
        </is>
      </c>
      <c r="L386" t="n">
        <v>5</v>
      </c>
      <c r="M386" t="inlineStr">
        <is>
          <t>2026-06-29 06:34:35</t>
        </is>
      </c>
      <c r="N386" t="inlineStr">
        <is>
          <t>system</t>
        </is>
      </c>
      <c r="O386" t="inlineStr">
        <is>
          <t>2026-06-22 14:11:25</t>
        </is>
      </c>
      <c r="P386" t="inlineStr">
        <is>
          <t>2026-06-22 14:11:25</t>
        </is>
      </c>
      <c r="Y386" t="inlineStr">
        <is>
          <t>27799719618</t>
        </is>
      </c>
    </row>
    <row r="387">
      <c r="A387" t="inlineStr">
        <is>
          <t>14974307</t>
        </is>
      </c>
      <c r="B387" t="inlineStr">
        <is>
          <t>5c38d20d-765c-4113-9ef0-b1cf47fc680b</t>
        </is>
      </c>
      <c r="D387" t="inlineStr">
        <is>
          <t>11111127</t>
        </is>
      </c>
      <c r="E387" t="inlineStr">
        <is>
          <t>Vodacom Life 20260622</t>
        </is>
      </c>
      <c r="J387" t="inlineStr">
        <is>
          <t>ADC</t>
        </is>
      </c>
      <c r="K387" t="inlineStr">
        <is>
          <t>Auto Dial Disconnected</t>
        </is>
      </c>
      <c r="L387" t="n">
        <v>5</v>
      </c>
      <c r="M387" t="inlineStr">
        <is>
          <t>2026-06-29 06:34:34</t>
        </is>
      </c>
      <c r="N387" t="inlineStr">
        <is>
          <t>system</t>
        </is>
      </c>
      <c r="O387" t="inlineStr">
        <is>
          <t>2026-06-22 14:11:25</t>
        </is>
      </c>
      <c r="P387" t="inlineStr">
        <is>
          <t>2026-06-22 14:11:25</t>
        </is>
      </c>
      <c r="Y387" t="inlineStr">
        <is>
          <t>27768826562</t>
        </is>
      </c>
    </row>
    <row r="388">
      <c r="A388" t="inlineStr">
        <is>
          <t>14974306</t>
        </is>
      </c>
      <c r="B388" t="inlineStr">
        <is>
          <t>5724a31c-c63d-4d26-83b3-93ec22b21fc8</t>
        </is>
      </c>
      <c r="D388" t="inlineStr">
        <is>
          <t>11111127</t>
        </is>
      </c>
      <c r="E388" t="inlineStr">
        <is>
          <t>Vodacom Life 20260622</t>
        </is>
      </c>
      <c r="J388" t="inlineStr">
        <is>
          <t>NA</t>
        </is>
      </c>
      <c r="K388" t="inlineStr">
        <is>
          <t>No Answer Autodial</t>
        </is>
      </c>
      <c r="L388" t="n">
        <v>5</v>
      </c>
      <c r="M388" t="inlineStr">
        <is>
          <t>2026-06-29 06:34:31</t>
        </is>
      </c>
      <c r="N388" t="inlineStr">
        <is>
          <t>system</t>
        </is>
      </c>
      <c r="O388" t="inlineStr">
        <is>
          <t>2026-06-22 14:11:25</t>
        </is>
      </c>
      <c r="P388" t="inlineStr">
        <is>
          <t>2026-06-22 14:11:25</t>
        </is>
      </c>
      <c r="Y388" t="inlineStr">
        <is>
          <t>27827377177</t>
        </is>
      </c>
    </row>
    <row r="389">
      <c r="A389" t="inlineStr">
        <is>
          <t>14974620</t>
        </is>
      </c>
      <c r="B389" t="inlineStr">
        <is>
          <t>8aa6b1e8-af93-489f-bd0b-47381a1b5ac2</t>
        </is>
      </c>
      <c r="D389" t="inlineStr">
        <is>
          <t>11111127</t>
        </is>
      </c>
      <c r="E389" t="inlineStr">
        <is>
          <t>Vodacom Life 20260622</t>
        </is>
      </c>
      <c r="J389" t="inlineStr">
        <is>
          <t>AA</t>
        </is>
      </c>
      <c r="K389" t="inlineStr">
        <is>
          <t>Answering Machine Autodial</t>
        </is>
      </c>
      <c r="L389" t="n">
        <v>5</v>
      </c>
      <c r="M389" t="inlineStr">
        <is>
          <t>2026-06-29 06:34:31</t>
        </is>
      </c>
      <c r="N389" t="inlineStr">
        <is>
          <t>system</t>
        </is>
      </c>
      <c r="O389" t="inlineStr">
        <is>
          <t>2026-06-22 14:11:25</t>
        </is>
      </c>
      <c r="P389" t="inlineStr">
        <is>
          <t>2026-06-22 14:11:25</t>
        </is>
      </c>
      <c r="Y389" t="inlineStr">
        <is>
          <t>27736351772</t>
        </is>
      </c>
    </row>
    <row r="390">
      <c r="A390" t="inlineStr">
        <is>
          <t>14974621</t>
        </is>
      </c>
      <c r="B390" t="inlineStr">
        <is>
          <t>77edc056-325f-4004-8249-66fcbec8ba07</t>
        </is>
      </c>
      <c r="D390" t="inlineStr">
        <is>
          <t>11111127</t>
        </is>
      </c>
      <c r="E390" t="inlineStr">
        <is>
          <t>Vodacom Life 20260622</t>
        </is>
      </c>
      <c r="J390" t="inlineStr">
        <is>
          <t>AE</t>
        </is>
      </c>
      <c r="K390" t="inlineStr">
        <is>
          <t>Auto Engaged</t>
        </is>
      </c>
      <c r="L390" t="n">
        <v>5</v>
      </c>
      <c r="M390" t="inlineStr">
        <is>
          <t>2026-06-29 06:34:31</t>
        </is>
      </c>
      <c r="N390" t="inlineStr">
        <is>
          <t>system</t>
        </is>
      </c>
      <c r="O390" t="inlineStr">
        <is>
          <t>2026-06-22 14:11:25</t>
        </is>
      </c>
      <c r="P390" t="inlineStr">
        <is>
          <t>2026-06-22 14:11:25</t>
        </is>
      </c>
      <c r="Y390" t="inlineStr">
        <is>
          <t>27767241059</t>
        </is>
      </c>
    </row>
    <row r="391">
      <c r="A391" t="inlineStr">
        <is>
          <t>14974497</t>
        </is>
      </c>
      <c r="B391" t="inlineStr">
        <is>
          <t>9ad30f37-a1db-4add-85d7-fb9ccd628872</t>
        </is>
      </c>
      <c r="D391" t="inlineStr">
        <is>
          <t>11111127</t>
        </is>
      </c>
      <c r="E391" t="inlineStr">
        <is>
          <t>Vodacom Life 20260622</t>
        </is>
      </c>
      <c r="J391" t="inlineStr">
        <is>
          <t>DROP</t>
        </is>
      </c>
      <c r="K391" t="inlineStr">
        <is>
          <t>Dropped</t>
        </is>
      </c>
      <c r="L391" t="n">
        <v>5</v>
      </c>
      <c r="M391" t="inlineStr">
        <is>
          <t>2026-06-29 06:32:45</t>
        </is>
      </c>
      <c r="N391" t="inlineStr">
        <is>
          <t>system</t>
        </is>
      </c>
      <c r="O391" t="inlineStr">
        <is>
          <t>2026-06-22 14:11:25</t>
        </is>
      </c>
      <c r="P391" t="inlineStr">
        <is>
          <t>2026-06-22 14:11:25</t>
        </is>
      </c>
      <c r="Y391" t="inlineStr">
        <is>
          <t>27836445267</t>
        </is>
      </c>
    </row>
    <row r="392">
      <c r="A392" t="inlineStr">
        <is>
          <t>14974494</t>
        </is>
      </c>
      <c r="B392" t="inlineStr">
        <is>
          <t>1adf5758-dd2b-4fde-b267-a4a3474d536e</t>
        </is>
      </c>
      <c r="D392" t="inlineStr">
        <is>
          <t>11111127</t>
        </is>
      </c>
      <c r="E392" t="inlineStr">
        <is>
          <t>Vodacom Life 20260622</t>
        </is>
      </c>
      <c r="J392" t="inlineStr">
        <is>
          <t>A</t>
        </is>
      </c>
      <c r="K392" t="inlineStr">
        <is>
          <t>Answering Machine</t>
        </is>
      </c>
      <c r="L392" t="n">
        <v>5</v>
      </c>
      <c r="M392" t="inlineStr">
        <is>
          <t>2026-06-29 06:32:44</t>
        </is>
      </c>
      <c r="N392" t="inlineStr">
        <is>
          <t>bongiwe lushaba</t>
        </is>
      </c>
      <c r="O392" t="inlineStr">
        <is>
          <t>2026-06-22 14:11:25</t>
        </is>
      </c>
      <c r="P392" t="inlineStr">
        <is>
          <t>2026-06-22 14:11:25</t>
        </is>
      </c>
      <c r="Y392" t="inlineStr">
        <is>
          <t>27712478932</t>
        </is>
      </c>
    </row>
    <row r="393">
      <c r="A393" t="inlineStr">
        <is>
          <t>14974495</t>
        </is>
      </c>
      <c r="B393" t="inlineStr">
        <is>
          <t>9822fde8-bbd4-4b8d-99d5-8a16ac5903c3</t>
        </is>
      </c>
      <c r="D393" t="inlineStr">
        <is>
          <t>11111127</t>
        </is>
      </c>
      <c r="E393" t="inlineStr">
        <is>
          <t>Vodacom Life 20260622</t>
        </is>
      </c>
      <c r="H393" t="inlineStr">
        <is>
          <t>27714326733</t>
        </is>
      </c>
      <c r="J393" t="inlineStr">
        <is>
          <t>DROP</t>
        </is>
      </c>
      <c r="K393" t="inlineStr">
        <is>
          <t>Dropped</t>
        </is>
      </c>
      <c r="L393" t="n">
        <v>5</v>
      </c>
      <c r="M393" t="inlineStr">
        <is>
          <t>2026-06-29 06:32:44</t>
        </is>
      </c>
      <c r="N393" t="inlineStr">
        <is>
          <t>system</t>
        </is>
      </c>
      <c r="O393" t="inlineStr">
        <is>
          <t>2026-06-22 14:11:25</t>
        </is>
      </c>
      <c r="P393" t="inlineStr">
        <is>
          <t>2026-06-22 14:11:25</t>
        </is>
      </c>
      <c r="Y393" t="inlineStr">
        <is>
          <t>27714326733</t>
        </is>
      </c>
    </row>
    <row r="394">
      <c r="A394" t="inlineStr">
        <is>
          <t>14974496</t>
        </is>
      </c>
      <c r="B394" t="inlineStr">
        <is>
          <t>db785323-b85f-4e0d-adc7-01fc2e9a901c</t>
        </is>
      </c>
      <c r="D394" t="inlineStr">
        <is>
          <t>11111127</t>
        </is>
      </c>
      <c r="E394" t="inlineStr">
        <is>
          <t>Vodacom Life 20260622</t>
        </is>
      </c>
      <c r="J394" t="inlineStr">
        <is>
          <t>DROP</t>
        </is>
      </c>
      <c r="K394" t="inlineStr">
        <is>
          <t>Dropped</t>
        </is>
      </c>
      <c r="L394" t="n">
        <v>5</v>
      </c>
      <c r="M394" t="inlineStr">
        <is>
          <t>2026-06-29 06:32:44</t>
        </is>
      </c>
      <c r="N394" t="inlineStr">
        <is>
          <t>system</t>
        </is>
      </c>
      <c r="O394" t="inlineStr">
        <is>
          <t>2026-06-22 14:11:25</t>
        </is>
      </c>
      <c r="P394" t="inlineStr">
        <is>
          <t>2026-06-22 14:11:25</t>
        </is>
      </c>
      <c r="Y394" t="inlineStr">
        <is>
          <t>27606761620</t>
        </is>
      </c>
    </row>
    <row r="395">
      <c r="A395" t="inlineStr">
        <is>
          <t>14974492</t>
        </is>
      </c>
      <c r="B395" t="inlineStr">
        <is>
          <t>3af10086-0458-4940-b85f-44417a85f589</t>
        </is>
      </c>
      <c r="D395" t="inlineStr">
        <is>
          <t>11111127</t>
        </is>
      </c>
      <c r="E395" t="inlineStr">
        <is>
          <t>Vodacom Life 20260622</t>
        </is>
      </c>
      <c r="J395" t="inlineStr">
        <is>
          <t>AE</t>
        </is>
      </c>
      <c r="K395" t="inlineStr">
        <is>
          <t>Auto Engaged</t>
        </is>
      </c>
      <c r="L395" t="n">
        <v>5</v>
      </c>
      <c r="M395" t="inlineStr">
        <is>
          <t>2026-06-29 06:29:40</t>
        </is>
      </c>
      <c r="N395" t="inlineStr">
        <is>
          <t>system</t>
        </is>
      </c>
      <c r="O395" t="inlineStr">
        <is>
          <t>2026-06-22 14:11:25</t>
        </is>
      </c>
      <c r="P395" t="inlineStr">
        <is>
          <t>2026-06-22 14:11:25</t>
        </is>
      </c>
      <c r="Y395" t="inlineStr">
        <is>
          <t>27796209712</t>
        </is>
      </c>
    </row>
    <row r="396">
      <c r="A396" t="inlineStr">
        <is>
          <t>14974491</t>
        </is>
      </c>
      <c r="B396" t="inlineStr">
        <is>
          <t>5e8c4fa1-c5dd-47bd-8f0d-cc544cb03342</t>
        </is>
      </c>
      <c r="D396" t="inlineStr">
        <is>
          <t>11111127</t>
        </is>
      </c>
      <c r="E396" t="inlineStr">
        <is>
          <t>Vodacom Life 20260622</t>
        </is>
      </c>
      <c r="H396" t="inlineStr">
        <is>
          <t>27827588919</t>
        </is>
      </c>
      <c r="J396" t="inlineStr">
        <is>
          <t>AA</t>
        </is>
      </c>
      <c r="K396" t="inlineStr">
        <is>
          <t>Answering Machine Autodial</t>
        </is>
      </c>
      <c r="L396" t="n">
        <v>5</v>
      </c>
      <c r="M396" t="inlineStr">
        <is>
          <t>2026-06-29 06:29:32</t>
        </is>
      </c>
      <c r="N396" t="inlineStr">
        <is>
          <t>system</t>
        </is>
      </c>
      <c r="O396" t="inlineStr">
        <is>
          <t>2026-06-22 14:11:25</t>
        </is>
      </c>
      <c r="P396" t="inlineStr">
        <is>
          <t>2026-06-22 14:11:25</t>
        </is>
      </c>
      <c r="Y396" t="inlineStr">
        <is>
          <t>27827588919</t>
        </is>
      </c>
    </row>
    <row r="397">
      <c r="A397" t="inlineStr">
        <is>
          <t>14974632</t>
        </is>
      </c>
      <c r="B397" t="inlineStr">
        <is>
          <t>1af72574-8de3-453d-853d-29e0643db5b3</t>
        </is>
      </c>
      <c r="D397" t="inlineStr">
        <is>
          <t>11111127</t>
        </is>
      </c>
      <c r="E397" t="inlineStr">
        <is>
          <t>Vodacom Life 20260622</t>
        </is>
      </c>
      <c r="H397" t="inlineStr">
        <is>
          <t>27764665871</t>
        </is>
      </c>
      <c r="J397" t="inlineStr">
        <is>
          <t>IABDN</t>
        </is>
      </c>
      <c r="K397" t="inlineStr">
        <is>
          <t>Inbound Abandon</t>
        </is>
      </c>
      <c r="L397" t="n">
        <v>5</v>
      </c>
      <c r="M397" t="inlineStr">
        <is>
          <t>2026-06-29 06:28:28</t>
        </is>
      </c>
      <c r="N397" t="inlineStr">
        <is>
          <t>system</t>
        </is>
      </c>
      <c r="O397" t="inlineStr">
        <is>
          <t>2026-06-22 14:11:25</t>
        </is>
      </c>
      <c r="P397" t="inlineStr">
        <is>
          <t>2026-06-22 14:11:25</t>
        </is>
      </c>
      <c r="Y397" t="inlineStr">
        <is>
          <t>27764665871</t>
        </is>
      </c>
    </row>
    <row r="398">
      <c r="A398" t="inlineStr">
        <is>
          <t>14974428</t>
        </is>
      </c>
      <c r="B398" t="inlineStr">
        <is>
          <t>e56aeb95-0c42-4023-afb6-5c824644e39a</t>
        </is>
      </c>
      <c r="D398" t="inlineStr">
        <is>
          <t>11111127</t>
        </is>
      </c>
      <c r="E398" t="inlineStr">
        <is>
          <t>Vodacom Life 20260622</t>
        </is>
      </c>
      <c r="J398" t="inlineStr">
        <is>
          <t>AA</t>
        </is>
      </c>
      <c r="K398" t="inlineStr">
        <is>
          <t>Answering Machine Autodial</t>
        </is>
      </c>
      <c r="L398" t="n">
        <v>5</v>
      </c>
      <c r="M398" t="inlineStr">
        <is>
          <t>2026-06-29 06:27:46</t>
        </is>
      </c>
      <c r="N398" t="inlineStr">
        <is>
          <t>system</t>
        </is>
      </c>
      <c r="O398" t="inlineStr">
        <is>
          <t>2026-06-22 14:11:25</t>
        </is>
      </c>
      <c r="P398" t="inlineStr">
        <is>
          <t>2026-06-22 14:11:25</t>
        </is>
      </c>
      <c r="Y398" t="inlineStr">
        <is>
          <t>27781270686</t>
        </is>
      </c>
    </row>
    <row r="399">
      <c r="A399" t="inlineStr">
        <is>
          <t>14974429</t>
        </is>
      </c>
      <c r="B399" t="inlineStr">
        <is>
          <t>4c58137c-2cba-40c7-985c-c517447346bc</t>
        </is>
      </c>
      <c r="D399" t="inlineStr">
        <is>
          <t>11111127</t>
        </is>
      </c>
      <c r="E399" t="inlineStr">
        <is>
          <t>Vodacom Life 20260622</t>
        </is>
      </c>
      <c r="J399" t="inlineStr">
        <is>
          <t>AE</t>
        </is>
      </c>
      <c r="K399" t="inlineStr">
        <is>
          <t>Auto Engaged</t>
        </is>
      </c>
      <c r="L399" t="n">
        <v>5</v>
      </c>
      <c r="M399" t="inlineStr">
        <is>
          <t>2026-06-29 06:27:46</t>
        </is>
      </c>
      <c r="N399" t="inlineStr">
        <is>
          <t>system</t>
        </is>
      </c>
      <c r="O399" t="inlineStr">
        <is>
          <t>2026-06-22 14:11:25</t>
        </is>
      </c>
      <c r="P399" t="inlineStr">
        <is>
          <t>2026-06-22 14:11:25</t>
        </is>
      </c>
      <c r="Y399" t="inlineStr">
        <is>
          <t>27765656017</t>
        </is>
      </c>
    </row>
    <row r="400">
      <c r="A400" t="inlineStr">
        <is>
          <t>14974305</t>
        </is>
      </c>
      <c r="B400" t="inlineStr">
        <is>
          <t>6704fbc6-50bf-4f66-b24b-5c36bc62faac</t>
        </is>
      </c>
      <c r="D400" t="inlineStr">
        <is>
          <t>11111127</t>
        </is>
      </c>
      <c r="E400" t="inlineStr">
        <is>
          <t>Vodacom Life 20260622</t>
        </is>
      </c>
      <c r="J400" t="inlineStr">
        <is>
          <t>AE</t>
        </is>
      </c>
      <c r="K400" t="inlineStr">
        <is>
          <t>Auto Engaged</t>
        </is>
      </c>
      <c r="L400" t="n">
        <v>5</v>
      </c>
      <c r="M400" t="inlineStr">
        <is>
          <t>2026-06-29 06:27:10</t>
        </is>
      </c>
      <c r="N400" t="inlineStr">
        <is>
          <t>system</t>
        </is>
      </c>
      <c r="O400" t="inlineStr">
        <is>
          <t>2026-06-22 14:11:25</t>
        </is>
      </c>
      <c r="P400" t="inlineStr">
        <is>
          <t>2026-06-22 14:11:25</t>
        </is>
      </c>
      <c r="Y400" t="inlineStr">
        <is>
          <t>27699825653</t>
        </is>
      </c>
    </row>
    <row r="401">
      <c r="A401" t="inlineStr">
        <is>
          <t>14974633</t>
        </is>
      </c>
      <c r="B401" t="inlineStr">
        <is>
          <t>d66bc3d3-787a-4419-94d7-2d2eb74b7bcc</t>
        </is>
      </c>
      <c r="D401" t="inlineStr">
        <is>
          <t>11111127</t>
        </is>
      </c>
      <c r="E401" t="inlineStr">
        <is>
          <t>Vodacom Life 20260622</t>
        </is>
      </c>
      <c r="H401" t="inlineStr">
        <is>
          <t>27767106023</t>
        </is>
      </c>
      <c r="J401" t="inlineStr">
        <is>
          <t>A</t>
        </is>
      </c>
      <c r="K401" t="inlineStr">
        <is>
          <t>Answering Machine</t>
        </is>
      </c>
      <c r="L401" t="n">
        <v>5</v>
      </c>
      <c r="M401" t="inlineStr">
        <is>
          <t>2026-06-29 06:26:15</t>
        </is>
      </c>
      <c r="N401" t="inlineStr">
        <is>
          <t>bongiwe lushaba</t>
        </is>
      </c>
      <c r="O401" t="inlineStr">
        <is>
          <t>2026-06-22 14:11:25</t>
        </is>
      </c>
      <c r="P401" t="inlineStr">
        <is>
          <t>2026-06-22 14:11:25</t>
        </is>
      </c>
      <c r="Y401" t="inlineStr">
        <is>
          <t>27767106023</t>
        </is>
      </c>
    </row>
    <row r="402">
      <c r="A402" t="inlineStr">
        <is>
          <t>14974634</t>
        </is>
      </c>
      <c r="B402" t="inlineStr">
        <is>
          <t>2ece8fdf-ee0a-42f3-a2db-e39774b03609</t>
        </is>
      </c>
      <c r="D402" t="inlineStr">
        <is>
          <t>11111127</t>
        </is>
      </c>
      <c r="E402" t="inlineStr">
        <is>
          <t>Vodacom Life 20260622</t>
        </is>
      </c>
      <c r="J402" t="inlineStr">
        <is>
          <t>DROP</t>
        </is>
      </c>
      <c r="K402" t="inlineStr">
        <is>
          <t>Dropped</t>
        </is>
      </c>
      <c r="L402" t="n">
        <v>5</v>
      </c>
      <c r="M402" t="inlineStr">
        <is>
          <t>2026-06-29 06:26:13</t>
        </is>
      </c>
      <c r="N402" t="inlineStr">
        <is>
          <t>system</t>
        </is>
      </c>
      <c r="O402" t="inlineStr">
        <is>
          <t>2026-06-22 14:11:25</t>
        </is>
      </c>
      <c r="P402" t="inlineStr">
        <is>
          <t>2026-06-22 14:11:25</t>
        </is>
      </c>
      <c r="Y402" t="inlineStr">
        <is>
          <t>27767267914</t>
        </is>
      </c>
    </row>
    <row r="403">
      <c r="A403" t="inlineStr">
        <is>
          <t>14974624</t>
        </is>
      </c>
      <c r="B403" t="inlineStr">
        <is>
          <t>548806ce-adcb-4305-8e58-e3cd3828d6ff</t>
        </is>
      </c>
      <c r="D403" t="inlineStr">
        <is>
          <t>11111127</t>
        </is>
      </c>
      <c r="E403" t="inlineStr">
        <is>
          <t>Vodacom Life 20260622</t>
        </is>
      </c>
      <c r="H403" t="inlineStr">
        <is>
          <t>27720959721</t>
        </is>
      </c>
      <c r="J403" t="inlineStr">
        <is>
          <t>AA</t>
        </is>
      </c>
      <c r="K403" t="inlineStr">
        <is>
          <t>Answering Machine Autodial</t>
        </is>
      </c>
      <c r="L403" t="n">
        <v>5</v>
      </c>
      <c r="M403" t="inlineStr">
        <is>
          <t>2026-06-29 06:25:27</t>
        </is>
      </c>
      <c r="N403" t="inlineStr">
        <is>
          <t>system</t>
        </is>
      </c>
      <c r="O403" t="inlineStr">
        <is>
          <t>2026-06-22 14:11:25</t>
        </is>
      </c>
      <c r="P403" t="inlineStr">
        <is>
          <t>2026-06-22 14:11:25</t>
        </is>
      </c>
      <c r="Y403" t="inlineStr">
        <is>
          <t>27720959721</t>
        </is>
      </c>
    </row>
    <row r="404">
      <c r="A404" t="inlineStr">
        <is>
          <t>14973964</t>
        </is>
      </c>
      <c r="B404" t="inlineStr">
        <is>
          <t>b706e02e-e139-4b29-bd30-f69041d5e906</t>
        </is>
      </c>
      <c r="D404" t="inlineStr">
        <is>
          <t>11111127</t>
        </is>
      </c>
      <c r="E404" t="inlineStr">
        <is>
          <t>Vodacom Life 20260622</t>
        </is>
      </c>
      <c r="J404" t="inlineStr">
        <is>
          <t>A</t>
        </is>
      </c>
      <c r="K404" t="inlineStr">
        <is>
          <t>Answering Machine</t>
        </is>
      </c>
      <c r="L404" t="n">
        <v>5</v>
      </c>
      <c r="M404" t="inlineStr">
        <is>
          <t>2026-06-29 06:24:29</t>
        </is>
      </c>
      <c r="N404" t="inlineStr">
        <is>
          <t>bongiwe lushaba</t>
        </is>
      </c>
      <c r="O404" t="inlineStr">
        <is>
          <t>2026-06-22 14:11:25</t>
        </is>
      </c>
      <c r="P404" t="inlineStr">
        <is>
          <t>2026-06-22 14:11:25</t>
        </is>
      </c>
      <c r="Y404" t="inlineStr">
        <is>
          <t>27661782401</t>
        </is>
      </c>
    </row>
    <row r="405">
      <c r="A405" t="inlineStr">
        <is>
          <t>14973965</t>
        </is>
      </c>
      <c r="B405" t="inlineStr">
        <is>
          <t>0b546df4-23ee-477d-a666-5e2959dbd99a</t>
        </is>
      </c>
      <c r="D405" t="inlineStr">
        <is>
          <t>11111127</t>
        </is>
      </c>
      <c r="E405" t="inlineStr">
        <is>
          <t>Vodacom Life 20260622</t>
        </is>
      </c>
      <c r="J405" t="inlineStr">
        <is>
          <t>AA</t>
        </is>
      </c>
      <c r="K405" t="inlineStr">
        <is>
          <t>Answering Machine Autodial</t>
        </is>
      </c>
      <c r="L405" t="n">
        <v>5</v>
      </c>
      <c r="M405" t="inlineStr">
        <is>
          <t>2026-06-29 06:24:29</t>
        </is>
      </c>
      <c r="N405" t="inlineStr">
        <is>
          <t>system</t>
        </is>
      </c>
      <c r="O405" t="inlineStr">
        <is>
          <t>2026-06-22 14:11:25</t>
        </is>
      </c>
      <c r="P405" t="inlineStr">
        <is>
          <t>2026-06-22 14:11:25</t>
        </is>
      </c>
      <c r="Y405" t="inlineStr">
        <is>
          <t>27763590726</t>
        </is>
      </c>
    </row>
    <row r="406">
      <c r="A406" t="inlineStr">
        <is>
          <t>14973892</t>
        </is>
      </c>
      <c r="B406" t="inlineStr">
        <is>
          <t>b18ed345-fa13-4d2a-9d4b-9f8cd79dd994</t>
        </is>
      </c>
      <c r="D406" t="inlineStr">
        <is>
          <t>11111127</t>
        </is>
      </c>
      <c r="E406" t="inlineStr">
        <is>
          <t>Vodacom Life 20260622</t>
        </is>
      </c>
      <c r="J406" t="inlineStr">
        <is>
          <t>CCB</t>
        </is>
      </c>
      <c r="K406" t="inlineStr">
        <is>
          <t>Call Dropped</t>
        </is>
      </c>
      <c r="L406" t="n">
        <v>5</v>
      </c>
      <c r="M406" t="inlineStr">
        <is>
          <t>2026-06-29 06:23:56</t>
        </is>
      </c>
      <c r="N406" t="inlineStr">
        <is>
          <t>Musiiwa Mary Mabirimisa</t>
        </is>
      </c>
      <c r="O406" t="inlineStr">
        <is>
          <t>2026-06-22 14:11:25</t>
        </is>
      </c>
      <c r="P406" t="inlineStr">
        <is>
          <t>2026-06-22 14:11:25</t>
        </is>
      </c>
      <c r="Y406" t="inlineStr">
        <is>
          <t>27674395304</t>
        </is>
      </c>
    </row>
    <row r="407">
      <c r="A407" t="inlineStr">
        <is>
          <t>14973906</t>
        </is>
      </c>
      <c r="B407" t="inlineStr">
        <is>
          <t>019de37e-68f6-4756-8a20-1f8e9315f157</t>
        </is>
      </c>
      <c r="D407" t="inlineStr">
        <is>
          <t>11111127</t>
        </is>
      </c>
      <c r="E407" t="inlineStr">
        <is>
          <t>Vodacom Life 20260622</t>
        </is>
      </c>
      <c r="J407" t="inlineStr">
        <is>
          <t>NA</t>
        </is>
      </c>
      <c r="K407" t="inlineStr">
        <is>
          <t>No Answer Autodial</t>
        </is>
      </c>
      <c r="L407" t="n">
        <v>5</v>
      </c>
      <c r="M407" t="inlineStr">
        <is>
          <t>2026-06-29 06:23:56</t>
        </is>
      </c>
      <c r="N407" t="inlineStr">
        <is>
          <t>system</t>
        </is>
      </c>
      <c r="O407" t="inlineStr">
        <is>
          <t>2026-06-22 14:11:25</t>
        </is>
      </c>
      <c r="P407" t="inlineStr">
        <is>
          <t>2026-06-22 14:11:25</t>
        </is>
      </c>
      <c r="Y407" t="inlineStr">
        <is>
          <t>27793169118</t>
        </is>
      </c>
    </row>
    <row r="408">
      <c r="A408" t="inlineStr">
        <is>
          <t>14973907</t>
        </is>
      </c>
      <c r="B408" t="inlineStr">
        <is>
          <t>2c87fccf-dae7-4e71-a331-6ebe1b01c93a</t>
        </is>
      </c>
      <c r="D408" t="inlineStr">
        <is>
          <t>11111127</t>
        </is>
      </c>
      <c r="E408" t="inlineStr">
        <is>
          <t>Vodacom Life 20260622</t>
        </is>
      </c>
      <c r="J408" t="inlineStr">
        <is>
          <t>NA</t>
        </is>
      </c>
      <c r="K408" t="inlineStr">
        <is>
          <t>No Answer Autodial</t>
        </is>
      </c>
      <c r="L408" t="n">
        <v>5</v>
      </c>
      <c r="M408" t="inlineStr">
        <is>
          <t>2026-06-29 06:23:56</t>
        </is>
      </c>
      <c r="N408" t="inlineStr">
        <is>
          <t>system</t>
        </is>
      </c>
      <c r="O408" t="inlineStr">
        <is>
          <t>2026-06-22 14:11:25</t>
        </is>
      </c>
      <c r="P408" t="inlineStr">
        <is>
          <t>2026-06-22 14:11:25</t>
        </is>
      </c>
      <c r="Y408" t="inlineStr">
        <is>
          <t>27791742122</t>
        </is>
      </c>
    </row>
    <row r="409">
      <c r="A409" t="inlineStr">
        <is>
          <t>14974563</t>
        </is>
      </c>
      <c r="B409" t="inlineStr">
        <is>
          <t>5543f9ed-e908-428c-8441-4f33f0e64196</t>
        </is>
      </c>
      <c r="D409" t="inlineStr">
        <is>
          <t>11111127</t>
        </is>
      </c>
      <c r="E409" t="inlineStr">
        <is>
          <t>Vodacom Life 20260622</t>
        </is>
      </c>
      <c r="H409" t="inlineStr">
        <is>
          <t>27714640452</t>
        </is>
      </c>
      <c r="J409" t="inlineStr">
        <is>
          <t>IABDN</t>
        </is>
      </c>
      <c r="K409" t="inlineStr">
        <is>
          <t>Inbound Abandon</t>
        </is>
      </c>
      <c r="L409" t="n">
        <v>5</v>
      </c>
      <c r="M409" t="inlineStr">
        <is>
          <t>2026-06-29 06:22:54</t>
        </is>
      </c>
      <c r="N409" t="inlineStr">
        <is>
          <t>system</t>
        </is>
      </c>
      <c r="O409" t="inlineStr">
        <is>
          <t>2026-06-22 14:11:25</t>
        </is>
      </c>
      <c r="P409" t="inlineStr">
        <is>
          <t>2026-06-22 14:11:25</t>
        </is>
      </c>
      <c r="Y409" t="inlineStr">
        <is>
          <t>27714640452</t>
        </is>
      </c>
    </row>
    <row r="410">
      <c r="A410" t="inlineStr">
        <is>
          <t>14974596</t>
        </is>
      </c>
      <c r="B410" t="inlineStr">
        <is>
          <t>a20d9165-2249-491d-b41e-467b8665e48e</t>
        </is>
      </c>
      <c r="D410" t="inlineStr">
        <is>
          <t>11111127</t>
        </is>
      </c>
      <c r="E410" t="inlineStr">
        <is>
          <t>Vodacom Life 20260622</t>
        </is>
      </c>
      <c r="J410" t="inlineStr">
        <is>
          <t>NA</t>
        </is>
      </c>
      <c r="K410" t="inlineStr">
        <is>
          <t>No Answer Autodial</t>
        </is>
      </c>
      <c r="L410" t="n">
        <v>5</v>
      </c>
      <c r="M410" t="inlineStr">
        <is>
          <t>2026-06-29 06:22:26</t>
        </is>
      </c>
      <c r="N410" t="inlineStr">
        <is>
          <t>system</t>
        </is>
      </c>
      <c r="O410" t="inlineStr">
        <is>
          <t>2026-06-22 14:11:25</t>
        </is>
      </c>
      <c r="P410" t="inlineStr">
        <is>
          <t>2026-06-22 14:11:25</t>
        </is>
      </c>
      <c r="Y410" t="inlineStr">
        <is>
          <t>27660589366</t>
        </is>
      </c>
    </row>
    <row r="411">
      <c r="A411" t="inlineStr">
        <is>
          <t>14974319</t>
        </is>
      </c>
      <c r="B411" t="inlineStr">
        <is>
          <t>e2cb536e-cc42-4b2c-bf8e-ed163c40b966</t>
        </is>
      </c>
      <c r="D411" t="inlineStr">
        <is>
          <t>11111127</t>
        </is>
      </c>
      <c r="E411" t="inlineStr">
        <is>
          <t>Vodacom Life 20260622</t>
        </is>
      </c>
      <c r="J411" t="inlineStr">
        <is>
          <t>AA</t>
        </is>
      </c>
      <c r="K411" t="inlineStr">
        <is>
          <t>Answering Machine Autodial</t>
        </is>
      </c>
      <c r="L411" t="n">
        <v>5</v>
      </c>
      <c r="M411" t="inlineStr">
        <is>
          <t>2026-06-29 06:22:15</t>
        </is>
      </c>
      <c r="N411" t="inlineStr">
        <is>
          <t>system</t>
        </is>
      </c>
      <c r="O411" t="inlineStr">
        <is>
          <t>2026-06-22 14:11:25</t>
        </is>
      </c>
      <c r="P411" t="inlineStr">
        <is>
          <t>2026-06-22 14:11:25</t>
        </is>
      </c>
      <c r="Y411" t="inlineStr">
        <is>
          <t>27798272846</t>
        </is>
      </c>
    </row>
    <row r="412">
      <c r="A412" t="inlineStr">
        <is>
          <t>14974313</t>
        </is>
      </c>
      <c r="B412" t="inlineStr">
        <is>
          <t>93f75804-183d-40eb-aae4-ee302074af9b</t>
        </is>
      </c>
      <c r="D412" t="inlineStr">
        <is>
          <t>11111127</t>
        </is>
      </c>
      <c r="E412" t="inlineStr">
        <is>
          <t>Vodacom Life 20260622</t>
        </is>
      </c>
      <c r="J412" t="inlineStr">
        <is>
          <t>CU</t>
        </is>
      </c>
      <c r="K412" t="inlineStr">
        <is>
          <t>Client Hung Up</t>
        </is>
      </c>
      <c r="L412" t="n">
        <v>5</v>
      </c>
      <c r="M412" t="inlineStr">
        <is>
          <t>2026-06-29 06:22:08</t>
        </is>
      </c>
      <c r="N412" t="inlineStr">
        <is>
          <t>Musiiwa Mary Mabirimisa</t>
        </is>
      </c>
      <c r="O412" t="inlineStr">
        <is>
          <t>2026-06-22 14:11:25</t>
        </is>
      </c>
      <c r="P412" t="inlineStr">
        <is>
          <t>2026-06-22 14:11:25</t>
        </is>
      </c>
      <c r="Y412" t="inlineStr">
        <is>
          <t>27762828955</t>
        </is>
      </c>
    </row>
    <row r="413">
      <c r="A413" t="inlineStr">
        <is>
          <t>14974314</t>
        </is>
      </c>
      <c r="B413" t="inlineStr">
        <is>
          <t>42954aa7-4044-43cb-b9bc-f447c5329646</t>
        </is>
      </c>
      <c r="D413" t="inlineStr">
        <is>
          <t>11111127</t>
        </is>
      </c>
      <c r="E413" t="inlineStr">
        <is>
          <t>Vodacom Life 20260622</t>
        </is>
      </c>
      <c r="H413" t="inlineStr">
        <is>
          <t>27822692810</t>
        </is>
      </c>
      <c r="J413" t="inlineStr">
        <is>
          <t>AA</t>
        </is>
      </c>
      <c r="K413" t="inlineStr">
        <is>
          <t>Answering Machine Autodial</t>
        </is>
      </c>
      <c r="L413" t="n">
        <v>5</v>
      </c>
      <c r="M413" t="inlineStr">
        <is>
          <t>2026-06-29 06:22:08</t>
        </is>
      </c>
      <c r="N413" t="inlineStr">
        <is>
          <t>system</t>
        </is>
      </c>
      <c r="O413" t="inlineStr">
        <is>
          <t>2026-06-22 14:11:25</t>
        </is>
      </c>
      <c r="P413" t="inlineStr">
        <is>
          <t>2026-06-22 14:11:25</t>
        </is>
      </c>
      <c r="Y413" t="inlineStr">
        <is>
          <t>27822692810</t>
        </is>
      </c>
    </row>
    <row r="414">
      <c r="A414" t="inlineStr">
        <is>
          <t>14974318</t>
        </is>
      </c>
      <c r="B414" t="inlineStr">
        <is>
          <t>90a8cfe8-4b27-4054-8aa4-587e08256e57</t>
        </is>
      </c>
      <c r="D414" t="inlineStr">
        <is>
          <t>11111127</t>
        </is>
      </c>
      <c r="E414" t="inlineStr">
        <is>
          <t>Vodacom Life 20260622</t>
        </is>
      </c>
      <c r="H414" t="inlineStr">
        <is>
          <t>27797310902</t>
        </is>
      </c>
      <c r="J414" t="inlineStr">
        <is>
          <t>AA</t>
        </is>
      </c>
      <c r="K414" t="inlineStr">
        <is>
          <t>Answering Machine Autodial</t>
        </is>
      </c>
      <c r="L414" t="n">
        <v>5</v>
      </c>
      <c r="M414" t="inlineStr">
        <is>
          <t>2026-06-29 06:22:06</t>
        </is>
      </c>
      <c r="N414" t="inlineStr">
        <is>
          <t>system</t>
        </is>
      </c>
      <c r="O414" t="inlineStr">
        <is>
          <t>2026-06-22 14:11:25</t>
        </is>
      </c>
      <c r="P414" t="inlineStr">
        <is>
          <t>2026-06-22 14:11:25</t>
        </is>
      </c>
      <c r="Y414" t="inlineStr">
        <is>
          <t>27797310902</t>
        </is>
      </c>
    </row>
    <row r="415">
      <c r="A415" t="inlineStr">
        <is>
          <t>14974312</t>
        </is>
      </c>
      <c r="B415" t="inlineStr">
        <is>
          <t>3c499d77-f190-44ec-b94e-aedaa2149d5c</t>
        </is>
      </c>
      <c r="D415" t="inlineStr">
        <is>
          <t>11111127</t>
        </is>
      </c>
      <c r="E415" t="inlineStr">
        <is>
          <t>Vodacom Life 20260622</t>
        </is>
      </c>
      <c r="J415" t="inlineStr">
        <is>
          <t>AA</t>
        </is>
      </c>
      <c r="K415" t="inlineStr">
        <is>
          <t>Answering Machine Autodial</t>
        </is>
      </c>
      <c r="L415" t="n">
        <v>5</v>
      </c>
      <c r="M415" t="inlineStr">
        <is>
          <t>2026-06-29 06:21:42</t>
        </is>
      </c>
      <c r="N415" t="inlineStr">
        <is>
          <t>system</t>
        </is>
      </c>
      <c r="O415" t="inlineStr">
        <is>
          <t>2026-06-22 14:11:25</t>
        </is>
      </c>
      <c r="P415" t="inlineStr">
        <is>
          <t>2026-06-22 14:11:25</t>
        </is>
      </c>
      <c r="Y415" t="inlineStr">
        <is>
          <t>27762037085</t>
        </is>
      </c>
    </row>
    <row r="416">
      <c r="A416" t="inlineStr">
        <is>
          <t>14974308</t>
        </is>
      </c>
      <c r="B416" t="inlineStr">
        <is>
          <t>f6a3f013-1401-43f3-b3b2-7a6fd7079652</t>
        </is>
      </c>
      <c r="D416" t="inlineStr">
        <is>
          <t>11111127</t>
        </is>
      </c>
      <c r="E416" t="inlineStr">
        <is>
          <t>Vodacom Life 20260622</t>
        </is>
      </c>
      <c r="J416" t="inlineStr">
        <is>
          <t>NA</t>
        </is>
      </c>
      <c r="K416" t="inlineStr">
        <is>
          <t>No Answer Autodial</t>
        </is>
      </c>
      <c r="L416" t="n">
        <v>5</v>
      </c>
      <c r="M416" t="inlineStr">
        <is>
          <t>2026-06-29 06:21:41</t>
        </is>
      </c>
      <c r="N416" t="inlineStr">
        <is>
          <t>system</t>
        </is>
      </c>
      <c r="O416" t="inlineStr">
        <is>
          <t>2026-06-22 14:11:25</t>
        </is>
      </c>
      <c r="P416" t="inlineStr">
        <is>
          <t>2026-06-22 14:11:25</t>
        </is>
      </c>
      <c r="Y416" t="inlineStr">
        <is>
          <t>27722820961</t>
        </is>
      </c>
    </row>
    <row r="417">
      <c r="A417" t="inlineStr">
        <is>
          <t>14974534</t>
        </is>
      </c>
      <c r="B417" t="inlineStr">
        <is>
          <t>9e6fedf6-fe26-4d81-bd42-05d77074d146</t>
        </is>
      </c>
      <c r="D417" t="inlineStr">
        <is>
          <t>11111127</t>
        </is>
      </c>
      <c r="E417" t="inlineStr">
        <is>
          <t>Vodacom Life 20260622</t>
        </is>
      </c>
      <c r="J417" t="inlineStr">
        <is>
          <t>AA</t>
        </is>
      </c>
      <c r="K417" t="inlineStr">
        <is>
          <t>Answering Machine Autodial</t>
        </is>
      </c>
      <c r="L417" t="n">
        <v>5</v>
      </c>
      <c r="M417" t="inlineStr">
        <is>
          <t>2026-06-29 06:19:48</t>
        </is>
      </c>
      <c r="N417" t="inlineStr">
        <is>
          <t>system</t>
        </is>
      </c>
      <c r="O417" t="inlineStr">
        <is>
          <t>2026-06-22 14:11:25</t>
        </is>
      </c>
      <c r="P417" t="inlineStr">
        <is>
          <t>2026-06-22 14:11:25</t>
        </is>
      </c>
      <c r="Y417" t="inlineStr">
        <is>
          <t>27827942510</t>
        </is>
      </c>
    </row>
    <row r="418">
      <c r="A418" t="inlineStr">
        <is>
          <t>14973891</t>
        </is>
      </c>
      <c r="B418" t="inlineStr">
        <is>
          <t>877ad658-4382-4205-bdd1-e7685039fd07</t>
        </is>
      </c>
      <c r="D418" t="inlineStr">
        <is>
          <t>11111127</t>
        </is>
      </c>
      <c r="E418" t="inlineStr">
        <is>
          <t>Vodacom Life 20260622</t>
        </is>
      </c>
      <c r="J418" t="inlineStr">
        <is>
          <t>DROP</t>
        </is>
      </c>
      <c r="K418" t="inlineStr">
        <is>
          <t>Dropped</t>
        </is>
      </c>
      <c r="L418" t="n">
        <v>5</v>
      </c>
      <c r="M418" t="inlineStr">
        <is>
          <t>2026-06-29 06:19:08</t>
        </is>
      </c>
      <c r="N418" t="inlineStr">
        <is>
          <t>system</t>
        </is>
      </c>
      <c r="O418" t="inlineStr">
        <is>
          <t>2026-06-22 14:11:25</t>
        </is>
      </c>
      <c r="P418" t="inlineStr">
        <is>
          <t>2026-06-22 14:11:25</t>
        </is>
      </c>
      <c r="Y418" t="inlineStr">
        <is>
          <t>27790952844</t>
        </is>
      </c>
    </row>
    <row r="419">
      <c r="A419" t="inlineStr">
        <is>
          <t>14974562</t>
        </is>
      </c>
      <c r="B419" t="inlineStr">
        <is>
          <t>60fa7257-cff1-427a-9a97-ac6b805e894c</t>
        </is>
      </c>
      <c r="D419" t="inlineStr">
        <is>
          <t>11111127</t>
        </is>
      </c>
      <c r="E419" t="inlineStr">
        <is>
          <t>Vodacom Life 20260622</t>
        </is>
      </c>
      <c r="J419" t="inlineStr">
        <is>
          <t>AA</t>
        </is>
      </c>
      <c r="K419" t="inlineStr">
        <is>
          <t>Answering Machine Autodial</t>
        </is>
      </c>
      <c r="L419" t="n">
        <v>5</v>
      </c>
      <c r="M419" t="inlineStr">
        <is>
          <t>2026-06-29 06:18:05</t>
        </is>
      </c>
      <c r="N419" t="inlineStr">
        <is>
          <t>system</t>
        </is>
      </c>
      <c r="O419" t="inlineStr">
        <is>
          <t>2026-06-22 14:11:25</t>
        </is>
      </c>
      <c r="P419" t="inlineStr">
        <is>
          <t>2026-06-22 14:11:25</t>
        </is>
      </c>
      <c r="Y419" t="inlineStr">
        <is>
          <t>27829795168</t>
        </is>
      </c>
    </row>
    <row r="420">
      <c r="A420" t="inlineStr">
        <is>
          <t>14974559</t>
        </is>
      </c>
      <c r="B420" t="inlineStr">
        <is>
          <t>b72adcbd-d93a-47fe-b14f-ae4ce5f3f450</t>
        </is>
      </c>
      <c r="D420" t="inlineStr">
        <is>
          <t>11111127</t>
        </is>
      </c>
      <c r="E420" t="inlineStr">
        <is>
          <t>Vodacom Life 20260622</t>
        </is>
      </c>
      <c r="J420" t="inlineStr">
        <is>
          <t>AA</t>
        </is>
      </c>
      <c r="K420" t="inlineStr">
        <is>
          <t>Answering Machine Autodial</t>
        </is>
      </c>
      <c r="L420" t="n">
        <v>5</v>
      </c>
      <c r="M420" t="inlineStr">
        <is>
          <t>2026-06-29 06:18:04</t>
        </is>
      </c>
      <c r="N420" t="inlineStr">
        <is>
          <t>system</t>
        </is>
      </c>
      <c r="O420" t="inlineStr">
        <is>
          <t>2026-06-22 14:11:25</t>
        </is>
      </c>
      <c r="P420" t="inlineStr">
        <is>
          <t>2026-06-22 14:11:25</t>
        </is>
      </c>
      <c r="Y420" t="inlineStr">
        <is>
          <t>27614828749</t>
        </is>
      </c>
    </row>
    <row r="421">
      <c r="A421" t="inlineStr">
        <is>
          <t>14974561</t>
        </is>
      </c>
      <c r="B421" t="inlineStr">
        <is>
          <t>f68ea20b-a0a3-4f9c-aebc-d74b1661ca48</t>
        </is>
      </c>
      <c r="D421" t="inlineStr">
        <is>
          <t>11111127</t>
        </is>
      </c>
      <c r="E421" t="inlineStr">
        <is>
          <t>Vodacom Life 20260622</t>
        </is>
      </c>
      <c r="H421" t="inlineStr">
        <is>
          <t>27714330068</t>
        </is>
      </c>
      <c r="J421" t="inlineStr">
        <is>
          <t>AA</t>
        </is>
      </c>
      <c r="K421" t="inlineStr">
        <is>
          <t>Answering Machine Autodial</t>
        </is>
      </c>
      <c r="L421" t="n">
        <v>5</v>
      </c>
      <c r="M421" t="inlineStr">
        <is>
          <t>2026-06-29 06:18:04</t>
        </is>
      </c>
      <c r="N421" t="inlineStr">
        <is>
          <t>system</t>
        </is>
      </c>
      <c r="O421" t="inlineStr">
        <is>
          <t>2026-06-22 14:11:25</t>
        </is>
      </c>
      <c r="P421" t="inlineStr">
        <is>
          <t>2026-06-22 14:11:25</t>
        </is>
      </c>
      <c r="Y421" t="inlineStr">
        <is>
          <t>27714330068</t>
        </is>
      </c>
    </row>
    <row r="422">
      <c r="A422" t="inlineStr">
        <is>
          <t>14973771</t>
        </is>
      </c>
      <c r="B422" t="inlineStr">
        <is>
          <t>c938e388-fb40-4649-abd9-902559337535</t>
        </is>
      </c>
      <c r="D422" t="inlineStr">
        <is>
          <t>11111127</t>
        </is>
      </c>
      <c r="E422" t="inlineStr">
        <is>
          <t>Vodacom Life 20260622</t>
        </is>
      </c>
      <c r="H422" t="inlineStr">
        <is>
          <t>27727100113</t>
        </is>
      </c>
      <c r="J422" t="inlineStr">
        <is>
          <t>IABDN</t>
        </is>
      </c>
      <c r="K422" t="inlineStr">
        <is>
          <t>Inbound Abandon</t>
        </is>
      </c>
      <c r="L422" t="n">
        <v>5</v>
      </c>
      <c r="M422" t="inlineStr">
        <is>
          <t>2026-06-29 06:17:43</t>
        </is>
      </c>
      <c r="N422" t="inlineStr">
        <is>
          <t>system</t>
        </is>
      </c>
      <c r="O422" t="inlineStr">
        <is>
          <t>2026-06-22 14:11:25</t>
        </is>
      </c>
      <c r="P422" t="inlineStr">
        <is>
          <t>2026-06-22 14:11:25</t>
        </is>
      </c>
      <c r="Y422" t="inlineStr">
        <is>
          <t>27727100113</t>
        </is>
      </c>
    </row>
    <row r="423">
      <c r="A423" t="inlineStr">
        <is>
          <t>14974609</t>
        </is>
      </c>
      <c r="B423" t="inlineStr">
        <is>
          <t>12fc677a-8b7b-474b-9725-8737a096128a</t>
        </is>
      </c>
      <c r="D423" t="inlineStr">
        <is>
          <t>11111127</t>
        </is>
      </c>
      <c r="E423" t="inlineStr">
        <is>
          <t>Vodacom Life 20260622</t>
        </is>
      </c>
      <c r="J423" t="inlineStr">
        <is>
          <t>ADC</t>
        </is>
      </c>
      <c r="K423" t="inlineStr">
        <is>
          <t>Auto Dial Disconnected</t>
        </is>
      </c>
      <c r="L423" t="n">
        <v>5</v>
      </c>
      <c r="M423" t="inlineStr">
        <is>
          <t>2026-06-29 06:15:41</t>
        </is>
      </c>
      <c r="N423" t="inlineStr">
        <is>
          <t>system</t>
        </is>
      </c>
      <c r="O423" t="inlineStr">
        <is>
          <t>2026-06-22 14:11:25</t>
        </is>
      </c>
      <c r="P423" t="inlineStr">
        <is>
          <t>2026-06-22 14:11:25</t>
        </is>
      </c>
      <c r="Y423" t="inlineStr">
        <is>
          <t>27664214422</t>
        </is>
      </c>
    </row>
    <row r="424">
      <c r="A424" t="inlineStr">
        <is>
          <t>14974364</t>
        </is>
      </c>
      <c r="B424" t="inlineStr">
        <is>
          <t>908f0846-3323-4484-8829-012bb1a741af</t>
        </is>
      </c>
      <c r="D424" t="inlineStr">
        <is>
          <t>11111127</t>
        </is>
      </c>
      <c r="E424" t="inlineStr">
        <is>
          <t>Vodacom Life 20260622</t>
        </is>
      </c>
      <c r="H424" t="inlineStr">
        <is>
          <t>27721380990</t>
        </is>
      </c>
      <c r="J424" t="inlineStr">
        <is>
          <t>CBACK</t>
        </is>
      </c>
      <c r="K424" t="inlineStr">
        <is>
          <t>Callback</t>
        </is>
      </c>
      <c r="L424" t="n">
        <v>4</v>
      </c>
      <c r="M424" t="inlineStr">
        <is>
          <t>2026-06-29 06:15:39</t>
        </is>
      </c>
      <c r="N424" t="inlineStr">
        <is>
          <t>Maureen Ntsoko</t>
        </is>
      </c>
      <c r="O424" t="inlineStr">
        <is>
          <t>2026-06-22 14:11:25</t>
        </is>
      </c>
      <c r="P424" t="inlineStr">
        <is>
          <t>2026-06-22 14:11:25</t>
        </is>
      </c>
      <c r="Y424" t="inlineStr">
        <is>
          <t>27721380990</t>
        </is>
      </c>
    </row>
    <row r="425">
      <c r="A425" t="inlineStr">
        <is>
          <t>14973757</t>
        </is>
      </c>
      <c r="B425" t="inlineStr">
        <is>
          <t>5a7cbce7-ca94-40dd-88b9-3bc56ba4d9b3</t>
        </is>
      </c>
      <c r="D425" t="inlineStr">
        <is>
          <t>11111127</t>
        </is>
      </c>
      <c r="E425" t="inlineStr">
        <is>
          <t>Vodacom Life 20260622</t>
        </is>
      </c>
      <c r="H425" t="inlineStr">
        <is>
          <t>27724113271</t>
        </is>
      </c>
      <c r="J425" t="inlineStr">
        <is>
          <t>AFTHRS</t>
        </is>
      </c>
      <c r="K425" t="inlineStr">
        <is>
          <t>Inbound After Hours Drop</t>
        </is>
      </c>
      <c r="L425" t="n">
        <v>5</v>
      </c>
      <c r="M425" t="inlineStr">
        <is>
          <t>2026-06-28 09:24:05</t>
        </is>
      </c>
      <c r="N425" t="inlineStr">
        <is>
          <t>system</t>
        </is>
      </c>
      <c r="O425" t="inlineStr">
        <is>
          <t>2026-06-22 14:11:25</t>
        </is>
      </c>
      <c r="P425" t="inlineStr">
        <is>
          <t>2026-06-22 14:11:25</t>
        </is>
      </c>
      <c r="Y425" t="inlineStr">
        <is>
          <t>27724113271</t>
        </is>
      </c>
    </row>
    <row r="426">
      <c r="A426" t="inlineStr">
        <is>
          <t>15000000</t>
        </is>
      </c>
      <c r="B426" t="inlineStr">
        <is>
          <t>e9774dd8-06d0-4dcd-85d7-17d6c3ed42c6</t>
        </is>
      </c>
      <c r="D426" t="inlineStr">
        <is>
          <t>11111127</t>
        </is>
      </c>
      <c r="E426" t="inlineStr">
        <is>
          <t>Vodacom Life 20260622</t>
        </is>
      </c>
      <c r="H426" t="inlineStr">
        <is>
          <t>27727626358</t>
        </is>
      </c>
      <c r="J426" t="inlineStr">
        <is>
          <t>AFTHRS</t>
        </is>
      </c>
      <c r="K426" t="inlineStr">
        <is>
          <t>Inbound After Hours Drop</t>
        </is>
      </c>
      <c r="L426" t="n">
        <v>5</v>
      </c>
      <c r="M426" t="inlineStr">
        <is>
          <t>2026-06-28 07:16:44</t>
        </is>
      </c>
      <c r="N426" t="inlineStr">
        <is>
          <t>system</t>
        </is>
      </c>
      <c r="O426" t="inlineStr">
        <is>
          <t>2026-06-22 14:11:25</t>
        </is>
      </c>
      <c r="P426" t="inlineStr">
        <is>
          <t>2026-06-22 14:11:25</t>
        </is>
      </c>
      <c r="Y426" t="inlineStr">
        <is>
          <t>27727626358</t>
        </is>
      </c>
    </row>
    <row r="427">
      <c r="A427" t="inlineStr">
        <is>
          <t>14973774</t>
        </is>
      </c>
      <c r="B427" t="inlineStr">
        <is>
          <t>3ed4d5d7-6ba5-43ac-a7c5-e43a7cfebb9c</t>
        </is>
      </c>
      <c r="D427" t="inlineStr">
        <is>
          <t>11111127</t>
        </is>
      </c>
      <c r="E427" t="inlineStr">
        <is>
          <t>Vodacom Life 20260622</t>
        </is>
      </c>
      <c r="H427" t="inlineStr">
        <is>
          <t>27798031945</t>
        </is>
      </c>
      <c r="J427" t="inlineStr">
        <is>
          <t>AFTHRS</t>
        </is>
      </c>
      <c r="K427" t="inlineStr">
        <is>
          <t>Inbound After Hours Drop</t>
        </is>
      </c>
      <c r="L427" t="n">
        <v>6</v>
      </c>
      <c r="M427" t="inlineStr">
        <is>
          <t>2026-06-27 13:21:50</t>
        </is>
      </c>
      <c r="N427" t="inlineStr">
        <is>
          <t>system</t>
        </is>
      </c>
      <c r="O427" t="inlineStr">
        <is>
          <t>2026-06-22 14:11:25</t>
        </is>
      </c>
      <c r="P427" t="inlineStr">
        <is>
          <t>2026-06-22 14:11:25</t>
        </is>
      </c>
      <c r="Y427" t="inlineStr">
        <is>
          <t>27798031945</t>
        </is>
      </c>
    </row>
    <row r="428">
      <c r="A428" t="inlineStr">
        <is>
          <t>14974163</t>
        </is>
      </c>
      <c r="B428" t="inlineStr">
        <is>
          <t>595c0353-4ffb-4e46-ad60-5daf69f899db</t>
        </is>
      </c>
      <c r="D428" t="inlineStr">
        <is>
          <t>11111127</t>
        </is>
      </c>
      <c r="E428" t="inlineStr">
        <is>
          <t>Vodacom Life 20260622</t>
        </is>
      </c>
      <c r="H428" t="inlineStr">
        <is>
          <t>27606662226</t>
        </is>
      </c>
      <c r="J428" t="inlineStr">
        <is>
          <t>IABDN</t>
        </is>
      </c>
      <c r="K428" t="inlineStr">
        <is>
          <t>Inbound Abandon</t>
        </is>
      </c>
      <c r="L428" t="n">
        <v>5</v>
      </c>
      <c r="M428" t="inlineStr">
        <is>
          <t>2026-06-27 09:53:47</t>
        </is>
      </c>
      <c r="N428" t="inlineStr">
        <is>
          <t>system</t>
        </is>
      </c>
      <c r="O428" t="inlineStr">
        <is>
          <t>2026-06-22 14:11:25</t>
        </is>
      </c>
      <c r="P428" t="inlineStr">
        <is>
          <t>2026-06-22 14:11:25</t>
        </is>
      </c>
      <c r="Y428" t="inlineStr">
        <is>
          <t>27606662226</t>
        </is>
      </c>
    </row>
    <row r="429">
      <c r="A429" t="inlineStr">
        <is>
          <t>14974256</t>
        </is>
      </c>
      <c r="B429" t="inlineStr">
        <is>
          <t>26ad3ea1-f69c-44c9-bac6-020fee099063</t>
        </is>
      </c>
      <c r="D429" t="inlineStr">
        <is>
          <t>11111127</t>
        </is>
      </c>
      <c r="E429" t="inlineStr">
        <is>
          <t>Vodacom Life 20260622</t>
        </is>
      </c>
      <c r="H429" t="inlineStr">
        <is>
          <t>27798320764</t>
        </is>
      </c>
      <c r="J429" t="inlineStr">
        <is>
          <t>AFTHRS</t>
        </is>
      </c>
      <c r="K429" t="inlineStr">
        <is>
          <t>Inbound After Hours Drop</t>
        </is>
      </c>
      <c r="L429" t="n">
        <v>3</v>
      </c>
      <c r="M429" t="inlineStr">
        <is>
          <t>2026-06-26 17:07:17</t>
        </is>
      </c>
      <c r="N429" t="inlineStr">
        <is>
          <t>system</t>
        </is>
      </c>
      <c r="O429" t="inlineStr">
        <is>
          <t>2026-06-22 14:11:25</t>
        </is>
      </c>
      <c r="P429" t="inlineStr">
        <is>
          <t>2026-06-22 14:11:25</t>
        </is>
      </c>
      <c r="Y429" t="inlineStr">
        <is>
          <t>27798320764</t>
        </is>
      </c>
    </row>
    <row r="430">
      <c r="A430" t="inlineStr">
        <is>
          <t>14973931</t>
        </is>
      </c>
      <c r="B430" t="inlineStr">
        <is>
          <t>0a6a7e32-3b78-45f8-917e-2bbfb01819df</t>
        </is>
      </c>
      <c r="D430" t="inlineStr">
        <is>
          <t>11111127</t>
        </is>
      </c>
      <c r="E430" t="inlineStr">
        <is>
          <t>Vodacom Life 20260622</t>
        </is>
      </c>
      <c r="H430" t="inlineStr">
        <is>
          <t>27715119313</t>
        </is>
      </c>
      <c r="J430" t="inlineStr">
        <is>
          <t>IABDN</t>
        </is>
      </c>
      <c r="K430" t="inlineStr">
        <is>
          <t>Inbound Abandon</t>
        </is>
      </c>
      <c r="L430" t="n">
        <v>5</v>
      </c>
      <c r="M430" t="inlineStr">
        <is>
          <t>2026-06-26 13:22:59</t>
        </is>
      </c>
      <c r="N430" t="inlineStr">
        <is>
          <t>system</t>
        </is>
      </c>
      <c r="O430" t="inlineStr">
        <is>
          <t>2026-06-22 14:11:25</t>
        </is>
      </c>
      <c r="P430" t="inlineStr">
        <is>
          <t>2026-06-22 14:11:25</t>
        </is>
      </c>
      <c r="Y430" t="inlineStr">
        <is>
          <t>27715119313</t>
        </is>
      </c>
    </row>
    <row r="431">
      <c r="A431" t="inlineStr">
        <is>
          <t>14973996</t>
        </is>
      </c>
      <c r="B431" t="inlineStr">
        <is>
          <t>70a74ce6-5b6b-4e11-858d-cc28212a0472</t>
        </is>
      </c>
      <c r="D431" t="inlineStr">
        <is>
          <t>11111127</t>
        </is>
      </c>
      <c r="E431" t="inlineStr">
        <is>
          <t>Vodacom Life 20260622</t>
        </is>
      </c>
      <c r="J431" t="inlineStr">
        <is>
          <t>ADC</t>
        </is>
      </c>
      <c r="K431" t="inlineStr">
        <is>
          <t>Auto Dial Disconnected</t>
        </is>
      </c>
      <c r="L431" t="n">
        <v>5</v>
      </c>
      <c r="M431" t="inlineStr">
        <is>
          <t>2026-06-26 13:17:55</t>
        </is>
      </c>
      <c r="N431" t="inlineStr">
        <is>
          <t>system</t>
        </is>
      </c>
      <c r="O431" t="inlineStr">
        <is>
          <t>2026-06-22 14:11:25</t>
        </is>
      </c>
      <c r="P431" t="inlineStr">
        <is>
          <t>2026-06-22 14:11:25</t>
        </is>
      </c>
      <c r="Y431" t="inlineStr">
        <is>
          <t>27760577815</t>
        </is>
      </c>
    </row>
    <row r="432">
      <c r="A432" t="inlineStr">
        <is>
          <t>14973997</t>
        </is>
      </c>
      <c r="B432" t="inlineStr">
        <is>
          <t>f18452a0-9b99-44e7-9d3f-69dec2f0517b</t>
        </is>
      </c>
      <c r="D432" t="inlineStr">
        <is>
          <t>11111127</t>
        </is>
      </c>
      <c r="E432" t="inlineStr">
        <is>
          <t>Vodacom Life 20260622</t>
        </is>
      </c>
      <c r="J432" t="inlineStr">
        <is>
          <t>AE</t>
        </is>
      </c>
      <c r="K432" t="inlineStr">
        <is>
          <t>Auto Engaged</t>
        </is>
      </c>
      <c r="L432" t="n">
        <v>5</v>
      </c>
      <c r="M432" t="inlineStr">
        <is>
          <t>2026-06-26 13:17:55</t>
        </is>
      </c>
      <c r="N432" t="inlineStr">
        <is>
          <t>system</t>
        </is>
      </c>
      <c r="O432" t="inlineStr">
        <is>
          <t>2026-06-22 14:11:25</t>
        </is>
      </c>
      <c r="P432" t="inlineStr">
        <is>
          <t>2026-06-22 14:11:25</t>
        </is>
      </c>
      <c r="Y432" t="inlineStr">
        <is>
          <t>27723902075</t>
        </is>
      </c>
    </row>
    <row r="433">
      <c r="A433" t="inlineStr">
        <is>
          <t>14973998</t>
        </is>
      </c>
      <c r="B433" t="inlineStr">
        <is>
          <t>4c4db34b-c326-4049-aeb7-1b681b3babfa</t>
        </is>
      </c>
      <c r="D433" t="inlineStr">
        <is>
          <t>11111127</t>
        </is>
      </c>
      <c r="E433" t="inlineStr">
        <is>
          <t>Vodacom Life 20260622</t>
        </is>
      </c>
      <c r="H433" t="inlineStr">
        <is>
          <t>27794311134</t>
        </is>
      </c>
      <c r="J433" t="inlineStr">
        <is>
          <t>AA</t>
        </is>
      </c>
      <c r="K433" t="inlineStr">
        <is>
          <t>Answering Machine Autodial</t>
        </is>
      </c>
      <c r="L433" t="n">
        <v>5</v>
      </c>
      <c r="M433" t="inlineStr">
        <is>
          <t>2026-06-26 13:17:55</t>
        </is>
      </c>
      <c r="N433" t="inlineStr">
        <is>
          <t>system</t>
        </is>
      </c>
      <c r="O433" t="inlineStr">
        <is>
          <t>2026-06-22 14:11:25</t>
        </is>
      </c>
      <c r="P433" t="inlineStr">
        <is>
          <t>2026-06-22 14:11:25</t>
        </is>
      </c>
      <c r="Y433" t="inlineStr">
        <is>
          <t>27794311134</t>
        </is>
      </c>
    </row>
    <row r="434">
      <c r="A434" t="inlineStr">
        <is>
          <t>14974000</t>
        </is>
      </c>
      <c r="B434" t="inlineStr">
        <is>
          <t>44335e0e-e1a6-4bd3-a73b-970f33cbe79d</t>
        </is>
      </c>
      <c r="D434" t="inlineStr">
        <is>
          <t>11111127</t>
        </is>
      </c>
      <c r="E434" t="inlineStr">
        <is>
          <t>Vodacom Life 20260622</t>
        </is>
      </c>
      <c r="J434" t="inlineStr">
        <is>
          <t>AA</t>
        </is>
      </c>
      <c r="K434" t="inlineStr">
        <is>
          <t>Answering Machine Autodial</t>
        </is>
      </c>
      <c r="L434" t="n">
        <v>5</v>
      </c>
      <c r="M434" t="inlineStr">
        <is>
          <t>2026-06-26 13:17:37</t>
        </is>
      </c>
      <c r="N434" t="inlineStr">
        <is>
          <t>system</t>
        </is>
      </c>
      <c r="O434" t="inlineStr">
        <is>
          <t>2026-06-22 14:11:25</t>
        </is>
      </c>
      <c r="P434" t="inlineStr">
        <is>
          <t>2026-06-22 14:11:25</t>
        </is>
      </c>
      <c r="Y434" t="inlineStr">
        <is>
          <t>27727250235</t>
        </is>
      </c>
    </row>
    <row r="435">
      <c r="A435" t="inlineStr">
        <is>
          <t>14974323</t>
        </is>
      </c>
      <c r="B435" t="inlineStr">
        <is>
          <t>965c345f-1484-442b-a427-737172efdf10</t>
        </is>
      </c>
      <c r="D435" t="inlineStr">
        <is>
          <t>11111127</t>
        </is>
      </c>
      <c r="E435" t="inlineStr">
        <is>
          <t>Vodacom Life 20260622</t>
        </is>
      </c>
      <c r="J435" t="inlineStr">
        <is>
          <t>NA</t>
        </is>
      </c>
      <c r="K435" t="inlineStr">
        <is>
          <t>No Answer Autodial</t>
        </is>
      </c>
      <c r="L435" t="n">
        <v>5</v>
      </c>
      <c r="M435" t="inlineStr">
        <is>
          <t>2026-06-26 13:17:34</t>
        </is>
      </c>
      <c r="N435" t="inlineStr">
        <is>
          <t>system</t>
        </is>
      </c>
      <c r="O435" t="inlineStr">
        <is>
          <t>2026-06-22 14:11:25</t>
        </is>
      </c>
      <c r="P435" t="inlineStr">
        <is>
          <t>2026-06-22 14:11:25</t>
        </is>
      </c>
      <c r="Y435" t="inlineStr">
        <is>
          <t>27760968058</t>
        </is>
      </c>
    </row>
    <row r="436">
      <c r="A436" t="inlineStr">
        <is>
          <t>14974532</t>
        </is>
      </c>
      <c r="B436" t="inlineStr">
        <is>
          <t>a12b3a7e-0cc1-43c2-8be9-8c301a916188</t>
        </is>
      </c>
      <c r="D436" t="inlineStr">
        <is>
          <t>11111127</t>
        </is>
      </c>
      <c r="E436" t="inlineStr">
        <is>
          <t>Vodacom Life 20260622</t>
        </is>
      </c>
      <c r="J436" t="inlineStr">
        <is>
          <t>NA</t>
        </is>
      </c>
      <c r="K436" t="inlineStr">
        <is>
          <t>No Answer Autodial</t>
        </is>
      </c>
      <c r="L436" t="n">
        <v>5</v>
      </c>
      <c r="M436" t="inlineStr">
        <is>
          <t>2026-06-26 12:59:42</t>
        </is>
      </c>
      <c r="N436" t="inlineStr">
        <is>
          <t>system</t>
        </is>
      </c>
      <c r="O436" t="inlineStr">
        <is>
          <t>2026-06-22 14:11:25</t>
        </is>
      </c>
      <c r="P436" t="inlineStr">
        <is>
          <t>2026-06-22 14:11:25</t>
        </is>
      </c>
      <c r="Y436" t="inlineStr">
        <is>
          <t>27649693414</t>
        </is>
      </c>
    </row>
    <row r="437">
      <c r="A437" t="inlineStr">
        <is>
          <t>14974533</t>
        </is>
      </c>
      <c r="B437" t="inlineStr">
        <is>
          <t>2e85aaab-2818-4aae-ac3e-2df8380aef40</t>
        </is>
      </c>
      <c r="D437" t="inlineStr">
        <is>
          <t>11111127</t>
        </is>
      </c>
      <c r="E437" t="inlineStr">
        <is>
          <t>Vodacom Life 20260622</t>
        </is>
      </c>
      <c r="J437" t="inlineStr">
        <is>
          <t>CU</t>
        </is>
      </c>
      <c r="K437" t="inlineStr">
        <is>
          <t>Client Hung Up</t>
        </is>
      </c>
      <c r="L437" t="n">
        <v>5</v>
      </c>
      <c r="M437" t="inlineStr">
        <is>
          <t>2026-06-26 12:59:41</t>
        </is>
      </c>
      <c r="N437" t="inlineStr">
        <is>
          <t>Khensane Mabasa</t>
        </is>
      </c>
      <c r="O437" t="inlineStr">
        <is>
          <t>2026-06-22 14:11:25</t>
        </is>
      </c>
      <c r="P437" t="inlineStr">
        <is>
          <t>2026-06-22 14:11:25</t>
        </is>
      </c>
      <c r="Y437" t="inlineStr">
        <is>
          <t>27661733273</t>
        </is>
      </c>
    </row>
    <row r="438">
      <c r="A438" t="inlineStr">
        <is>
          <t>14974508</t>
        </is>
      </c>
      <c r="B438" t="inlineStr">
        <is>
          <t>4aecf0d1-d51e-4243-b20a-34703d1fee96</t>
        </is>
      </c>
      <c r="D438" t="inlineStr">
        <is>
          <t>11111127</t>
        </is>
      </c>
      <c r="E438" t="inlineStr">
        <is>
          <t>Vodacom Life 20260622</t>
        </is>
      </c>
      <c r="J438" t="inlineStr">
        <is>
          <t>NI</t>
        </is>
      </c>
      <c r="K438" t="inlineStr">
        <is>
          <t>Not Interested</t>
        </is>
      </c>
      <c r="L438" t="n">
        <v>5</v>
      </c>
      <c r="M438" t="inlineStr">
        <is>
          <t>2026-06-26 12:58:18</t>
        </is>
      </c>
      <c r="N438" t="inlineStr">
        <is>
          <t>Khensane Mabasa</t>
        </is>
      </c>
      <c r="O438" t="inlineStr">
        <is>
          <t>2026-06-22 14:11:25</t>
        </is>
      </c>
      <c r="P438" t="inlineStr">
        <is>
          <t>2026-06-22 14:11:25</t>
        </is>
      </c>
      <c r="Y438" t="inlineStr">
        <is>
          <t>27664354931</t>
        </is>
      </c>
    </row>
    <row r="439">
      <c r="A439" t="inlineStr">
        <is>
          <t>14974628</t>
        </is>
      </c>
      <c r="B439" t="inlineStr">
        <is>
          <t>41eeca17-6f0e-4394-9ae0-6f9cdc6288aa</t>
        </is>
      </c>
      <c r="D439" t="inlineStr">
        <is>
          <t>11111127</t>
        </is>
      </c>
      <c r="E439" t="inlineStr">
        <is>
          <t>Vodacom Life 20260622</t>
        </is>
      </c>
      <c r="J439" t="inlineStr">
        <is>
          <t>CU</t>
        </is>
      </c>
      <c r="K439" t="inlineStr">
        <is>
          <t>Client Hung Up</t>
        </is>
      </c>
      <c r="L439" t="n">
        <v>5</v>
      </c>
      <c r="M439" t="inlineStr">
        <is>
          <t>2026-06-26 12:57:34</t>
        </is>
      </c>
      <c r="N439" t="inlineStr">
        <is>
          <t>Khensane Mabasa</t>
        </is>
      </c>
      <c r="O439" t="inlineStr">
        <is>
          <t>2026-06-22 14:11:25</t>
        </is>
      </c>
      <c r="P439" t="inlineStr">
        <is>
          <t>2026-06-22 14:11:25</t>
        </is>
      </c>
      <c r="Y439" t="inlineStr">
        <is>
          <t>27609179845</t>
        </is>
      </c>
    </row>
    <row r="440">
      <c r="A440" t="inlineStr">
        <is>
          <t>14974627</t>
        </is>
      </c>
      <c r="B440" t="inlineStr">
        <is>
          <t>87ce394c-5e2c-4e88-8435-000b9efe4a17</t>
        </is>
      </c>
      <c r="D440" t="inlineStr">
        <is>
          <t>11111127</t>
        </is>
      </c>
      <c r="E440" t="inlineStr">
        <is>
          <t>Vodacom Life 20260622</t>
        </is>
      </c>
      <c r="J440" t="inlineStr">
        <is>
          <t>NA</t>
        </is>
      </c>
      <c r="K440" t="inlineStr">
        <is>
          <t>No Answer Autodial</t>
        </is>
      </c>
      <c r="L440" t="n">
        <v>5</v>
      </c>
      <c r="M440" t="inlineStr">
        <is>
          <t>2026-06-26 12:57:30</t>
        </is>
      </c>
      <c r="N440" t="inlineStr">
        <is>
          <t>system</t>
        </is>
      </c>
      <c r="O440" t="inlineStr">
        <is>
          <t>2026-06-22 14:11:25</t>
        </is>
      </c>
      <c r="P440" t="inlineStr">
        <is>
          <t>2026-06-22 14:11:25</t>
        </is>
      </c>
      <c r="Y440" t="inlineStr">
        <is>
          <t>27766433112</t>
        </is>
      </c>
    </row>
    <row r="441">
      <c r="A441" t="inlineStr">
        <is>
          <t>14974626</t>
        </is>
      </c>
      <c r="B441" t="inlineStr">
        <is>
          <t>f1f7782d-34e9-4be6-92d5-841a4e758e68</t>
        </is>
      </c>
      <c r="D441" t="inlineStr">
        <is>
          <t>11111127</t>
        </is>
      </c>
      <c r="E441" t="inlineStr">
        <is>
          <t>Vodacom Life 20260622</t>
        </is>
      </c>
      <c r="J441" t="inlineStr">
        <is>
          <t>NA</t>
        </is>
      </c>
      <c r="K441" t="inlineStr">
        <is>
          <t>No Answer Autodial</t>
        </is>
      </c>
      <c r="L441" t="n">
        <v>5</v>
      </c>
      <c r="M441" t="inlineStr">
        <is>
          <t>2026-06-26 12:57:29</t>
        </is>
      </c>
      <c r="N441" t="inlineStr">
        <is>
          <t>system</t>
        </is>
      </c>
      <c r="O441" t="inlineStr">
        <is>
          <t>2026-06-22 14:11:25</t>
        </is>
      </c>
      <c r="P441" t="inlineStr">
        <is>
          <t>2026-06-22 14:11:25</t>
        </is>
      </c>
      <c r="Y441" t="inlineStr">
        <is>
          <t>27764271842</t>
        </is>
      </c>
    </row>
    <row r="442">
      <c r="A442" t="inlineStr">
        <is>
          <t>14973985</t>
        </is>
      </c>
      <c r="B442" t="inlineStr">
        <is>
          <t>403c4256-9874-4ee8-8180-0084bead1c37</t>
        </is>
      </c>
      <c r="D442" t="inlineStr">
        <is>
          <t>11111127</t>
        </is>
      </c>
      <c r="E442" t="inlineStr">
        <is>
          <t>Vodacom Life 20260622</t>
        </is>
      </c>
      <c r="J442" t="inlineStr">
        <is>
          <t>AA</t>
        </is>
      </c>
      <c r="K442" t="inlineStr">
        <is>
          <t>Answering Machine Autodial</t>
        </is>
      </c>
      <c r="L442" t="n">
        <v>5</v>
      </c>
      <c r="M442" t="inlineStr">
        <is>
          <t>2026-06-26 12:55:59</t>
        </is>
      </c>
      <c r="N442" t="inlineStr">
        <is>
          <t>system</t>
        </is>
      </c>
      <c r="O442" t="inlineStr">
        <is>
          <t>2026-06-22 14:11:25</t>
        </is>
      </c>
      <c r="P442" t="inlineStr">
        <is>
          <t>2026-06-22 14:11:25</t>
        </is>
      </c>
      <c r="Y442" t="inlineStr">
        <is>
          <t>27649183682</t>
        </is>
      </c>
    </row>
    <row r="443">
      <c r="A443" t="inlineStr">
        <is>
          <t>14973986</t>
        </is>
      </c>
      <c r="B443" t="inlineStr">
        <is>
          <t>ff867f44-3836-4f0c-9e29-df29adecf3c1</t>
        </is>
      </c>
      <c r="D443" t="inlineStr">
        <is>
          <t>11111127</t>
        </is>
      </c>
      <c r="E443" t="inlineStr">
        <is>
          <t>Vodacom Life 20260622</t>
        </is>
      </c>
      <c r="J443" t="inlineStr">
        <is>
          <t>CBACK</t>
        </is>
      </c>
      <c r="K443" t="inlineStr">
        <is>
          <t>Callback</t>
        </is>
      </c>
      <c r="L443" t="n">
        <v>5</v>
      </c>
      <c r="M443" t="inlineStr">
        <is>
          <t>2026-06-26 12:55:55</t>
        </is>
      </c>
      <c r="N443" t="inlineStr">
        <is>
          <t>Maureen Ntsoko</t>
        </is>
      </c>
      <c r="O443" t="inlineStr">
        <is>
          <t>2026-06-22 14:11:25</t>
        </is>
      </c>
      <c r="P443" t="inlineStr">
        <is>
          <t>2026-06-22 14:11:25</t>
        </is>
      </c>
      <c r="Y443" t="inlineStr">
        <is>
          <t>27798655071</t>
        </is>
      </c>
    </row>
    <row r="444">
      <c r="A444" t="inlineStr">
        <is>
          <t>14973987</t>
        </is>
      </c>
      <c r="B444" t="inlineStr">
        <is>
          <t>4720633b-c224-4cb6-82bc-02ba03af3260</t>
        </is>
      </c>
      <c r="D444" t="inlineStr">
        <is>
          <t>11111127</t>
        </is>
      </c>
      <c r="E444" t="inlineStr">
        <is>
          <t>Vodacom Life 20260622</t>
        </is>
      </c>
      <c r="J444" t="inlineStr">
        <is>
          <t>AA</t>
        </is>
      </c>
      <c r="K444" t="inlineStr">
        <is>
          <t>Answering Machine Autodial</t>
        </is>
      </c>
      <c r="L444" t="n">
        <v>5</v>
      </c>
      <c r="M444" t="inlineStr">
        <is>
          <t>2026-06-26 12:55:35</t>
        </is>
      </c>
      <c r="N444" t="inlineStr">
        <is>
          <t>system</t>
        </is>
      </c>
      <c r="O444" t="inlineStr">
        <is>
          <t>2026-06-22 14:11:25</t>
        </is>
      </c>
      <c r="P444" t="inlineStr">
        <is>
          <t>2026-06-22 14:11:25</t>
        </is>
      </c>
      <c r="Y444" t="inlineStr">
        <is>
          <t>27822921500</t>
        </is>
      </c>
    </row>
    <row r="445">
      <c r="A445" t="inlineStr">
        <is>
          <t>14973988</t>
        </is>
      </c>
      <c r="B445" t="inlineStr">
        <is>
          <t>b2d075a1-c405-4b7a-bc2e-7c9631d772c5</t>
        </is>
      </c>
      <c r="D445" t="inlineStr">
        <is>
          <t>11111127</t>
        </is>
      </c>
      <c r="E445" t="inlineStr">
        <is>
          <t>Vodacom Life 20260622</t>
        </is>
      </c>
      <c r="J445" t="inlineStr">
        <is>
          <t>AE</t>
        </is>
      </c>
      <c r="K445" t="inlineStr">
        <is>
          <t>Auto Engaged</t>
        </is>
      </c>
      <c r="L445" t="n">
        <v>5</v>
      </c>
      <c r="M445" t="inlineStr">
        <is>
          <t>2026-06-26 12:55:33</t>
        </is>
      </c>
      <c r="N445" t="inlineStr">
        <is>
          <t>system</t>
        </is>
      </c>
      <c r="O445" t="inlineStr">
        <is>
          <t>2026-06-22 14:11:25</t>
        </is>
      </c>
      <c r="P445" t="inlineStr">
        <is>
          <t>2026-06-22 14:11:25</t>
        </is>
      </c>
      <c r="Y445" t="inlineStr">
        <is>
          <t>27832780748</t>
        </is>
      </c>
    </row>
    <row r="446">
      <c r="A446" t="inlineStr">
        <is>
          <t>14973989</t>
        </is>
      </c>
      <c r="B446" t="inlineStr">
        <is>
          <t>d4123434-52d4-4f14-942a-1e314d791059</t>
        </is>
      </c>
      <c r="D446" t="inlineStr">
        <is>
          <t>11111127</t>
        </is>
      </c>
      <c r="E446" t="inlineStr">
        <is>
          <t>Vodacom Life 20260622</t>
        </is>
      </c>
      <c r="J446" t="inlineStr">
        <is>
          <t>CCB</t>
        </is>
      </c>
      <c r="K446" t="inlineStr">
        <is>
          <t>Call Dropped</t>
        </is>
      </c>
      <c r="L446" t="n">
        <v>5</v>
      </c>
      <c r="M446" t="inlineStr">
        <is>
          <t>2026-06-26 12:55:22</t>
        </is>
      </c>
      <c r="N446" t="inlineStr">
        <is>
          <t>Maureen Ntsoko</t>
        </is>
      </c>
      <c r="O446" t="inlineStr">
        <is>
          <t>2026-06-22 14:11:25</t>
        </is>
      </c>
      <c r="P446" t="inlineStr">
        <is>
          <t>2026-06-22 14:11:25</t>
        </is>
      </c>
      <c r="Y446" t="inlineStr">
        <is>
          <t>27769374091</t>
        </is>
      </c>
    </row>
    <row r="447">
      <c r="A447" t="inlineStr">
        <is>
          <t>14973990</t>
        </is>
      </c>
      <c r="B447" t="inlineStr">
        <is>
          <t>ee50a79c-20d7-402a-9e9d-103a89399a1f</t>
        </is>
      </c>
      <c r="D447" t="inlineStr">
        <is>
          <t>11111127</t>
        </is>
      </c>
      <c r="E447" t="inlineStr">
        <is>
          <t>Vodacom Life 20260622</t>
        </is>
      </c>
      <c r="J447" t="inlineStr">
        <is>
          <t>NA</t>
        </is>
      </c>
      <c r="K447" t="inlineStr">
        <is>
          <t>No Answer Autodial</t>
        </is>
      </c>
      <c r="L447" t="n">
        <v>5</v>
      </c>
      <c r="M447" t="inlineStr">
        <is>
          <t>2026-06-26 12:55:22</t>
        </is>
      </c>
      <c r="N447" t="inlineStr">
        <is>
          <t>system</t>
        </is>
      </c>
      <c r="O447" t="inlineStr">
        <is>
          <t>2026-06-22 14:11:25</t>
        </is>
      </c>
      <c r="P447" t="inlineStr">
        <is>
          <t>2026-06-22 14:11:25</t>
        </is>
      </c>
      <c r="Y447" t="inlineStr">
        <is>
          <t>27795593384</t>
        </is>
      </c>
    </row>
    <row r="448">
      <c r="A448" t="inlineStr">
        <is>
          <t>14973991</t>
        </is>
      </c>
      <c r="B448" t="inlineStr">
        <is>
          <t>ba8d6364-2ad0-4fd8-987c-af0375d240f8</t>
        </is>
      </c>
      <c r="D448" t="inlineStr">
        <is>
          <t>11111127</t>
        </is>
      </c>
      <c r="E448" t="inlineStr">
        <is>
          <t>Vodacom Life 20260622</t>
        </is>
      </c>
      <c r="J448" t="inlineStr">
        <is>
          <t>AA</t>
        </is>
      </c>
      <c r="K448" t="inlineStr">
        <is>
          <t>Answering Machine Autodial</t>
        </is>
      </c>
      <c r="L448" t="n">
        <v>5</v>
      </c>
      <c r="M448" t="inlineStr">
        <is>
          <t>2026-06-26 12:55:19</t>
        </is>
      </c>
      <c r="N448" t="inlineStr">
        <is>
          <t>system</t>
        </is>
      </c>
      <c r="O448" t="inlineStr">
        <is>
          <t>2026-06-22 14:11:25</t>
        </is>
      </c>
      <c r="P448" t="inlineStr">
        <is>
          <t>2026-06-22 14:11:25</t>
        </is>
      </c>
      <c r="Y448" t="inlineStr">
        <is>
          <t>27798523545</t>
        </is>
      </c>
    </row>
    <row r="449">
      <c r="A449" t="inlineStr">
        <is>
          <t>14973992</t>
        </is>
      </c>
      <c r="B449" t="inlineStr">
        <is>
          <t>b348891c-d563-4bdc-9203-c9e3887c2281</t>
        </is>
      </c>
      <c r="D449" t="inlineStr">
        <is>
          <t>11111127</t>
        </is>
      </c>
      <c r="E449" t="inlineStr">
        <is>
          <t>Vodacom Life 20260622</t>
        </is>
      </c>
      <c r="J449" t="inlineStr">
        <is>
          <t>NA</t>
        </is>
      </c>
      <c r="K449" t="inlineStr">
        <is>
          <t>No Answer Autodial</t>
        </is>
      </c>
      <c r="L449" t="n">
        <v>5</v>
      </c>
      <c r="M449" t="inlineStr">
        <is>
          <t>2026-06-26 12:55:18</t>
        </is>
      </c>
      <c r="N449" t="inlineStr">
        <is>
          <t>system</t>
        </is>
      </c>
      <c r="O449" t="inlineStr">
        <is>
          <t>2026-06-22 14:11:25</t>
        </is>
      </c>
      <c r="P449" t="inlineStr">
        <is>
          <t>2026-06-22 14:11:25</t>
        </is>
      </c>
      <c r="Y449" t="inlineStr">
        <is>
          <t>27723454917</t>
        </is>
      </c>
    </row>
    <row r="450">
      <c r="A450" t="inlineStr">
        <is>
          <t>14973993</t>
        </is>
      </c>
      <c r="B450" t="inlineStr">
        <is>
          <t>5d9556c7-3821-4586-a72e-17ab5fe5e73a</t>
        </is>
      </c>
      <c r="D450" t="inlineStr">
        <is>
          <t>11111127</t>
        </is>
      </c>
      <c r="E450" t="inlineStr">
        <is>
          <t>Vodacom Life 20260622</t>
        </is>
      </c>
      <c r="H450" t="inlineStr">
        <is>
          <t>27724682897</t>
        </is>
      </c>
      <c r="J450" t="inlineStr">
        <is>
          <t>ADC</t>
        </is>
      </c>
      <c r="K450" t="inlineStr">
        <is>
          <t>Auto Dial Disconnected</t>
        </is>
      </c>
      <c r="L450" t="n">
        <v>5</v>
      </c>
      <c r="M450" t="inlineStr">
        <is>
          <t>2026-06-26 12:55:18</t>
        </is>
      </c>
      <c r="N450" t="inlineStr">
        <is>
          <t>system</t>
        </is>
      </c>
      <c r="O450" t="inlineStr">
        <is>
          <t>2026-06-22 14:11:25</t>
        </is>
      </c>
      <c r="P450" t="inlineStr">
        <is>
          <t>2026-06-22 14:11:25</t>
        </is>
      </c>
      <c r="Y450" t="inlineStr">
        <is>
          <t>27724682897</t>
        </is>
      </c>
    </row>
    <row r="451">
      <c r="A451" t="inlineStr">
        <is>
          <t>14974315</t>
        </is>
      </c>
      <c r="B451" t="inlineStr">
        <is>
          <t>de334062-6e3a-4a86-9f56-57040ea72b51</t>
        </is>
      </c>
      <c r="D451" t="inlineStr">
        <is>
          <t>11111127</t>
        </is>
      </c>
      <c r="E451" t="inlineStr">
        <is>
          <t>Vodacom Life 20260622</t>
        </is>
      </c>
      <c r="J451" t="inlineStr">
        <is>
          <t>NA</t>
        </is>
      </c>
      <c r="K451" t="inlineStr">
        <is>
          <t>No Answer Autodial</t>
        </is>
      </c>
      <c r="L451" t="n">
        <v>5</v>
      </c>
      <c r="M451" t="inlineStr">
        <is>
          <t>2026-06-26 12:55:18</t>
        </is>
      </c>
      <c r="N451" t="inlineStr">
        <is>
          <t>system</t>
        </is>
      </c>
      <c r="O451" t="inlineStr">
        <is>
          <t>2026-06-22 14:11:25</t>
        </is>
      </c>
      <c r="P451" t="inlineStr">
        <is>
          <t>2026-06-22 14:11:25</t>
        </is>
      </c>
      <c r="Y451" t="inlineStr">
        <is>
          <t>27609230484</t>
        </is>
      </c>
    </row>
    <row r="452">
      <c r="A452" t="inlineStr">
        <is>
          <t>14973978</t>
        </is>
      </c>
      <c r="B452" t="inlineStr">
        <is>
          <t>98631f89-cdb2-4088-bdb7-16f3aeb87882</t>
        </is>
      </c>
      <c r="D452" t="inlineStr">
        <is>
          <t>11111127</t>
        </is>
      </c>
      <c r="E452" t="inlineStr">
        <is>
          <t>Vodacom Life 20260622</t>
        </is>
      </c>
      <c r="J452" t="inlineStr">
        <is>
          <t>DROP</t>
        </is>
      </c>
      <c r="K452" t="inlineStr">
        <is>
          <t>Dropped</t>
        </is>
      </c>
      <c r="L452" t="n">
        <v>5</v>
      </c>
      <c r="M452" t="inlineStr">
        <is>
          <t>2026-06-26 12:54:56</t>
        </is>
      </c>
      <c r="N452" t="inlineStr">
        <is>
          <t>system</t>
        </is>
      </c>
      <c r="O452" t="inlineStr">
        <is>
          <t>2026-06-22 14:11:25</t>
        </is>
      </c>
      <c r="P452" t="inlineStr">
        <is>
          <t>2026-06-22 14:11:25</t>
        </is>
      </c>
      <c r="Y452" t="inlineStr">
        <is>
          <t>27723740566</t>
        </is>
      </c>
    </row>
    <row r="453">
      <c r="A453" t="inlineStr">
        <is>
          <t>14973979</t>
        </is>
      </c>
      <c r="B453" t="inlineStr">
        <is>
          <t>57057285-34dd-4f00-ac36-942a2f05e048</t>
        </is>
      </c>
      <c r="D453" t="inlineStr">
        <is>
          <t>11111127</t>
        </is>
      </c>
      <c r="E453" t="inlineStr">
        <is>
          <t>Vodacom Life 20260622</t>
        </is>
      </c>
      <c r="J453" t="inlineStr">
        <is>
          <t>AE</t>
        </is>
      </c>
      <c r="K453" t="inlineStr">
        <is>
          <t>Auto Engaged</t>
        </is>
      </c>
      <c r="L453" t="n">
        <v>5</v>
      </c>
      <c r="M453" t="inlineStr">
        <is>
          <t>2026-06-26 12:54:55</t>
        </is>
      </c>
      <c r="N453" t="inlineStr">
        <is>
          <t>system</t>
        </is>
      </c>
      <c r="O453" t="inlineStr">
        <is>
          <t>2026-06-22 14:11:25</t>
        </is>
      </c>
      <c r="P453" t="inlineStr">
        <is>
          <t>2026-06-22 14:11:25</t>
        </is>
      </c>
      <c r="Y453" t="inlineStr">
        <is>
          <t>27661801725</t>
        </is>
      </c>
    </row>
    <row r="454">
      <c r="A454" t="inlineStr">
        <is>
          <t>14973980</t>
        </is>
      </c>
      <c r="B454" t="inlineStr">
        <is>
          <t>6aaa2a5b-0804-473b-a6a2-a943f49a777c</t>
        </is>
      </c>
      <c r="D454" t="inlineStr">
        <is>
          <t>11111127</t>
        </is>
      </c>
      <c r="E454" t="inlineStr">
        <is>
          <t>Vodacom Life 20260622</t>
        </is>
      </c>
      <c r="J454" t="inlineStr">
        <is>
          <t>DROP</t>
        </is>
      </c>
      <c r="K454" t="inlineStr">
        <is>
          <t>Dropped</t>
        </is>
      </c>
      <c r="L454" t="n">
        <v>5</v>
      </c>
      <c r="M454" t="inlineStr">
        <is>
          <t>2026-06-26 12:54:55</t>
        </is>
      </c>
      <c r="N454" t="inlineStr">
        <is>
          <t>system</t>
        </is>
      </c>
      <c r="O454" t="inlineStr">
        <is>
          <t>2026-06-22 14:11:25</t>
        </is>
      </c>
      <c r="P454" t="inlineStr">
        <is>
          <t>2026-06-22 14:11:25</t>
        </is>
      </c>
      <c r="Y454" t="inlineStr">
        <is>
          <t>27715182704</t>
        </is>
      </c>
    </row>
    <row r="455">
      <c r="A455" t="inlineStr">
        <is>
          <t>14973981</t>
        </is>
      </c>
      <c r="B455" t="inlineStr">
        <is>
          <t>b59f1e5e-f312-46c3-b9a7-0b18e7b2b20c</t>
        </is>
      </c>
      <c r="D455" t="inlineStr">
        <is>
          <t>11111127</t>
        </is>
      </c>
      <c r="E455" t="inlineStr">
        <is>
          <t>Vodacom Life 20260622</t>
        </is>
      </c>
      <c r="J455" t="inlineStr">
        <is>
          <t>AE</t>
        </is>
      </c>
      <c r="K455" t="inlineStr">
        <is>
          <t>Auto Engaged</t>
        </is>
      </c>
      <c r="L455" t="n">
        <v>5</v>
      </c>
      <c r="M455" t="inlineStr">
        <is>
          <t>2026-06-26 12:54:55</t>
        </is>
      </c>
      <c r="N455" t="inlineStr">
        <is>
          <t>system</t>
        </is>
      </c>
      <c r="O455" t="inlineStr">
        <is>
          <t>2026-06-22 14:11:25</t>
        </is>
      </c>
      <c r="P455" t="inlineStr">
        <is>
          <t>2026-06-22 14:11:25</t>
        </is>
      </c>
      <c r="Y455" t="inlineStr">
        <is>
          <t>27721969342</t>
        </is>
      </c>
    </row>
    <row r="456">
      <c r="A456" t="inlineStr">
        <is>
          <t>14973982</t>
        </is>
      </c>
      <c r="B456" t="inlineStr">
        <is>
          <t>390de9b6-47af-4db7-8fed-d5a0d8e163e6</t>
        </is>
      </c>
      <c r="D456" t="inlineStr">
        <is>
          <t>11111127</t>
        </is>
      </c>
      <c r="E456" t="inlineStr">
        <is>
          <t>Vodacom Life 20260622</t>
        </is>
      </c>
      <c r="J456" t="inlineStr">
        <is>
          <t>CU</t>
        </is>
      </c>
      <c r="K456" t="inlineStr">
        <is>
          <t>Client Hung Up</t>
        </is>
      </c>
      <c r="L456" t="n">
        <v>5</v>
      </c>
      <c r="M456" t="inlineStr">
        <is>
          <t>2026-06-26 12:54:42</t>
        </is>
      </c>
      <c r="N456" t="inlineStr">
        <is>
          <t>Khensane Mabasa</t>
        </is>
      </c>
      <c r="O456" t="inlineStr">
        <is>
          <t>2026-06-22 14:11:25</t>
        </is>
      </c>
      <c r="P456" t="inlineStr">
        <is>
          <t>2026-06-22 14:11:25</t>
        </is>
      </c>
      <c r="Y456" t="inlineStr">
        <is>
          <t>27722807786</t>
        </is>
      </c>
    </row>
    <row r="457">
      <c r="A457" t="inlineStr">
        <is>
          <t>14973983</t>
        </is>
      </c>
      <c r="B457" t="inlineStr">
        <is>
          <t>67ad4acd-61c8-43af-b042-c84b26c69bba</t>
        </is>
      </c>
      <c r="D457" t="inlineStr">
        <is>
          <t>11111127</t>
        </is>
      </c>
      <c r="E457" t="inlineStr">
        <is>
          <t>Vodacom Life 20260622</t>
        </is>
      </c>
      <c r="J457" t="inlineStr">
        <is>
          <t>AA</t>
        </is>
      </c>
      <c r="K457" t="inlineStr">
        <is>
          <t>Answering Machine Autodial</t>
        </is>
      </c>
      <c r="L457" t="n">
        <v>5</v>
      </c>
      <c r="M457" t="inlineStr">
        <is>
          <t>2026-06-26 12:54:39</t>
        </is>
      </c>
      <c r="N457" t="inlineStr">
        <is>
          <t>system</t>
        </is>
      </c>
      <c r="O457" t="inlineStr">
        <is>
          <t>2026-06-22 14:11:25</t>
        </is>
      </c>
      <c r="P457" t="inlineStr">
        <is>
          <t>2026-06-22 14:11:25</t>
        </is>
      </c>
      <c r="Y457" t="inlineStr">
        <is>
          <t>27764734007</t>
        </is>
      </c>
    </row>
    <row r="458">
      <c r="A458" t="inlineStr">
        <is>
          <t>14973984</t>
        </is>
      </c>
      <c r="B458" t="inlineStr">
        <is>
          <t>dbb5d9f1-3048-4a0e-aeb7-3a1255d2b540</t>
        </is>
      </c>
      <c r="D458" t="inlineStr">
        <is>
          <t>11111127</t>
        </is>
      </c>
      <c r="E458" t="inlineStr">
        <is>
          <t>Vodacom Life 20260622</t>
        </is>
      </c>
      <c r="J458" t="inlineStr">
        <is>
          <t>A</t>
        </is>
      </c>
      <c r="K458" t="inlineStr">
        <is>
          <t>Answering Machine</t>
        </is>
      </c>
      <c r="L458" t="n">
        <v>5</v>
      </c>
      <c r="M458" t="inlineStr">
        <is>
          <t>2026-06-26 12:54:39</t>
        </is>
      </c>
      <c r="N458" t="inlineStr">
        <is>
          <t>Maureen Ntsoko</t>
        </is>
      </c>
      <c r="O458" t="inlineStr">
        <is>
          <t>2026-06-22 14:11:25</t>
        </is>
      </c>
      <c r="P458" t="inlineStr">
        <is>
          <t>2026-06-22 14:11:25</t>
        </is>
      </c>
      <c r="Y458" t="inlineStr">
        <is>
          <t>27714503737</t>
        </is>
      </c>
    </row>
    <row r="459">
      <c r="A459" t="inlineStr">
        <is>
          <t>14973908</t>
        </is>
      </c>
      <c r="B459" t="inlineStr">
        <is>
          <t>56507752-5551-4691-a994-8c19e96e9f22</t>
        </is>
      </c>
      <c r="D459" t="inlineStr">
        <is>
          <t>11111127</t>
        </is>
      </c>
      <c r="E459" t="inlineStr">
        <is>
          <t>Vodacom Life 20260622</t>
        </is>
      </c>
      <c r="J459" t="inlineStr">
        <is>
          <t>DROP</t>
        </is>
      </c>
      <c r="K459" t="inlineStr">
        <is>
          <t>Dropped</t>
        </is>
      </c>
      <c r="L459" t="n">
        <v>5</v>
      </c>
      <c r="M459" t="inlineStr">
        <is>
          <t>2026-06-26 12:54:17</t>
        </is>
      </c>
      <c r="N459" t="inlineStr">
        <is>
          <t>system</t>
        </is>
      </c>
      <c r="O459" t="inlineStr">
        <is>
          <t>2026-06-22 14:11:25</t>
        </is>
      </c>
      <c r="P459" t="inlineStr">
        <is>
          <t>2026-06-22 14:11:25</t>
        </is>
      </c>
      <c r="Y459" t="inlineStr">
        <is>
          <t>27798940800</t>
        </is>
      </c>
    </row>
    <row r="460">
      <c r="A460" t="inlineStr">
        <is>
          <t>14973945</t>
        </is>
      </c>
      <c r="B460" t="inlineStr">
        <is>
          <t>df169669-225b-48ea-94c7-9288055c4ffa</t>
        </is>
      </c>
      <c r="D460" t="inlineStr">
        <is>
          <t>11111127</t>
        </is>
      </c>
      <c r="E460" t="inlineStr">
        <is>
          <t>Vodacom Life 20260622</t>
        </is>
      </c>
      <c r="J460" t="inlineStr">
        <is>
          <t>ADC</t>
        </is>
      </c>
      <c r="K460" t="inlineStr">
        <is>
          <t>Auto Dial Disconnected</t>
        </is>
      </c>
      <c r="L460" t="n">
        <v>5</v>
      </c>
      <c r="M460" t="inlineStr">
        <is>
          <t>2026-06-26 12:54:17</t>
        </is>
      </c>
      <c r="N460" t="inlineStr">
        <is>
          <t>system</t>
        </is>
      </c>
      <c r="O460" t="inlineStr">
        <is>
          <t>2026-06-22 14:11:25</t>
        </is>
      </c>
      <c r="P460" t="inlineStr">
        <is>
          <t>2026-06-22 14:11:25</t>
        </is>
      </c>
      <c r="Y460" t="inlineStr">
        <is>
          <t>27822569616</t>
        </is>
      </c>
    </row>
    <row r="461">
      <c r="A461" t="inlineStr">
        <is>
          <t>14973946</t>
        </is>
      </c>
      <c r="B461" t="inlineStr">
        <is>
          <t>ac0b487f-76a5-476d-8801-06c5aca87cbf</t>
        </is>
      </c>
      <c r="D461" t="inlineStr">
        <is>
          <t>11111127</t>
        </is>
      </c>
      <c r="E461" t="inlineStr">
        <is>
          <t>Vodacom Life 20260622</t>
        </is>
      </c>
      <c r="H461" t="inlineStr">
        <is>
          <t>27824371134</t>
        </is>
      </c>
      <c r="J461" t="inlineStr">
        <is>
          <t>DROP</t>
        </is>
      </c>
      <c r="K461" t="inlineStr">
        <is>
          <t>Dropped</t>
        </is>
      </c>
      <c r="L461" t="n">
        <v>5</v>
      </c>
      <c r="M461" t="inlineStr">
        <is>
          <t>2026-06-26 12:54:17</t>
        </is>
      </c>
      <c r="N461" t="inlineStr">
        <is>
          <t>system</t>
        </is>
      </c>
      <c r="O461" t="inlineStr">
        <is>
          <t>2026-06-22 14:11:25</t>
        </is>
      </c>
      <c r="P461" t="inlineStr">
        <is>
          <t>2026-06-22 14:11:25</t>
        </is>
      </c>
      <c r="Y461" t="inlineStr">
        <is>
          <t>27824371134</t>
        </is>
      </c>
    </row>
    <row r="462">
      <c r="A462" t="inlineStr">
        <is>
          <t>14973959</t>
        </is>
      </c>
      <c r="B462" t="inlineStr">
        <is>
          <t>d3c701fd-8136-4575-b7d3-fc83db5fb301</t>
        </is>
      </c>
      <c r="D462" t="inlineStr">
        <is>
          <t>11111127</t>
        </is>
      </c>
      <c r="E462" t="inlineStr">
        <is>
          <t>Vodacom Life 20260622</t>
        </is>
      </c>
      <c r="H462" t="inlineStr">
        <is>
          <t>27774758323</t>
        </is>
      </c>
      <c r="J462" t="inlineStr">
        <is>
          <t>CU</t>
        </is>
      </c>
      <c r="K462" t="inlineStr">
        <is>
          <t>Client Hung Up</t>
        </is>
      </c>
      <c r="L462" t="n">
        <v>5</v>
      </c>
      <c r="M462" t="inlineStr">
        <is>
          <t>2026-06-26 12:54:02</t>
        </is>
      </c>
      <c r="N462" t="inlineStr">
        <is>
          <t>Maureen Ntsoko</t>
        </is>
      </c>
      <c r="O462" t="inlineStr">
        <is>
          <t>2026-06-22 14:11:25</t>
        </is>
      </c>
      <c r="P462" t="inlineStr">
        <is>
          <t>2026-06-22 14:11:25</t>
        </is>
      </c>
      <c r="Y462" t="inlineStr">
        <is>
          <t>27774758323</t>
        </is>
      </c>
    </row>
    <row r="463">
      <c r="A463" t="inlineStr">
        <is>
          <t>15000000</t>
        </is>
      </c>
      <c r="B463" t="inlineStr">
        <is>
          <t>8e782ac0-bafe-4fa0-bf9e-2f98708962a8</t>
        </is>
      </c>
      <c r="D463" t="inlineStr">
        <is>
          <t>11111127</t>
        </is>
      </c>
      <c r="E463" t="inlineStr">
        <is>
          <t>Vodacom Life 20260622</t>
        </is>
      </c>
      <c r="J463" t="inlineStr">
        <is>
          <t>AE</t>
        </is>
      </c>
      <c r="K463" t="inlineStr">
        <is>
          <t>Auto Engaged</t>
        </is>
      </c>
      <c r="L463" t="n">
        <v>5</v>
      </c>
      <c r="M463" t="inlineStr">
        <is>
          <t>2026-06-26 12:53:51</t>
        </is>
      </c>
      <c r="N463" t="inlineStr">
        <is>
          <t>system</t>
        </is>
      </c>
      <c r="O463" t="inlineStr">
        <is>
          <t>2026-06-22 14:11:25</t>
        </is>
      </c>
      <c r="P463" t="inlineStr">
        <is>
          <t>2026-06-22 14:11:25</t>
        </is>
      </c>
      <c r="Y463" t="inlineStr">
        <is>
          <t>27713221394</t>
        </is>
      </c>
    </row>
    <row r="464">
      <c r="A464" t="inlineStr">
        <is>
          <t>14973949</t>
        </is>
      </c>
      <c r="B464" t="inlineStr">
        <is>
          <t>16386777-8d93-4f16-9a5e-282e5b8fc379</t>
        </is>
      </c>
      <c r="D464" t="inlineStr">
        <is>
          <t>11111127</t>
        </is>
      </c>
      <c r="E464" t="inlineStr">
        <is>
          <t>Vodacom Life 20260622</t>
        </is>
      </c>
      <c r="H464" t="inlineStr">
        <is>
          <t>27828482483</t>
        </is>
      </c>
      <c r="J464" t="inlineStr">
        <is>
          <t>DROP</t>
        </is>
      </c>
      <c r="K464" t="inlineStr">
        <is>
          <t>Dropped</t>
        </is>
      </c>
      <c r="L464" t="n">
        <v>5</v>
      </c>
      <c r="M464" t="inlineStr">
        <is>
          <t>2026-06-26 12:53:50</t>
        </is>
      </c>
      <c r="N464" t="inlineStr">
        <is>
          <t>system</t>
        </is>
      </c>
      <c r="O464" t="inlineStr">
        <is>
          <t>2026-06-22 14:11:25</t>
        </is>
      </c>
      <c r="P464" t="inlineStr">
        <is>
          <t>2026-06-22 14:11:25</t>
        </is>
      </c>
      <c r="Y464" t="inlineStr">
        <is>
          <t>27828482483</t>
        </is>
      </c>
    </row>
    <row r="465">
      <c r="A465" t="inlineStr">
        <is>
          <t>14973951</t>
        </is>
      </c>
      <c r="B465" t="inlineStr">
        <is>
          <t>d2074b73-4c70-43f4-9849-911c7e09913c</t>
        </is>
      </c>
      <c r="D465" t="inlineStr">
        <is>
          <t>11111127</t>
        </is>
      </c>
      <c r="E465" t="inlineStr">
        <is>
          <t>Vodacom Life 20260622</t>
        </is>
      </c>
      <c r="J465" t="inlineStr">
        <is>
          <t>CU</t>
        </is>
      </c>
      <c r="K465" t="inlineStr">
        <is>
          <t>Client Hung Up</t>
        </is>
      </c>
      <c r="L465" t="n">
        <v>5</v>
      </c>
      <c r="M465" t="inlineStr">
        <is>
          <t>2026-06-26 12:53:45</t>
        </is>
      </c>
      <c r="N465" t="inlineStr">
        <is>
          <t>Khensane Mabasa</t>
        </is>
      </c>
      <c r="O465" t="inlineStr">
        <is>
          <t>2026-06-22 14:11:25</t>
        </is>
      </c>
      <c r="P465" t="inlineStr">
        <is>
          <t>2026-06-22 14:11:25</t>
        </is>
      </c>
      <c r="Y465" t="inlineStr">
        <is>
          <t>27728440268</t>
        </is>
      </c>
    </row>
    <row r="466">
      <c r="A466" t="inlineStr">
        <is>
          <t>14973954</t>
        </is>
      </c>
      <c r="B466" t="inlineStr">
        <is>
          <t>55439a1d-e190-4906-9b6c-7196d1e6647f</t>
        </is>
      </c>
      <c r="D466" t="inlineStr">
        <is>
          <t>11111127</t>
        </is>
      </c>
      <c r="E466" t="inlineStr">
        <is>
          <t>Vodacom Life 20260622</t>
        </is>
      </c>
      <c r="J466" t="inlineStr">
        <is>
          <t>NA</t>
        </is>
      </c>
      <c r="K466" t="inlineStr">
        <is>
          <t>No Answer Autodial</t>
        </is>
      </c>
      <c r="L466" t="n">
        <v>5</v>
      </c>
      <c r="M466" t="inlineStr">
        <is>
          <t>2026-06-26 12:53:40</t>
        </is>
      </c>
      <c r="N466" t="inlineStr">
        <is>
          <t>system</t>
        </is>
      </c>
      <c r="O466" t="inlineStr">
        <is>
          <t>2026-06-22 14:11:25</t>
        </is>
      </c>
      <c r="P466" t="inlineStr">
        <is>
          <t>2026-06-22 14:11:25</t>
        </is>
      </c>
      <c r="Y466" t="inlineStr">
        <is>
          <t>27822213207</t>
        </is>
      </c>
    </row>
    <row r="467">
      <c r="A467" t="inlineStr">
        <is>
          <t>15000000</t>
        </is>
      </c>
      <c r="B467" t="inlineStr">
        <is>
          <t>33e1530b-007e-42eb-9246-52d05b4a67ea</t>
        </is>
      </c>
      <c r="D467" t="inlineStr">
        <is>
          <t>11111127</t>
        </is>
      </c>
      <c r="E467" t="inlineStr">
        <is>
          <t>Vodacom Life 20260622</t>
        </is>
      </c>
      <c r="J467" t="inlineStr">
        <is>
          <t>DROP</t>
        </is>
      </c>
      <c r="K467" t="inlineStr">
        <is>
          <t>Dropped</t>
        </is>
      </c>
      <c r="L467" t="n">
        <v>5</v>
      </c>
      <c r="M467" t="inlineStr">
        <is>
          <t>2026-06-26 12:53:40</t>
        </is>
      </c>
      <c r="N467" t="inlineStr">
        <is>
          <t>system</t>
        </is>
      </c>
      <c r="O467" t="inlineStr">
        <is>
          <t>2026-06-22 14:11:25</t>
        </is>
      </c>
      <c r="P467" t="inlineStr">
        <is>
          <t>2026-06-22 14:11:25</t>
        </is>
      </c>
      <c r="Y467" t="inlineStr">
        <is>
          <t>27761069472</t>
        </is>
      </c>
    </row>
    <row r="468">
      <c r="A468" t="inlineStr">
        <is>
          <t>14973958</t>
        </is>
      </c>
      <c r="B468" t="inlineStr">
        <is>
          <t>715f078e-0874-4bda-9698-9cf2eb448d1e</t>
        </is>
      </c>
      <c r="D468" t="inlineStr">
        <is>
          <t>11111127</t>
        </is>
      </c>
      <c r="E468" t="inlineStr">
        <is>
          <t>Vodacom Life 20260622</t>
        </is>
      </c>
      <c r="J468" t="inlineStr">
        <is>
          <t>AA</t>
        </is>
      </c>
      <c r="K468" t="inlineStr">
        <is>
          <t>Answering Machine Autodial</t>
        </is>
      </c>
      <c r="L468" t="n">
        <v>5</v>
      </c>
      <c r="M468" t="inlineStr">
        <is>
          <t>2026-06-26 12:53:39</t>
        </is>
      </c>
      <c r="N468" t="inlineStr">
        <is>
          <t>system</t>
        </is>
      </c>
      <c r="O468" t="inlineStr">
        <is>
          <t>2026-06-22 14:11:25</t>
        </is>
      </c>
      <c r="P468" t="inlineStr">
        <is>
          <t>2026-06-22 14:11:25</t>
        </is>
      </c>
      <c r="Y468" t="inlineStr">
        <is>
          <t>27722117671</t>
        </is>
      </c>
    </row>
    <row r="469">
      <c r="A469" t="inlineStr">
        <is>
          <t>14973960</t>
        </is>
      </c>
      <c r="B469" t="inlineStr">
        <is>
          <t>d2f68f18-3205-406e-8f8b-88fcf339ba04</t>
        </is>
      </c>
      <c r="D469" t="inlineStr">
        <is>
          <t>11111127</t>
        </is>
      </c>
      <c r="E469" t="inlineStr">
        <is>
          <t>Vodacom Life 20260622</t>
        </is>
      </c>
      <c r="J469" t="inlineStr">
        <is>
          <t>NA</t>
        </is>
      </c>
      <c r="K469" t="inlineStr">
        <is>
          <t>No Answer Autodial</t>
        </is>
      </c>
      <c r="L469" t="n">
        <v>5</v>
      </c>
      <c r="M469" t="inlineStr">
        <is>
          <t>2026-06-26 12:53:36</t>
        </is>
      </c>
      <c r="N469" t="inlineStr">
        <is>
          <t>system</t>
        </is>
      </c>
      <c r="O469" t="inlineStr">
        <is>
          <t>2026-06-22 14:11:25</t>
        </is>
      </c>
      <c r="P469" t="inlineStr">
        <is>
          <t>2026-06-22 14:11:25</t>
        </is>
      </c>
      <c r="Y469" t="inlineStr">
        <is>
          <t>27793337884</t>
        </is>
      </c>
    </row>
    <row r="470">
      <c r="A470" t="inlineStr">
        <is>
          <t>14973961</t>
        </is>
      </c>
      <c r="B470" t="inlineStr">
        <is>
          <t>b494ffc3-a683-4e1d-9be0-d7e25d309469</t>
        </is>
      </c>
      <c r="D470" t="inlineStr">
        <is>
          <t>11111127</t>
        </is>
      </c>
      <c r="E470" t="inlineStr">
        <is>
          <t>Vodacom Life 20260622</t>
        </is>
      </c>
      <c r="H470" t="inlineStr">
        <is>
          <t>27760533097</t>
        </is>
      </c>
      <c r="J470" t="inlineStr">
        <is>
          <t>CU</t>
        </is>
      </c>
      <c r="K470" t="inlineStr">
        <is>
          <t>Client Hung Up</t>
        </is>
      </c>
      <c r="L470" t="n">
        <v>5</v>
      </c>
      <c r="M470" t="inlineStr">
        <is>
          <t>2026-06-26 12:53:34</t>
        </is>
      </c>
      <c r="N470" t="inlineStr">
        <is>
          <t>Maureen Ntsoko</t>
        </is>
      </c>
      <c r="O470" t="inlineStr">
        <is>
          <t>2026-06-22 14:11:25</t>
        </is>
      </c>
      <c r="P470" t="inlineStr">
        <is>
          <t>2026-06-22 14:11:25</t>
        </is>
      </c>
      <c r="Y470" t="inlineStr">
        <is>
          <t>27760533097</t>
        </is>
      </c>
    </row>
    <row r="471">
      <c r="A471" t="inlineStr">
        <is>
          <t>14973962</t>
        </is>
      </c>
      <c r="B471" t="inlineStr">
        <is>
          <t>277818c5-2e65-4061-a10a-2f578ed074d8</t>
        </is>
      </c>
      <c r="D471" t="inlineStr">
        <is>
          <t>11111127</t>
        </is>
      </c>
      <c r="E471" t="inlineStr">
        <is>
          <t>Vodacom Life 20260622</t>
        </is>
      </c>
      <c r="J471" t="inlineStr">
        <is>
          <t>AE</t>
        </is>
      </c>
      <c r="K471" t="inlineStr">
        <is>
          <t>Auto Engaged</t>
        </is>
      </c>
      <c r="L471" t="n">
        <v>5</v>
      </c>
      <c r="M471" t="inlineStr">
        <is>
          <t>2026-06-26 12:53:33</t>
        </is>
      </c>
      <c r="N471" t="inlineStr">
        <is>
          <t>system</t>
        </is>
      </c>
      <c r="O471" t="inlineStr">
        <is>
          <t>2026-06-22 14:11:25</t>
        </is>
      </c>
      <c r="P471" t="inlineStr">
        <is>
          <t>2026-06-22 14:11:25</t>
        </is>
      </c>
      <c r="Y471" t="inlineStr">
        <is>
          <t>27820805032</t>
        </is>
      </c>
    </row>
    <row r="472">
      <c r="A472" t="inlineStr">
        <is>
          <t>14973963</t>
        </is>
      </c>
      <c r="B472" t="inlineStr">
        <is>
          <t>b667dd64-2d2c-44b8-ac6b-b4f4259f3f49</t>
        </is>
      </c>
      <c r="D472" t="inlineStr">
        <is>
          <t>11111127</t>
        </is>
      </c>
      <c r="E472" t="inlineStr">
        <is>
          <t>Vodacom Life 20260622</t>
        </is>
      </c>
      <c r="J472" t="inlineStr">
        <is>
          <t>AA</t>
        </is>
      </c>
      <c r="K472" t="inlineStr">
        <is>
          <t>Answering Machine Autodial</t>
        </is>
      </c>
      <c r="L472" t="n">
        <v>5</v>
      </c>
      <c r="M472" t="inlineStr">
        <is>
          <t>2026-06-26 12:53:33</t>
        </is>
      </c>
      <c r="N472" t="inlineStr">
        <is>
          <t>system</t>
        </is>
      </c>
      <c r="O472" t="inlineStr">
        <is>
          <t>2026-06-22 14:11:25</t>
        </is>
      </c>
      <c r="P472" t="inlineStr">
        <is>
          <t>2026-06-22 14:11:25</t>
        </is>
      </c>
      <c r="Y472" t="inlineStr">
        <is>
          <t>27648175605</t>
        </is>
      </c>
    </row>
    <row r="473">
      <c r="A473" t="inlineStr">
        <is>
          <t>14973909</t>
        </is>
      </c>
      <c r="B473" t="inlineStr">
        <is>
          <t>66c97726-598e-460d-8c6b-ecaa1cce717b</t>
        </is>
      </c>
      <c r="D473" t="inlineStr">
        <is>
          <t>11111127</t>
        </is>
      </c>
      <c r="E473" t="inlineStr">
        <is>
          <t>Vodacom Life 20260622</t>
        </is>
      </c>
      <c r="H473" t="inlineStr">
        <is>
          <t>27822691926</t>
        </is>
      </c>
      <c r="J473" t="inlineStr">
        <is>
          <t>AA</t>
        </is>
      </c>
      <c r="K473" t="inlineStr">
        <is>
          <t>Answering Machine Autodial</t>
        </is>
      </c>
      <c r="L473" t="n">
        <v>5</v>
      </c>
      <c r="M473" t="inlineStr">
        <is>
          <t>2026-06-26 12:52:48</t>
        </is>
      </c>
      <c r="N473" t="inlineStr">
        <is>
          <t>system</t>
        </is>
      </c>
      <c r="O473" t="inlineStr">
        <is>
          <t>2026-06-22 14:11:25</t>
        </is>
      </c>
      <c r="P473" t="inlineStr">
        <is>
          <t>2026-06-22 14:11:25</t>
        </is>
      </c>
      <c r="Y473" t="inlineStr">
        <is>
          <t>27822691926</t>
        </is>
      </c>
    </row>
    <row r="474">
      <c r="A474" t="inlineStr">
        <is>
          <t>14973910</t>
        </is>
      </c>
      <c r="B474" t="inlineStr">
        <is>
          <t>30830efd-60cf-401e-a6be-b5cd5d727c62</t>
        </is>
      </c>
      <c r="D474" t="inlineStr">
        <is>
          <t>11111127</t>
        </is>
      </c>
      <c r="E474" t="inlineStr">
        <is>
          <t>Vodacom Life 20260622</t>
        </is>
      </c>
      <c r="H474" t="inlineStr">
        <is>
          <t>27727591450</t>
        </is>
      </c>
      <c r="J474" t="inlineStr">
        <is>
          <t>CU</t>
        </is>
      </c>
      <c r="K474" t="inlineStr">
        <is>
          <t>Client Hung Up</t>
        </is>
      </c>
      <c r="L474" t="n">
        <v>5</v>
      </c>
      <c r="M474" t="inlineStr">
        <is>
          <t>2026-06-26 12:52:44</t>
        </is>
      </c>
      <c r="N474" t="inlineStr">
        <is>
          <t>Khensane Mabasa</t>
        </is>
      </c>
      <c r="O474" t="inlineStr">
        <is>
          <t>2026-06-22 14:11:25</t>
        </is>
      </c>
      <c r="P474" t="inlineStr">
        <is>
          <t>2026-06-22 14:11:25</t>
        </is>
      </c>
      <c r="Y474" t="inlineStr">
        <is>
          <t>27727591450</t>
        </is>
      </c>
    </row>
    <row r="475">
      <c r="A475" t="inlineStr">
        <is>
          <t>14973912</t>
        </is>
      </c>
      <c r="B475" t="inlineStr">
        <is>
          <t>ed0db073-d93c-4f45-8446-308acc2afb17</t>
        </is>
      </c>
      <c r="D475" t="inlineStr">
        <is>
          <t>11111127</t>
        </is>
      </c>
      <c r="E475" t="inlineStr">
        <is>
          <t>Vodacom Life 20260622</t>
        </is>
      </c>
      <c r="J475" t="inlineStr">
        <is>
          <t>AE</t>
        </is>
      </c>
      <c r="K475" t="inlineStr">
        <is>
          <t>Auto Engaged</t>
        </is>
      </c>
      <c r="L475" t="n">
        <v>5</v>
      </c>
      <c r="M475" t="inlineStr">
        <is>
          <t>2026-06-26 12:52:44</t>
        </is>
      </c>
      <c r="N475" t="inlineStr">
        <is>
          <t>system</t>
        </is>
      </c>
      <c r="O475" t="inlineStr">
        <is>
          <t>2026-06-22 14:11:25</t>
        </is>
      </c>
      <c r="P475" t="inlineStr">
        <is>
          <t>2026-06-22 14:11:25</t>
        </is>
      </c>
      <c r="Y475" t="inlineStr">
        <is>
          <t>27829683635</t>
        </is>
      </c>
    </row>
    <row r="476">
      <c r="A476" t="inlineStr">
        <is>
          <t>14973914</t>
        </is>
      </c>
      <c r="B476" t="inlineStr">
        <is>
          <t>7fcd3073-ab0e-4754-9551-59b78ccfb70c</t>
        </is>
      </c>
      <c r="D476" t="inlineStr">
        <is>
          <t>11111127</t>
        </is>
      </c>
      <c r="E476" t="inlineStr">
        <is>
          <t>Vodacom Life 20260622</t>
        </is>
      </c>
      <c r="J476" t="inlineStr">
        <is>
          <t>NA</t>
        </is>
      </c>
      <c r="K476" t="inlineStr">
        <is>
          <t>No Answer Autodial</t>
        </is>
      </c>
      <c r="L476" t="n">
        <v>5</v>
      </c>
      <c r="M476" t="inlineStr">
        <is>
          <t>2026-06-26 12:52:44</t>
        </is>
      </c>
      <c r="N476" t="inlineStr">
        <is>
          <t>system</t>
        </is>
      </c>
      <c r="O476" t="inlineStr">
        <is>
          <t>2026-06-22 14:11:25</t>
        </is>
      </c>
      <c r="P476" t="inlineStr">
        <is>
          <t>2026-06-22 14:11:25</t>
        </is>
      </c>
      <c r="Y476" t="inlineStr">
        <is>
          <t>27761551052</t>
        </is>
      </c>
    </row>
    <row r="477">
      <c r="A477" t="inlineStr">
        <is>
          <t>14973915</t>
        </is>
      </c>
      <c r="B477" t="inlineStr">
        <is>
          <t>07891586-ff08-4e49-8eb8-75b87e3d0135</t>
        </is>
      </c>
      <c r="D477" t="inlineStr">
        <is>
          <t>11111127</t>
        </is>
      </c>
      <c r="E477" t="inlineStr">
        <is>
          <t>Vodacom Life 20260622</t>
        </is>
      </c>
      <c r="J477" t="inlineStr">
        <is>
          <t>DROP</t>
        </is>
      </c>
      <c r="K477" t="inlineStr">
        <is>
          <t>Dropped</t>
        </is>
      </c>
      <c r="L477" t="n">
        <v>5</v>
      </c>
      <c r="M477" t="inlineStr">
        <is>
          <t>2026-06-26 12:52:44</t>
        </is>
      </c>
      <c r="N477" t="inlineStr">
        <is>
          <t>system</t>
        </is>
      </c>
      <c r="O477" t="inlineStr">
        <is>
          <t>2026-06-22 14:11:25</t>
        </is>
      </c>
      <c r="P477" t="inlineStr">
        <is>
          <t>2026-06-22 14:11:25</t>
        </is>
      </c>
      <c r="Y477" t="inlineStr">
        <is>
          <t>27763374999</t>
        </is>
      </c>
    </row>
    <row r="478">
      <c r="A478" t="inlineStr">
        <is>
          <t>14973917</t>
        </is>
      </c>
      <c r="B478" t="inlineStr">
        <is>
          <t>ac82bc09-5c12-415f-981e-052856fc1bd1</t>
        </is>
      </c>
      <c r="D478" t="inlineStr">
        <is>
          <t>11111127</t>
        </is>
      </c>
      <c r="E478" t="inlineStr">
        <is>
          <t>Vodacom Life 20260622</t>
        </is>
      </c>
      <c r="H478" t="inlineStr">
        <is>
          <t>27720779001</t>
        </is>
      </c>
      <c r="J478" t="inlineStr">
        <is>
          <t>AE</t>
        </is>
      </c>
      <c r="K478" t="inlineStr">
        <is>
          <t>Auto Engaged</t>
        </is>
      </c>
      <c r="L478" t="n">
        <v>5</v>
      </c>
      <c r="M478" t="inlineStr">
        <is>
          <t>2026-06-26 12:52:23</t>
        </is>
      </c>
      <c r="N478" t="inlineStr">
        <is>
          <t>system</t>
        </is>
      </c>
      <c r="O478" t="inlineStr">
        <is>
          <t>2026-06-22 14:11:25</t>
        </is>
      </c>
      <c r="P478" t="inlineStr">
        <is>
          <t>2026-06-22 14:11:25</t>
        </is>
      </c>
      <c r="Y478" t="inlineStr">
        <is>
          <t>27720779001</t>
        </is>
      </c>
    </row>
    <row r="479">
      <c r="A479" t="inlineStr">
        <is>
          <t>14973943</t>
        </is>
      </c>
      <c r="B479" t="inlineStr">
        <is>
          <t>59f1d83b-cd93-4ce2-b835-0c5049deed4e</t>
        </is>
      </c>
      <c r="D479" t="inlineStr">
        <is>
          <t>11111127</t>
        </is>
      </c>
      <c r="E479" t="inlineStr">
        <is>
          <t>Vodacom Life 20260622</t>
        </is>
      </c>
      <c r="J479" t="inlineStr">
        <is>
          <t>AA</t>
        </is>
      </c>
      <c r="K479" t="inlineStr">
        <is>
          <t>Answering Machine Autodial</t>
        </is>
      </c>
      <c r="L479" t="n">
        <v>5</v>
      </c>
      <c r="M479" t="inlineStr">
        <is>
          <t>2026-06-26 12:52:22</t>
        </is>
      </c>
      <c r="N479" t="inlineStr">
        <is>
          <t>system</t>
        </is>
      </c>
      <c r="O479" t="inlineStr">
        <is>
          <t>2026-06-22 14:11:25</t>
        </is>
      </c>
      <c r="P479" t="inlineStr">
        <is>
          <t>2026-06-22 14:11:25</t>
        </is>
      </c>
      <c r="Y479" t="inlineStr">
        <is>
          <t>27726072533</t>
        </is>
      </c>
    </row>
    <row r="480">
      <c r="A480" t="inlineStr">
        <is>
          <t>14973944</t>
        </is>
      </c>
      <c r="B480" t="inlineStr">
        <is>
          <t>d7de4723-e685-403d-a926-3dde25fb7224</t>
        </is>
      </c>
      <c r="D480" t="inlineStr">
        <is>
          <t>11111127</t>
        </is>
      </c>
      <c r="E480" t="inlineStr">
        <is>
          <t>Vodacom Life 20260622</t>
        </is>
      </c>
      <c r="J480" t="inlineStr">
        <is>
          <t>NA</t>
        </is>
      </c>
      <c r="K480" t="inlineStr">
        <is>
          <t>No Answer Autodial</t>
        </is>
      </c>
      <c r="L480" t="n">
        <v>5</v>
      </c>
      <c r="M480" t="inlineStr">
        <is>
          <t>2026-06-26 12:52:16</t>
        </is>
      </c>
      <c r="N480" t="inlineStr">
        <is>
          <t>system</t>
        </is>
      </c>
      <c r="O480" t="inlineStr">
        <is>
          <t>2026-06-22 14:11:25</t>
        </is>
      </c>
      <c r="P480" t="inlineStr">
        <is>
          <t>2026-06-22 14:11:25</t>
        </is>
      </c>
      <c r="Y480" t="inlineStr">
        <is>
          <t>27660910526</t>
        </is>
      </c>
    </row>
    <row r="481">
      <c r="A481" t="inlineStr">
        <is>
          <t>14973918</t>
        </is>
      </c>
      <c r="B481" t="inlineStr">
        <is>
          <t>cd37350e-3a4a-48ed-81a7-a0e73f0aa159</t>
        </is>
      </c>
      <c r="D481" t="inlineStr">
        <is>
          <t>11111127</t>
        </is>
      </c>
      <c r="E481" t="inlineStr">
        <is>
          <t>Vodacom Life 20260622</t>
        </is>
      </c>
      <c r="J481" t="inlineStr">
        <is>
          <t>AA</t>
        </is>
      </c>
      <c r="K481" t="inlineStr">
        <is>
          <t>Answering Machine Autodial</t>
        </is>
      </c>
      <c r="L481" t="n">
        <v>5</v>
      </c>
      <c r="M481" t="inlineStr">
        <is>
          <t>2026-06-26 12:52:11</t>
        </is>
      </c>
      <c r="N481" t="inlineStr">
        <is>
          <t>system</t>
        </is>
      </c>
      <c r="O481" t="inlineStr">
        <is>
          <t>2026-06-22 14:11:25</t>
        </is>
      </c>
      <c r="P481" t="inlineStr">
        <is>
          <t>2026-06-22 14:11:25</t>
        </is>
      </c>
      <c r="Y481" t="inlineStr">
        <is>
          <t>27647834706</t>
        </is>
      </c>
    </row>
    <row r="482">
      <c r="A482" t="inlineStr">
        <is>
          <t>14973920</t>
        </is>
      </c>
      <c r="B482" t="inlineStr">
        <is>
          <t>80012d23-2bfc-456e-8bcc-f8e6c012e66a</t>
        </is>
      </c>
      <c r="D482" t="inlineStr">
        <is>
          <t>11111127</t>
        </is>
      </c>
      <c r="E482" t="inlineStr">
        <is>
          <t>Vodacom Life 20260622</t>
        </is>
      </c>
      <c r="J482" t="inlineStr">
        <is>
          <t>AE</t>
        </is>
      </c>
      <c r="K482" t="inlineStr">
        <is>
          <t>Auto Engaged</t>
        </is>
      </c>
      <c r="L482" t="n">
        <v>5</v>
      </c>
      <c r="M482" t="inlineStr">
        <is>
          <t>2026-06-26 12:52:11</t>
        </is>
      </c>
      <c r="N482" t="inlineStr">
        <is>
          <t>system</t>
        </is>
      </c>
      <c r="O482" t="inlineStr">
        <is>
          <t>2026-06-22 14:11:25</t>
        </is>
      </c>
      <c r="P482" t="inlineStr">
        <is>
          <t>2026-06-22 14:11:25</t>
        </is>
      </c>
      <c r="Y482" t="inlineStr">
        <is>
          <t>27722906397</t>
        </is>
      </c>
    </row>
    <row r="483">
      <c r="A483" t="inlineStr">
        <is>
          <t>14973939</t>
        </is>
      </c>
      <c r="B483" t="inlineStr">
        <is>
          <t>9143f9d3-c49c-4c73-aba3-c1f6c751aa2d</t>
        </is>
      </c>
      <c r="D483" t="inlineStr">
        <is>
          <t>11111127</t>
        </is>
      </c>
      <c r="E483" t="inlineStr">
        <is>
          <t>Vodacom Life 20260622</t>
        </is>
      </c>
      <c r="J483" t="inlineStr">
        <is>
          <t>CU</t>
        </is>
      </c>
      <c r="K483" t="inlineStr">
        <is>
          <t>Client Hung Up</t>
        </is>
      </c>
      <c r="L483" t="n">
        <v>5</v>
      </c>
      <c r="M483" t="inlineStr">
        <is>
          <t>2026-06-26 12:52:11</t>
        </is>
      </c>
      <c r="N483" t="inlineStr">
        <is>
          <t>Khensane Mabasa</t>
        </is>
      </c>
      <c r="O483" t="inlineStr">
        <is>
          <t>2026-06-22 14:11:25</t>
        </is>
      </c>
      <c r="P483" t="inlineStr">
        <is>
          <t>2026-06-22 14:11:25</t>
        </is>
      </c>
      <c r="Y483" t="inlineStr">
        <is>
          <t>27764552660</t>
        </is>
      </c>
    </row>
    <row r="484">
      <c r="A484" t="inlineStr">
        <is>
          <t>14973940</t>
        </is>
      </c>
      <c r="B484" t="inlineStr">
        <is>
          <t>a814a240-31c5-4789-a202-158cff496954</t>
        </is>
      </c>
      <c r="D484" t="inlineStr">
        <is>
          <t>11111127</t>
        </is>
      </c>
      <c r="E484" t="inlineStr">
        <is>
          <t>Vodacom Life 20260622</t>
        </is>
      </c>
      <c r="J484" t="inlineStr">
        <is>
          <t>AA</t>
        </is>
      </c>
      <c r="K484" t="inlineStr">
        <is>
          <t>Answering Machine Autodial</t>
        </is>
      </c>
      <c r="L484" t="n">
        <v>5</v>
      </c>
      <c r="M484" t="inlineStr">
        <is>
          <t>2026-06-26 12:52:10</t>
        </is>
      </c>
      <c r="N484" t="inlineStr">
        <is>
          <t>system</t>
        </is>
      </c>
      <c r="O484" t="inlineStr">
        <is>
          <t>2026-06-22 14:11:25</t>
        </is>
      </c>
      <c r="P484" t="inlineStr">
        <is>
          <t>2026-06-22 14:11:25</t>
        </is>
      </c>
      <c r="Y484" t="inlineStr">
        <is>
          <t>27607462284</t>
        </is>
      </c>
    </row>
    <row r="485">
      <c r="A485" t="inlineStr">
        <is>
          <t>14973941</t>
        </is>
      </c>
      <c r="B485" t="inlineStr">
        <is>
          <t>bbbc88e6-595b-4dd8-b5d0-a21409b6b24b</t>
        </is>
      </c>
      <c r="D485" t="inlineStr">
        <is>
          <t>11111127</t>
        </is>
      </c>
      <c r="E485" t="inlineStr">
        <is>
          <t>Vodacom Life 20260622</t>
        </is>
      </c>
      <c r="J485" t="inlineStr">
        <is>
          <t>AE</t>
        </is>
      </c>
      <c r="K485" t="inlineStr">
        <is>
          <t>Auto Engaged</t>
        </is>
      </c>
      <c r="L485" t="n">
        <v>5</v>
      </c>
      <c r="M485" t="inlineStr">
        <is>
          <t>2026-06-26 12:52:10</t>
        </is>
      </c>
      <c r="N485" t="inlineStr">
        <is>
          <t>system</t>
        </is>
      </c>
      <c r="O485" t="inlineStr">
        <is>
          <t>2026-06-22 14:11:25</t>
        </is>
      </c>
      <c r="P485" t="inlineStr">
        <is>
          <t>2026-06-22 14:11:25</t>
        </is>
      </c>
      <c r="Y485" t="inlineStr">
        <is>
          <t>27607516198</t>
        </is>
      </c>
    </row>
    <row r="486">
      <c r="A486" t="inlineStr">
        <is>
          <t>14973926</t>
        </is>
      </c>
      <c r="B486" t="inlineStr">
        <is>
          <t>d6d4ef4a-9276-4b7f-a7f0-c510b58d570b</t>
        </is>
      </c>
      <c r="D486" t="inlineStr">
        <is>
          <t>11111127</t>
        </is>
      </c>
      <c r="E486" t="inlineStr">
        <is>
          <t>Vodacom Life 20260622</t>
        </is>
      </c>
      <c r="H486" t="inlineStr">
        <is>
          <t>27607443168</t>
        </is>
      </c>
      <c r="J486" t="inlineStr">
        <is>
          <t>IABDN</t>
        </is>
      </c>
      <c r="K486" t="inlineStr">
        <is>
          <t>Inbound Abandon</t>
        </is>
      </c>
      <c r="L486" t="n">
        <v>5</v>
      </c>
      <c r="M486" t="inlineStr">
        <is>
          <t>2026-06-26 12:51:35</t>
        </is>
      </c>
      <c r="N486" t="inlineStr">
        <is>
          <t>system</t>
        </is>
      </c>
      <c r="O486" t="inlineStr">
        <is>
          <t>2026-06-22 14:11:25</t>
        </is>
      </c>
      <c r="P486" t="inlineStr">
        <is>
          <t>2026-06-22 14:11:25</t>
        </is>
      </c>
      <c r="Y486" t="inlineStr">
        <is>
          <t>27607443168</t>
        </is>
      </c>
    </row>
    <row r="487">
      <c r="A487" t="inlineStr">
        <is>
          <t>14973928</t>
        </is>
      </c>
      <c r="B487" t="inlineStr">
        <is>
          <t>9bdf9e29-7e6c-4925-b053-3ecc0a3fa761</t>
        </is>
      </c>
      <c r="D487" t="inlineStr">
        <is>
          <t>11111127</t>
        </is>
      </c>
      <c r="E487" t="inlineStr">
        <is>
          <t>Vodacom Life 20260622</t>
        </is>
      </c>
      <c r="H487" t="inlineStr">
        <is>
          <t>27797098432</t>
        </is>
      </c>
      <c r="J487" t="inlineStr">
        <is>
          <t>IABDN</t>
        </is>
      </c>
      <c r="K487" t="inlineStr">
        <is>
          <t>Inbound Abandon</t>
        </is>
      </c>
      <c r="L487" t="n">
        <v>5</v>
      </c>
      <c r="M487" t="inlineStr">
        <is>
          <t>2026-06-26 12:49:55</t>
        </is>
      </c>
      <c r="N487" t="inlineStr">
        <is>
          <t>system</t>
        </is>
      </c>
      <c r="O487" t="inlineStr">
        <is>
          <t>2026-06-22 14:11:25</t>
        </is>
      </c>
      <c r="P487" t="inlineStr">
        <is>
          <t>2026-06-22 14:11:25</t>
        </is>
      </c>
      <c r="Y487" t="inlineStr">
        <is>
          <t>27797098432</t>
        </is>
      </c>
    </row>
    <row r="488">
      <c r="A488" t="inlineStr">
        <is>
          <t>14973923</t>
        </is>
      </c>
      <c r="B488" t="inlineStr">
        <is>
          <t>70685909-365a-44a4-85cd-2e8bd144a4a1</t>
        </is>
      </c>
      <c r="D488" t="inlineStr">
        <is>
          <t>11111127</t>
        </is>
      </c>
      <c r="E488" t="inlineStr">
        <is>
          <t>Vodacom Life 20260622</t>
        </is>
      </c>
      <c r="J488" t="inlineStr">
        <is>
          <t>DROP</t>
        </is>
      </c>
      <c r="K488" t="inlineStr">
        <is>
          <t>Dropped</t>
        </is>
      </c>
      <c r="L488" t="n">
        <v>5</v>
      </c>
      <c r="M488" t="inlineStr">
        <is>
          <t>2026-06-26 12:49:44</t>
        </is>
      </c>
      <c r="N488" t="inlineStr">
        <is>
          <t>system</t>
        </is>
      </c>
      <c r="O488" t="inlineStr">
        <is>
          <t>2026-06-22 14:11:25</t>
        </is>
      </c>
      <c r="P488" t="inlineStr">
        <is>
          <t>2026-06-22 14:11:25</t>
        </is>
      </c>
      <c r="Y488" t="inlineStr">
        <is>
          <t>27714527091</t>
        </is>
      </c>
    </row>
    <row r="489">
      <c r="A489" t="inlineStr">
        <is>
          <t>14973925</t>
        </is>
      </c>
      <c r="B489" t="inlineStr">
        <is>
          <t>d7d357aa-2048-4915-ba89-4ebc8b805d77</t>
        </is>
      </c>
      <c r="D489" t="inlineStr">
        <is>
          <t>11111127</t>
        </is>
      </c>
      <c r="E489" t="inlineStr">
        <is>
          <t>Vodacom Life 20260622</t>
        </is>
      </c>
      <c r="J489" t="inlineStr">
        <is>
          <t>NA</t>
        </is>
      </c>
      <c r="K489" t="inlineStr">
        <is>
          <t>No Answer Autodial</t>
        </is>
      </c>
      <c r="L489" t="n">
        <v>5</v>
      </c>
      <c r="M489" t="inlineStr">
        <is>
          <t>2026-06-26 12:49:44</t>
        </is>
      </c>
      <c r="N489" t="inlineStr">
        <is>
          <t>system</t>
        </is>
      </c>
      <c r="O489" t="inlineStr">
        <is>
          <t>2026-06-22 14:11:25</t>
        </is>
      </c>
      <c r="P489" t="inlineStr">
        <is>
          <t>2026-06-22 14:11:25</t>
        </is>
      </c>
      <c r="Y489" t="inlineStr">
        <is>
          <t>27606361990</t>
        </is>
      </c>
    </row>
    <row r="490">
      <c r="A490" t="inlineStr">
        <is>
          <t>14973927</t>
        </is>
      </c>
      <c r="B490" t="inlineStr">
        <is>
          <t>00c4e74d-6de2-40da-8fab-7d2cc2d3b6b1</t>
        </is>
      </c>
      <c r="D490" t="inlineStr">
        <is>
          <t>11111127</t>
        </is>
      </c>
      <c r="E490" t="inlineStr">
        <is>
          <t>Vodacom Life 20260622</t>
        </is>
      </c>
      <c r="H490" t="inlineStr">
        <is>
          <t>27822346464</t>
        </is>
      </c>
      <c r="J490" t="inlineStr">
        <is>
          <t>DROP</t>
        </is>
      </c>
      <c r="K490" t="inlineStr">
        <is>
          <t>Dropped</t>
        </is>
      </c>
      <c r="L490" t="n">
        <v>5</v>
      </c>
      <c r="M490" t="inlineStr">
        <is>
          <t>2026-06-26 12:49:27</t>
        </is>
      </c>
      <c r="N490" t="inlineStr">
        <is>
          <t>system</t>
        </is>
      </c>
      <c r="O490" t="inlineStr">
        <is>
          <t>2026-06-22 14:11:25</t>
        </is>
      </c>
      <c r="P490" t="inlineStr">
        <is>
          <t>2026-06-22 14:11:25</t>
        </is>
      </c>
      <c r="Y490" t="inlineStr">
        <is>
          <t>27822346464</t>
        </is>
      </c>
    </row>
    <row r="491">
      <c r="A491" t="inlineStr">
        <is>
          <t>14973937</t>
        </is>
      </c>
      <c r="B491" t="inlineStr">
        <is>
          <t>0a960c48-0a38-4490-847f-8fa3763b5e9c</t>
        </is>
      </c>
      <c r="D491" t="inlineStr">
        <is>
          <t>11111127</t>
        </is>
      </c>
      <c r="E491" t="inlineStr">
        <is>
          <t>Vodacom Life 20260622</t>
        </is>
      </c>
      <c r="J491" t="inlineStr">
        <is>
          <t>AE</t>
        </is>
      </c>
      <c r="K491" t="inlineStr">
        <is>
          <t>Auto Engaged</t>
        </is>
      </c>
      <c r="L491" t="n">
        <v>5</v>
      </c>
      <c r="M491" t="inlineStr">
        <is>
          <t>2026-06-26 12:49:26</t>
        </is>
      </c>
      <c r="N491" t="inlineStr">
        <is>
          <t>system</t>
        </is>
      </c>
      <c r="O491" t="inlineStr">
        <is>
          <t>2026-06-22 14:11:25</t>
        </is>
      </c>
      <c r="P491" t="inlineStr">
        <is>
          <t>2026-06-22 14:11:25</t>
        </is>
      </c>
      <c r="Y491" t="inlineStr">
        <is>
          <t>27765035992</t>
        </is>
      </c>
    </row>
    <row r="492">
      <c r="A492" t="inlineStr">
        <is>
          <t>14973938</t>
        </is>
      </c>
      <c r="B492" t="inlineStr">
        <is>
          <t>fc32df3b-4f06-424c-b8d3-2152395c8577</t>
        </is>
      </c>
      <c r="D492" t="inlineStr">
        <is>
          <t>11111127</t>
        </is>
      </c>
      <c r="E492" t="inlineStr">
        <is>
          <t>Vodacom Life 20260622</t>
        </is>
      </c>
      <c r="J492" t="inlineStr">
        <is>
          <t>AA</t>
        </is>
      </c>
      <c r="K492" t="inlineStr">
        <is>
          <t>Answering Machine Autodial</t>
        </is>
      </c>
      <c r="L492" t="n">
        <v>5</v>
      </c>
      <c r="M492" t="inlineStr">
        <is>
          <t>2026-06-26 12:49:26</t>
        </is>
      </c>
      <c r="N492" t="inlineStr">
        <is>
          <t>system</t>
        </is>
      </c>
      <c r="O492" t="inlineStr">
        <is>
          <t>2026-06-22 14:11:25</t>
        </is>
      </c>
      <c r="P492" t="inlineStr">
        <is>
          <t>2026-06-22 14:11:25</t>
        </is>
      </c>
      <c r="Y492" t="inlineStr">
        <is>
          <t>27727317140</t>
        </is>
      </c>
    </row>
    <row r="493">
      <c r="A493" t="inlineStr">
        <is>
          <t>14974169</t>
        </is>
      </c>
      <c r="B493" t="inlineStr">
        <is>
          <t>ec7cf21c-4d3c-42b0-9609-e067196b2313</t>
        </is>
      </c>
      <c r="D493" t="inlineStr">
        <is>
          <t>11111127</t>
        </is>
      </c>
      <c r="E493" t="inlineStr">
        <is>
          <t>Vodacom Life 20260622</t>
        </is>
      </c>
      <c r="H493" t="inlineStr">
        <is>
          <t>27715909442</t>
        </is>
      </c>
      <c r="J493" t="inlineStr">
        <is>
          <t>IABDN</t>
        </is>
      </c>
      <c r="K493" t="inlineStr">
        <is>
          <t>Inbound Abandon</t>
        </is>
      </c>
      <c r="L493" t="n">
        <v>5</v>
      </c>
      <c r="M493" t="inlineStr">
        <is>
          <t>2026-06-26 12:43:50</t>
        </is>
      </c>
      <c r="N493" t="inlineStr">
        <is>
          <t>system</t>
        </is>
      </c>
      <c r="O493" t="inlineStr">
        <is>
          <t>2026-06-22 14:11:25</t>
        </is>
      </c>
      <c r="P493" t="inlineStr">
        <is>
          <t>2026-06-22 14:11:25</t>
        </is>
      </c>
      <c r="Y493" t="inlineStr">
        <is>
          <t>27715909442</t>
        </is>
      </c>
    </row>
    <row r="494">
      <c r="A494" t="inlineStr">
        <is>
          <t>14973799</t>
        </is>
      </c>
      <c r="B494" t="inlineStr">
        <is>
          <t>dc2369e8-9941-4088-887d-1991e6af5e18</t>
        </is>
      </c>
      <c r="D494" t="inlineStr">
        <is>
          <t>11111127</t>
        </is>
      </c>
      <c r="E494" t="inlineStr">
        <is>
          <t>Vodacom Life 20260622</t>
        </is>
      </c>
      <c r="H494" t="inlineStr">
        <is>
          <t>27765617334</t>
        </is>
      </c>
      <c r="J494" t="inlineStr">
        <is>
          <t>IABDN</t>
        </is>
      </c>
      <c r="K494" t="inlineStr">
        <is>
          <t>Inbound Abandon</t>
        </is>
      </c>
      <c r="L494" t="n">
        <v>5</v>
      </c>
      <c r="M494" t="inlineStr">
        <is>
          <t>2026-06-26 12:43:21</t>
        </is>
      </c>
      <c r="N494" t="inlineStr">
        <is>
          <t>system</t>
        </is>
      </c>
      <c r="O494" t="inlineStr">
        <is>
          <t>2026-06-22 14:11:25</t>
        </is>
      </c>
      <c r="P494" t="inlineStr">
        <is>
          <t>2026-06-22 14:11:25</t>
        </is>
      </c>
      <c r="Y494" t="inlineStr">
        <is>
          <t>27765617334</t>
        </is>
      </c>
    </row>
    <row r="495">
      <c r="A495" t="inlineStr">
        <is>
          <t>14973929</t>
        </is>
      </c>
      <c r="B495" t="inlineStr">
        <is>
          <t>a7dee29b-1854-40e7-890f-65d1aea984e5</t>
        </is>
      </c>
      <c r="D495" t="inlineStr">
        <is>
          <t>11111127</t>
        </is>
      </c>
      <c r="E495" t="inlineStr">
        <is>
          <t>Vodacom Life 20260622</t>
        </is>
      </c>
      <c r="J495" t="inlineStr">
        <is>
          <t>NA</t>
        </is>
      </c>
      <c r="K495" t="inlineStr">
        <is>
          <t>No Answer Autodial</t>
        </is>
      </c>
      <c r="L495" t="n">
        <v>5</v>
      </c>
      <c r="M495" t="inlineStr">
        <is>
          <t>2026-06-26 12:41:16</t>
        </is>
      </c>
      <c r="N495" t="inlineStr">
        <is>
          <t>system</t>
        </is>
      </c>
      <c r="O495" t="inlineStr">
        <is>
          <t>2026-06-22 14:11:25</t>
        </is>
      </c>
      <c r="P495" t="inlineStr">
        <is>
          <t>2026-06-22 14:11:25</t>
        </is>
      </c>
      <c r="Y495" t="inlineStr">
        <is>
          <t>27824715623</t>
        </is>
      </c>
    </row>
    <row r="496">
      <c r="A496" t="inlineStr">
        <is>
          <t>14973930</t>
        </is>
      </c>
      <c r="B496" t="inlineStr">
        <is>
          <t>ce6c7c71-4d85-4820-ad1a-51c5cb9fd94e</t>
        </is>
      </c>
      <c r="D496" t="inlineStr">
        <is>
          <t>11111127</t>
        </is>
      </c>
      <c r="E496" t="inlineStr">
        <is>
          <t>Vodacom Life 20260622</t>
        </is>
      </c>
      <c r="J496" t="inlineStr">
        <is>
          <t>NA</t>
        </is>
      </c>
      <c r="K496" t="inlineStr">
        <is>
          <t>No Answer Autodial</t>
        </is>
      </c>
      <c r="L496" t="n">
        <v>5</v>
      </c>
      <c r="M496" t="inlineStr">
        <is>
          <t>2026-06-26 12:41:16</t>
        </is>
      </c>
      <c r="N496" t="inlineStr">
        <is>
          <t>system</t>
        </is>
      </c>
      <c r="O496" t="inlineStr">
        <is>
          <t>2026-06-22 14:11:25</t>
        </is>
      </c>
      <c r="P496" t="inlineStr">
        <is>
          <t>2026-06-22 14:11:25</t>
        </is>
      </c>
      <c r="Y496" t="inlineStr">
        <is>
          <t>27728937437</t>
        </is>
      </c>
    </row>
    <row r="497">
      <c r="A497" t="inlineStr">
        <is>
          <t>14973932</t>
        </is>
      </c>
      <c r="B497" t="inlineStr">
        <is>
          <t>771768d4-fe70-4106-a34a-3f41deb637d0</t>
        </is>
      </c>
      <c r="D497" t="inlineStr">
        <is>
          <t>11111127</t>
        </is>
      </c>
      <c r="E497" t="inlineStr">
        <is>
          <t>Vodacom Life 20260622</t>
        </is>
      </c>
      <c r="J497" t="inlineStr">
        <is>
          <t>NA</t>
        </is>
      </c>
      <c r="K497" t="inlineStr">
        <is>
          <t>No Answer Autodial</t>
        </is>
      </c>
      <c r="L497" t="n">
        <v>5</v>
      </c>
      <c r="M497" t="inlineStr">
        <is>
          <t>2026-06-26 12:41:16</t>
        </is>
      </c>
      <c r="N497" t="inlineStr">
        <is>
          <t>system</t>
        </is>
      </c>
      <c r="O497" t="inlineStr">
        <is>
          <t>2026-06-22 14:11:25</t>
        </is>
      </c>
      <c r="P497" t="inlineStr">
        <is>
          <t>2026-06-22 14:11:25</t>
        </is>
      </c>
      <c r="Y497" t="inlineStr">
        <is>
          <t>27715552511</t>
        </is>
      </c>
    </row>
    <row r="498">
      <c r="A498" t="inlineStr">
        <is>
          <t>14973934</t>
        </is>
      </c>
      <c r="B498" t="inlineStr">
        <is>
          <t>fc7a8edb-256d-42d2-9c96-f1fb5cd99353</t>
        </is>
      </c>
      <c r="D498" t="inlineStr">
        <is>
          <t>11111127</t>
        </is>
      </c>
      <c r="E498" t="inlineStr">
        <is>
          <t>Vodacom Life 20260622</t>
        </is>
      </c>
      <c r="J498" t="inlineStr">
        <is>
          <t>DROP</t>
        </is>
      </c>
      <c r="K498" t="inlineStr">
        <is>
          <t>Dropped</t>
        </is>
      </c>
      <c r="L498" t="n">
        <v>5</v>
      </c>
      <c r="M498" t="inlineStr">
        <is>
          <t>2026-06-26 12:41:16</t>
        </is>
      </c>
      <c r="N498" t="inlineStr">
        <is>
          <t>system</t>
        </is>
      </c>
      <c r="O498" t="inlineStr">
        <is>
          <t>2026-06-22 14:11:25</t>
        </is>
      </c>
      <c r="P498" t="inlineStr">
        <is>
          <t>2026-06-22 14:11:25</t>
        </is>
      </c>
      <c r="Y498" t="inlineStr">
        <is>
          <t>27609579768</t>
        </is>
      </c>
    </row>
    <row r="499">
      <c r="A499" t="inlineStr">
        <is>
          <t>14974424</t>
        </is>
      </c>
      <c r="B499" t="inlineStr">
        <is>
          <t>ca3bfceb-1f0f-4ee5-b18c-e686d6f46f3a</t>
        </is>
      </c>
      <c r="D499" t="inlineStr">
        <is>
          <t>11111127</t>
        </is>
      </c>
      <c r="E499" t="inlineStr">
        <is>
          <t>Vodacom Life 20260622</t>
        </is>
      </c>
      <c r="J499" t="inlineStr">
        <is>
          <t>AA</t>
        </is>
      </c>
      <c r="K499" t="inlineStr">
        <is>
          <t>Answering Machine Autodial</t>
        </is>
      </c>
      <c r="L499" t="n">
        <v>5</v>
      </c>
      <c r="M499" t="inlineStr">
        <is>
          <t>2026-06-26 12:29:13</t>
        </is>
      </c>
      <c r="N499" t="inlineStr">
        <is>
          <t>system</t>
        </is>
      </c>
      <c r="O499" t="inlineStr">
        <is>
          <t>2026-06-22 14:11:25</t>
        </is>
      </c>
      <c r="P499" t="inlineStr">
        <is>
          <t>2026-06-22 14:11:25</t>
        </is>
      </c>
      <c r="Y499" t="inlineStr">
        <is>
          <t>27772669602</t>
        </is>
      </c>
    </row>
    <row r="500">
      <c r="A500" t="inlineStr">
        <is>
          <t>14974418</t>
        </is>
      </c>
      <c r="B500" t="inlineStr">
        <is>
          <t>28de3e36-cd30-4853-84a6-4d04b1814eb0</t>
        </is>
      </c>
      <c r="D500" t="inlineStr">
        <is>
          <t>11111127</t>
        </is>
      </c>
      <c r="E500" t="inlineStr">
        <is>
          <t>Vodacom Life 20260622</t>
        </is>
      </c>
      <c r="J500" t="inlineStr">
        <is>
          <t>AA</t>
        </is>
      </c>
      <c r="K500" t="inlineStr">
        <is>
          <t>Answering Machine Autodial</t>
        </is>
      </c>
      <c r="L500" t="n">
        <v>5</v>
      </c>
      <c r="M500" t="inlineStr">
        <is>
          <t>2026-06-26 12:29:03</t>
        </is>
      </c>
      <c r="N500" t="inlineStr">
        <is>
          <t>system</t>
        </is>
      </c>
      <c r="O500" t="inlineStr">
        <is>
          <t>2026-06-22 14:11:25</t>
        </is>
      </c>
      <c r="P500" t="inlineStr">
        <is>
          <t>2026-06-22 14:11:25</t>
        </is>
      </c>
      <c r="Y500" t="inlineStr">
        <is>
          <t>27637833899</t>
        </is>
      </c>
    </row>
    <row r="501">
      <c r="A501" t="inlineStr">
        <is>
          <t>14974421</t>
        </is>
      </c>
      <c r="B501" t="inlineStr">
        <is>
          <t>9b4ee74a-607a-496c-8b15-a3af502b0364</t>
        </is>
      </c>
      <c r="D501" t="inlineStr">
        <is>
          <t>11111127</t>
        </is>
      </c>
      <c r="E501" t="inlineStr">
        <is>
          <t>Vodacom Life 20260622</t>
        </is>
      </c>
      <c r="J501" t="inlineStr">
        <is>
          <t>AA</t>
        </is>
      </c>
      <c r="K501" t="inlineStr">
        <is>
          <t>Answering Machine Autodial</t>
        </is>
      </c>
      <c r="L501" t="n">
        <v>5</v>
      </c>
      <c r="M501" t="inlineStr">
        <is>
          <t>2026-06-26 12:29:03</t>
        </is>
      </c>
      <c r="N501" t="inlineStr">
        <is>
          <t>system</t>
        </is>
      </c>
      <c r="O501" t="inlineStr">
        <is>
          <t>2026-06-22 14:11:25</t>
        </is>
      </c>
      <c r="P501" t="inlineStr">
        <is>
          <t>2026-06-22 14:11:25</t>
        </is>
      </c>
      <c r="Y501" t="inlineStr">
        <is>
          <t>27729302850</t>
        </is>
      </c>
    </row>
    <row r="502">
      <c r="A502" t="inlineStr">
        <is>
          <t>14974422</t>
        </is>
      </c>
      <c r="B502" t="inlineStr">
        <is>
          <t>a66b4803-df1b-4221-9924-efd5e17c69c3</t>
        </is>
      </c>
      <c r="D502" t="inlineStr">
        <is>
          <t>11111127</t>
        </is>
      </c>
      <c r="E502" t="inlineStr">
        <is>
          <t>Vodacom Life 20260622</t>
        </is>
      </c>
      <c r="J502" t="inlineStr">
        <is>
          <t>AE</t>
        </is>
      </c>
      <c r="K502" t="inlineStr">
        <is>
          <t>Auto Engaged</t>
        </is>
      </c>
      <c r="L502" t="n">
        <v>5</v>
      </c>
      <c r="M502" t="inlineStr">
        <is>
          <t>2026-06-26 12:29:03</t>
        </is>
      </c>
      <c r="N502" t="inlineStr">
        <is>
          <t>system</t>
        </is>
      </c>
      <c r="O502" t="inlineStr">
        <is>
          <t>2026-06-22 14:11:25</t>
        </is>
      </c>
      <c r="P502" t="inlineStr">
        <is>
          <t>2026-06-22 14:11:25</t>
        </is>
      </c>
      <c r="Y502" t="inlineStr">
        <is>
          <t>27765874950</t>
        </is>
      </c>
    </row>
    <row r="503">
      <c r="A503" t="inlineStr">
        <is>
          <t>14974417</t>
        </is>
      </c>
      <c r="B503" t="inlineStr">
        <is>
          <t>2444e1ae-716a-4bbd-b1c8-4dd28180ae44</t>
        </is>
      </c>
      <c r="D503" t="inlineStr">
        <is>
          <t>11111127</t>
        </is>
      </c>
      <c r="E503" t="inlineStr">
        <is>
          <t>Vodacom Life 20260622</t>
        </is>
      </c>
      <c r="J503" t="inlineStr">
        <is>
          <t>AA</t>
        </is>
      </c>
      <c r="K503" t="inlineStr">
        <is>
          <t>Answering Machine Autodial</t>
        </is>
      </c>
      <c r="L503" t="n">
        <v>5</v>
      </c>
      <c r="M503" t="inlineStr">
        <is>
          <t>2026-06-26 12:28:41</t>
        </is>
      </c>
      <c r="N503" t="inlineStr">
        <is>
          <t>system</t>
        </is>
      </c>
      <c r="O503" t="inlineStr">
        <is>
          <t>2026-06-22 14:11:25</t>
        </is>
      </c>
      <c r="P503" t="inlineStr">
        <is>
          <t>2026-06-22 14:11:25</t>
        </is>
      </c>
      <c r="Y503" t="inlineStr">
        <is>
          <t>27675567185</t>
        </is>
      </c>
    </row>
    <row r="504">
      <c r="A504" t="inlineStr">
        <is>
          <t>14974414</t>
        </is>
      </c>
      <c r="B504" t="inlineStr">
        <is>
          <t>fb24876a-7042-410f-849b-5223e564764f</t>
        </is>
      </c>
      <c r="D504" t="inlineStr">
        <is>
          <t>11111127</t>
        </is>
      </c>
      <c r="E504" t="inlineStr">
        <is>
          <t>Vodacom Life 20260622</t>
        </is>
      </c>
      <c r="H504" t="inlineStr">
        <is>
          <t>27715678167</t>
        </is>
      </c>
      <c r="J504" t="inlineStr">
        <is>
          <t>AA</t>
        </is>
      </c>
      <c r="K504" t="inlineStr">
        <is>
          <t>Answering Machine Autodial</t>
        </is>
      </c>
      <c r="L504" t="n">
        <v>5</v>
      </c>
      <c r="M504" t="inlineStr">
        <is>
          <t>2026-06-26 12:28:22</t>
        </is>
      </c>
      <c r="N504" t="inlineStr">
        <is>
          <t>system</t>
        </is>
      </c>
      <c r="O504" t="inlineStr">
        <is>
          <t>2026-06-22 14:11:25</t>
        </is>
      </c>
      <c r="P504" t="inlineStr">
        <is>
          <t>2026-06-22 14:11:25</t>
        </is>
      </c>
      <c r="Y504" t="inlineStr">
        <is>
          <t>27715678167</t>
        </is>
      </c>
    </row>
    <row r="505">
      <c r="A505" t="inlineStr">
        <is>
          <t>14974415</t>
        </is>
      </c>
      <c r="B505" t="inlineStr">
        <is>
          <t>0dc74dcc-abf1-412a-85c3-9bb1f790066f</t>
        </is>
      </c>
      <c r="D505" t="inlineStr">
        <is>
          <t>11111127</t>
        </is>
      </c>
      <c r="E505" t="inlineStr">
        <is>
          <t>Vodacom Life 20260622</t>
        </is>
      </c>
      <c r="J505" t="inlineStr">
        <is>
          <t>AA</t>
        </is>
      </c>
      <c r="K505" t="inlineStr">
        <is>
          <t>Answering Machine Autodial</t>
        </is>
      </c>
      <c r="L505" t="n">
        <v>5</v>
      </c>
      <c r="M505" t="inlineStr">
        <is>
          <t>2026-06-26 12:28:22</t>
        </is>
      </c>
      <c r="N505" t="inlineStr">
        <is>
          <t>system</t>
        </is>
      </c>
      <c r="O505" t="inlineStr">
        <is>
          <t>2026-06-22 14:11:25</t>
        </is>
      </c>
      <c r="P505" t="inlineStr">
        <is>
          <t>2026-06-22 14:11:25</t>
        </is>
      </c>
      <c r="Y505" t="inlineStr">
        <is>
          <t>27607338076</t>
        </is>
      </c>
    </row>
    <row r="506">
      <c r="A506" t="inlineStr">
        <is>
          <t>14974416</t>
        </is>
      </c>
      <c r="B506" t="inlineStr">
        <is>
          <t>b6625137-d2ff-4f73-931b-2c0d08bcc4ea</t>
        </is>
      </c>
      <c r="D506" t="inlineStr">
        <is>
          <t>11111127</t>
        </is>
      </c>
      <c r="E506" t="inlineStr">
        <is>
          <t>Vodacom Life 20260622</t>
        </is>
      </c>
      <c r="J506" t="inlineStr">
        <is>
          <t>AA</t>
        </is>
      </c>
      <c r="K506" t="inlineStr">
        <is>
          <t>Answering Machine Autodial</t>
        </is>
      </c>
      <c r="L506" t="n">
        <v>5</v>
      </c>
      <c r="M506" t="inlineStr">
        <is>
          <t>2026-06-26 12:28:22</t>
        </is>
      </c>
      <c r="N506" t="inlineStr">
        <is>
          <t>system</t>
        </is>
      </c>
      <c r="O506" t="inlineStr">
        <is>
          <t>2026-06-22 14:11:25</t>
        </is>
      </c>
      <c r="P506" t="inlineStr">
        <is>
          <t>2026-06-22 14:11:25</t>
        </is>
      </c>
      <c r="Y506" t="inlineStr">
        <is>
          <t>27795796041</t>
        </is>
      </c>
    </row>
    <row r="507">
      <c r="A507" t="inlineStr">
        <is>
          <t>15000000</t>
        </is>
      </c>
      <c r="B507" t="inlineStr">
        <is>
          <t>e344b83c-ee60-44ff-b35a-e32bbfc2a070</t>
        </is>
      </c>
      <c r="D507" t="inlineStr">
        <is>
          <t>11111127</t>
        </is>
      </c>
      <c r="E507" t="inlineStr">
        <is>
          <t>Vodacom Life 20260622</t>
        </is>
      </c>
      <c r="J507" t="inlineStr">
        <is>
          <t>NA</t>
        </is>
      </c>
      <c r="K507" t="inlineStr">
        <is>
          <t>No Answer Autodial</t>
        </is>
      </c>
      <c r="L507" t="n">
        <v>5</v>
      </c>
      <c r="M507" t="inlineStr">
        <is>
          <t>2026-06-26 12:28:21</t>
        </is>
      </c>
      <c r="N507" t="inlineStr">
        <is>
          <t>system</t>
        </is>
      </c>
      <c r="O507" t="inlineStr">
        <is>
          <t>2026-06-22 14:11:25</t>
        </is>
      </c>
      <c r="P507" t="inlineStr">
        <is>
          <t>2026-06-22 14:11:25</t>
        </is>
      </c>
      <c r="Y507" t="inlineStr">
        <is>
          <t>27713962350</t>
        </is>
      </c>
    </row>
    <row r="508">
      <c r="A508" t="inlineStr">
        <is>
          <t>14974412</t>
        </is>
      </c>
      <c r="B508" t="inlineStr">
        <is>
          <t>363de201-e39b-40c1-96a8-5204b0c3fb16</t>
        </is>
      </c>
      <c r="D508" t="inlineStr">
        <is>
          <t>11111127</t>
        </is>
      </c>
      <c r="E508" t="inlineStr">
        <is>
          <t>Vodacom Life 20260622</t>
        </is>
      </c>
      <c r="J508" t="inlineStr">
        <is>
          <t>CCB</t>
        </is>
      </c>
      <c r="K508" t="inlineStr">
        <is>
          <t>Call Dropped</t>
        </is>
      </c>
      <c r="L508" t="n">
        <v>5</v>
      </c>
      <c r="M508" t="inlineStr">
        <is>
          <t>2026-06-26 12:28:21</t>
        </is>
      </c>
      <c r="N508" t="inlineStr">
        <is>
          <t>Musiiwa Mary Mabirimisa</t>
        </is>
      </c>
      <c r="O508" t="inlineStr">
        <is>
          <t>2026-06-22 14:11:25</t>
        </is>
      </c>
      <c r="P508" t="inlineStr">
        <is>
          <t>2026-06-22 14:11:25</t>
        </is>
      </c>
      <c r="Y508" t="inlineStr">
        <is>
          <t>27791265349</t>
        </is>
      </c>
    </row>
    <row r="509">
      <c r="A509" t="inlineStr">
        <is>
          <t>14974337</t>
        </is>
      </c>
      <c r="B509" t="inlineStr">
        <is>
          <t>783a15c2-35a9-4286-8a2c-44ff9fa64df4</t>
        </is>
      </c>
      <c r="D509" t="inlineStr">
        <is>
          <t>11111127</t>
        </is>
      </c>
      <c r="E509" t="inlineStr">
        <is>
          <t>Vodacom Life 20260622</t>
        </is>
      </c>
      <c r="H509" t="inlineStr">
        <is>
          <t>27649582668</t>
        </is>
      </c>
      <c r="J509" t="inlineStr">
        <is>
          <t>DROP</t>
        </is>
      </c>
      <c r="K509" t="inlineStr">
        <is>
          <t>Dropped</t>
        </is>
      </c>
      <c r="L509" t="n">
        <v>5</v>
      </c>
      <c r="M509" t="inlineStr">
        <is>
          <t>2026-06-26 12:26:46</t>
        </is>
      </c>
      <c r="N509" t="inlineStr">
        <is>
          <t>system</t>
        </is>
      </c>
      <c r="O509" t="inlineStr">
        <is>
          <t>2026-06-22 14:11:25</t>
        </is>
      </c>
      <c r="P509" t="inlineStr">
        <is>
          <t>2026-06-22 14:11:25</t>
        </is>
      </c>
      <c r="Y509" t="inlineStr">
        <is>
          <t>27649582668</t>
        </is>
      </c>
    </row>
    <row r="510">
      <c r="A510" t="inlineStr">
        <is>
          <t>14974338</t>
        </is>
      </c>
      <c r="B510" t="inlineStr">
        <is>
          <t>16d22613-59dc-4b5c-920a-2113c6b3c326</t>
        </is>
      </c>
      <c r="D510" t="inlineStr">
        <is>
          <t>11111127</t>
        </is>
      </c>
      <c r="E510" t="inlineStr">
        <is>
          <t>Vodacom Life 20260622</t>
        </is>
      </c>
      <c r="J510" t="inlineStr">
        <is>
          <t>AE</t>
        </is>
      </c>
      <c r="K510" t="inlineStr">
        <is>
          <t>Auto Engaged</t>
        </is>
      </c>
      <c r="L510" t="n">
        <v>5</v>
      </c>
      <c r="M510" t="inlineStr">
        <is>
          <t>2026-06-26 12:26:43</t>
        </is>
      </c>
      <c r="N510" t="inlineStr">
        <is>
          <t>system</t>
        </is>
      </c>
      <c r="O510" t="inlineStr">
        <is>
          <t>2026-06-22 14:11:25</t>
        </is>
      </c>
      <c r="P510" t="inlineStr">
        <is>
          <t>2026-06-22 14:11:25</t>
        </is>
      </c>
      <c r="Y510" t="inlineStr">
        <is>
          <t>27655680015</t>
        </is>
      </c>
    </row>
    <row r="511">
      <c r="A511" t="inlineStr">
        <is>
          <t>14974339</t>
        </is>
      </c>
      <c r="B511" t="inlineStr">
        <is>
          <t>218f76f3-3eaa-4542-9c93-740882c5f3ff</t>
        </is>
      </c>
      <c r="D511" t="inlineStr">
        <is>
          <t>11111127</t>
        </is>
      </c>
      <c r="E511" t="inlineStr">
        <is>
          <t>Vodacom Life 20260622</t>
        </is>
      </c>
      <c r="H511" t="inlineStr">
        <is>
          <t>27796734705</t>
        </is>
      </c>
      <c r="J511" t="inlineStr">
        <is>
          <t>DROP</t>
        </is>
      </c>
      <c r="K511" t="inlineStr">
        <is>
          <t>Dropped</t>
        </is>
      </c>
      <c r="L511" t="n">
        <v>5</v>
      </c>
      <c r="M511" t="inlineStr">
        <is>
          <t>2026-06-26 12:26:43</t>
        </is>
      </c>
      <c r="N511" t="inlineStr">
        <is>
          <t>system</t>
        </is>
      </c>
      <c r="O511" t="inlineStr">
        <is>
          <t>2026-06-22 14:11:25</t>
        </is>
      </c>
      <c r="P511" t="inlineStr">
        <is>
          <t>2026-06-22 14:11:25</t>
        </is>
      </c>
      <c r="Y511" t="inlineStr">
        <is>
          <t>27796734705</t>
        </is>
      </c>
    </row>
    <row r="512">
      <c r="A512" t="inlineStr">
        <is>
          <t>14974684</t>
        </is>
      </c>
      <c r="B512" t="inlineStr">
        <is>
          <t>61d5429d-d26e-4aa1-ae41-6d4da249873c</t>
        </is>
      </c>
      <c r="D512" t="inlineStr">
        <is>
          <t>11111127</t>
        </is>
      </c>
      <c r="E512" t="inlineStr">
        <is>
          <t>Vodacom Life 20260622</t>
        </is>
      </c>
      <c r="J512" t="inlineStr">
        <is>
          <t>NI</t>
        </is>
      </c>
      <c r="K512" t="inlineStr">
        <is>
          <t>Not Interested</t>
        </is>
      </c>
      <c r="L512" t="n">
        <v>5</v>
      </c>
      <c r="M512" t="inlineStr">
        <is>
          <t>2026-06-26 12:26:43</t>
        </is>
      </c>
      <c r="N512" t="inlineStr">
        <is>
          <t>Musiiwa Mary Mabirimisa</t>
        </is>
      </c>
      <c r="O512" t="inlineStr">
        <is>
          <t>2026-06-22 14:11:25</t>
        </is>
      </c>
      <c r="P512" t="inlineStr">
        <is>
          <t>2026-06-22 14:11:25</t>
        </is>
      </c>
      <c r="Y512" t="inlineStr">
        <is>
          <t>27774301973</t>
        </is>
      </c>
    </row>
    <row r="513">
      <c r="A513" t="inlineStr">
        <is>
          <t>14974345</t>
        </is>
      </c>
      <c r="B513" t="inlineStr">
        <is>
          <t>74c2c47e-d281-4906-9f86-0d5997ed9366</t>
        </is>
      </c>
      <c r="D513" t="inlineStr">
        <is>
          <t>11111127</t>
        </is>
      </c>
      <c r="E513" t="inlineStr">
        <is>
          <t>Vodacom Life 20260622</t>
        </is>
      </c>
      <c r="J513" t="inlineStr">
        <is>
          <t>AE</t>
        </is>
      </c>
      <c r="K513" t="inlineStr">
        <is>
          <t>Auto Engaged</t>
        </is>
      </c>
      <c r="L513" t="n">
        <v>5</v>
      </c>
      <c r="M513" t="inlineStr">
        <is>
          <t>2026-06-26 12:26:42</t>
        </is>
      </c>
      <c r="N513" t="inlineStr">
        <is>
          <t>system</t>
        </is>
      </c>
      <c r="O513" t="inlineStr">
        <is>
          <t>2026-06-22 14:11:25</t>
        </is>
      </c>
      <c r="P513" t="inlineStr">
        <is>
          <t>2026-06-22 14:11:25</t>
        </is>
      </c>
      <c r="Y513" t="inlineStr">
        <is>
          <t>27828193511</t>
        </is>
      </c>
    </row>
    <row r="514">
      <c r="A514" t="inlineStr">
        <is>
          <t>14974348</t>
        </is>
      </c>
      <c r="B514" t="inlineStr">
        <is>
          <t>d00c97fd-ac26-49b5-8118-1771dafb0e29</t>
        </is>
      </c>
      <c r="D514" t="inlineStr">
        <is>
          <t>11111127</t>
        </is>
      </c>
      <c r="E514" t="inlineStr">
        <is>
          <t>Vodacom Life 20260622</t>
        </is>
      </c>
      <c r="J514" t="inlineStr">
        <is>
          <t>ADC</t>
        </is>
      </c>
      <c r="K514" t="inlineStr">
        <is>
          <t>Auto Dial Disconnected</t>
        </is>
      </c>
      <c r="L514" t="n">
        <v>5</v>
      </c>
      <c r="M514" t="inlineStr">
        <is>
          <t>2026-06-26 12:26:42</t>
        </is>
      </c>
      <c r="N514" t="inlineStr">
        <is>
          <t>system</t>
        </is>
      </c>
      <c r="O514" t="inlineStr">
        <is>
          <t>2026-06-22 14:11:25</t>
        </is>
      </c>
      <c r="P514" t="inlineStr">
        <is>
          <t>2026-06-22 14:11:25</t>
        </is>
      </c>
      <c r="Y514" t="inlineStr">
        <is>
          <t>27798380309</t>
        </is>
      </c>
    </row>
    <row r="515">
      <c r="A515" t="inlineStr">
        <is>
          <t>14973933</t>
        </is>
      </c>
      <c r="B515" t="inlineStr">
        <is>
          <t>fc2ed3bc-1a1c-4b59-af36-bbd91bff0709</t>
        </is>
      </c>
      <c r="D515" t="inlineStr">
        <is>
          <t>11111127</t>
        </is>
      </c>
      <c r="E515" t="inlineStr">
        <is>
          <t>Vodacom Life 20260622</t>
        </is>
      </c>
      <c r="J515" t="inlineStr">
        <is>
          <t>AE</t>
        </is>
      </c>
      <c r="K515" t="inlineStr">
        <is>
          <t>Auto Engaged</t>
        </is>
      </c>
      <c r="L515" t="n">
        <v>5</v>
      </c>
      <c r="M515" t="inlineStr">
        <is>
          <t>2026-06-26 12:23:45</t>
        </is>
      </c>
      <c r="N515" t="inlineStr">
        <is>
          <t>system</t>
        </is>
      </c>
      <c r="O515" t="inlineStr">
        <is>
          <t>2026-06-22 14:11:25</t>
        </is>
      </c>
      <c r="P515" t="inlineStr">
        <is>
          <t>2026-06-22 14:11:25</t>
        </is>
      </c>
      <c r="Y515" t="inlineStr">
        <is>
          <t>27761015657</t>
        </is>
      </c>
    </row>
    <row r="516">
      <c r="A516" t="inlineStr">
        <is>
          <t>14973902</t>
        </is>
      </c>
      <c r="B516" t="inlineStr">
        <is>
          <t>2ef928ae-bd60-498b-b89b-c8f8e4af199b</t>
        </is>
      </c>
      <c r="D516" t="inlineStr">
        <is>
          <t>11111127</t>
        </is>
      </c>
      <c r="E516" t="inlineStr">
        <is>
          <t>Vodacom Life 20260622</t>
        </is>
      </c>
      <c r="H516" t="inlineStr">
        <is>
          <t>27792327365</t>
        </is>
      </c>
      <c r="J516" t="inlineStr">
        <is>
          <t>CU</t>
        </is>
      </c>
      <c r="K516" t="inlineStr">
        <is>
          <t>Client Hung Up</t>
        </is>
      </c>
      <c r="L516" t="n">
        <v>5</v>
      </c>
      <c r="M516" t="inlineStr">
        <is>
          <t>2026-06-26 12:22:59</t>
        </is>
      </c>
      <c r="N516" t="inlineStr">
        <is>
          <t>Musiiwa Mary Mabirimisa</t>
        </is>
      </c>
      <c r="O516" t="inlineStr">
        <is>
          <t>2026-06-22 14:11:25</t>
        </is>
      </c>
      <c r="P516" t="inlineStr">
        <is>
          <t>2026-06-22 14:11:25</t>
        </is>
      </c>
      <c r="Y516" t="inlineStr">
        <is>
          <t>27792327365</t>
        </is>
      </c>
    </row>
    <row r="517">
      <c r="A517" t="inlineStr">
        <is>
          <t>14974109</t>
        </is>
      </c>
      <c r="B517" t="inlineStr">
        <is>
          <t>4604fb88-6395-4fa7-94ee-983e67f693f1</t>
        </is>
      </c>
      <c r="D517" t="inlineStr">
        <is>
          <t>11111127</t>
        </is>
      </c>
      <c r="E517" t="inlineStr">
        <is>
          <t>Vodacom Life 20260622</t>
        </is>
      </c>
      <c r="H517" t="inlineStr">
        <is>
          <t>27767364611</t>
        </is>
      </c>
      <c r="J517" t="inlineStr">
        <is>
          <t>CU</t>
        </is>
      </c>
      <c r="K517" t="inlineStr">
        <is>
          <t>Client Hung Up</t>
        </is>
      </c>
      <c r="L517" t="n">
        <v>6</v>
      </c>
      <c r="M517" t="inlineStr">
        <is>
          <t>2026-06-26 12:22:23</t>
        </is>
      </c>
      <c r="N517" t="inlineStr">
        <is>
          <t>bongiwe lushaba</t>
        </is>
      </c>
      <c r="O517" t="inlineStr">
        <is>
          <t>2026-06-22 14:11:25</t>
        </is>
      </c>
      <c r="P517" t="inlineStr">
        <is>
          <t>2026-06-22 14:11:25</t>
        </is>
      </c>
      <c r="Y517" t="inlineStr">
        <is>
          <t>27767364611</t>
        </is>
      </c>
    </row>
    <row r="518">
      <c r="A518" t="inlineStr">
        <is>
          <t>14974403</t>
        </is>
      </c>
      <c r="B518" t="inlineStr">
        <is>
          <t>3ec0386a-db76-4934-85a7-ea463c080078</t>
        </is>
      </c>
      <c r="D518" t="inlineStr">
        <is>
          <t>11111127</t>
        </is>
      </c>
      <c r="E518" t="inlineStr">
        <is>
          <t>Vodacom Life 20260622</t>
        </is>
      </c>
      <c r="H518" t="inlineStr">
        <is>
          <t>27772951466</t>
        </is>
      </c>
      <c r="J518" t="inlineStr">
        <is>
          <t>AE</t>
        </is>
      </c>
      <c r="K518" t="inlineStr">
        <is>
          <t>Auto Engaged</t>
        </is>
      </c>
      <c r="L518" t="n">
        <v>5</v>
      </c>
      <c r="M518" t="inlineStr">
        <is>
          <t>2026-06-26 12:22:19</t>
        </is>
      </c>
      <c r="N518" t="inlineStr">
        <is>
          <t>system</t>
        </is>
      </c>
      <c r="O518" t="inlineStr">
        <is>
          <t>2026-06-22 14:11:25</t>
        </is>
      </c>
      <c r="P518" t="inlineStr">
        <is>
          <t>2026-06-22 14:11:25</t>
        </is>
      </c>
      <c r="Y518" t="inlineStr">
        <is>
          <t>27772951466</t>
        </is>
      </c>
    </row>
    <row r="519">
      <c r="A519" t="inlineStr">
        <is>
          <t>14974404</t>
        </is>
      </c>
      <c r="B519" t="inlineStr">
        <is>
          <t>d850f2dc-497b-46f7-9f57-214e26b06e7b</t>
        </is>
      </c>
      <c r="D519" t="inlineStr">
        <is>
          <t>11111127</t>
        </is>
      </c>
      <c r="E519" t="inlineStr">
        <is>
          <t>Vodacom Life 20260622</t>
        </is>
      </c>
      <c r="J519" t="inlineStr">
        <is>
          <t>AA</t>
        </is>
      </c>
      <c r="K519" t="inlineStr">
        <is>
          <t>Answering Machine Autodial</t>
        </is>
      </c>
      <c r="L519" t="n">
        <v>5</v>
      </c>
      <c r="M519" t="inlineStr">
        <is>
          <t>2026-06-26 12:22:18</t>
        </is>
      </c>
      <c r="N519" t="inlineStr">
        <is>
          <t>system</t>
        </is>
      </c>
      <c r="O519" t="inlineStr">
        <is>
          <t>2026-06-22 14:11:25</t>
        </is>
      </c>
      <c r="P519" t="inlineStr">
        <is>
          <t>2026-06-22 14:11:25</t>
        </is>
      </c>
      <c r="Y519" t="inlineStr">
        <is>
          <t>27793891480</t>
        </is>
      </c>
    </row>
    <row r="520">
      <c r="A520" t="inlineStr">
        <is>
          <t>14974405</t>
        </is>
      </c>
      <c r="B520" t="inlineStr">
        <is>
          <t>7a0bc3cd-3aa2-4e18-b8f8-9daabbf44a06</t>
        </is>
      </c>
      <c r="D520" t="inlineStr">
        <is>
          <t>11111127</t>
        </is>
      </c>
      <c r="E520" t="inlineStr">
        <is>
          <t>Vodacom Life 20260622</t>
        </is>
      </c>
      <c r="J520" t="inlineStr">
        <is>
          <t>AA</t>
        </is>
      </c>
      <c r="K520" t="inlineStr">
        <is>
          <t>Answering Machine Autodial</t>
        </is>
      </c>
      <c r="L520" t="n">
        <v>5</v>
      </c>
      <c r="M520" t="inlineStr">
        <is>
          <t>2026-06-26 12:21:41</t>
        </is>
      </c>
      <c r="N520" t="inlineStr">
        <is>
          <t>system</t>
        </is>
      </c>
      <c r="O520" t="inlineStr">
        <is>
          <t>2026-06-22 14:11:25</t>
        </is>
      </c>
      <c r="P520" t="inlineStr">
        <is>
          <t>2026-06-22 14:11:25</t>
        </is>
      </c>
      <c r="Y520" t="inlineStr">
        <is>
          <t>27762061291</t>
        </is>
      </c>
    </row>
    <row r="521">
      <c r="A521" t="inlineStr">
        <is>
          <t>14974406</t>
        </is>
      </c>
      <c r="B521" t="inlineStr">
        <is>
          <t>d3cccdaa-48ad-4897-8477-b328a7b4c056</t>
        </is>
      </c>
      <c r="D521" t="inlineStr">
        <is>
          <t>11111127</t>
        </is>
      </c>
      <c r="E521" t="inlineStr">
        <is>
          <t>Vodacom Life 20260622</t>
        </is>
      </c>
      <c r="J521" t="inlineStr">
        <is>
          <t>AA</t>
        </is>
      </c>
      <c r="K521" t="inlineStr">
        <is>
          <t>Answering Machine Autodial</t>
        </is>
      </c>
      <c r="L521" t="n">
        <v>5</v>
      </c>
      <c r="M521" t="inlineStr">
        <is>
          <t>2026-06-26 12:21:32</t>
        </is>
      </c>
      <c r="N521" t="inlineStr">
        <is>
          <t>system</t>
        </is>
      </c>
      <c r="O521" t="inlineStr">
        <is>
          <t>2026-06-22 14:11:25</t>
        </is>
      </c>
      <c r="P521" t="inlineStr">
        <is>
          <t>2026-06-22 14:11:25</t>
        </is>
      </c>
      <c r="Y521" t="inlineStr">
        <is>
          <t>27721291187</t>
        </is>
      </c>
    </row>
    <row r="522">
      <c r="A522" t="inlineStr">
        <is>
          <t>14974407</t>
        </is>
      </c>
      <c r="B522" t="inlineStr">
        <is>
          <t>f215221e-4cf7-4060-be9c-08bbfc58ca0e</t>
        </is>
      </c>
      <c r="D522" t="inlineStr">
        <is>
          <t>11111127</t>
        </is>
      </c>
      <c r="E522" t="inlineStr">
        <is>
          <t>Vodacom Life 20260622</t>
        </is>
      </c>
      <c r="H522" t="inlineStr">
        <is>
          <t>27765220340</t>
        </is>
      </c>
      <c r="J522" t="inlineStr">
        <is>
          <t>DROP</t>
        </is>
      </c>
      <c r="K522" t="inlineStr">
        <is>
          <t>Dropped</t>
        </is>
      </c>
      <c r="L522" t="n">
        <v>5</v>
      </c>
      <c r="M522" t="inlineStr">
        <is>
          <t>2026-06-26 12:21:32</t>
        </is>
      </c>
      <c r="N522" t="inlineStr">
        <is>
          <t>system</t>
        </is>
      </c>
      <c r="O522" t="inlineStr">
        <is>
          <t>2026-06-22 14:11:25</t>
        </is>
      </c>
      <c r="P522" t="inlineStr">
        <is>
          <t>2026-06-22 14:11:25</t>
        </is>
      </c>
      <c r="Y522" t="inlineStr">
        <is>
          <t>27765220340</t>
        </is>
      </c>
    </row>
    <row r="523">
      <c r="A523" t="inlineStr">
        <is>
          <t>14974408</t>
        </is>
      </c>
      <c r="B523" t="inlineStr">
        <is>
          <t>7bd1f920-19f5-43c7-952a-7e3a68b0399f</t>
        </is>
      </c>
      <c r="D523" t="inlineStr">
        <is>
          <t>11111127</t>
        </is>
      </c>
      <c r="E523" t="inlineStr">
        <is>
          <t>Vodacom Life 20260622</t>
        </is>
      </c>
      <c r="H523" t="inlineStr">
        <is>
          <t>27726687055</t>
        </is>
      </c>
      <c r="J523" t="inlineStr">
        <is>
          <t>CU</t>
        </is>
      </c>
      <c r="K523" t="inlineStr">
        <is>
          <t>Client Hung Up</t>
        </is>
      </c>
      <c r="L523" t="n">
        <v>5</v>
      </c>
      <c r="M523" t="inlineStr">
        <is>
          <t>2026-06-26 12:21:32</t>
        </is>
      </c>
      <c r="N523" t="inlineStr">
        <is>
          <t>Musiiwa Mary Mabirimisa</t>
        </is>
      </c>
      <c r="O523" t="inlineStr">
        <is>
          <t>2026-06-22 14:11:25</t>
        </is>
      </c>
      <c r="P523" t="inlineStr">
        <is>
          <t>2026-06-22 14:11:25</t>
        </is>
      </c>
      <c r="Y523" t="inlineStr">
        <is>
          <t>27726687055</t>
        </is>
      </c>
    </row>
    <row r="524">
      <c r="A524" t="inlineStr">
        <is>
          <t>14974409</t>
        </is>
      </c>
      <c r="B524" t="inlineStr">
        <is>
          <t>216899a2-d97c-466c-93a7-2974e5d48400</t>
        </is>
      </c>
      <c r="D524" t="inlineStr">
        <is>
          <t>11111127</t>
        </is>
      </c>
      <c r="E524" t="inlineStr">
        <is>
          <t>Vodacom Life 20260622</t>
        </is>
      </c>
      <c r="J524" t="inlineStr">
        <is>
          <t>AA</t>
        </is>
      </c>
      <c r="K524" t="inlineStr">
        <is>
          <t>Answering Machine Autodial</t>
        </is>
      </c>
      <c r="L524" t="n">
        <v>5</v>
      </c>
      <c r="M524" t="inlineStr">
        <is>
          <t>2026-06-26 12:21:32</t>
        </is>
      </c>
      <c r="N524" t="inlineStr">
        <is>
          <t>system</t>
        </is>
      </c>
      <c r="O524" t="inlineStr">
        <is>
          <t>2026-06-22 14:11:25</t>
        </is>
      </c>
      <c r="P524" t="inlineStr">
        <is>
          <t>2026-06-22 14:11:25</t>
        </is>
      </c>
      <c r="Y524" t="inlineStr">
        <is>
          <t>27729646273</t>
        </is>
      </c>
    </row>
    <row r="525">
      <c r="A525" t="inlineStr">
        <is>
          <t>14973893</t>
        </is>
      </c>
      <c r="B525" t="inlineStr">
        <is>
          <t>420aeb2f-4ab2-45d8-ade8-8908f15bd9dc</t>
        </is>
      </c>
      <c r="D525" t="inlineStr">
        <is>
          <t>11111127</t>
        </is>
      </c>
      <c r="E525" t="inlineStr">
        <is>
          <t>Vodacom Life 20260622</t>
        </is>
      </c>
      <c r="J525" t="inlineStr">
        <is>
          <t>AA</t>
        </is>
      </c>
      <c r="K525" t="inlineStr">
        <is>
          <t>Answering Machine Autodial</t>
        </is>
      </c>
      <c r="L525" t="n">
        <v>5</v>
      </c>
      <c r="M525" t="inlineStr">
        <is>
          <t>2026-06-26 12:20:49</t>
        </is>
      </c>
      <c r="N525" t="inlineStr">
        <is>
          <t>system</t>
        </is>
      </c>
      <c r="O525" t="inlineStr">
        <is>
          <t>2026-06-22 14:11:25</t>
        </is>
      </c>
      <c r="P525" t="inlineStr">
        <is>
          <t>2026-06-22 14:11:25</t>
        </is>
      </c>
      <c r="Y525" t="inlineStr">
        <is>
          <t>27767308939</t>
        </is>
      </c>
    </row>
    <row r="526">
      <c r="A526" t="inlineStr">
        <is>
          <t>14973895</t>
        </is>
      </c>
      <c r="B526" t="inlineStr">
        <is>
          <t>b520ac85-e211-438c-9568-3a8b95afa20a</t>
        </is>
      </c>
      <c r="D526" t="inlineStr">
        <is>
          <t>11111127</t>
        </is>
      </c>
      <c r="E526" t="inlineStr">
        <is>
          <t>Vodacom Life 20260622</t>
        </is>
      </c>
      <c r="J526" t="inlineStr">
        <is>
          <t>DROP</t>
        </is>
      </c>
      <c r="K526" t="inlineStr">
        <is>
          <t>Dropped</t>
        </is>
      </c>
      <c r="L526" t="n">
        <v>5</v>
      </c>
      <c r="M526" t="inlineStr">
        <is>
          <t>2026-06-26 12:20:41</t>
        </is>
      </c>
      <c r="N526" t="inlineStr">
        <is>
          <t>system</t>
        </is>
      </c>
      <c r="O526" t="inlineStr">
        <is>
          <t>2026-06-22 14:11:25</t>
        </is>
      </c>
      <c r="P526" t="inlineStr">
        <is>
          <t>2026-06-22 14:11:25</t>
        </is>
      </c>
      <c r="Y526" t="inlineStr">
        <is>
          <t>27648772473</t>
        </is>
      </c>
    </row>
    <row r="527">
      <c r="A527" t="inlineStr">
        <is>
          <t>14973896</t>
        </is>
      </c>
      <c r="B527" t="inlineStr">
        <is>
          <t>6979692f-df89-43b9-89f0-3caf98700608</t>
        </is>
      </c>
      <c r="D527" t="inlineStr">
        <is>
          <t>11111127</t>
        </is>
      </c>
      <c r="E527" t="inlineStr">
        <is>
          <t>Vodacom Life 20260622</t>
        </is>
      </c>
      <c r="J527" t="inlineStr">
        <is>
          <t>DROP</t>
        </is>
      </c>
      <c r="K527" t="inlineStr">
        <is>
          <t>Dropped</t>
        </is>
      </c>
      <c r="L527" t="n">
        <v>5</v>
      </c>
      <c r="M527" t="inlineStr">
        <is>
          <t>2026-06-26 12:20:38</t>
        </is>
      </c>
      <c r="N527" t="inlineStr">
        <is>
          <t>system</t>
        </is>
      </c>
      <c r="O527" t="inlineStr">
        <is>
          <t>2026-06-22 14:11:25</t>
        </is>
      </c>
      <c r="P527" t="inlineStr">
        <is>
          <t>2026-06-22 14:11:25</t>
        </is>
      </c>
      <c r="Y527" t="inlineStr">
        <is>
          <t>27649269496</t>
        </is>
      </c>
    </row>
    <row r="528">
      <c r="A528" t="inlineStr">
        <is>
          <t>14973897</t>
        </is>
      </c>
      <c r="B528" t="inlineStr">
        <is>
          <t>ccc34ff8-d0e4-4725-b196-fd4685c424f3</t>
        </is>
      </c>
      <c r="D528" t="inlineStr">
        <is>
          <t>11111127</t>
        </is>
      </c>
      <c r="E528" t="inlineStr">
        <is>
          <t>Vodacom Life 20260622</t>
        </is>
      </c>
      <c r="J528" t="inlineStr">
        <is>
          <t>AA</t>
        </is>
      </c>
      <c r="K528" t="inlineStr">
        <is>
          <t>Answering Machine Autodial</t>
        </is>
      </c>
      <c r="L528" t="n">
        <v>5</v>
      </c>
      <c r="M528" t="inlineStr">
        <is>
          <t>2026-06-26 12:20:34</t>
        </is>
      </c>
      <c r="N528" t="inlineStr">
        <is>
          <t>system</t>
        </is>
      </c>
      <c r="O528" t="inlineStr">
        <is>
          <t>2026-06-22 14:11:25</t>
        </is>
      </c>
      <c r="P528" t="inlineStr">
        <is>
          <t>2026-06-22 14:11:25</t>
        </is>
      </c>
      <c r="Y528" t="inlineStr">
        <is>
          <t>27723776744</t>
        </is>
      </c>
    </row>
    <row r="529">
      <c r="A529" t="inlineStr">
        <is>
          <t>14973898</t>
        </is>
      </c>
      <c r="B529" t="inlineStr">
        <is>
          <t>d847afdc-41b8-4781-bafb-30c7e97fc73d</t>
        </is>
      </c>
      <c r="D529" t="inlineStr">
        <is>
          <t>11111127</t>
        </is>
      </c>
      <c r="E529" t="inlineStr">
        <is>
          <t>Vodacom Life 20260622</t>
        </is>
      </c>
      <c r="J529" t="inlineStr">
        <is>
          <t>AE</t>
        </is>
      </c>
      <c r="K529" t="inlineStr">
        <is>
          <t>Auto Engaged</t>
        </is>
      </c>
      <c r="L529" t="n">
        <v>5</v>
      </c>
      <c r="M529" t="inlineStr">
        <is>
          <t>2026-06-26 12:20:17</t>
        </is>
      </c>
      <c r="N529" t="inlineStr">
        <is>
          <t>system</t>
        </is>
      </c>
      <c r="O529" t="inlineStr">
        <is>
          <t>2026-06-22 14:11:25</t>
        </is>
      </c>
      <c r="P529" t="inlineStr">
        <is>
          <t>2026-06-22 14:11:25</t>
        </is>
      </c>
      <c r="Y529" t="inlineStr">
        <is>
          <t>27673116980</t>
        </is>
      </c>
    </row>
    <row r="530">
      <c r="A530" t="inlineStr">
        <is>
          <t>15000000</t>
        </is>
      </c>
      <c r="B530" t="inlineStr">
        <is>
          <t>9e391342-b92b-4404-b597-e821a2a54a66</t>
        </is>
      </c>
      <c r="D530" t="inlineStr">
        <is>
          <t>11111127</t>
        </is>
      </c>
      <c r="E530" t="inlineStr">
        <is>
          <t>Vodacom Life 20260622</t>
        </is>
      </c>
      <c r="J530" t="inlineStr">
        <is>
          <t>ADC</t>
        </is>
      </c>
      <c r="K530" t="inlineStr">
        <is>
          <t>Auto Dial Disconnected</t>
        </is>
      </c>
      <c r="L530" t="n">
        <v>5</v>
      </c>
      <c r="M530" t="inlineStr">
        <is>
          <t>2026-06-26 12:20:12</t>
        </is>
      </c>
      <c r="N530" t="inlineStr">
        <is>
          <t>system</t>
        </is>
      </c>
      <c r="O530" t="inlineStr">
        <is>
          <t>2026-06-22 14:11:25</t>
        </is>
      </c>
      <c r="P530" t="inlineStr">
        <is>
          <t>2026-06-22 14:11:25</t>
        </is>
      </c>
      <c r="Y530" t="inlineStr">
        <is>
          <t>27715002974</t>
        </is>
      </c>
    </row>
    <row r="531">
      <c r="A531" t="inlineStr">
        <is>
          <t>14973903</t>
        </is>
      </c>
      <c r="B531" t="inlineStr">
        <is>
          <t>71171d12-7ee1-4535-9e55-0b35ea7973c2</t>
        </is>
      </c>
      <c r="D531" t="inlineStr">
        <is>
          <t>11111127</t>
        </is>
      </c>
      <c r="E531" t="inlineStr">
        <is>
          <t>Vodacom Life 20260622</t>
        </is>
      </c>
      <c r="J531" t="inlineStr">
        <is>
          <t>AA</t>
        </is>
      </c>
      <c r="K531" t="inlineStr">
        <is>
          <t>Answering Machine Autodial</t>
        </is>
      </c>
      <c r="L531" t="n">
        <v>5</v>
      </c>
      <c r="M531" t="inlineStr">
        <is>
          <t>2026-06-26 12:20:11</t>
        </is>
      </c>
      <c r="N531" t="inlineStr">
        <is>
          <t>system</t>
        </is>
      </c>
      <c r="O531" t="inlineStr">
        <is>
          <t>2026-06-22 14:11:25</t>
        </is>
      </c>
      <c r="P531" t="inlineStr">
        <is>
          <t>2026-06-22 14:11:25</t>
        </is>
      </c>
      <c r="Y531" t="inlineStr">
        <is>
          <t>27793661782</t>
        </is>
      </c>
    </row>
    <row r="532">
      <c r="A532" t="inlineStr">
        <is>
          <t>14973905</t>
        </is>
      </c>
      <c r="B532" t="inlineStr">
        <is>
          <t>0e3d88f5-1068-4d05-9ad6-199bb3cf1e5d</t>
        </is>
      </c>
      <c r="D532" t="inlineStr">
        <is>
          <t>11111127</t>
        </is>
      </c>
      <c r="E532" t="inlineStr">
        <is>
          <t>Vodacom Life 20260622</t>
        </is>
      </c>
      <c r="J532" t="inlineStr">
        <is>
          <t>AE</t>
        </is>
      </c>
      <c r="K532" t="inlineStr">
        <is>
          <t>Auto Engaged</t>
        </is>
      </c>
      <c r="L532" t="n">
        <v>5</v>
      </c>
      <c r="M532" t="inlineStr">
        <is>
          <t>2026-06-26 12:20:11</t>
        </is>
      </c>
      <c r="N532" t="inlineStr">
        <is>
          <t>system</t>
        </is>
      </c>
      <c r="O532" t="inlineStr">
        <is>
          <t>2026-06-22 14:11:25</t>
        </is>
      </c>
      <c r="P532" t="inlineStr">
        <is>
          <t>2026-06-22 14:11:25</t>
        </is>
      </c>
      <c r="Y532" t="inlineStr">
        <is>
          <t>27797478950</t>
        </is>
      </c>
    </row>
    <row r="533">
      <c r="A533" t="inlineStr">
        <is>
          <t>14974602</t>
        </is>
      </c>
      <c r="B533" t="inlineStr">
        <is>
          <t>c07c5963-75e4-4084-8d83-3fd69ed01337</t>
        </is>
      </c>
      <c r="D533" t="inlineStr">
        <is>
          <t>11111127</t>
        </is>
      </c>
      <c r="E533" t="inlineStr">
        <is>
          <t>Vodacom Life 20260622</t>
        </is>
      </c>
      <c r="J533" t="inlineStr">
        <is>
          <t>NA</t>
        </is>
      </c>
      <c r="K533" t="inlineStr">
        <is>
          <t>No Answer Autodial</t>
        </is>
      </c>
      <c r="L533" t="n">
        <v>5</v>
      </c>
      <c r="M533" t="inlineStr">
        <is>
          <t>2026-06-26 12:19:09</t>
        </is>
      </c>
      <c r="N533" t="inlineStr">
        <is>
          <t>system</t>
        </is>
      </c>
      <c r="O533" t="inlineStr">
        <is>
          <t>2026-06-22 14:11:25</t>
        </is>
      </c>
      <c r="P533" t="inlineStr">
        <is>
          <t>2026-06-22 14:11:25</t>
        </is>
      </c>
      <c r="Y533" t="inlineStr">
        <is>
          <t>27767317592</t>
        </is>
      </c>
    </row>
    <row r="534">
      <c r="A534" t="inlineStr">
        <is>
          <t>14974603</t>
        </is>
      </c>
      <c r="B534" t="inlineStr">
        <is>
          <t>b8ada606-b33e-454f-b099-a2035e2b0108</t>
        </is>
      </c>
      <c r="D534" t="inlineStr">
        <is>
          <t>11111127</t>
        </is>
      </c>
      <c r="E534" t="inlineStr">
        <is>
          <t>Vodacom Life 20260622</t>
        </is>
      </c>
      <c r="J534" t="inlineStr">
        <is>
          <t>AF</t>
        </is>
      </c>
      <c r="K534" t="inlineStr">
        <is>
          <t>Cannot Afford</t>
        </is>
      </c>
      <c r="L534" t="n">
        <v>5</v>
      </c>
      <c r="M534" t="inlineStr">
        <is>
          <t>2026-06-26 12:19:00</t>
        </is>
      </c>
      <c r="N534" t="inlineStr">
        <is>
          <t>Musiiwa Mary Mabirimisa</t>
        </is>
      </c>
      <c r="O534" t="inlineStr">
        <is>
          <t>2026-06-22 14:11:25</t>
        </is>
      </c>
      <c r="P534" t="inlineStr">
        <is>
          <t>2026-06-22 14:11:25</t>
        </is>
      </c>
      <c r="Y534" t="inlineStr">
        <is>
          <t>27762714640</t>
        </is>
      </c>
    </row>
    <row r="535">
      <c r="A535" t="inlineStr">
        <is>
          <t>14974606</t>
        </is>
      </c>
      <c r="B535" t="inlineStr">
        <is>
          <t>17772373-3667-4b6a-b012-dfc65087a251</t>
        </is>
      </c>
      <c r="D535" t="inlineStr">
        <is>
          <t>11111127</t>
        </is>
      </c>
      <c r="E535" t="inlineStr">
        <is>
          <t>Vodacom Life 20260622</t>
        </is>
      </c>
      <c r="J535" t="inlineStr">
        <is>
          <t>AA</t>
        </is>
      </c>
      <c r="K535" t="inlineStr">
        <is>
          <t>Answering Machine Autodial</t>
        </is>
      </c>
      <c r="L535" t="n">
        <v>5</v>
      </c>
      <c r="M535" t="inlineStr">
        <is>
          <t>2026-06-26 12:19:00</t>
        </is>
      </c>
      <c r="N535" t="inlineStr">
        <is>
          <t>system</t>
        </is>
      </c>
      <c r="O535" t="inlineStr">
        <is>
          <t>2026-06-22 14:11:25</t>
        </is>
      </c>
      <c r="P535" t="inlineStr">
        <is>
          <t>2026-06-22 14:11:25</t>
        </is>
      </c>
      <c r="Y535" t="inlineStr">
        <is>
          <t>27711078653</t>
        </is>
      </c>
    </row>
    <row r="536">
      <c r="A536" t="inlineStr">
        <is>
          <t>14974607</t>
        </is>
      </c>
      <c r="B536" t="inlineStr">
        <is>
          <t>260f3792-286e-46e4-8dc2-e3028f7fba8f</t>
        </is>
      </c>
      <c r="D536" t="inlineStr">
        <is>
          <t>11111127</t>
        </is>
      </c>
      <c r="E536" t="inlineStr">
        <is>
          <t>Vodacom Life 20260622</t>
        </is>
      </c>
      <c r="J536" t="inlineStr">
        <is>
          <t>AE</t>
        </is>
      </c>
      <c r="K536" t="inlineStr">
        <is>
          <t>Auto Engaged</t>
        </is>
      </c>
      <c r="L536" t="n">
        <v>5</v>
      </c>
      <c r="M536" t="inlineStr">
        <is>
          <t>2026-06-26 12:18:59</t>
        </is>
      </c>
      <c r="N536" t="inlineStr">
        <is>
          <t>system</t>
        </is>
      </c>
      <c r="O536" t="inlineStr">
        <is>
          <t>2026-06-22 14:11:25</t>
        </is>
      </c>
      <c r="P536" t="inlineStr">
        <is>
          <t>2026-06-22 14:11:25</t>
        </is>
      </c>
      <c r="Y536" t="inlineStr">
        <is>
          <t>27661227585</t>
        </is>
      </c>
    </row>
    <row r="537">
      <c r="A537" t="inlineStr">
        <is>
          <t>14974150</t>
        </is>
      </c>
      <c r="B537" t="inlineStr">
        <is>
          <t>cdb22415-6914-4f72-95ff-c9c31478637c</t>
        </is>
      </c>
      <c r="D537" t="inlineStr">
        <is>
          <t>11111127</t>
        </is>
      </c>
      <c r="E537" t="inlineStr">
        <is>
          <t>Vodacom Life 20260622</t>
        </is>
      </c>
      <c r="H537" t="inlineStr">
        <is>
          <t>27766898681</t>
        </is>
      </c>
      <c r="J537" t="inlineStr">
        <is>
          <t>IABDN</t>
        </is>
      </c>
      <c r="K537" t="inlineStr">
        <is>
          <t>Inbound Abandon</t>
        </is>
      </c>
      <c r="L537" t="n">
        <v>5</v>
      </c>
      <c r="M537" t="inlineStr">
        <is>
          <t>2026-06-26 12:18:00</t>
        </is>
      </c>
      <c r="N537" t="inlineStr">
        <is>
          <t>system</t>
        </is>
      </c>
      <c r="O537" t="inlineStr">
        <is>
          <t>2026-06-22 14:11:25</t>
        </is>
      </c>
      <c r="P537" t="inlineStr">
        <is>
          <t>2026-06-22 14:11:25</t>
        </is>
      </c>
      <c r="Y537" t="inlineStr">
        <is>
          <t>27766898681</t>
        </is>
      </c>
    </row>
    <row r="538">
      <c r="A538" t="inlineStr">
        <is>
          <t>14973994</t>
        </is>
      </c>
      <c r="B538" t="inlineStr">
        <is>
          <t>7eb74100-95b2-4cca-9c97-125e675bfdc7</t>
        </is>
      </c>
      <c r="D538" t="inlineStr">
        <is>
          <t>11111127</t>
        </is>
      </c>
      <c r="E538" t="inlineStr">
        <is>
          <t>Vodacom Life 20260622</t>
        </is>
      </c>
      <c r="J538" t="inlineStr">
        <is>
          <t>ADC</t>
        </is>
      </c>
      <c r="K538" t="inlineStr">
        <is>
          <t>Auto Dial Disconnected</t>
        </is>
      </c>
      <c r="L538" t="n">
        <v>5</v>
      </c>
      <c r="M538" t="inlineStr">
        <is>
          <t>2026-06-26 12:16:46</t>
        </is>
      </c>
      <c r="N538" t="inlineStr">
        <is>
          <t>system</t>
        </is>
      </c>
      <c r="O538" t="inlineStr">
        <is>
          <t>2026-06-22 14:11:25</t>
        </is>
      </c>
      <c r="P538" t="inlineStr">
        <is>
          <t>2026-06-22 14:11:25</t>
        </is>
      </c>
      <c r="Y538" t="inlineStr">
        <is>
          <t>27673541980</t>
        </is>
      </c>
    </row>
    <row r="539">
      <c r="A539" t="inlineStr">
        <is>
          <t>14974302</t>
        </is>
      </c>
      <c r="B539" t="inlineStr">
        <is>
          <t>659d8f67-c65c-460e-b04c-6ae7b43cc9b0</t>
        </is>
      </c>
      <c r="D539" t="inlineStr">
        <is>
          <t>11111127</t>
        </is>
      </c>
      <c r="E539" t="inlineStr">
        <is>
          <t>Vodacom Life 20260622</t>
        </is>
      </c>
      <c r="J539" t="inlineStr">
        <is>
          <t>AA</t>
        </is>
      </c>
      <c r="K539" t="inlineStr">
        <is>
          <t>Answering Machine Autodial</t>
        </is>
      </c>
      <c r="L539" t="n">
        <v>5</v>
      </c>
      <c r="M539" t="inlineStr">
        <is>
          <t>2026-06-26 12:16:46</t>
        </is>
      </c>
      <c r="N539" t="inlineStr">
        <is>
          <t>system</t>
        </is>
      </c>
      <c r="O539" t="inlineStr">
        <is>
          <t>2026-06-22 14:11:25</t>
        </is>
      </c>
      <c r="P539" t="inlineStr">
        <is>
          <t>2026-06-22 14:11:25</t>
        </is>
      </c>
      <c r="Y539" t="inlineStr">
        <is>
          <t>27713305437</t>
        </is>
      </c>
    </row>
    <row r="540">
      <c r="A540" t="inlineStr">
        <is>
          <t>14974303</t>
        </is>
      </c>
      <c r="B540" t="inlineStr">
        <is>
          <t>4f71729e-37c3-4878-9738-05e45c15caca</t>
        </is>
      </c>
      <c r="D540" t="inlineStr">
        <is>
          <t>11111127</t>
        </is>
      </c>
      <c r="E540" t="inlineStr">
        <is>
          <t>Vodacom Life 20260622</t>
        </is>
      </c>
      <c r="H540" t="inlineStr">
        <is>
          <t>27845158870</t>
        </is>
      </c>
      <c r="J540" t="inlineStr">
        <is>
          <t>DROP</t>
        </is>
      </c>
      <c r="K540" t="inlineStr">
        <is>
          <t>Dropped</t>
        </is>
      </c>
      <c r="L540" t="n">
        <v>5</v>
      </c>
      <c r="M540" t="inlineStr">
        <is>
          <t>2026-06-26 12:16:46</t>
        </is>
      </c>
      <c r="N540" t="inlineStr">
        <is>
          <t>system</t>
        </is>
      </c>
      <c r="O540" t="inlineStr">
        <is>
          <t>2026-06-22 14:11:25</t>
        </is>
      </c>
      <c r="P540" t="inlineStr">
        <is>
          <t>2026-06-22 14:11:25</t>
        </is>
      </c>
      <c r="Y540" t="inlineStr">
        <is>
          <t>27845158870</t>
        </is>
      </c>
    </row>
    <row r="541">
      <c r="A541" t="inlineStr">
        <is>
          <t>14974304</t>
        </is>
      </c>
      <c r="B541" t="inlineStr">
        <is>
          <t>de5878f6-d089-4e21-afa7-7a7d9a22ef93</t>
        </is>
      </c>
      <c r="D541" t="inlineStr">
        <is>
          <t>11111127</t>
        </is>
      </c>
      <c r="E541" t="inlineStr">
        <is>
          <t>Vodacom Life 20260622</t>
        </is>
      </c>
      <c r="J541" t="inlineStr">
        <is>
          <t>DROP</t>
        </is>
      </c>
      <c r="K541" t="inlineStr">
        <is>
          <t>Dropped</t>
        </is>
      </c>
      <c r="L541" t="n">
        <v>5</v>
      </c>
      <c r="M541" t="inlineStr">
        <is>
          <t>2026-06-26 12:16:46</t>
        </is>
      </c>
      <c r="N541" t="inlineStr">
        <is>
          <t>system</t>
        </is>
      </c>
      <c r="O541" t="inlineStr">
        <is>
          <t>2026-06-22 14:11:25</t>
        </is>
      </c>
      <c r="P541" t="inlineStr">
        <is>
          <t>2026-06-22 14:11:25</t>
        </is>
      </c>
      <c r="Y541" t="inlineStr">
        <is>
          <t>27793840017</t>
        </is>
      </c>
    </row>
    <row r="542">
      <c r="A542" t="inlineStr">
        <is>
          <t>14973868</t>
        </is>
      </c>
      <c r="B542" t="inlineStr">
        <is>
          <t>3cc7732f-6ff5-413f-a253-d0cfabe4d5b8</t>
        </is>
      </c>
      <c r="D542" t="inlineStr">
        <is>
          <t>11111127</t>
        </is>
      </c>
      <c r="E542" t="inlineStr">
        <is>
          <t>Vodacom Life 20260622</t>
        </is>
      </c>
      <c r="H542" t="inlineStr">
        <is>
          <t>27760293642</t>
        </is>
      </c>
      <c r="J542" t="inlineStr">
        <is>
          <t>AC</t>
        </is>
      </c>
      <c r="K542" t="inlineStr">
        <is>
          <t>Already Contacted</t>
        </is>
      </c>
      <c r="L542" t="n">
        <v>5</v>
      </c>
      <c r="M542" t="inlineStr">
        <is>
          <t>2026-06-26 12:16:43</t>
        </is>
      </c>
      <c r="N542" t="inlineStr">
        <is>
          <t>Maureen Ntsoko</t>
        </is>
      </c>
      <c r="O542" t="inlineStr">
        <is>
          <t>2026-06-22 14:11:25</t>
        </is>
      </c>
      <c r="P542" t="inlineStr">
        <is>
          <t>2026-06-22 14:11:25</t>
        </is>
      </c>
      <c r="Y542" t="inlineStr">
        <is>
          <t>27760293642</t>
        </is>
      </c>
    </row>
    <row r="543">
      <c r="A543" t="inlineStr">
        <is>
          <t>14974310</t>
        </is>
      </c>
      <c r="B543" t="inlineStr">
        <is>
          <t>2be40b3a-13a7-4b92-9b41-95bcc13d70c4</t>
        </is>
      </c>
      <c r="D543" t="inlineStr">
        <is>
          <t>11111127</t>
        </is>
      </c>
      <c r="E543" t="inlineStr">
        <is>
          <t>Vodacom Life 20260622</t>
        </is>
      </c>
      <c r="H543" t="inlineStr">
        <is>
          <t>27673797178</t>
        </is>
      </c>
      <c r="J543" t="inlineStr">
        <is>
          <t>IABDN</t>
        </is>
      </c>
      <c r="K543" t="inlineStr">
        <is>
          <t>Inbound Abandon</t>
        </is>
      </c>
      <c r="L543" t="n">
        <v>5</v>
      </c>
      <c r="M543" t="inlineStr">
        <is>
          <t>2026-06-26 12:15:49</t>
        </is>
      </c>
      <c r="N543" t="inlineStr">
        <is>
          <t>system</t>
        </is>
      </c>
      <c r="O543" t="inlineStr">
        <is>
          <t>2026-06-22 14:11:25</t>
        </is>
      </c>
      <c r="P543" t="inlineStr">
        <is>
          <t>2026-06-22 14:11:25</t>
        </is>
      </c>
      <c r="Y543" t="inlineStr">
        <is>
          <t>27673797178</t>
        </is>
      </c>
    </row>
    <row r="544">
      <c r="A544" t="inlineStr">
        <is>
          <t>14973880</t>
        </is>
      </c>
      <c r="B544" t="inlineStr">
        <is>
          <t>a891ceb0-5c20-4b20-9327-49d5a1195bf5</t>
        </is>
      </c>
      <c r="D544" t="inlineStr">
        <is>
          <t>11111127</t>
        </is>
      </c>
      <c r="E544" t="inlineStr">
        <is>
          <t>Vodacom Life 20260622</t>
        </is>
      </c>
      <c r="J544" t="inlineStr">
        <is>
          <t>AA</t>
        </is>
      </c>
      <c r="K544" t="inlineStr">
        <is>
          <t>Answering Machine Autodial</t>
        </is>
      </c>
      <c r="L544" t="n">
        <v>5</v>
      </c>
      <c r="M544" t="inlineStr">
        <is>
          <t>2026-06-26 12:15:36</t>
        </is>
      </c>
      <c r="N544" t="inlineStr">
        <is>
          <t>system</t>
        </is>
      </c>
      <c r="O544" t="inlineStr">
        <is>
          <t>2026-06-22 14:11:25</t>
        </is>
      </c>
      <c r="P544" t="inlineStr">
        <is>
          <t>2026-06-22 14:11:25</t>
        </is>
      </c>
      <c r="Y544" t="inlineStr">
        <is>
          <t>27795195180</t>
        </is>
      </c>
    </row>
    <row r="545">
      <c r="A545" t="inlineStr">
        <is>
          <t>14974300</t>
        </is>
      </c>
      <c r="B545" t="inlineStr">
        <is>
          <t>4d0c2373-fa99-4b4e-bd47-dbdb17e9dbf1</t>
        </is>
      </c>
      <c r="D545" t="inlineStr">
        <is>
          <t>11111127</t>
        </is>
      </c>
      <c r="E545" t="inlineStr">
        <is>
          <t>Vodacom Life 20260622</t>
        </is>
      </c>
      <c r="J545" t="inlineStr">
        <is>
          <t>AA</t>
        </is>
      </c>
      <c r="K545" t="inlineStr">
        <is>
          <t>Answering Machine Autodial</t>
        </is>
      </c>
      <c r="L545" t="n">
        <v>5</v>
      </c>
      <c r="M545" t="inlineStr">
        <is>
          <t>2026-06-26 12:15:36</t>
        </is>
      </c>
      <c r="N545" t="inlineStr">
        <is>
          <t>system</t>
        </is>
      </c>
      <c r="O545" t="inlineStr">
        <is>
          <t>2026-06-22 14:11:25</t>
        </is>
      </c>
      <c r="P545" t="inlineStr">
        <is>
          <t>2026-06-22 14:11:25</t>
        </is>
      </c>
      <c r="Y545" t="inlineStr">
        <is>
          <t>27626209843</t>
        </is>
      </c>
    </row>
    <row r="546">
      <c r="A546" t="inlineStr">
        <is>
          <t>14974301</t>
        </is>
      </c>
      <c r="B546" t="inlineStr">
        <is>
          <t>81bd6b3b-e071-4c5a-bac5-e800a46b8895</t>
        </is>
      </c>
      <c r="D546" t="inlineStr">
        <is>
          <t>11111127</t>
        </is>
      </c>
      <c r="E546" t="inlineStr">
        <is>
          <t>Vodacom Life 20260622</t>
        </is>
      </c>
      <c r="J546" t="inlineStr">
        <is>
          <t>CBACK</t>
        </is>
      </c>
      <c r="K546" t="inlineStr">
        <is>
          <t>Callback</t>
        </is>
      </c>
      <c r="L546" t="n">
        <v>5</v>
      </c>
      <c r="M546" t="inlineStr">
        <is>
          <t>2026-06-26 12:15:18</t>
        </is>
      </c>
      <c r="N546" t="inlineStr">
        <is>
          <t>Maureen Ntsoko</t>
        </is>
      </c>
      <c r="O546" t="inlineStr">
        <is>
          <t>2026-06-22 14:11:25</t>
        </is>
      </c>
      <c r="P546" t="inlineStr">
        <is>
          <t>2026-06-22 14:11:25</t>
        </is>
      </c>
      <c r="Y546" t="inlineStr">
        <is>
          <t>27636040895</t>
        </is>
      </c>
    </row>
    <row r="547">
      <c r="A547" t="inlineStr">
        <is>
          <t>14974309</t>
        </is>
      </c>
      <c r="B547" t="inlineStr">
        <is>
          <t>4516de7c-2ccd-488e-9cba-2b9fa3eab44f</t>
        </is>
      </c>
      <c r="D547" t="inlineStr">
        <is>
          <t>11111127</t>
        </is>
      </c>
      <c r="E547" t="inlineStr">
        <is>
          <t>Vodacom Life 20260622</t>
        </is>
      </c>
      <c r="J547" t="inlineStr">
        <is>
          <t>AA</t>
        </is>
      </c>
      <c r="K547" t="inlineStr">
        <is>
          <t>Answering Machine Autodial</t>
        </is>
      </c>
      <c r="L547" t="n">
        <v>5</v>
      </c>
      <c r="M547" t="inlineStr">
        <is>
          <t>2026-06-26 12:15:18</t>
        </is>
      </c>
      <c r="N547" t="inlineStr">
        <is>
          <t>system</t>
        </is>
      </c>
      <c r="O547" t="inlineStr">
        <is>
          <t>2026-06-22 14:11:25</t>
        </is>
      </c>
      <c r="P547" t="inlineStr">
        <is>
          <t>2026-06-22 14:11:25</t>
        </is>
      </c>
      <c r="Y547" t="inlineStr">
        <is>
          <t>27723192266</t>
        </is>
      </c>
    </row>
    <row r="548">
      <c r="A548" t="inlineStr">
        <is>
          <t>14974311</t>
        </is>
      </c>
      <c r="B548" t="inlineStr">
        <is>
          <t>31d1353d-c307-4d0b-bb7a-fdff8220bb10</t>
        </is>
      </c>
      <c r="D548" t="inlineStr">
        <is>
          <t>11111127</t>
        </is>
      </c>
      <c r="E548" t="inlineStr">
        <is>
          <t>Vodacom Life 20260622</t>
        </is>
      </c>
      <c r="J548" t="inlineStr">
        <is>
          <t>CCB</t>
        </is>
      </c>
      <c r="K548" t="inlineStr">
        <is>
          <t>Call Dropped</t>
        </is>
      </c>
      <c r="L548" t="n">
        <v>5</v>
      </c>
      <c r="M548" t="inlineStr">
        <is>
          <t>2026-06-26 12:15:18</t>
        </is>
      </c>
      <c r="N548" t="inlineStr">
        <is>
          <t>Musiiwa Mary Mabirimisa</t>
        </is>
      </c>
      <c r="O548" t="inlineStr">
        <is>
          <t>2026-06-22 14:11:25</t>
        </is>
      </c>
      <c r="P548" t="inlineStr">
        <is>
          <t>2026-06-22 14:11:25</t>
        </is>
      </c>
      <c r="Y548" t="inlineStr">
        <is>
          <t>27712640784</t>
        </is>
      </c>
    </row>
    <row r="549">
      <c r="A549" t="inlineStr">
        <is>
          <t>14973861</t>
        </is>
      </c>
      <c r="B549" t="inlineStr">
        <is>
          <t>1366021b-452e-4d16-b9a0-05275b11cb86</t>
        </is>
      </c>
      <c r="D549" t="inlineStr">
        <is>
          <t>11111127</t>
        </is>
      </c>
      <c r="E549" t="inlineStr">
        <is>
          <t>Vodacom Life 20260622</t>
        </is>
      </c>
      <c r="H549" t="inlineStr">
        <is>
          <t>27820928513</t>
        </is>
      </c>
      <c r="J549" t="inlineStr">
        <is>
          <t>AC</t>
        </is>
      </c>
      <c r="K549" t="inlineStr">
        <is>
          <t>Already Contacted</t>
        </is>
      </c>
      <c r="L549" t="n">
        <v>5</v>
      </c>
      <c r="M549" t="inlineStr">
        <is>
          <t>2026-06-26 12:14:39</t>
        </is>
      </c>
      <c r="N549" t="inlineStr">
        <is>
          <t>Musiiwa Mary Mabirimisa</t>
        </is>
      </c>
      <c r="O549" t="inlineStr">
        <is>
          <t>2026-06-22 14:11:25</t>
        </is>
      </c>
      <c r="P549" t="inlineStr">
        <is>
          <t>2026-06-22 14:11:25</t>
        </is>
      </c>
      <c r="Y549" t="inlineStr">
        <is>
          <t>27820928513</t>
        </is>
      </c>
    </row>
    <row r="550">
      <c r="A550" t="inlineStr">
        <is>
          <t>14974328</t>
        </is>
      </c>
      <c r="B550" t="inlineStr">
        <is>
          <t>56ae3022-f22c-4d10-b5ad-4a7f3a2b40b9</t>
        </is>
      </c>
      <c r="D550" t="inlineStr">
        <is>
          <t>11111127</t>
        </is>
      </c>
      <c r="E550" t="inlineStr">
        <is>
          <t>Vodacom Life 20260622</t>
        </is>
      </c>
      <c r="J550" t="inlineStr">
        <is>
          <t>DROP</t>
        </is>
      </c>
      <c r="K550" t="inlineStr">
        <is>
          <t>Dropped</t>
        </is>
      </c>
      <c r="L550" t="n">
        <v>5</v>
      </c>
      <c r="M550" t="inlineStr">
        <is>
          <t>2026-06-26 12:13:15</t>
        </is>
      </c>
      <c r="N550" t="inlineStr">
        <is>
          <t>system</t>
        </is>
      </c>
      <c r="O550" t="inlineStr">
        <is>
          <t>2026-06-22 14:11:25</t>
        </is>
      </c>
      <c r="P550" t="inlineStr">
        <is>
          <t>2026-06-22 14:11:25</t>
        </is>
      </c>
      <c r="Y550" t="inlineStr">
        <is>
          <t>27724467674</t>
        </is>
      </c>
    </row>
    <row r="551">
      <c r="A551" t="inlineStr">
        <is>
          <t>14974327</t>
        </is>
      </c>
      <c r="B551" t="inlineStr">
        <is>
          <t>af2f7ef9-f757-472e-a759-52840deef8ec</t>
        </is>
      </c>
      <c r="D551" t="inlineStr">
        <is>
          <t>11111127</t>
        </is>
      </c>
      <c r="E551" t="inlineStr">
        <is>
          <t>Vodacom Life 20260622</t>
        </is>
      </c>
      <c r="H551" t="inlineStr">
        <is>
          <t>27724033899</t>
        </is>
      </c>
      <c r="J551" t="inlineStr">
        <is>
          <t>AC</t>
        </is>
      </c>
      <c r="K551" t="inlineStr">
        <is>
          <t>Already Contacted</t>
        </is>
      </c>
      <c r="L551" t="n">
        <v>5</v>
      </c>
      <c r="M551" t="inlineStr">
        <is>
          <t>2026-06-26 12:13:00</t>
        </is>
      </c>
      <c r="N551" t="inlineStr">
        <is>
          <t>Musiiwa Mary Mabirimisa</t>
        </is>
      </c>
      <c r="O551" t="inlineStr">
        <is>
          <t>2026-06-22 14:11:25</t>
        </is>
      </c>
      <c r="P551" t="inlineStr">
        <is>
          <t>2026-06-22 14:11:25</t>
        </is>
      </c>
      <c r="Y551" t="inlineStr">
        <is>
          <t>27724033899</t>
        </is>
      </c>
    </row>
    <row r="552">
      <c r="A552" t="inlineStr">
        <is>
          <t>14974325</t>
        </is>
      </c>
      <c r="B552" t="inlineStr">
        <is>
          <t>6ad1ad72-e6d7-4476-8c5f-60efb8138098</t>
        </is>
      </c>
      <c r="D552" t="inlineStr">
        <is>
          <t>11111127</t>
        </is>
      </c>
      <c r="E552" t="inlineStr">
        <is>
          <t>Vodacom Life 20260622</t>
        </is>
      </c>
      <c r="J552" t="inlineStr">
        <is>
          <t>AE</t>
        </is>
      </c>
      <c r="K552" t="inlineStr">
        <is>
          <t>Auto Engaged</t>
        </is>
      </c>
      <c r="L552" t="n">
        <v>5</v>
      </c>
      <c r="M552" t="inlineStr">
        <is>
          <t>2026-06-26 12:12:59</t>
        </is>
      </c>
      <c r="N552" t="inlineStr">
        <is>
          <t>system</t>
        </is>
      </c>
      <c r="O552" t="inlineStr">
        <is>
          <t>2026-06-22 14:11:25</t>
        </is>
      </c>
      <c r="P552" t="inlineStr">
        <is>
          <t>2026-06-22 14:11:25</t>
        </is>
      </c>
      <c r="Y552" t="inlineStr">
        <is>
          <t>27721407977</t>
        </is>
      </c>
    </row>
    <row r="553">
      <c r="A553" t="inlineStr">
        <is>
          <t>14974326</t>
        </is>
      </c>
      <c r="B553" t="inlineStr">
        <is>
          <t>2345781f-50eb-4ba4-ba29-d71f18644d01</t>
        </is>
      </c>
      <c r="D553" t="inlineStr">
        <is>
          <t>11111127</t>
        </is>
      </c>
      <c r="E553" t="inlineStr">
        <is>
          <t>Vodacom Life 20260622</t>
        </is>
      </c>
      <c r="J553" t="inlineStr">
        <is>
          <t>AE</t>
        </is>
      </c>
      <c r="K553" t="inlineStr">
        <is>
          <t>Auto Engaged</t>
        </is>
      </c>
      <c r="L553" t="n">
        <v>5</v>
      </c>
      <c r="M553" t="inlineStr">
        <is>
          <t>2026-06-26 12:12:59</t>
        </is>
      </c>
      <c r="N553" t="inlineStr">
        <is>
          <t>system</t>
        </is>
      </c>
      <c r="O553" t="inlineStr">
        <is>
          <t>2026-06-22 14:11:25</t>
        </is>
      </c>
      <c r="P553" t="inlineStr">
        <is>
          <t>2026-06-22 14:11:25</t>
        </is>
      </c>
      <c r="Y553" t="inlineStr">
        <is>
          <t>27723449603</t>
        </is>
      </c>
    </row>
    <row r="554">
      <c r="A554" t="inlineStr">
        <is>
          <t>14974316</t>
        </is>
      </c>
      <c r="B554" t="inlineStr">
        <is>
          <t>7deb0131-d8bf-4bcd-a6b4-ef51855ecbf8</t>
        </is>
      </c>
      <c r="D554" t="inlineStr">
        <is>
          <t>11111127</t>
        </is>
      </c>
      <c r="E554" t="inlineStr">
        <is>
          <t>Vodacom Life 20260622</t>
        </is>
      </c>
      <c r="J554" t="inlineStr">
        <is>
          <t>DROP</t>
        </is>
      </c>
      <c r="K554" t="inlineStr">
        <is>
          <t>Dropped</t>
        </is>
      </c>
      <c r="L554" t="n">
        <v>5</v>
      </c>
      <c r="M554" t="inlineStr">
        <is>
          <t>2026-06-26 12:12:58</t>
        </is>
      </c>
      <c r="N554" t="inlineStr">
        <is>
          <t>system</t>
        </is>
      </c>
      <c r="O554" t="inlineStr">
        <is>
          <t>2026-06-22 14:11:25</t>
        </is>
      </c>
      <c r="P554" t="inlineStr">
        <is>
          <t>2026-06-22 14:11:25</t>
        </is>
      </c>
      <c r="Y554" t="inlineStr">
        <is>
          <t>27825172357</t>
        </is>
      </c>
    </row>
    <row r="555">
      <c r="A555" t="inlineStr">
        <is>
          <t>14974342</t>
        </is>
      </c>
      <c r="B555" t="inlineStr">
        <is>
          <t>cdcc1ef3-697e-4d00-8472-0edd8135359d</t>
        </is>
      </c>
      <c r="D555" t="inlineStr">
        <is>
          <t>11111127</t>
        </is>
      </c>
      <c r="E555" t="inlineStr">
        <is>
          <t>Vodacom Life 20260622</t>
        </is>
      </c>
      <c r="H555" t="inlineStr">
        <is>
          <t>27792647169</t>
        </is>
      </c>
      <c r="J555" t="inlineStr">
        <is>
          <t>IABDN</t>
        </is>
      </c>
      <c r="K555" t="inlineStr">
        <is>
          <t>Inbound Abandon</t>
        </is>
      </c>
      <c r="L555" t="n">
        <v>5</v>
      </c>
      <c r="M555" t="inlineStr">
        <is>
          <t>2026-06-26 12:11:41</t>
        </is>
      </c>
      <c r="N555" t="inlineStr">
        <is>
          <t>system</t>
        </is>
      </c>
      <c r="O555" t="inlineStr">
        <is>
          <t>2026-06-22 14:11:25</t>
        </is>
      </c>
      <c r="P555" t="inlineStr">
        <is>
          <t>2026-06-22 14:11:25</t>
        </is>
      </c>
      <c r="Y555" t="inlineStr">
        <is>
          <t>27792647169</t>
        </is>
      </c>
    </row>
    <row r="556">
      <c r="A556" t="inlineStr">
        <is>
          <t>14974352</t>
        </is>
      </c>
      <c r="B556" t="inlineStr">
        <is>
          <t>01d90e5c-a4ba-4412-a50a-b74eac1b107b</t>
        </is>
      </c>
      <c r="D556" t="inlineStr">
        <is>
          <t>11111127</t>
        </is>
      </c>
      <c r="E556" t="inlineStr">
        <is>
          <t>Vodacom Life 20260622</t>
        </is>
      </c>
      <c r="J556" t="inlineStr">
        <is>
          <t>DROP</t>
        </is>
      </c>
      <c r="K556" t="inlineStr">
        <is>
          <t>Dropped</t>
        </is>
      </c>
      <c r="L556" t="n">
        <v>5</v>
      </c>
      <c r="M556" t="inlineStr">
        <is>
          <t>2026-06-26 12:09:13</t>
        </is>
      </c>
      <c r="N556" t="inlineStr">
        <is>
          <t>system</t>
        </is>
      </c>
      <c r="O556" t="inlineStr">
        <is>
          <t>2026-06-22 14:11:25</t>
        </is>
      </c>
      <c r="P556" t="inlineStr">
        <is>
          <t>2026-06-22 14:11:25</t>
        </is>
      </c>
      <c r="Y556" t="inlineStr">
        <is>
          <t>27660966856</t>
        </is>
      </c>
    </row>
    <row r="557">
      <c r="A557" t="inlineStr">
        <is>
          <t>14974351</t>
        </is>
      </c>
      <c r="B557" t="inlineStr">
        <is>
          <t>5fdd0db0-0f48-4b0c-90c9-3d44c3f5d93e</t>
        </is>
      </c>
      <c r="D557" t="inlineStr">
        <is>
          <t>11111127</t>
        </is>
      </c>
      <c r="E557" t="inlineStr">
        <is>
          <t>Vodacom Life 20260622</t>
        </is>
      </c>
      <c r="H557" t="inlineStr">
        <is>
          <t>27609337202</t>
        </is>
      </c>
      <c r="J557" t="inlineStr">
        <is>
          <t>DROP</t>
        </is>
      </c>
      <c r="K557" t="inlineStr">
        <is>
          <t>Dropped</t>
        </is>
      </c>
      <c r="L557" t="n">
        <v>5</v>
      </c>
      <c r="M557" t="inlineStr">
        <is>
          <t>2026-06-26 12:07:54</t>
        </is>
      </c>
      <c r="N557" t="inlineStr">
        <is>
          <t>system</t>
        </is>
      </c>
      <c r="O557" t="inlineStr">
        <is>
          <t>2026-06-22 14:11:25</t>
        </is>
      </c>
      <c r="P557" t="inlineStr">
        <is>
          <t>2026-06-22 14:11:25</t>
        </is>
      </c>
      <c r="Y557" t="inlineStr">
        <is>
          <t>27609337202</t>
        </is>
      </c>
    </row>
    <row r="558">
      <c r="A558" t="inlineStr">
        <is>
          <t>14974340</t>
        </is>
      </c>
      <c r="B558" t="inlineStr">
        <is>
          <t>2f7f03e6-3424-44e5-8cb2-e5669de2b4b5</t>
        </is>
      </c>
      <c r="D558" t="inlineStr">
        <is>
          <t>11111127</t>
        </is>
      </c>
      <c r="E558" t="inlineStr">
        <is>
          <t>Vodacom Life 20260622</t>
        </is>
      </c>
      <c r="H558" t="inlineStr">
        <is>
          <t>27799927483</t>
        </is>
      </c>
      <c r="J558" t="inlineStr">
        <is>
          <t>AE</t>
        </is>
      </c>
      <c r="K558" t="inlineStr">
        <is>
          <t>Auto Engaged</t>
        </is>
      </c>
      <c r="L558" t="n">
        <v>5</v>
      </c>
      <c r="M558" t="inlineStr">
        <is>
          <t>2026-06-26 12:07:51</t>
        </is>
      </c>
      <c r="N558" t="inlineStr">
        <is>
          <t>system</t>
        </is>
      </c>
      <c r="O558" t="inlineStr">
        <is>
          <t>2026-06-22 14:11:25</t>
        </is>
      </c>
      <c r="P558" t="inlineStr">
        <is>
          <t>2026-06-22 14:11:25</t>
        </is>
      </c>
      <c r="Y558" t="inlineStr">
        <is>
          <t>27799927483</t>
        </is>
      </c>
    </row>
    <row r="559">
      <c r="A559" t="inlineStr">
        <is>
          <t>15000000</t>
        </is>
      </c>
      <c r="B559" t="inlineStr">
        <is>
          <t>466e9028-8d7c-4860-8b89-08b77d417ca0</t>
        </is>
      </c>
      <c r="D559" t="inlineStr">
        <is>
          <t>11111127</t>
        </is>
      </c>
      <c r="E559" t="inlineStr">
        <is>
          <t>Vodacom Life 20260622</t>
        </is>
      </c>
      <c r="J559" t="inlineStr">
        <is>
          <t>AA</t>
        </is>
      </c>
      <c r="K559" t="inlineStr">
        <is>
          <t>Answering Machine Autodial</t>
        </is>
      </c>
      <c r="L559" t="n">
        <v>5</v>
      </c>
      <c r="M559" t="inlineStr">
        <is>
          <t>2026-06-26 12:07:48</t>
        </is>
      </c>
      <c r="N559" t="inlineStr">
        <is>
          <t>system</t>
        </is>
      </c>
      <c r="O559" t="inlineStr">
        <is>
          <t>2026-06-22 14:11:25</t>
        </is>
      </c>
      <c r="P559" t="inlineStr">
        <is>
          <t>2026-06-22 14:11:25</t>
        </is>
      </c>
      <c r="Y559" t="inlineStr">
        <is>
          <t>27725525976</t>
        </is>
      </c>
    </row>
    <row r="560">
      <c r="A560" t="inlineStr">
        <is>
          <t>15000000</t>
        </is>
      </c>
      <c r="B560" t="inlineStr">
        <is>
          <t>e6660099-7bbd-4264-bf45-509fd15de8c8</t>
        </is>
      </c>
      <c r="D560" t="inlineStr">
        <is>
          <t>11111127</t>
        </is>
      </c>
      <c r="E560" t="inlineStr">
        <is>
          <t>Vodacom Life 20260622</t>
        </is>
      </c>
      <c r="J560" t="inlineStr">
        <is>
          <t>DROP</t>
        </is>
      </c>
      <c r="K560" t="inlineStr">
        <is>
          <t>Dropped</t>
        </is>
      </c>
      <c r="L560" t="n">
        <v>5</v>
      </c>
      <c r="M560" t="inlineStr">
        <is>
          <t>2026-06-26 12:07:48</t>
        </is>
      </c>
      <c r="N560" t="inlineStr">
        <is>
          <t>system</t>
        </is>
      </c>
      <c r="O560" t="inlineStr">
        <is>
          <t>2026-06-22 14:11:25</t>
        </is>
      </c>
      <c r="P560" t="inlineStr">
        <is>
          <t>2026-06-22 14:11:25</t>
        </is>
      </c>
      <c r="Y560" t="inlineStr">
        <is>
          <t>27721788266</t>
        </is>
      </c>
    </row>
    <row r="561">
      <c r="A561" t="inlineStr">
        <is>
          <t>14973839</t>
        </is>
      </c>
      <c r="B561" t="inlineStr">
        <is>
          <t>1232d9de-11bf-4de8-984a-08bdf045aa3e</t>
        </is>
      </c>
      <c r="D561" t="inlineStr">
        <is>
          <t>11111127</t>
        </is>
      </c>
      <c r="E561" t="inlineStr">
        <is>
          <t>Vodacom Life 20260622</t>
        </is>
      </c>
      <c r="H561" t="inlineStr">
        <is>
          <t>27609526890</t>
        </is>
      </c>
      <c r="J561" t="inlineStr">
        <is>
          <t>DROP</t>
        </is>
      </c>
      <c r="K561" t="inlineStr">
        <is>
          <t>Dropped</t>
        </is>
      </c>
      <c r="L561" t="n">
        <v>5</v>
      </c>
      <c r="M561" t="inlineStr">
        <is>
          <t>2026-06-26 12:07:48</t>
        </is>
      </c>
      <c r="N561" t="inlineStr">
        <is>
          <t>system</t>
        </is>
      </c>
      <c r="O561" t="inlineStr">
        <is>
          <t>2026-06-22 14:11:25</t>
        </is>
      </c>
      <c r="P561" t="inlineStr">
        <is>
          <t>2026-06-22 14:11:25</t>
        </is>
      </c>
      <c r="Y561" t="inlineStr">
        <is>
          <t>27609526890</t>
        </is>
      </c>
    </row>
    <row r="562">
      <c r="A562" t="inlineStr">
        <is>
          <t>14973840</t>
        </is>
      </c>
      <c r="B562" t="inlineStr">
        <is>
          <t>cb02f37e-966b-4394-b3c9-637be251bfb4</t>
        </is>
      </c>
      <c r="D562" t="inlineStr">
        <is>
          <t>11111127</t>
        </is>
      </c>
      <c r="E562" t="inlineStr">
        <is>
          <t>Vodacom Life 20260622</t>
        </is>
      </c>
      <c r="J562" t="inlineStr">
        <is>
          <t>AE</t>
        </is>
      </c>
      <c r="K562" t="inlineStr">
        <is>
          <t>Auto Engaged</t>
        </is>
      </c>
      <c r="L562" t="n">
        <v>5</v>
      </c>
      <c r="M562" t="inlineStr">
        <is>
          <t>2026-06-26 12:07:48</t>
        </is>
      </c>
      <c r="N562" t="inlineStr">
        <is>
          <t>system</t>
        </is>
      </c>
      <c r="O562" t="inlineStr">
        <is>
          <t>2026-06-22 14:11:25</t>
        </is>
      </c>
      <c r="P562" t="inlineStr">
        <is>
          <t>2026-06-22 14:11:25</t>
        </is>
      </c>
      <c r="Y562" t="inlineStr">
        <is>
          <t>27660381219</t>
        </is>
      </c>
    </row>
    <row r="563">
      <c r="A563" t="inlineStr">
        <is>
          <t>14973831</t>
        </is>
      </c>
      <c r="B563" t="inlineStr">
        <is>
          <t>0a04241a-8a1f-4416-a69a-ddbbc13eccb0</t>
        </is>
      </c>
      <c r="D563" t="inlineStr">
        <is>
          <t>11111127</t>
        </is>
      </c>
      <c r="E563" t="inlineStr">
        <is>
          <t>Vodacom Life 20260622</t>
        </is>
      </c>
      <c r="H563" t="inlineStr">
        <is>
          <t>27665712337</t>
        </is>
      </c>
      <c r="J563" t="inlineStr">
        <is>
          <t>DROP</t>
        </is>
      </c>
      <c r="K563" t="inlineStr">
        <is>
          <t>Dropped</t>
        </is>
      </c>
      <c r="L563" t="n">
        <v>5</v>
      </c>
      <c r="M563" t="inlineStr">
        <is>
          <t>2026-06-26 12:06:14</t>
        </is>
      </c>
      <c r="N563" t="inlineStr">
        <is>
          <t>system</t>
        </is>
      </c>
      <c r="O563" t="inlineStr">
        <is>
          <t>2026-06-22 14:11:25</t>
        </is>
      </c>
      <c r="P563" t="inlineStr">
        <is>
          <t>2026-06-22 14:11:25</t>
        </is>
      </c>
      <c r="Y563" t="inlineStr">
        <is>
          <t>27665712337</t>
        </is>
      </c>
    </row>
    <row r="564">
      <c r="A564" t="inlineStr">
        <is>
          <t>14973832</t>
        </is>
      </c>
      <c r="B564" t="inlineStr">
        <is>
          <t>fc0cf652-2909-45ac-9af4-7efeb4b1cbae</t>
        </is>
      </c>
      <c r="D564" t="inlineStr">
        <is>
          <t>11111127</t>
        </is>
      </c>
      <c r="E564" t="inlineStr">
        <is>
          <t>Vodacom Life 20260622</t>
        </is>
      </c>
      <c r="H564" t="inlineStr">
        <is>
          <t>27637491533</t>
        </is>
      </c>
      <c r="J564" t="inlineStr">
        <is>
          <t>DROP</t>
        </is>
      </c>
      <c r="K564" t="inlineStr">
        <is>
          <t>Dropped</t>
        </is>
      </c>
      <c r="L564" t="n">
        <v>5</v>
      </c>
      <c r="M564" t="inlineStr">
        <is>
          <t>2026-06-26 12:06:14</t>
        </is>
      </c>
      <c r="N564" t="inlineStr">
        <is>
          <t>system</t>
        </is>
      </c>
      <c r="O564" t="inlineStr">
        <is>
          <t>2026-06-22 14:11:25</t>
        </is>
      </c>
      <c r="P564" t="inlineStr">
        <is>
          <t>2026-06-22 14:11:25</t>
        </is>
      </c>
      <c r="Y564" t="inlineStr">
        <is>
          <t>27637491533</t>
        </is>
      </c>
    </row>
    <row r="565">
      <c r="A565" t="inlineStr">
        <is>
          <t>14973833</t>
        </is>
      </c>
      <c r="B565" t="inlineStr">
        <is>
          <t>1a8b0eff-92a3-4eff-9ba1-c157c3ce2d38</t>
        </is>
      </c>
      <c r="D565" t="inlineStr">
        <is>
          <t>11111127</t>
        </is>
      </c>
      <c r="E565" t="inlineStr">
        <is>
          <t>Vodacom Life 20260622</t>
        </is>
      </c>
      <c r="J565" t="inlineStr">
        <is>
          <t>AA</t>
        </is>
      </c>
      <c r="K565" t="inlineStr">
        <is>
          <t>Answering Machine Autodial</t>
        </is>
      </c>
      <c r="L565" t="n">
        <v>5</v>
      </c>
      <c r="M565" t="inlineStr">
        <is>
          <t>2026-06-26 12:06:14</t>
        </is>
      </c>
      <c r="N565" t="inlineStr">
        <is>
          <t>system</t>
        </is>
      </c>
      <c r="O565" t="inlineStr">
        <is>
          <t>2026-06-22 14:11:25</t>
        </is>
      </c>
      <c r="P565" t="inlineStr">
        <is>
          <t>2026-06-22 14:11:25</t>
        </is>
      </c>
      <c r="Y565" t="inlineStr">
        <is>
          <t>27665481976</t>
        </is>
      </c>
    </row>
    <row r="566">
      <c r="A566" t="inlineStr">
        <is>
          <t>14973834</t>
        </is>
      </c>
      <c r="B566" t="inlineStr">
        <is>
          <t>39c392c0-fbcb-4259-8e85-63e3d710c0b0</t>
        </is>
      </c>
      <c r="D566" t="inlineStr">
        <is>
          <t>11111127</t>
        </is>
      </c>
      <c r="E566" t="inlineStr">
        <is>
          <t>Vodacom Life 20260622</t>
        </is>
      </c>
      <c r="J566" t="inlineStr">
        <is>
          <t>NA</t>
        </is>
      </c>
      <c r="K566" t="inlineStr">
        <is>
          <t>No Answer Autodial</t>
        </is>
      </c>
      <c r="L566" t="n">
        <v>5</v>
      </c>
      <c r="M566" t="inlineStr">
        <is>
          <t>2026-06-26 12:06:13</t>
        </is>
      </c>
      <c r="N566" t="inlineStr">
        <is>
          <t>system</t>
        </is>
      </c>
      <c r="O566" t="inlineStr">
        <is>
          <t>2026-06-22 14:11:25</t>
        </is>
      </c>
      <c r="P566" t="inlineStr">
        <is>
          <t>2026-06-22 14:11:25</t>
        </is>
      </c>
      <c r="Y566" t="inlineStr">
        <is>
          <t>27714770048</t>
        </is>
      </c>
    </row>
    <row r="567">
      <c r="A567" t="inlineStr">
        <is>
          <t>14973835</t>
        </is>
      </c>
      <c r="B567" t="inlineStr">
        <is>
          <t>acc0b4ef-452b-4117-a77b-f536ed47ad52</t>
        </is>
      </c>
      <c r="D567" t="inlineStr">
        <is>
          <t>11111127</t>
        </is>
      </c>
      <c r="E567" t="inlineStr">
        <is>
          <t>Vodacom Life 20260622</t>
        </is>
      </c>
      <c r="J567" t="inlineStr">
        <is>
          <t>NA</t>
        </is>
      </c>
      <c r="K567" t="inlineStr">
        <is>
          <t>No Answer Autodial</t>
        </is>
      </c>
      <c r="L567" t="n">
        <v>5</v>
      </c>
      <c r="M567" t="inlineStr">
        <is>
          <t>2026-06-26 12:06:13</t>
        </is>
      </c>
      <c r="N567" t="inlineStr">
        <is>
          <t>system</t>
        </is>
      </c>
      <c r="O567" t="inlineStr">
        <is>
          <t>2026-06-22 14:11:25</t>
        </is>
      </c>
      <c r="P567" t="inlineStr">
        <is>
          <t>2026-06-22 14:11:25</t>
        </is>
      </c>
      <c r="Y567" t="inlineStr">
        <is>
          <t>27761641578</t>
        </is>
      </c>
    </row>
    <row r="568">
      <c r="A568" t="inlineStr">
        <is>
          <t>14973882</t>
        </is>
      </c>
      <c r="B568" t="inlineStr">
        <is>
          <t>3bda4cee-493a-4893-a734-a81a4714199d</t>
        </is>
      </c>
      <c r="D568" t="inlineStr">
        <is>
          <t>11111127</t>
        </is>
      </c>
      <c r="E568" t="inlineStr">
        <is>
          <t>Vodacom Life 20260622</t>
        </is>
      </c>
      <c r="J568" t="inlineStr">
        <is>
          <t>DROP</t>
        </is>
      </c>
      <c r="K568" t="inlineStr">
        <is>
          <t>Dropped</t>
        </is>
      </c>
      <c r="L568" t="n">
        <v>5</v>
      </c>
      <c r="M568" t="inlineStr">
        <is>
          <t>2026-06-26 12:03:26</t>
        </is>
      </c>
      <c r="N568" t="inlineStr">
        <is>
          <t>system</t>
        </is>
      </c>
      <c r="O568" t="inlineStr">
        <is>
          <t>2026-06-22 14:11:25</t>
        </is>
      </c>
      <c r="P568" t="inlineStr">
        <is>
          <t>2026-06-22 14:11:25</t>
        </is>
      </c>
      <c r="Y568" t="inlineStr">
        <is>
          <t>27823588119</t>
        </is>
      </c>
    </row>
    <row r="569">
      <c r="A569" t="inlineStr">
        <is>
          <t>14973883</t>
        </is>
      </c>
      <c r="B569" t="inlineStr">
        <is>
          <t>8b1ffe84-c75d-4442-b158-f7f64537020f</t>
        </is>
      </c>
      <c r="D569" t="inlineStr">
        <is>
          <t>11111127</t>
        </is>
      </c>
      <c r="E569" t="inlineStr">
        <is>
          <t>Vodacom Life 20260622</t>
        </is>
      </c>
      <c r="J569" t="inlineStr">
        <is>
          <t>QAVET</t>
        </is>
      </c>
      <c r="K569" t="inlineStr">
        <is>
          <t>Sale Made</t>
        </is>
      </c>
      <c r="L569" t="n">
        <v>5</v>
      </c>
      <c r="M569" t="inlineStr">
        <is>
          <t>2026-06-26 12:03:21</t>
        </is>
      </c>
      <c r="N569" t="inlineStr">
        <is>
          <t>Khensane Mabasa</t>
        </is>
      </c>
      <c r="O569" t="inlineStr">
        <is>
          <t>2026-06-22 14:11:25</t>
        </is>
      </c>
      <c r="P569" t="inlineStr">
        <is>
          <t>2026-06-22 14:11:25</t>
        </is>
      </c>
      <c r="Y569" t="inlineStr">
        <is>
          <t>27608754112</t>
        </is>
      </c>
    </row>
    <row r="570">
      <c r="A570" t="inlineStr">
        <is>
          <t>14973884</t>
        </is>
      </c>
      <c r="B570" t="inlineStr">
        <is>
          <t>d45896ac-1046-4492-afeb-6dec77fad237</t>
        </is>
      </c>
      <c r="D570" t="inlineStr">
        <is>
          <t>11111127</t>
        </is>
      </c>
      <c r="E570" t="inlineStr">
        <is>
          <t>Vodacom Life 20260622</t>
        </is>
      </c>
      <c r="J570" t="inlineStr">
        <is>
          <t>AA</t>
        </is>
      </c>
      <c r="K570" t="inlineStr">
        <is>
          <t>Answering Machine Autodial</t>
        </is>
      </c>
      <c r="L570" t="n">
        <v>5</v>
      </c>
      <c r="M570" t="inlineStr">
        <is>
          <t>2026-06-26 12:03:21</t>
        </is>
      </c>
      <c r="N570" t="inlineStr">
        <is>
          <t>system</t>
        </is>
      </c>
      <c r="O570" t="inlineStr">
        <is>
          <t>2026-06-22 14:11:25</t>
        </is>
      </c>
      <c r="P570" t="inlineStr">
        <is>
          <t>2026-06-22 14:11:25</t>
        </is>
      </c>
      <c r="Y570" t="inlineStr">
        <is>
          <t>27760558513</t>
        </is>
      </c>
    </row>
    <row r="571">
      <c r="A571" t="inlineStr">
        <is>
          <t>14973826</t>
        </is>
      </c>
      <c r="B571" t="inlineStr">
        <is>
          <t>22bfa964-0f85-4346-b63d-3f7a501e165c</t>
        </is>
      </c>
      <c r="D571" t="inlineStr">
        <is>
          <t>11111127</t>
        </is>
      </c>
      <c r="E571" t="inlineStr">
        <is>
          <t>Vodacom Life 20260622</t>
        </is>
      </c>
      <c r="H571" t="inlineStr">
        <is>
          <t>27713096421</t>
        </is>
      </c>
      <c r="J571" t="inlineStr">
        <is>
          <t>CU</t>
        </is>
      </c>
      <c r="K571" t="inlineStr">
        <is>
          <t>Client Hung Up</t>
        </is>
      </c>
      <c r="L571" t="n">
        <v>5</v>
      </c>
      <c r="M571" t="inlineStr">
        <is>
          <t>2026-06-26 12:03:08</t>
        </is>
      </c>
      <c r="N571" t="inlineStr">
        <is>
          <t>system</t>
        </is>
      </c>
      <c r="O571" t="inlineStr">
        <is>
          <t>2026-06-22 14:11:25</t>
        </is>
      </c>
      <c r="P571" t="inlineStr">
        <is>
          <t>2026-06-22 14:11:25</t>
        </is>
      </c>
      <c r="Y571" t="inlineStr">
        <is>
          <t>27713096421</t>
        </is>
      </c>
    </row>
    <row r="572">
      <c r="A572" t="inlineStr">
        <is>
          <t>14974333</t>
        </is>
      </c>
      <c r="B572" t="inlineStr">
        <is>
          <t>c153c72e-e1fa-467e-9efc-3badc51071b8</t>
        </is>
      </c>
      <c r="D572" t="inlineStr">
        <is>
          <t>11111127</t>
        </is>
      </c>
      <c r="E572" t="inlineStr">
        <is>
          <t>Vodacom Life 20260622</t>
        </is>
      </c>
      <c r="J572" t="inlineStr">
        <is>
          <t>AA</t>
        </is>
      </c>
      <c r="K572" t="inlineStr">
        <is>
          <t>Answering Machine Autodial</t>
        </is>
      </c>
      <c r="L572" t="n">
        <v>5</v>
      </c>
      <c r="M572" t="inlineStr">
        <is>
          <t>2026-06-26 12:02:44</t>
        </is>
      </c>
      <c r="N572" t="inlineStr">
        <is>
          <t>system</t>
        </is>
      </c>
      <c r="O572" t="inlineStr">
        <is>
          <t>2026-06-22 14:11:25</t>
        </is>
      </c>
      <c r="P572" t="inlineStr">
        <is>
          <t>2026-06-22 14:11:25</t>
        </is>
      </c>
      <c r="Y572" t="inlineStr">
        <is>
          <t>27713697448</t>
        </is>
      </c>
    </row>
    <row r="573">
      <c r="A573" t="inlineStr">
        <is>
          <t>14973825</t>
        </is>
      </c>
      <c r="B573" t="inlineStr">
        <is>
          <t>cfd363ec-40f6-478f-b9ea-0f7a211a710b</t>
        </is>
      </c>
      <c r="D573" t="inlineStr">
        <is>
          <t>11111127</t>
        </is>
      </c>
      <c r="E573" t="inlineStr">
        <is>
          <t>Vodacom Life 20260622</t>
        </is>
      </c>
      <c r="H573" t="inlineStr">
        <is>
          <t>27663246403</t>
        </is>
      </c>
      <c r="J573" t="inlineStr">
        <is>
          <t>NA</t>
        </is>
      </c>
      <c r="K573" t="inlineStr">
        <is>
          <t>No Answer Autodial</t>
        </is>
      </c>
      <c r="L573" t="n">
        <v>5</v>
      </c>
      <c r="M573" t="inlineStr">
        <is>
          <t>2026-06-26 12:02:30</t>
        </is>
      </c>
      <c r="N573" t="inlineStr">
        <is>
          <t>system</t>
        </is>
      </c>
      <c r="O573" t="inlineStr">
        <is>
          <t>2026-06-22 14:11:25</t>
        </is>
      </c>
      <c r="P573" t="inlineStr">
        <is>
          <t>2026-06-22 14:11:25</t>
        </is>
      </c>
      <c r="Y573" t="inlineStr">
        <is>
          <t>27663246403</t>
        </is>
      </c>
    </row>
    <row r="574">
      <c r="A574" t="inlineStr">
        <is>
          <t>14973827</t>
        </is>
      </c>
      <c r="B574" t="inlineStr">
        <is>
          <t>a428df81-a928-4f4d-96f9-4239336725b1</t>
        </is>
      </c>
      <c r="D574" t="inlineStr">
        <is>
          <t>11111127</t>
        </is>
      </c>
      <c r="E574" t="inlineStr">
        <is>
          <t>Vodacom Life 20260622</t>
        </is>
      </c>
      <c r="J574" t="inlineStr">
        <is>
          <t>AA</t>
        </is>
      </c>
      <c r="K574" t="inlineStr">
        <is>
          <t>Answering Machine Autodial</t>
        </is>
      </c>
      <c r="L574" t="n">
        <v>5</v>
      </c>
      <c r="M574" t="inlineStr">
        <is>
          <t>2026-06-26 12:02:29</t>
        </is>
      </c>
      <c r="N574" t="inlineStr">
        <is>
          <t>system</t>
        </is>
      </c>
      <c r="O574" t="inlineStr">
        <is>
          <t>2026-06-22 14:11:25</t>
        </is>
      </c>
      <c r="P574" t="inlineStr">
        <is>
          <t>2026-06-22 14:11:25</t>
        </is>
      </c>
      <c r="Y574" t="inlineStr">
        <is>
          <t>27791735813</t>
        </is>
      </c>
    </row>
    <row r="575">
      <c r="A575" t="inlineStr">
        <is>
          <t>14973828</t>
        </is>
      </c>
      <c r="B575" t="inlineStr">
        <is>
          <t>01309303-24b1-4c6a-97d5-1584d1d71315</t>
        </is>
      </c>
      <c r="D575" t="inlineStr">
        <is>
          <t>11111127</t>
        </is>
      </c>
      <c r="E575" t="inlineStr">
        <is>
          <t>Vodacom Life 20260622</t>
        </is>
      </c>
      <c r="J575" t="inlineStr">
        <is>
          <t>AE</t>
        </is>
      </c>
      <c r="K575" t="inlineStr">
        <is>
          <t>Auto Engaged</t>
        </is>
      </c>
      <c r="L575" t="n">
        <v>5</v>
      </c>
      <c r="M575" t="inlineStr">
        <is>
          <t>2026-06-26 12:01:31</t>
        </is>
      </c>
      <c r="N575" t="inlineStr">
        <is>
          <t>system</t>
        </is>
      </c>
      <c r="O575" t="inlineStr">
        <is>
          <t>2026-06-22 14:11:25</t>
        </is>
      </c>
      <c r="P575" t="inlineStr">
        <is>
          <t>2026-06-22 14:11:25</t>
        </is>
      </c>
      <c r="Y575" t="inlineStr">
        <is>
          <t>27796672126</t>
        </is>
      </c>
    </row>
    <row r="576">
      <c r="A576" t="inlineStr">
        <is>
          <t>14973829</t>
        </is>
      </c>
      <c r="B576" t="inlineStr">
        <is>
          <t>1c82bda6-c474-4486-b17d-a748321abce3</t>
        </is>
      </c>
      <c r="D576" t="inlineStr">
        <is>
          <t>11111127</t>
        </is>
      </c>
      <c r="E576" t="inlineStr">
        <is>
          <t>Vodacom Life 20260622</t>
        </is>
      </c>
      <c r="J576" t="inlineStr">
        <is>
          <t>AA</t>
        </is>
      </c>
      <c r="K576" t="inlineStr">
        <is>
          <t>Answering Machine Autodial</t>
        </is>
      </c>
      <c r="L576" t="n">
        <v>5</v>
      </c>
      <c r="M576" t="inlineStr">
        <is>
          <t>2026-06-26 12:01:29</t>
        </is>
      </c>
      <c r="N576" t="inlineStr">
        <is>
          <t>system</t>
        </is>
      </c>
      <c r="O576" t="inlineStr">
        <is>
          <t>2026-06-22 14:11:25</t>
        </is>
      </c>
      <c r="P576" t="inlineStr">
        <is>
          <t>2026-06-22 14:11:25</t>
        </is>
      </c>
      <c r="Y576" t="inlineStr">
        <is>
          <t>27714370324</t>
        </is>
      </c>
    </row>
    <row r="577">
      <c r="A577" t="inlineStr">
        <is>
          <t>14973830</t>
        </is>
      </c>
      <c r="B577" t="inlineStr">
        <is>
          <t>b8f3da7f-e321-4fb1-8719-5cdf5b5a3234</t>
        </is>
      </c>
      <c r="D577" t="inlineStr">
        <is>
          <t>11111127</t>
        </is>
      </c>
      <c r="E577" t="inlineStr">
        <is>
          <t>Vodacom Life 20260622</t>
        </is>
      </c>
      <c r="J577" t="inlineStr">
        <is>
          <t>AA</t>
        </is>
      </c>
      <c r="K577" t="inlineStr">
        <is>
          <t>Answering Machine Autodial</t>
        </is>
      </c>
      <c r="L577" t="n">
        <v>5</v>
      </c>
      <c r="M577" t="inlineStr">
        <is>
          <t>2026-06-26 12:01:26</t>
        </is>
      </c>
      <c r="N577" t="inlineStr">
        <is>
          <t>system</t>
        </is>
      </c>
      <c r="O577" t="inlineStr">
        <is>
          <t>2026-06-22 14:11:25</t>
        </is>
      </c>
      <c r="P577" t="inlineStr">
        <is>
          <t>2026-06-22 14:11:25</t>
        </is>
      </c>
      <c r="Y577" t="inlineStr">
        <is>
          <t>27721077123</t>
        </is>
      </c>
    </row>
    <row r="578">
      <c r="A578" t="inlineStr">
        <is>
          <t>14974344</t>
        </is>
      </c>
      <c r="B578" t="inlineStr">
        <is>
          <t>39d8100f-57f9-4419-ad3c-2aaee23d2b7f</t>
        </is>
      </c>
      <c r="D578" t="inlineStr">
        <is>
          <t>11111127</t>
        </is>
      </c>
      <c r="E578" t="inlineStr">
        <is>
          <t>Vodacom Life 20260622</t>
        </is>
      </c>
      <c r="J578" t="inlineStr">
        <is>
          <t>NA</t>
        </is>
      </c>
      <c r="K578" t="inlineStr">
        <is>
          <t>No Answer Autodial</t>
        </is>
      </c>
      <c r="L578" t="n">
        <v>5</v>
      </c>
      <c r="M578" t="inlineStr">
        <is>
          <t>2026-06-26 12:01:18</t>
        </is>
      </c>
      <c r="N578" t="inlineStr">
        <is>
          <t>system</t>
        </is>
      </c>
      <c r="O578" t="inlineStr">
        <is>
          <t>2026-06-22 14:11:25</t>
        </is>
      </c>
      <c r="P578" t="inlineStr">
        <is>
          <t>2026-06-22 14:11:25</t>
        </is>
      </c>
      <c r="Y578" t="inlineStr">
        <is>
          <t>27791558778</t>
        </is>
      </c>
    </row>
    <row r="579">
      <c r="A579" t="inlineStr">
        <is>
          <t>14974343</t>
        </is>
      </c>
      <c r="B579" t="inlineStr">
        <is>
          <t>d3f3b9b0-bc09-46ca-bab6-7fb29b084a51</t>
        </is>
      </c>
      <c r="D579" t="inlineStr">
        <is>
          <t>11111127</t>
        </is>
      </c>
      <c r="E579" t="inlineStr">
        <is>
          <t>Vodacom Life 20260622</t>
        </is>
      </c>
      <c r="J579" t="inlineStr">
        <is>
          <t>AA</t>
        </is>
      </c>
      <c r="K579" t="inlineStr">
        <is>
          <t>Answering Machine Autodial</t>
        </is>
      </c>
      <c r="L579" t="n">
        <v>5</v>
      </c>
      <c r="M579" t="inlineStr">
        <is>
          <t>2026-06-26 12:01:16</t>
        </is>
      </c>
      <c r="N579" t="inlineStr">
        <is>
          <t>system</t>
        </is>
      </c>
      <c r="O579" t="inlineStr">
        <is>
          <t>2026-06-22 14:11:25</t>
        </is>
      </c>
      <c r="P579" t="inlineStr">
        <is>
          <t>2026-06-22 14:11:25</t>
        </is>
      </c>
      <c r="Y579" t="inlineStr">
        <is>
          <t>27794103689</t>
        </is>
      </c>
    </row>
    <row r="580">
      <c r="A580" t="inlineStr">
        <is>
          <t>14973820</t>
        </is>
      </c>
      <c r="B580" t="inlineStr">
        <is>
          <t>f391d7ef-4bc7-4677-9bbd-fea672a00e4f</t>
        </is>
      </c>
      <c r="D580" t="inlineStr">
        <is>
          <t>11111127</t>
        </is>
      </c>
      <c r="E580" t="inlineStr">
        <is>
          <t>Vodacom Life 20260622</t>
        </is>
      </c>
      <c r="J580" t="inlineStr">
        <is>
          <t>AA</t>
        </is>
      </c>
      <c r="K580" t="inlineStr">
        <is>
          <t>Answering Machine Autodial</t>
        </is>
      </c>
      <c r="L580" t="n">
        <v>5</v>
      </c>
      <c r="M580" t="inlineStr">
        <is>
          <t>2026-06-26 12:01:15</t>
        </is>
      </c>
      <c r="N580" t="inlineStr">
        <is>
          <t>system</t>
        </is>
      </c>
      <c r="O580" t="inlineStr">
        <is>
          <t>2026-06-22 14:11:25</t>
        </is>
      </c>
      <c r="P580" t="inlineStr">
        <is>
          <t>2026-06-22 14:11:25</t>
        </is>
      </c>
      <c r="Y580" t="inlineStr">
        <is>
          <t>27763801311</t>
        </is>
      </c>
    </row>
    <row r="581">
      <c r="A581" t="inlineStr">
        <is>
          <t>14973821</t>
        </is>
      </c>
      <c r="B581" t="inlineStr">
        <is>
          <t>175a75c2-ca47-4058-abd7-f15167dc21cd</t>
        </is>
      </c>
      <c r="D581" t="inlineStr">
        <is>
          <t>11111127</t>
        </is>
      </c>
      <c r="E581" t="inlineStr">
        <is>
          <t>Vodacom Life 20260622</t>
        </is>
      </c>
      <c r="J581" t="inlineStr">
        <is>
          <t>AE</t>
        </is>
      </c>
      <c r="K581" t="inlineStr">
        <is>
          <t>Auto Engaged</t>
        </is>
      </c>
      <c r="L581" t="n">
        <v>5</v>
      </c>
      <c r="M581" t="inlineStr">
        <is>
          <t>2026-06-26 12:01:15</t>
        </is>
      </c>
      <c r="N581" t="inlineStr">
        <is>
          <t>system</t>
        </is>
      </c>
      <c r="O581" t="inlineStr">
        <is>
          <t>2026-06-22 14:11:25</t>
        </is>
      </c>
      <c r="P581" t="inlineStr">
        <is>
          <t>2026-06-22 14:11:25</t>
        </is>
      </c>
      <c r="Y581" t="inlineStr">
        <is>
          <t>27827829506</t>
        </is>
      </c>
    </row>
    <row r="582">
      <c r="A582" t="inlineStr">
        <is>
          <t>14974336</t>
        </is>
      </c>
      <c r="B582" t="inlineStr">
        <is>
          <t>1665887d-7384-49ab-be1a-aa47c28340ac</t>
        </is>
      </c>
      <c r="D582" t="inlineStr">
        <is>
          <t>11111127</t>
        </is>
      </c>
      <c r="E582" t="inlineStr">
        <is>
          <t>Vodacom Life 20260622</t>
        </is>
      </c>
      <c r="J582" t="inlineStr">
        <is>
          <t>AE</t>
        </is>
      </c>
      <c r="K582" t="inlineStr">
        <is>
          <t>Auto Engaged</t>
        </is>
      </c>
      <c r="L582" t="n">
        <v>5</v>
      </c>
      <c r="M582" t="inlineStr">
        <is>
          <t>2026-06-26 12:01:15</t>
        </is>
      </c>
      <c r="N582" t="inlineStr">
        <is>
          <t>system</t>
        </is>
      </c>
      <c r="O582" t="inlineStr">
        <is>
          <t>2026-06-22 14:11:25</t>
        </is>
      </c>
      <c r="P582" t="inlineStr">
        <is>
          <t>2026-06-22 14:11:25</t>
        </is>
      </c>
      <c r="Y582" t="inlineStr">
        <is>
          <t>27673227110</t>
        </is>
      </c>
    </row>
    <row r="583">
      <c r="A583" t="inlineStr">
        <is>
          <t>14973822</t>
        </is>
      </c>
      <c r="B583" t="inlineStr">
        <is>
          <t>277799dd-2b03-42c3-ae33-e29841650838</t>
        </is>
      </c>
      <c r="D583" t="inlineStr">
        <is>
          <t>11111127</t>
        </is>
      </c>
      <c r="E583" t="inlineStr">
        <is>
          <t>Vodacom Life 20260622</t>
        </is>
      </c>
      <c r="J583" t="inlineStr">
        <is>
          <t>AA</t>
        </is>
      </c>
      <c r="K583" t="inlineStr">
        <is>
          <t>Answering Machine Autodial</t>
        </is>
      </c>
      <c r="L583" t="n">
        <v>5</v>
      </c>
      <c r="M583" t="inlineStr">
        <is>
          <t>2026-06-26 12:00:21</t>
        </is>
      </c>
      <c r="N583" t="inlineStr">
        <is>
          <t>system</t>
        </is>
      </c>
      <c r="O583" t="inlineStr">
        <is>
          <t>2026-06-22 14:11:25</t>
        </is>
      </c>
      <c r="P583" t="inlineStr">
        <is>
          <t>2026-06-22 14:11:25</t>
        </is>
      </c>
      <c r="Y583" t="inlineStr">
        <is>
          <t>27827026596</t>
        </is>
      </c>
    </row>
    <row r="584">
      <c r="A584" t="inlineStr">
        <is>
          <t>14973823</t>
        </is>
      </c>
      <c r="B584" t="inlineStr">
        <is>
          <t>0538aae5-9488-495b-ab1e-ea09c94c255b</t>
        </is>
      </c>
      <c r="D584" t="inlineStr">
        <is>
          <t>11111127</t>
        </is>
      </c>
      <c r="E584" t="inlineStr">
        <is>
          <t>Vodacom Life 20260622</t>
        </is>
      </c>
      <c r="H584" t="inlineStr">
        <is>
          <t>27639363600</t>
        </is>
      </c>
      <c r="J584" t="inlineStr">
        <is>
          <t>DROP</t>
        </is>
      </c>
      <c r="K584" t="inlineStr">
        <is>
          <t>Dropped</t>
        </is>
      </c>
      <c r="L584" t="n">
        <v>5</v>
      </c>
      <c r="M584" t="inlineStr">
        <is>
          <t>2026-06-26 12:00:21</t>
        </is>
      </c>
      <c r="N584" t="inlineStr">
        <is>
          <t>system</t>
        </is>
      </c>
      <c r="O584" t="inlineStr">
        <is>
          <t>2026-06-22 14:11:25</t>
        </is>
      </c>
      <c r="P584" t="inlineStr">
        <is>
          <t>2026-06-22 14:11:25</t>
        </is>
      </c>
      <c r="Y584" t="inlineStr">
        <is>
          <t>27639363600</t>
        </is>
      </c>
    </row>
    <row r="585">
      <c r="A585" t="inlineStr">
        <is>
          <t>14973824</t>
        </is>
      </c>
      <c r="B585" t="inlineStr">
        <is>
          <t>f938da0c-59ef-4b4f-ad92-b4848eb2d11a</t>
        </is>
      </c>
      <c r="D585" t="inlineStr">
        <is>
          <t>11111127</t>
        </is>
      </c>
      <c r="E585" t="inlineStr">
        <is>
          <t>Vodacom Life 20260622</t>
        </is>
      </c>
      <c r="J585" t="inlineStr">
        <is>
          <t>NA</t>
        </is>
      </c>
      <c r="K585" t="inlineStr">
        <is>
          <t>No Answer Autodial</t>
        </is>
      </c>
      <c r="L585" t="n">
        <v>5</v>
      </c>
      <c r="M585" t="inlineStr">
        <is>
          <t>2026-06-26 11:59:42</t>
        </is>
      </c>
      <c r="N585" t="inlineStr">
        <is>
          <t>system</t>
        </is>
      </c>
      <c r="O585" t="inlineStr">
        <is>
          <t>2026-06-22 14:11:25</t>
        </is>
      </c>
      <c r="P585" t="inlineStr">
        <is>
          <t>2026-06-22 14:11:25</t>
        </is>
      </c>
      <c r="Y585" t="inlineStr">
        <is>
          <t>27712640482</t>
        </is>
      </c>
    </row>
    <row r="586">
      <c r="A586" t="inlineStr">
        <is>
          <t>14974390</t>
        </is>
      </c>
      <c r="B586" t="inlineStr">
        <is>
          <t>d935371a-6f5f-419b-94de-14d06b28fbfe</t>
        </is>
      </c>
      <c r="D586" t="inlineStr">
        <is>
          <t>11111127</t>
        </is>
      </c>
      <c r="E586" t="inlineStr">
        <is>
          <t>Vodacom Life 20260622</t>
        </is>
      </c>
      <c r="J586" t="inlineStr">
        <is>
          <t>AF</t>
        </is>
      </c>
      <c r="K586" t="inlineStr">
        <is>
          <t>Cannot Afford</t>
        </is>
      </c>
      <c r="L586" t="n">
        <v>5</v>
      </c>
      <c r="M586" t="inlineStr">
        <is>
          <t>2026-06-26 11:58:51</t>
        </is>
      </c>
      <c r="N586" t="inlineStr">
        <is>
          <t>Maureen Ntsoko</t>
        </is>
      </c>
      <c r="O586" t="inlineStr">
        <is>
          <t>2026-06-22 14:11:25</t>
        </is>
      </c>
      <c r="P586" t="inlineStr">
        <is>
          <t>2026-06-22 14:11:25</t>
        </is>
      </c>
      <c r="Y586" t="inlineStr">
        <is>
          <t>27714888259</t>
        </is>
      </c>
    </row>
    <row r="587">
      <c r="A587" t="inlineStr">
        <is>
          <t>14973817</t>
        </is>
      </c>
      <c r="B587" t="inlineStr">
        <is>
          <t>775f3350-b8c3-4d83-9903-955cf0e7673a</t>
        </is>
      </c>
      <c r="D587" t="inlineStr">
        <is>
          <t>11111127</t>
        </is>
      </c>
      <c r="E587" t="inlineStr">
        <is>
          <t>Vodacom Life 20260622</t>
        </is>
      </c>
      <c r="H587" t="inlineStr">
        <is>
          <t>27636521232</t>
        </is>
      </c>
      <c r="J587" t="inlineStr">
        <is>
          <t>AA</t>
        </is>
      </c>
      <c r="K587" t="inlineStr">
        <is>
          <t>Answering Machine Autodial</t>
        </is>
      </c>
      <c r="L587" t="n">
        <v>5</v>
      </c>
      <c r="M587" t="inlineStr">
        <is>
          <t>2026-06-26 11:57:29</t>
        </is>
      </c>
      <c r="N587" t="inlineStr">
        <is>
          <t>system</t>
        </is>
      </c>
      <c r="O587" t="inlineStr">
        <is>
          <t>2026-06-22 14:11:25</t>
        </is>
      </c>
      <c r="P587" t="inlineStr">
        <is>
          <t>2026-06-22 14:11:25</t>
        </is>
      </c>
      <c r="Y587" t="inlineStr">
        <is>
          <t>27636521232</t>
        </is>
      </c>
    </row>
    <row r="588">
      <c r="A588" t="inlineStr">
        <is>
          <t>14973818</t>
        </is>
      </c>
      <c r="B588" t="inlineStr">
        <is>
          <t>a35f8ad2-63e8-46f2-942b-fbcb2fb950cd</t>
        </is>
      </c>
      <c r="D588" t="inlineStr">
        <is>
          <t>11111127</t>
        </is>
      </c>
      <c r="E588" t="inlineStr">
        <is>
          <t>Vodacom Life 20260622</t>
        </is>
      </c>
      <c r="J588" t="inlineStr">
        <is>
          <t>AA</t>
        </is>
      </c>
      <c r="K588" t="inlineStr">
        <is>
          <t>Answering Machine Autodial</t>
        </is>
      </c>
      <c r="L588" t="n">
        <v>5</v>
      </c>
      <c r="M588" t="inlineStr">
        <is>
          <t>2026-06-26 11:57:29</t>
        </is>
      </c>
      <c r="N588" t="inlineStr">
        <is>
          <t>system</t>
        </is>
      </c>
      <c r="O588" t="inlineStr">
        <is>
          <t>2026-06-22 14:11:25</t>
        </is>
      </c>
      <c r="P588" t="inlineStr">
        <is>
          <t>2026-06-22 14:11:25</t>
        </is>
      </c>
      <c r="Y588" t="inlineStr">
        <is>
          <t>27761717083</t>
        </is>
      </c>
    </row>
    <row r="589">
      <c r="A589" t="inlineStr">
        <is>
          <t>14973819</t>
        </is>
      </c>
      <c r="B589" t="inlineStr">
        <is>
          <t>862fae6c-adba-476a-8824-35acbabe8b74</t>
        </is>
      </c>
      <c r="D589" t="inlineStr">
        <is>
          <t>11111127</t>
        </is>
      </c>
      <c r="E589" t="inlineStr">
        <is>
          <t>Vodacom Life 20260622</t>
        </is>
      </c>
      <c r="J589" t="inlineStr">
        <is>
          <t>CU</t>
        </is>
      </c>
      <c r="K589" t="inlineStr">
        <is>
          <t>Client Hung Up</t>
        </is>
      </c>
      <c r="L589" t="n">
        <v>5</v>
      </c>
      <c r="M589" t="inlineStr">
        <is>
          <t>2026-06-26 11:57:29</t>
        </is>
      </c>
      <c r="N589" t="inlineStr">
        <is>
          <t>Khensane Mabasa</t>
        </is>
      </c>
      <c r="O589" t="inlineStr">
        <is>
          <t>2026-06-22 14:11:25</t>
        </is>
      </c>
      <c r="P589" t="inlineStr">
        <is>
          <t>2026-06-22 14:11:25</t>
        </is>
      </c>
      <c r="Y589" t="inlineStr">
        <is>
          <t>27762924741</t>
        </is>
      </c>
    </row>
    <row r="590">
      <c r="A590" t="inlineStr">
        <is>
          <t>14973814</t>
        </is>
      </c>
      <c r="B590" t="inlineStr">
        <is>
          <t>bfe7e54e-d9f1-4e27-a69a-ca62822da538</t>
        </is>
      </c>
      <c r="D590" t="inlineStr">
        <is>
          <t>11111127</t>
        </is>
      </c>
      <c r="E590" t="inlineStr">
        <is>
          <t>Vodacom Life 20260622</t>
        </is>
      </c>
      <c r="J590" t="inlineStr">
        <is>
          <t>DROP</t>
        </is>
      </c>
      <c r="K590" t="inlineStr">
        <is>
          <t>Dropped</t>
        </is>
      </c>
      <c r="L590" t="n">
        <v>5</v>
      </c>
      <c r="M590" t="inlineStr">
        <is>
          <t>2026-06-26 11:56:55</t>
        </is>
      </c>
      <c r="N590" t="inlineStr">
        <is>
          <t>system</t>
        </is>
      </c>
      <c r="O590" t="inlineStr">
        <is>
          <t>2026-06-22 14:11:25</t>
        </is>
      </c>
      <c r="P590" t="inlineStr">
        <is>
          <t>2026-06-22 14:11:25</t>
        </is>
      </c>
      <c r="Y590" t="inlineStr">
        <is>
          <t>27726231508</t>
        </is>
      </c>
    </row>
    <row r="591">
      <c r="A591" t="inlineStr">
        <is>
          <t>14973815</t>
        </is>
      </c>
      <c r="B591" t="inlineStr">
        <is>
          <t>7f9b2363-9490-464b-9797-5ecdddf9e7d8</t>
        </is>
      </c>
      <c r="D591" t="inlineStr">
        <is>
          <t>11111127</t>
        </is>
      </c>
      <c r="E591" t="inlineStr">
        <is>
          <t>Vodacom Life 20260622</t>
        </is>
      </c>
      <c r="J591" t="inlineStr">
        <is>
          <t>DROP</t>
        </is>
      </c>
      <c r="K591" t="inlineStr">
        <is>
          <t>Dropped</t>
        </is>
      </c>
      <c r="L591" t="n">
        <v>5</v>
      </c>
      <c r="M591" t="inlineStr">
        <is>
          <t>2026-06-26 11:56:55</t>
        </is>
      </c>
      <c r="N591" t="inlineStr">
        <is>
          <t>system</t>
        </is>
      </c>
      <c r="O591" t="inlineStr">
        <is>
          <t>2026-06-22 14:11:25</t>
        </is>
      </c>
      <c r="P591" t="inlineStr">
        <is>
          <t>2026-06-22 14:11:25</t>
        </is>
      </c>
      <c r="Y591" t="inlineStr">
        <is>
          <t>27795569620</t>
        </is>
      </c>
    </row>
    <row r="592">
      <c r="A592" t="inlineStr">
        <is>
          <t>14973816</t>
        </is>
      </c>
      <c r="B592" t="inlineStr">
        <is>
          <t>4b3827ca-987b-45eb-b21f-668cd952d2d4</t>
        </is>
      </c>
      <c r="D592" t="inlineStr">
        <is>
          <t>11111127</t>
        </is>
      </c>
      <c r="E592" t="inlineStr">
        <is>
          <t>Vodacom Life 20260622</t>
        </is>
      </c>
      <c r="H592" t="inlineStr">
        <is>
          <t>27799467070</t>
        </is>
      </c>
      <c r="J592" t="inlineStr">
        <is>
          <t>AA</t>
        </is>
      </c>
      <c r="K592" t="inlineStr">
        <is>
          <t>Answering Machine Autodial</t>
        </is>
      </c>
      <c r="L592" t="n">
        <v>5</v>
      </c>
      <c r="M592" t="inlineStr">
        <is>
          <t>2026-06-26 11:56:19</t>
        </is>
      </c>
      <c r="N592" t="inlineStr">
        <is>
          <t>system</t>
        </is>
      </c>
      <c r="O592" t="inlineStr">
        <is>
          <t>2026-06-22 14:11:25</t>
        </is>
      </c>
      <c r="P592" t="inlineStr">
        <is>
          <t>2026-06-22 14:11:25</t>
        </is>
      </c>
      <c r="Y592" t="inlineStr">
        <is>
          <t>27799467070</t>
        </is>
      </c>
    </row>
    <row r="593">
      <c r="A593" t="inlineStr">
        <is>
          <t>14974368</t>
        </is>
      </c>
      <c r="B593" t="inlineStr">
        <is>
          <t>df24b160-8c48-4869-9ca9-180e38d43a4a</t>
        </is>
      </c>
      <c r="D593" t="inlineStr">
        <is>
          <t>11111127</t>
        </is>
      </c>
      <c r="E593" t="inlineStr">
        <is>
          <t>Vodacom Life 20260622</t>
        </is>
      </c>
      <c r="J593" t="inlineStr">
        <is>
          <t>AE</t>
        </is>
      </c>
      <c r="K593" t="inlineStr">
        <is>
          <t>Auto Engaged</t>
        </is>
      </c>
      <c r="L593" t="n">
        <v>5</v>
      </c>
      <c r="M593" t="inlineStr">
        <is>
          <t>2026-06-26 11:56:09</t>
        </is>
      </c>
      <c r="N593" t="inlineStr">
        <is>
          <t>system</t>
        </is>
      </c>
      <c r="O593" t="inlineStr">
        <is>
          <t>2026-06-22 14:11:25</t>
        </is>
      </c>
      <c r="P593" t="inlineStr">
        <is>
          <t>2026-06-22 14:11:25</t>
        </is>
      </c>
      <c r="Y593" t="inlineStr">
        <is>
          <t>27795262507</t>
        </is>
      </c>
    </row>
    <row r="594">
      <c r="A594" t="inlineStr">
        <is>
          <t>14974369</t>
        </is>
      </c>
      <c r="B594" t="inlineStr">
        <is>
          <t>f5e97901-8703-43c9-81f3-b7f66f735e19</t>
        </is>
      </c>
      <c r="D594" t="inlineStr">
        <is>
          <t>11111127</t>
        </is>
      </c>
      <c r="E594" t="inlineStr">
        <is>
          <t>Vodacom Life 20260622</t>
        </is>
      </c>
      <c r="J594" t="inlineStr">
        <is>
          <t>ADC</t>
        </is>
      </c>
      <c r="K594" t="inlineStr">
        <is>
          <t>Auto Dial Disconnected</t>
        </is>
      </c>
      <c r="L594" t="n">
        <v>5</v>
      </c>
      <c r="M594" t="inlineStr">
        <is>
          <t>2026-06-26 11:56:09</t>
        </is>
      </c>
      <c r="N594" t="inlineStr">
        <is>
          <t>system</t>
        </is>
      </c>
      <c r="O594" t="inlineStr">
        <is>
          <t>2026-06-22 14:11:25</t>
        </is>
      </c>
      <c r="P594" t="inlineStr">
        <is>
          <t>2026-06-22 14:11:25</t>
        </is>
      </c>
      <c r="Y594" t="inlineStr">
        <is>
          <t>27785362026</t>
        </is>
      </c>
    </row>
    <row r="595">
      <c r="A595" t="inlineStr">
        <is>
          <t>14974370</t>
        </is>
      </c>
      <c r="B595" t="inlineStr">
        <is>
          <t>ddd9e059-dbb7-40d9-b4f1-b4cbca2612c9</t>
        </is>
      </c>
      <c r="D595" t="inlineStr">
        <is>
          <t>11111127</t>
        </is>
      </c>
      <c r="E595" t="inlineStr">
        <is>
          <t>Vodacom Life 20260622</t>
        </is>
      </c>
      <c r="J595" t="inlineStr">
        <is>
          <t>AA</t>
        </is>
      </c>
      <c r="K595" t="inlineStr">
        <is>
          <t>Answering Machine Autodial</t>
        </is>
      </c>
      <c r="L595" t="n">
        <v>5</v>
      </c>
      <c r="M595" t="inlineStr">
        <is>
          <t>2026-06-26 11:56:09</t>
        </is>
      </c>
      <c r="N595" t="inlineStr">
        <is>
          <t>system</t>
        </is>
      </c>
      <c r="O595" t="inlineStr">
        <is>
          <t>2026-06-22 14:11:25</t>
        </is>
      </c>
      <c r="P595" t="inlineStr">
        <is>
          <t>2026-06-22 14:11:25</t>
        </is>
      </c>
      <c r="Y595" t="inlineStr">
        <is>
          <t>27793724203</t>
        </is>
      </c>
    </row>
    <row r="596">
      <c r="A596" t="inlineStr">
        <is>
          <t>14974367</t>
        </is>
      </c>
      <c r="B596" t="inlineStr">
        <is>
          <t>c3b2dd3d-35ff-4d25-900a-352b70d1f6c1</t>
        </is>
      </c>
      <c r="D596" t="inlineStr">
        <is>
          <t>11111127</t>
        </is>
      </c>
      <c r="E596" t="inlineStr">
        <is>
          <t>Vodacom Life 20260622</t>
        </is>
      </c>
      <c r="J596" t="inlineStr">
        <is>
          <t>DROP</t>
        </is>
      </c>
      <c r="K596" t="inlineStr">
        <is>
          <t>Dropped</t>
        </is>
      </c>
      <c r="L596" t="n">
        <v>5</v>
      </c>
      <c r="M596" t="inlineStr">
        <is>
          <t>2026-06-26 11:53:38</t>
        </is>
      </c>
      <c r="N596" t="inlineStr">
        <is>
          <t>system</t>
        </is>
      </c>
      <c r="O596" t="inlineStr">
        <is>
          <t>2026-06-22 14:11:25</t>
        </is>
      </c>
      <c r="P596" t="inlineStr">
        <is>
          <t>2026-06-22 14:11:25</t>
        </is>
      </c>
      <c r="Y596" t="inlineStr">
        <is>
          <t>27827997773</t>
        </is>
      </c>
    </row>
    <row r="597">
      <c r="A597" t="inlineStr">
        <is>
          <t>14974363</t>
        </is>
      </c>
      <c r="B597" t="inlineStr">
        <is>
          <t>e48e260c-55bd-43b8-bc20-793e53a8dd34</t>
        </is>
      </c>
      <c r="D597" t="inlineStr">
        <is>
          <t>11111127</t>
        </is>
      </c>
      <c r="E597" t="inlineStr">
        <is>
          <t>Vodacom Life 20260622</t>
        </is>
      </c>
      <c r="J597" t="inlineStr">
        <is>
          <t>AA</t>
        </is>
      </c>
      <c r="K597" t="inlineStr">
        <is>
          <t>Answering Machine Autodial</t>
        </is>
      </c>
      <c r="L597" t="n">
        <v>5</v>
      </c>
      <c r="M597" t="inlineStr">
        <is>
          <t>2026-06-26 11:53:34</t>
        </is>
      </c>
      <c r="N597" t="inlineStr">
        <is>
          <t>system</t>
        </is>
      </c>
      <c r="O597" t="inlineStr">
        <is>
          <t>2026-06-22 14:11:25</t>
        </is>
      </c>
      <c r="P597" t="inlineStr">
        <is>
          <t>2026-06-22 14:11:25</t>
        </is>
      </c>
      <c r="Y597" t="inlineStr">
        <is>
          <t>27764654567</t>
        </is>
      </c>
    </row>
    <row r="598">
      <c r="A598" t="inlineStr">
        <is>
          <t>14974365</t>
        </is>
      </c>
      <c r="B598" t="inlineStr">
        <is>
          <t>961ce4b3-db75-43e5-910a-311a4e7680d9</t>
        </is>
      </c>
      <c r="D598" t="inlineStr">
        <is>
          <t>11111127</t>
        </is>
      </c>
      <c r="E598" t="inlineStr">
        <is>
          <t>Vodacom Life 20260622</t>
        </is>
      </c>
      <c r="J598" t="inlineStr">
        <is>
          <t>DROP</t>
        </is>
      </c>
      <c r="K598" t="inlineStr">
        <is>
          <t>Dropped</t>
        </is>
      </c>
      <c r="L598" t="n">
        <v>5</v>
      </c>
      <c r="M598" t="inlineStr">
        <is>
          <t>2026-06-26 11:53:34</t>
        </is>
      </c>
      <c r="N598" t="inlineStr">
        <is>
          <t>system</t>
        </is>
      </c>
      <c r="O598" t="inlineStr">
        <is>
          <t>2026-06-22 14:11:25</t>
        </is>
      </c>
      <c r="P598" t="inlineStr">
        <is>
          <t>2026-06-22 14:11:25</t>
        </is>
      </c>
      <c r="Y598" t="inlineStr">
        <is>
          <t>27818762079</t>
        </is>
      </c>
    </row>
    <row r="599">
      <c r="A599" t="inlineStr">
        <is>
          <t>14974289</t>
        </is>
      </c>
      <c r="B599" t="inlineStr">
        <is>
          <t>9033c65f-9239-45ad-8777-06f817368420</t>
        </is>
      </c>
      <c r="D599" t="inlineStr">
        <is>
          <t>11111127</t>
        </is>
      </c>
      <c r="E599" t="inlineStr">
        <is>
          <t>Vodacom Life 20260622</t>
        </is>
      </c>
      <c r="H599" t="inlineStr">
        <is>
          <t>27827627613</t>
        </is>
      </c>
      <c r="J599" t="inlineStr">
        <is>
          <t>IABDN</t>
        </is>
      </c>
      <c r="K599" t="inlineStr">
        <is>
          <t>Inbound Abandon</t>
        </is>
      </c>
      <c r="L599" t="n">
        <v>5</v>
      </c>
      <c r="M599" t="inlineStr">
        <is>
          <t>2026-06-26 11:53:25</t>
        </is>
      </c>
      <c r="N599" t="inlineStr">
        <is>
          <t>system</t>
        </is>
      </c>
      <c r="O599" t="inlineStr">
        <is>
          <t>2026-06-22 14:11:25</t>
        </is>
      </c>
      <c r="P599" t="inlineStr">
        <is>
          <t>2026-06-22 14:11:25</t>
        </is>
      </c>
      <c r="Y599" t="inlineStr">
        <is>
          <t>27827627613</t>
        </is>
      </c>
    </row>
    <row r="600">
      <c r="A600" t="inlineStr">
        <is>
          <t>14974471</t>
        </is>
      </c>
      <c r="B600" t="inlineStr">
        <is>
          <t>97032b2d-0807-40c1-bc5b-591ba835bb3f</t>
        </is>
      </c>
      <c r="D600" t="inlineStr">
        <is>
          <t>11111127</t>
        </is>
      </c>
      <c r="E600" t="inlineStr">
        <is>
          <t>Vodacom Life 20260622</t>
        </is>
      </c>
      <c r="J600" t="inlineStr">
        <is>
          <t>DROP</t>
        </is>
      </c>
      <c r="K600" t="inlineStr">
        <is>
          <t>Dropped</t>
        </is>
      </c>
      <c r="L600" t="n">
        <v>5</v>
      </c>
      <c r="M600" t="inlineStr">
        <is>
          <t>2026-06-26 11:52:29</t>
        </is>
      </c>
      <c r="N600" t="inlineStr">
        <is>
          <t>system</t>
        </is>
      </c>
      <c r="O600" t="inlineStr">
        <is>
          <t>2026-06-22 14:11:25</t>
        </is>
      </c>
      <c r="P600" t="inlineStr">
        <is>
          <t>2026-06-22 14:11:25</t>
        </is>
      </c>
      <c r="Y600" t="inlineStr">
        <is>
          <t>27760420230</t>
        </is>
      </c>
    </row>
    <row r="601">
      <c r="A601" t="inlineStr">
        <is>
          <t>14974469</t>
        </is>
      </c>
      <c r="B601" t="inlineStr">
        <is>
          <t>045429a3-a805-48cf-b681-eb3869f4d54b</t>
        </is>
      </c>
      <c r="D601" t="inlineStr">
        <is>
          <t>11111127</t>
        </is>
      </c>
      <c r="E601" t="inlineStr">
        <is>
          <t>Vodacom Life 20260622</t>
        </is>
      </c>
      <c r="H601" t="inlineStr">
        <is>
          <t>27649827610</t>
        </is>
      </c>
      <c r="J601" t="inlineStr">
        <is>
          <t>ADC</t>
        </is>
      </c>
      <c r="K601" t="inlineStr">
        <is>
          <t>Auto Dial Disconnected</t>
        </is>
      </c>
      <c r="L601" t="n">
        <v>5</v>
      </c>
      <c r="M601" t="inlineStr">
        <is>
          <t>2026-06-26 11:52:28</t>
        </is>
      </c>
      <c r="N601" t="inlineStr">
        <is>
          <t>system</t>
        </is>
      </c>
      <c r="O601" t="inlineStr">
        <is>
          <t>2026-06-22 14:11:25</t>
        </is>
      </c>
      <c r="P601" t="inlineStr">
        <is>
          <t>2026-06-22 14:11:25</t>
        </is>
      </c>
      <c r="Y601" t="inlineStr">
        <is>
          <t>27649827610</t>
        </is>
      </c>
    </row>
    <row r="602">
      <c r="A602" t="inlineStr">
        <is>
          <t>14974470</t>
        </is>
      </c>
      <c r="B602" t="inlineStr">
        <is>
          <t>ded04be7-536c-4eef-bf89-acd54fd70776</t>
        </is>
      </c>
      <c r="D602" t="inlineStr">
        <is>
          <t>11111127</t>
        </is>
      </c>
      <c r="E602" t="inlineStr">
        <is>
          <t>Vodacom Life 20260622</t>
        </is>
      </c>
      <c r="J602" t="inlineStr">
        <is>
          <t>CU</t>
        </is>
      </c>
      <c r="K602" t="inlineStr">
        <is>
          <t>Client Hung Up</t>
        </is>
      </c>
      <c r="L602" t="n">
        <v>5</v>
      </c>
      <c r="M602" t="inlineStr">
        <is>
          <t>2026-06-26 11:52:28</t>
        </is>
      </c>
      <c r="N602" t="inlineStr">
        <is>
          <t>Maureen Ntsoko</t>
        </is>
      </c>
      <c r="O602" t="inlineStr">
        <is>
          <t>2026-06-22 14:11:25</t>
        </is>
      </c>
      <c r="P602" t="inlineStr">
        <is>
          <t>2026-06-22 14:11:25</t>
        </is>
      </c>
      <c r="Y602" t="inlineStr">
        <is>
          <t>27760457300</t>
        </is>
      </c>
    </row>
    <row r="603">
      <c r="A603" t="inlineStr">
        <is>
          <t>14974468</t>
        </is>
      </c>
      <c r="B603" t="inlineStr">
        <is>
          <t>e6fa5a80-86ab-47be-856b-25779c83ca1e</t>
        </is>
      </c>
      <c r="D603" t="inlineStr">
        <is>
          <t>11111127</t>
        </is>
      </c>
      <c r="E603" t="inlineStr">
        <is>
          <t>Vodacom Life 20260622</t>
        </is>
      </c>
      <c r="J603" t="inlineStr">
        <is>
          <t>AA</t>
        </is>
      </c>
      <c r="K603" t="inlineStr">
        <is>
          <t>Answering Machine Autodial</t>
        </is>
      </c>
      <c r="L603" t="n">
        <v>5</v>
      </c>
      <c r="M603" t="inlineStr">
        <is>
          <t>2026-06-26 11:52:03</t>
        </is>
      </c>
      <c r="N603" t="inlineStr">
        <is>
          <t>system</t>
        </is>
      </c>
      <c r="O603" t="inlineStr">
        <is>
          <t>2026-06-22 14:11:25</t>
        </is>
      </c>
      <c r="P603" t="inlineStr">
        <is>
          <t>2026-06-22 14:11:25</t>
        </is>
      </c>
      <c r="Y603" t="inlineStr">
        <is>
          <t>27711598526</t>
        </is>
      </c>
    </row>
    <row r="604">
      <c r="A604" t="inlineStr">
        <is>
          <t>14974467</t>
        </is>
      </c>
      <c r="B604" t="inlineStr">
        <is>
          <t>3f9f0aea-b24d-4181-abcf-ca0b5e418f48</t>
        </is>
      </c>
      <c r="D604" t="inlineStr">
        <is>
          <t>11111127</t>
        </is>
      </c>
      <c r="E604" t="inlineStr">
        <is>
          <t>Vodacom Life 20260622</t>
        </is>
      </c>
      <c r="J604" t="inlineStr">
        <is>
          <t>AE</t>
        </is>
      </c>
      <c r="K604" t="inlineStr">
        <is>
          <t>Auto Engaged</t>
        </is>
      </c>
      <c r="L604" t="n">
        <v>5</v>
      </c>
      <c r="M604" t="inlineStr">
        <is>
          <t>2026-06-26 11:52:00</t>
        </is>
      </c>
      <c r="N604" t="inlineStr">
        <is>
          <t>system</t>
        </is>
      </c>
      <c r="O604" t="inlineStr">
        <is>
          <t>2026-06-22 14:11:25</t>
        </is>
      </c>
      <c r="P604" t="inlineStr">
        <is>
          <t>2026-06-22 14:11:25</t>
        </is>
      </c>
      <c r="Y604" t="inlineStr">
        <is>
          <t>27722315108</t>
        </is>
      </c>
    </row>
    <row r="605">
      <c r="A605" t="inlineStr">
        <is>
          <t>14974542</t>
        </is>
      </c>
      <c r="B605" t="inlineStr">
        <is>
          <t>1dee7145-9131-48cc-ad68-33c2b0cda403</t>
        </is>
      </c>
      <c r="D605" t="inlineStr">
        <is>
          <t>11111127</t>
        </is>
      </c>
      <c r="E605" t="inlineStr">
        <is>
          <t>Vodacom Life 20260622</t>
        </is>
      </c>
      <c r="H605" t="inlineStr">
        <is>
          <t>27793883471</t>
        </is>
      </c>
      <c r="J605" t="inlineStr">
        <is>
          <t>IABDN</t>
        </is>
      </c>
      <c r="K605" t="inlineStr">
        <is>
          <t>Inbound Abandon</t>
        </is>
      </c>
      <c r="L605" t="n">
        <v>5</v>
      </c>
      <c r="M605" t="inlineStr">
        <is>
          <t>2026-06-26 11:51:11</t>
        </is>
      </c>
      <c r="N605" t="inlineStr">
        <is>
          <t>system</t>
        </is>
      </c>
      <c r="O605" t="inlineStr">
        <is>
          <t>2026-06-22 14:11:25</t>
        </is>
      </c>
      <c r="P605" t="inlineStr">
        <is>
          <t>2026-06-22 14:11:25</t>
        </is>
      </c>
      <c r="Y605" t="inlineStr">
        <is>
          <t>27793883471</t>
        </is>
      </c>
    </row>
    <row r="606">
      <c r="A606" t="inlineStr">
        <is>
          <t>14974558</t>
        </is>
      </c>
      <c r="B606" t="inlineStr">
        <is>
          <t>0760fc54-7fe7-4f97-910d-3b5ee97997a9</t>
        </is>
      </c>
      <c r="D606" t="inlineStr">
        <is>
          <t>11111127</t>
        </is>
      </c>
      <c r="E606" t="inlineStr">
        <is>
          <t>Vodacom Life 20260622</t>
        </is>
      </c>
      <c r="J606" t="inlineStr">
        <is>
          <t>AA</t>
        </is>
      </c>
      <c r="K606" t="inlineStr">
        <is>
          <t>Answering Machine Autodial</t>
        </is>
      </c>
      <c r="L606" t="n">
        <v>5</v>
      </c>
      <c r="M606" t="inlineStr">
        <is>
          <t>2026-06-26 11:50:12</t>
        </is>
      </c>
      <c r="N606" t="inlineStr">
        <is>
          <t>system</t>
        </is>
      </c>
      <c r="O606" t="inlineStr">
        <is>
          <t>2026-06-22 14:11:25</t>
        </is>
      </c>
      <c r="P606" t="inlineStr">
        <is>
          <t>2026-06-22 14:11:25</t>
        </is>
      </c>
      <c r="Y606" t="inlineStr">
        <is>
          <t>27648448736</t>
        </is>
      </c>
    </row>
    <row r="607">
      <c r="A607" t="inlineStr">
        <is>
          <t>14974557</t>
        </is>
      </c>
      <c r="B607" t="inlineStr">
        <is>
          <t>839192b8-33f4-4bb1-87b3-0e23dd6e6ff5</t>
        </is>
      </c>
      <c r="D607" t="inlineStr">
        <is>
          <t>11111127</t>
        </is>
      </c>
      <c r="E607" t="inlineStr">
        <is>
          <t>Vodacom Life 20260622</t>
        </is>
      </c>
      <c r="H607" t="inlineStr">
        <is>
          <t>27761798953</t>
        </is>
      </c>
      <c r="J607" t="inlineStr">
        <is>
          <t>CU</t>
        </is>
      </c>
      <c r="K607" t="inlineStr">
        <is>
          <t>Client Hung Up</t>
        </is>
      </c>
      <c r="L607" t="n">
        <v>5</v>
      </c>
      <c r="M607" t="inlineStr">
        <is>
          <t>2026-06-26 11:50:00</t>
        </is>
      </c>
      <c r="N607" t="inlineStr">
        <is>
          <t>Khensane Mabasa</t>
        </is>
      </c>
      <c r="O607" t="inlineStr">
        <is>
          <t>2026-06-22 14:11:25</t>
        </is>
      </c>
      <c r="P607" t="inlineStr">
        <is>
          <t>2026-06-22 14:11:25</t>
        </is>
      </c>
      <c r="Y607" t="inlineStr">
        <is>
          <t>27761798953</t>
        </is>
      </c>
    </row>
    <row r="608">
      <c r="A608" t="inlineStr">
        <is>
          <t>14974556</t>
        </is>
      </c>
      <c r="B608" t="inlineStr">
        <is>
          <t>b2cb643a-a530-440a-8932-043ccb73b2fc</t>
        </is>
      </c>
      <c r="D608" t="inlineStr">
        <is>
          <t>11111127</t>
        </is>
      </c>
      <c r="E608" t="inlineStr">
        <is>
          <t>Vodacom Life 20260622</t>
        </is>
      </c>
      <c r="J608" t="inlineStr">
        <is>
          <t>NA</t>
        </is>
      </c>
      <c r="K608" t="inlineStr">
        <is>
          <t>No Answer Autodial</t>
        </is>
      </c>
      <c r="L608" t="n">
        <v>5</v>
      </c>
      <c r="M608" t="inlineStr">
        <is>
          <t>2026-06-26 11:49:59</t>
        </is>
      </c>
      <c r="N608" t="inlineStr">
        <is>
          <t>system</t>
        </is>
      </c>
      <c r="O608" t="inlineStr">
        <is>
          <t>2026-06-22 14:11:25</t>
        </is>
      </c>
      <c r="P608" t="inlineStr">
        <is>
          <t>2026-06-22 14:11:25</t>
        </is>
      </c>
      <c r="Y608" t="inlineStr">
        <is>
          <t>27826742966</t>
        </is>
      </c>
    </row>
    <row r="609">
      <c r="A609" t="inlineStr">
        <is>
          <t>14974552</t>
        </is>
      </c>
      <c r="B609" t="inlineStr">
        <is>
          <t>1a4775a1-9d09-4533-83b6-af26370df9dc</t>
        </is>
      </c>
      <c r="D609" t="inlineStr">
        <is>
          <t>11111127</t>
        </is>
      </c>
      <c r="E609" t="inlineStr">
        <is>
          <t>Vodacom Life 20260622</t>
        </is>
      </c>
      <c r="J609" t="inlineStr">
        <is>
          <t>ADC</t>
        </is>
      </c>
      <c r="K609" t="inlineStr">
        <is>
          <t>Auto Dial Disconnected</t>
        </is>
      </c>
      <c r="L609" t="n">
        <v>5</v>
      </c>
      <c r="M609" t="inlineStr">
        <is>
          <t>2026-06-26 11:49:55</t>
        </is>
      </c>
      <c r="N609" t="inlineStr">
        <is>
          <t>system</t>
        </is>
      </c>
      <c r="O609" t="inlineStr">
        <is>
          <t>2026-06-22 14:11:25</t>
        </is>
      </c>
      <c r="P609" t="inlineStr">
        <is>
          <t>2026-06-22 14:11:25</t>
        </is>
      </c>
      <c r="Y609" t="inlineStr">
        <is>
          <t>27794643660</t>
        </is>
      </c>
    </row>
    <row r="610">
      <c r="A610" t="inlineStr">
        <is>
          <t>14974553</t>
        </is>
      </c>
      <c r="B610" t="inlineStr">
        <is>
          <t>87aa8f5b-0742-4524-a6fb-baae617ce2da</t>
        </is>
      </c>
      <c r="D610" t="inlineStr">
        <is>
          <t>11111127</t>
        </is>
      </c>
      <c r="E610" t="inlineStr">
        <is>
          <t>Vodacom Life 20260622</t>
        </is>
      </c>
      <c r="J610" t="inlineStr">
        <is>
          <t>NA</t>
        </is>
      </c>
      <c r="K610" t="inlineStr">
        <is>
          <t>No Answer Autodial</t>
        </is>
      </c>
      <c r="L610" t="n">
        <v>5</v>
      </c>
      <c r="M610" t="inlineStr">
        <is>
          <t>2026-06-26 11:49:55</t>
        </is>
      </c>
      <c r="N610" t="inlineStr">
        <is>
          <t>system</t>
        </is>
      </c>
      <c r="O610" t="inlineStr">
        <is>
          <t>2026-06-22 14:11:25</t>
        </is>
      </c>
      <c r="P610" t="inlineStr">
        <is>
          <t>2026-06-22 14:11:25</t>
        </is>
      </c>
      <c r="Y610" t="inlineStr">
        <is>
          <t>27794891182</t>
        </is>
      </c>
    </row>
    <row r="611">
      <c r="A611" t="inlineStr">
        <is>
          <t>14974554</t>
        </is>
      </c>
      <c r="B611" t="inlineStr">
        <is>
          <t>68890d2e-4a32-46ff-b80f-f33a068cd65a</t>
        </is>
      </c>
      <c r="D611" t="inlineStr">
        <is>
          <t>11111127</t>
        </is>
      </c>
      <c r="E611" t="inlineStr">
        <is>
          <t>Vodacom Life 20260622</t>
        </is>
      </c>
      <c r="J611" t="inlineStr">
        <is>
          <t>AE</t>
        </is>
      </c>
      <c r="K611" t="inlineStr">
        <is>
          <t>Auto Engaged</t>
        </is>
      </c>
      <c r="L611" t="n">
        <v>5</v>
      </c>
      <c r="M611" t="inlineStr">
        <is>
          <t>2026-06-26 11:49:55</t>
        </is>
      </c>
      <c r="N611" t="inlineStr">
        <is>
          <t>system</t>
        </is>
      </c>
      <c r="O611" t="inlineStr">
        <is>
          <t>2026-06-22 14:11:25</t>
        </is>
      </c>
      <c r="P611" t="inlineStr">
        <is>
          <t>2026-06-22 14:11:25</t>
        </is>
      </c>
      <c r="Y611" t="inlineStr">
        <is>
          <t>27824659523</t>
        </is>
      </c>
    </row>
    <row r="612">
      <c r="A612" t="inlineStr">
        <is>
          <t>14974555</t>
        </is>
      </c>
      <c r="B612" t="inlineStr">
        <is>
          <t>cbf5e025-052e-43bf-a14a-1599a8e5c896</t>
        </is>
      </c>
      <c r="D612" t="inlineStr">
        <is>
          <t>11111127</t>
        </is>
      </c>
      <c r="E612" t="inlineStr">
        <is>
          <t>Vodacom Life 20260622</t>
        </is>
      </c>
      <c r="J612" t="inlineStr">
        <is>
          <t>AA</t>
        </is>
      </c>
      <c r="K612" t="inlineStr">
        <is>
          <t>Answering Machine Autodial</t>
        </is>
      </c>
      <c r="L612" t="n">
        <v>5</v>
      </c>
      <c r="M612" t="inlineStr">
        <is>
          <t>2026-06-26 11:49:55</t>
        </is>
      </c>
      <c r="N612" t="inlineStr">
        <is>
          <t>system</t>
        </is>
      </c>
      <c r="O612" t="inlineStr">
        <is>
          <t>2026-06-22 14:11:25</t>
        </is>
      </c>
      <c r="P612" t="inlineStr">
        <is>
          <t>2026-06-22 14:11:25</t>
        </is>
      </c>
      <c r="Y612" t="inlineStr">
        <is>
          <t>27825835130</t>
        </is>
      </c>
    </row>
    <row r="613">
      <c r="A613" t="inlineStr">
        <is>
          <t>14974550</t>
        </is>
      </c>
      <c r="B613" t="inlineStr">
        <is>
          <t>4b8ac3c4-c5e9-435f-881c-ba3a52b63000</t>
        </is>
      </c>
      <c r="D613" t="inlineStr">
        <is>
          <t>11111127</t>
        </is>
      </c>
      <c r="E613" t="inlineStr">
        <is>
          <t>Vodacom Life 20260622</t>
        </is>
      </c>
      <c r="J613" t="inlineStr">
        <is>
          <t>AA</t>
        </is>
      </c>
      <c r="K613" t="inlineStr">
        <is>
          <t>Answering Machine Autodial</t>
        </is>
      </c>
      <c r="L613" t="n">
        <v>5</v>
      </c>
      <c r="M613" t="inlineStr">
        <is>
          <t>2026-06-26 11:49:46</t>
        </is>
      </c>
      <c r="N613" t="inlineStr">
        <is>
          <t>system</t>
        </is>
      </c>
      <c r="O613" t="inlineStr">
        <is>
          <t>2026-06-22 14:11:25</t>
        </is>
      </c>
      <c r="P613" t="inlineStr">
        <is>
          <t>2026-06-22 14:11:25</t>
        </is>
      </c>
      <c r="Y613" t="inlineStr">
        <is>
          <t>27722346066</t>
        </is>
      </c>
    </row>
    <row r="614">
      <c r="A614" t="inlineStr">
        <is>
          <t>14974549</t>
        </is>
      </c>
      <c r="B614" t="inlineStr">
        <is>
          <t>04f49ca5-ef63-40d4-ba39-9cc7d8cc4079</t>
        </is>
      </c>
      <c r="D614" t="inlineStr">
        <is>
          <t>11111127</t>
        </is>
      </c>
      <c r="E614" t="inlineStr">
        <is>
          <t>Vodacom Life 20260622</t>
        </is>
      </c>
      <c r="J614" t="inlineStr">
        <is>
          <t>AA</t>
        </is>
      </c>
      <c r="K614" t="inlineStr">
        <is>
          <t>Answering Machine Autodial</t>
        </is>
      </c>
      <c r="L614" t="n">
        <v>5</v>
      </c>
      <c r="M614" t="inlineStr">
        <is>
          <t>2026-06-26 11:49:41</t>
        </is>
      </c>
      <c r="N614" t="inlineStr">
        <is>
          <t>system</t>
        </is>
      </c>
      <c r="O614" t="inlineStr">
        <is>
          <t>2026-06-22 14:11:25</t>
        </is>
      </c>
      <c r="P614" t="inlineStr">
        <is>
          <t>2026-06-22 14:11:25</t>
        </is>
      </c>
      <c r="Y614" t="inlineStr">
        <is>
          <t>27733629694</t>
        </is>
      </c>
    </row>
    <row r="615">
      <c r="A615" t="inlineStr">
        <is>
          <t>14974548</t>
        </is>
      </c>
      <c r="B615" t="inlineStr">
        <is>
          <t>fc6fdee8-de2c-4e44-9acf-df7644ba9478</t>
        </is>
      </c>
      <c r="D615" t="inlineStr">
        <is>
          <t>11111127</t>
        </is>
      </c>
      <c r="E615" t="inlineStr">
        <is>
          <t>Vodacom Life 20260622</t>
        </is>
      </c>
      <c r="J615" t="inlineStr">
        <is>
          <t>AA</t>
        </is>
      </c>
      <c r="K615" t="inlineStr">
        <is>
          <t>Answering Machine Autodial</t>
        </is>
      </c>
      <c r="L615" t="n">
        <v>5</v>
      </c>
      <c r="M615" t="inlineStr">
        <is>
          <t>2026-06-26 11:49:29</t>
        </is>
      </c>
      <c r="N615" t="inlineStr">
        <is>
          <t>system</t>
        </is>
      </c>
      <c r="O615" t="inlineStr">
        <is>
          <t>2026-06-22 14:11:25</t>
        </is>
      </c>
      <c r="P615" t="inlineStr">
        <is>
          <t>2026-06-22 14:11:25</t>
        </is>
      </c>
      <c r="Y615" t="inlineStr">
        <is>
          <t>27608281766</t>
        </is>
      </c>
    </row>
    <row r="616">
      <c r="A616" t="inlineStr">
        <is>
          <t>14974546</t>
        </is>
      </c>
      <c r="B616" t="inlineStr">
        <is>
          <t>10ad5d3e-8620-44ed-ba39-be04e958ef33</t>
        </is>
      </c>
      <c r="D616" t="inlineStr">
        <is>
          <t>11111127</t>
        </is>
      </c>
      <c r="E616" t="inlineStr">
        <is>
          <t>Vodacom Life 20260622</t>
        </is>
      </c>
      <c r="J616" t="inlineStr">
        <is>
          <t>AA</t>
        </is>
      </c>
      <c r="K616" t="inlineStr">
        <is>
          <t>Answering Machine Autodial</t>
        </is>
      </c>
      <c r="L616" t="n">
        <v>5</v>
      </c>
      <c r="M616" t="inlineStr">
        <is>
          <t>2026-06-26 11:49:28</t>
        </is>
      </c>
      <c r="N616" t="inlineStr">
        <is>
          <t>system</t>
        </is>
      </c>
      <c r="O616" t="inlineStr">
        <is>
          <t>2026-06-22 14:11:25</t>
        </is>
      </c>
      <c r="P616" t="inlineStr">
        <is>
          <t>2026-06-22 14:11:25</t>
        </is>
      </c>
      <c r="Y616" t="inlineStr">
        <is>
          <t>27768931047</t>
        </is>
      </c>
    </row>
    <row r="617">
      <c r="A617" t="inlineStr">
        <is>
          <t>15000000</t>
        </is>
      </c>
      <c r="B617" t="inlineStr">
        <is>
          <t>e460b700-1a55-415c-90b9-62b734307c0e</t>
        </is>
      </c>
      <c r="D617" t="inlineStr">
        <is>
          <t>11111127</t>
        </is>
      </c>
      <c r="E617" t="inlineStr">
        <is>
          <t>Vodacom Life 20260622</t>
        </is>
      </c>
      <c r="J617" t="inlineStr">
        <is>
          <t>NA</t>
        </is>
      </c>
      <c r="K617" t="inlineStr">
        <is>
          <t>No Answer Autodial</t>
        </is>
      </c>
      <c r="L617" t="n">
        <v>5</v>
      </c>
      <c r="M617" t="inlineStr">
        <is>
          <t>2026-06-26 11:49:27</t>
        </is>
      </c>
      <c r="N617" t="inlineStr">
        <is>
          <t>system</t>
        </is>
      </c>
      <c r="O617" t="inlineStr">
        <is>
          <t>2026-06-22 14:11:25</t>
        </is>
      </c>
      <c r="P617" t="inlineStr">
        <is>
          <t>2026-06-22 14:11:25</t>
        </is>
      </c>
      <c r="Y617" t="inlineStr">
        <is>
          <t>27763777063</t>
        </is>
      </c>
    </row>
    <row r="618">
      <c r="A618" t="inlineStr">
        <is>
          <t>14974544</t>
        </is>
      </c>
      <c r="B618" t="inlineStr">
        <is>
          <t>3bfac67e-d957-467c-a78e-cfa1d9ccaede</t>
        </is>
      </c>
      <c r="D618" t="inlineStr">
        <is>
          <t>11111127</t>
        </is>
      </c>
      <c r="E618" t="inlineStr">
        <is>
          <t>Vodacom Life 20260622</t>
        </is>
      </c>
      <c r="J618" t="inlineStr">
        <is>
          <t>AA</t>
        </is>
      </c>
      <c r="K618" t="inlineStr">
        <is>
          <t>Answering Machine Autodial</t>
        </is>
      </c>
      <c r="L618" t="n">
        <v>5</v>
      </c>
      <c r="M618" t="inlineStr">
        <is>
          <t>2026-06-26 11:49:23</t>
        </is>
      </c>
      <c r="N618" t="inlineStr">
        <is>
          <t>system</t>
        </is>
      </c>
      <c r="O618" t="inlineStr">
        <is>
          <t>2026-06-22 14:11:25</t>
        </is>
      </c>
      <c r="P618" t="inlineStr">
        <is>
          <t>2026-06-22 14:11:25</t>
        </is>
      </c>
      <c r="Y618" t="inlineStr">
        <is>
          <t>27762800755</t>
        </is>
      </c>
    </row>
    <row r="619">
      <c r="A619" t="inlineStr">
        <is>
          <t>14974543</t>
        </is>
      </c>
      <c r="B619" t="inlineStr">
        <is>
          <t>050a3476-413a-4e00-8136-2a7d6f50cfcb</t>
        </is>
      </c>
      <c r="D619" t="inlineStr">
        <is>
          <t>11111127</t>
        </is>
      </c>
      <c r="E619" t="inlineStr">
        <is>
          <t>Vodacom Life 20260622</t>
        </is>
      </c>
      <c r="J619" t="inlineStr">
        <is>
          <t>AA</t>
        </is>
      </c>
      <c r="K619" t="inlineStr">
        <is>
          <t>Answering Machine Autodial</t>
        </is>
      </c>
      <c r="L619" t="n">
        <v>5</v>
      </c>
      <c r="M619" t="inlineStr">
        <is>
          <t>2026-06-26 11:49:11</t>
        </is>
      </c>
      <c r="N619" t="inlineStr">
        <is>
          <t>system</t>
        </is>
      </c>
      <c r="O619" t="inlineStr">
        <is>
          <t>2026-06-22 14:11:25</t>
        </is>
      </c>
      <c r="P619" t="inlineStr">
        <is>
          <t>2026-06-22 14:11:25</t>
        </is>
      </c>
      <c r="Y619" t="inlineStr">
        <is>
          <t>27796387143</t>
        </is>
      </c>
    </row>
    <row r="620">
      <c r="A620" t="inlineStr">
        <is>
          <t>14974541</t>
        </is>
      </c>
      <c r="B620" t="inlineStr">
        <is>
          <t>1d182d96-1c3c-4f91-9eff-146867e99390</t>
        </is>
      </c>
      <c r="D620" t="inlineStr">
        <is>
          <t>11111127</t>
        </is>
      </c>
      <c r="E620" t="inlineStr">
        <is>
          <t>Vodacom Life 20260622</t>
        </is>
      </c>
      <c r="J620" t="inlineStr">
        <is>
          <t>NA</t>
        </is>
      </c>
      <c r="K620" t="inlineStr">
        <is>
          <t>No Answer Autodial</t>
        </is>
      </c>
      <c r="L620" t="n">
        <v>5</v>
      </c>
      <c r="M620" t="inlineStr">
        <is>
          <t>2026-06-26 11:48:58</t>
        </is>
      </c>
      <c r="N620" t="inlineStr">
        <is>
          <t>system</t>
        </is>
      </c>
      <c r="O620" t="inlineStr">
        <is>
          <t>2026-06-22 14:11:25</t>
        </is>
      </c>
      <c r="P620" t="inlineStr">
        <is>
          <t>2026-06-22 14:11:25</t>
        </is>
      </c>
      <c r="Y620" t="inlineStr">
        <is>
          <t>27634220361</t>
        </is>
      </c>
    </row>
    <row r="621">
      <c r="A621" t="inlineStr">
        <is>
          <t>14974539</t>
        </is>
      </c>
      <c r="B621" t="inlineStr">
        <is>
          <t>afe16f95-a0c1-4a18-8b73-8a5171b3fbb5</t>
        </is>
      </c>
      <c r="D621" t="inlineStr">
        <is>
          <t>11111127</t>
        </is>
      </c>
      <c r="E621" t="inlineStr">
        <is>
          <t>Vodacom Life 20260622</t>
        </is>
      </c>
      <c r="J621" t="inlineStr">
        <is>
          <t>AA</t>
        </is>
      </c>
      <c r="K621" t="inlineStr">
        <is>
          <t>Answering Machine Autodial</t>
        </is>
      </c>
      <c r="L621" t="n">
        <v>5</v>
      </c>
      <c r="M621" t="inlineStr">
        <is>
          <t>2026-06-26 11:48:52</t>
        </is>
      </c>
      <c r="N621" t="inlineStr">
        <is>
          <t>system</t>
        </is>
      </c>
      <c r="O621" t="inlineStr">
        <is>
          <t>2026-06-22 14:11:25</t>
        </is>
      </c>
      <c r="P621" t="inlineStr">
        <is>
          <t>2026-06-22 14:11:25</t>
        </is>
      </c>
      <c r="Y621" t="inlineStr">
        <is>
          <t>27733254051</t>
        </is>
      </c>
    </row>
    <row r="622">
      <c r="A622" t="inlineStr">
        <is>
          <t>14974540</t>
        </is>
      </c>
      <c r="B622" t="inlineStr">
        <is>
          <t>9471a79f-db65-4b0d-a83b-755a043334c9</t>
        </is>
      </c>
      <c r="D622" t="inlineStr">
        <is>
          <t>11111127</t>
        </is>
      </c>
      <c r="E622" t="inlineStr">
        <is>
          <t>Vodacom Life 20260622</t>
        </is>
      </c>
      <c r="J622" t="inlineStr">
        <is>
          <t>AA</t>
        </is>
      </c>
      <c r="K622" t="inlineStr">
        <is>
          <t>Answering Machine Autodial</t>
        </is>
      </c>
      <c r="L622" t="n">
        <v>5</v>
      </c>
      <c r="M622" t="inlineStr">
        <is>
          <t>2026-06-26 11:48:52</t>
        </is>
      </c>
      <c r="N622" t="inlineStr">
        <is>
          <t>system</t>
        </is>
      </c>
      <c r="O622" t="inlineStr">
        <is>
          <t>2026-06-22 14:11:25</t>
        </is>
      </c>
      <c r="P622" t="inlineStr">
        <is>
          <t>2026-06-22 14:11:25</t>
        </is>
      </c>
      <c r="Y622" t="inlineStr">
        <is>
          <t>27720268848</t>
        </is>
      </c>
    </row>
    <row r="623">
      <c r="A623" t="inlineStr">
        <is>
          <t>14974535</t>
        </is>
      </c>
      <c r="B623" t="inlineStr">
        <is>
          <t>ce2d40f6-e5c8-43f7-8461-5333b955025d</t>
        </is>
      </c>
      <c r="D623" t="inlineStr">
        <is>
          <t>11111127</t>
        </is>
      </c>
      <c r="E623" t="inlineStr">
        <is>
          <t>Vodacom Life 20260622</t>
        </is>
      </c>
      <c r="H623" t="inlineStr">
        <is>
          <t>27791351838</t>
        </is>
      </c>
      <c r="J623" t="inlineStr">
        <is>
          <t>ADC</t>
        </is>
      </c>
      <c r="K623" t="inlineStr">
        <is>
          <t>Auto Dial Disconnected</t>
        </is>
      </c>
      <c r="L623" t="n">
        <v>5</v>
      </c>
      <c r="M623" t="inlineStr">
        <is>
          <t>2026-06-26 11:48:40</t>
        </is>
      </c>
      <c r="N623" t="inlineStr">
        <is>
          <t>system</t>
        </is>
      </c>
      <c r="O623" t="inlineStr">
        <is>
          <t>2026-06-22 14:11:25</t>
        </is>
      </c>
      <c r="P623" t="inlineStr">
        <is>
          <t>2026-06-22 14:11:25</t>
        </is>
      </c>
      <c r="Y623" t="inlineStr">
        <is>
          <t>27791351838</t>
        </is>
      </c>
    </row>
    <row r="624">
      <c r="A624" t="inlineStr">
        <is>
          <t>14974537</t>
        </is>
      </c>
      <c r="B624" t="inlineStr">
        <is>
          <t>201ff5fc-c743-400c-b9ef-d1861c67ec7f</t>
        </is>
      </c>
      <c r="D624" t="inlineStr">
        <is>
          <t>11111127</t>
        </is>
      </c>
      <c r="E624" t="inlineStr">
        <is>
          <t>Vodacom Life 20260622</t>
        </is>
      </c>
      <c r="H624" t="inlineStr">
        <is>
          <t>27729898539</t>
        </is>
      </c>
      <c r="J624" t="inlineStr">
        <is>
          <t>AE</t>
        </is>
      </c>
      <c r="K624" t="inlineStr">
        <is>
          <t>Auto Engaged</t>
        </is>
      </c>
      <c r="L624" t="n">
        <v>5</v>
      </c>
      <c r="M624" t="inlineStr">
        <is>
          <t>2026-06-26 11:48:37</t>
        </is>
      </c>
      <c r="N624" t="inlineStr">
        <is>
          <t>system</t>
        </is>
      </c>
      <c r="O624" t="inlineStr">
        <is>
          <t>2026-06-22 14:11:25</t>
        </is>
      </c>
      <c r="P624" t="inlineStr">
        <is>
          <t>2026-06-22 14:11:25</t>
        </is>
      </c>
      <c r="Y624" t="inlineStr">
        <is>
          <t>27729898539</t>
        </is>
      </c>
    </row>
    <row r="625">
      <c r="A625" t="inlineStr">
        <is>
          <t>14973727</t>
        </is>
      </c>
      <c r="B625" t="inlineStr">
        <is>
          <t>dae95fb9-d99a-410b-8d84-4446be27a5e9</t>
        </is>
      </c>
      <c r="D625" t="inlineStr">
        <is>
          <t>11111127</t>
        </is>
      </c>
      <c r="E625" t="inlineStr">
        <is>
          <t>Vodacom Life 20260622</t>
        </is>
      </c>
      <c r="H625" t="inlineStr">
        <is>
          <t>27723790623</t>
        </is>
      </c>
      <c r="J625" t="inlineStr">
        <is>
          <t>CCB</t>
        </is>
      </c>
      <c r="K625" t="inlineStr">
        <is>
          <t>Call Dropped</t>
        </is>
      </c>
      <c r="L625" t="n">
        <v>5</v>
      </c>
      <c r="M625" t="inlineStr">
        <is>
          <t>2026-06-26 11:48:28</t>
        </is>
      </c>
      <c r="N625" t="inlineStr">
        <is>
          <t>Musiiwa Mary Mabirimisa</t>
        </is>
      </c>
      <c r="O625" t="inlineStr">
        <is>
          <t>2026-06-22 14:11:25</t>
        </is>
      </c>
      <c r="P625" t="inlineStr">
        <is>
          <t>2026-06-22 14:11:25</t>
        </is>
      </c>
      <c r="Y625" t="inlineStr">
        <is>
          <t>27723790623</t>
        </is>
      </c>
    </row>
    <row r="626">
      <c r="A626" t="inlineStr">
        <is>
          <t>14974594</t>
        </is>
      </c>
      <c r="B626" t="inlineStr">
        <is>
          <t>18ee7b88-ea5b-4c97-8a03-e734e42cd343</t>
        </is>
      </c>
      <c r="D626" t="inlineStr">
        <is>
          <t>11111127</t>
        </is>
      </c>
      <c r="E626" t="inlineStr">
        <is>
          <t>Vodacom Life 20260622</t>
        </is>
      </c>
      <c r="J626" t="inlineStr">
        <is>
          <t>AA</t>
        </is>
      </c>
      <c r="K626" t="inlineStr">
        <is>
          <t>Answering Machine Autodial</t>
        </is>
      </c>
      <c r="L626" t="n">
        <v>5</v>
      </c>
      <c r="M626" t="inlineStr">
        <is>
          <t>2026-06-26 11:48:15</t>
        </is>
      </c>
      <c r="N626" t="inlineStr">
        <is>
          <t>system</t>
        </is>
      </c>
      <c r="O626" t="inlineStr">
        <is>
          <t>2026-06-22 14:11:25</t>
        </is>
      </c>
      <c r="P626" t="inlineStr">
        <is>
          <t>2026-06-22 14:11:25</t>
        </is>
      </c>
      <c r="Y626" t="inlineStr">
        <is>
          <t>27765481797</t>
        </is>
      </c>
    </row>
    <row r="627">
      <c r="A627" t="inlineStr">
        <is>
          <t>14974595</t>
        </is>
      </c>
      <c r="B627" t="inlineStr">
        <is>
          <t>129cccff-3a9c-4b60-ab67-c777470869b2</t>
        </is>
      </c>
      <c r="D627" t="inlineStr">
        <is>
          <t>11111127</t>
        </is>
      </c>
      <c r="E627" t="inlineStr">
        <is>
          <t>Vodacom Life 20260622</t>
        </is>
      </c>
      <c r="J627" t="inlineStr">
        <is>
          <t>DROP</t>
        </is>
      </c>
      <c r="K627" t="inlineStr">
        <is>
          <t>Dropped</t>
        </is>
      </c>
      <c r="L627" t="n">
        <v>5</v>
      </c>
      <c r="M627" t="inlineStr">
        <is>
          <t>2026-06-26 11:48:15</t>
        </is>
      </c>
      <c r="N627" t="inlineStr">
        <is>
          <t>system</t>
        </is>
      </c>
      <c r="O627" t="inlineStr">
        <is>
          <t>2026-06-22 14:11:25</t>
        </is>
      </c>
      <c r="P627" t="inlineStr">
        <is>
          <t>2026-06-22 14:11:25</t>
        </is>
      </c>
      <c r="Y627" t="inlineStr">
        <is>
          <t>27766028602</t>
        </is>
      </c>
    </row>
    <row r="628">
      <c r="A628" t="inlineStr">
        <is>
          <t>14974004</t>
        </is>
      </c>
      <c r="B628" t="inlineStr">
        <is>
          <t>3a08e055-4f9d-42cb-91d7-107588bb3bbf</t>
        </is>
      </c>
      <c r="D628" t="inlineStr">
        <is>
          <t>11111127</t>
        </is>
      </c>
      <c r="E628" t="inlineStr">
        <is>
          <t>Vodacom Life 20260622</t>
        </is>
      </c>
      <c r="H628" t="inlineStr">
        <is>
          <t>27761954300</t>
        </is>
      </c>
      <c r="J628" t="inlineStr">
        <is>
          <t>CU</t>
        </is>
      </c>
      <c r="K628" t="inlineStr">
        <is>
          <t>Client Hung Up</t>
        </is>
      </c>
      <c r="L628" t="n">
        <v>5</v>
      </c>
      <c r="M628" t="inlineStr">
        <is>
          <t>2026-06-26 11:46:51</t>
        </is>
      </c>
      <c r="N628" t="inlineStr">
        <is>
          <t>Khensane Mabasa</t>
        </is>
      </c>
      <c r="O628" t="inlineStr">
        <is>
          <t>2026-06-22 14:11:25</t>
        </is>
      </c>
      <c r="P628" t="inlineStr">
        <is>
          <t>2026-06-22 14:11:25</t>
        </is>
      </c>
      <c r="Y628" t="inlineStr">
        <is>
          <t>27761954300</t>
        </is>
      </c>
    </row>
    <row r="629">
      <c r="A629" t="inlineStr">
        <is>
          <t>14973796</t>
        </is>
      </c>
      <c r="B629" t="inlineStr">
        <is>
          <t>0acb943e-e399-49dc-82ae-a860c27d539c</t>
        </is>
      </c>
      <c r="D629" t="inlineStr">
        <is>
          <t>11111127</t>
        </is>
      </c>
      <c r="E629" t="inlineStr">
        <is>
          <t>Vodacom Life 20260622</t>
        </is>
      </c>
      <c r="H629" t="inlineStr">
        <is>
          <t>27646201096</t>
        </is>
      </c>
      <c r="J629" t="inlineStr">
        <is>
          <t>NI</t>
        </is>
      </c>
      <c r="K629" t="inlineStr">
        <is>
          <t>Not Interested</t>
        </is>
      </c>
      <c r="L629" t="n">
        <v>6</v>
      </c>
      <c r="M629" t="inlineStr">
        <is>
          <t>2026-06-26 11:45:58</t>
        </is>
      </c>
      <c r="N629" t="inlineStr">
        <is>
          <t>Maureen Ntsoko</t>
        </is>
      </c>
      <c r="O629" t="inlineStr">
        <is>
          <t>2026-06-22 14:11:25</t>
        </is>
      </c>
      <c r="P629" t="inlineStr">
        <is>
          <t>2026-06-22 14:11:25</t>
        </is>
      </c>
      <c r="Y629" t="inlineStr">
        <is>
          <t>27646201096</t>
        </is>
      </c>
    </row>
    <row r="630">
      <c r="A630" t="inlineStr">
        <is>
          <t>14974001</t>
        </is>
      </c>
      <c r="B630" t="inlineStr">
        <is>
          <t>15063a46-6dd4-4a6f-b759-d56d5737c7d3</t>
        </is>
      </c>
      <c r="D630" t="inlineStr">
        <is>
          <t>11111127</t>
        </is>
      </c>
      <c r="E630" t="inlineStr">
        <is>
          <t>Vodacom Life 20260622</t>
        </is>
      </c>
      <c r="J630" t="inlineStr">
        <is>
          <t>NA</t>
        </is>
      </c>
      <c r="K630" t="inlineStr">
        <is>
          <t>No Answer Autodial</t>
        </is>
      </c>
      <c r="L630" t="n">
        <v>5</v>
      </c>
      <c r="M630" t="inlineStr">
        <is>
          <t>2026-06-26 11:45:53</t>
        </is>
      </c>
      <c r="N630" t="inlineStr">
        <is>
          <t>system</t>
        </is>
      </c>
      <c r="O630" t="inlineStr">
        <is>
          <t>2026-06-22 14:11:25</t>
        </is>
      </c>
      <c r="P630" t="inlineStr">
        <is>
          <t>2026-06-22 14:11:25</t>
        </is>
      </c>
      <c r="Y630" t="inlineStr">
        <is>
          <t>27769951148</t>
        </is>
      </c>
    </row>
    <row r="631">
      <c r="A631" t="inlineStr">
        <is>
          <t>14974002</t>
        </is>
      </c>
      <c r="B631" t="inlineStr">
        <is>
          <t>482ef7aa-c282-4a6b-bc99-61c232549e7a</t>
        </is>
      </c>
      <c r="D631" t="inlineStr">
        <is>
          <t>11111127</t>
        </is>
      </c>
      <c r="E631" t="inlineStr">
        <is>
          <t>Vodacom Life 20260622</t>
        </is>
      </c>
      <c r="H631" t="inlineStr">
        <is>
          <t>27660879824</t>
        </is>
      </c>
      <c r="J631" t="inlineStr">
        <is>
          <t>DROP</t>
        </is>
      </c>
      <c r="K631" t="inlineStr">
        <is>
          <t>Dropped</t>
        </is>
      </c>
      <c r="L631" t="n">
        <v>5</v>
      </c>
      <c r="M631" t="inlineStr">
        <is>
          <t>2026-06-26 11:45:53</t>
        </is>
      </c>
      <c r="N631" t="inlineStr">
        <is>
          <t>system</t>
        </is>
      </c>
      <c r="O631" t="inlineStr">
        <is>
          <t>2026-06-22 14:11:25</t>
        </is>
      </c>
      <c r="P631" t="inlineStr">
        <is>
          <t>2026-06-22 14:11:25</t>
        </is>
      </c>
      <c r="Y631" t="inlineStr">
        <is>
          <t>27660879824</t>
        </is>
      </c>
    </row>
    <row r="632">
      <c r="A632" t="inlineStr">
        <is>
          <t>14974009</t>
        </is>
      </c>
      <c r="B632" t="inlineStr">
        <is>
          <t>a1d2897d-76c5-41ae-8489-2914f6825acc</t>
        </is>
      </c>
      <c r="D632" t="inlineStr">
        <is>
          <t>11111127</t>
        </is>
      </c>
      <c r="E632" t="inlineStr">
        <is>
          <t>Vodacom Life 20260622</t>
        </is>
      </c>
      <c r="J632" t="inlineStr">
        <is>
          <t>DROP</t>
        </is>
      </c>
      <c r="K632" t="inlineStr">
        <is>
          <t>Dropped</t>
        </is>
      </c>
      <c r="L632" t="n">
        <v>5</v>
      </c>
      <c r="M632" t="inlineStr">
        <is>
          <t>2026-06-26 11:45:43</t>
        </is>
      </c>
      <c r="N632" t="inlineStr">
        <is>
          <t>system</t>
        </is>
      </c>
      <c r="O632" t="inlineStr">
        <is>
          <t>2026-06-22 14:11:25</t>
        </is>
      </c>
      <c r="P632" t="inlineStr">
        <is>
          <t>2026-06-22 14:11:25</t>
        </is>
      </c>
      <c r="Y632" t="inlineStr">
        <is>
          <t>27674104400</t>
        </is>
      </c>
    </row>
    <row r="633">
      <c r="A633" t="inlineStr">
        <is>
          <t>14974010</t>
        </is>
      </c>
      <c r="B633" t="inlineStr">
        <is>
          <t>3fe05c42-f519-454d-bc9e-d8db062392a7</t>
        </is>
      </c>
      <c r="D633" t="inlineStr">
        <is>
          <t>11111127</t>
        </is>
      </c>
      <c r="E633" t="inlineStr">
        <is>
          <t>Vodacom Life 20260622</t>
        </is>
      </c>
      <c r="H633" t="inlineStr">
        <is>
          <t>27711950069</t>
        </is>
      </c>
      <c r="J633" t="inlineStr">
        <is>
          <t>U</t>
        </is>
      </c>
      <c r="K633" t="inlineStr">
        <is>
          <t>Unemployed</t>
        </is>
      </c>
      <c r="L633" t="n">
        <v>5</v>
      </c>
      <c r="M633" t="inlineStr">
        <is>
          <t>2026-06-26 11:45:29</t>
        </is>
      </c>
      <c r="N633" t="inlineStr">
        <is>
          <t>bongiwe lushaba</t>
        </is>
      </c>
      <c r="O633" t="inlineStr">
        <is>
          <t>2026-06-22 14:11:25</t>
        </is>
      </c>
      <c r="P633" t="inlineStr">
        <is>
          <t>2026-06-22 14:11:25</t>
        </is>
      </c>
      <c r="Y633" t="inlineStr">
        <is>
          <t>27711950069</t>
        </is>
      </c>
    </row>
    <row r="634">
      <c r="A634" t="inlineStr">
        <is>
          <t>14974012</t>
        </is>
      </c>
      <c r="B634" t="inlineStr">
        <is>
          <t>e5c27dd0-de21-4189-bde7-10b363acabbb</t>
        </is>
      </c>
      <c r="D634" t="inlineStr">
        <is>
          <t>11111127</t>
        </is>
      </c>
      <c r="E634" t="inlineStr">
        <is>
          <t>Vodacom Life 20260622</t>
        </is>
      </c>
      <c r="J634" t="inlineStr">
        <is>
          <t>AE</t>
        </is>
      </c>
      <c r="K634" t="inlineStr">
        <is>
          <t>Auto Engaged</t>
        </is>
      </c>
      <c r="L634" t="n">
        <v>5</v>
      </c>
      <c r="M634" t="inlineStr">
        <is>
          <t>2026-06-26 11:45:29</t>
        </is>
      </c>
      <c r="N634" t="inlineStr">
        <is>
          <t>system</t>
        </is>
      </c>
      <c r="O634" t="inlineStr">
        <is>
          <t>2026-06-22 14:11:25</t>
        </is>
      </c>
      <c r="P634" t="inlineStr">
        <is>
          <t>2026-06-22 14:11:25</t>
        </is>
      </c>
      <c r="Y634" t="inlineStr">
        <is>
          <t>27729782095</t>
        </is>
      </c>
    </row>
    <row r="635">
      <c r="A635" t="inlineStr">
        <is>
          <t>14974013</t>
        </is>
      </c>
      <c r="B635" t="inlineStr">
        <is>
          <t>51219cae-42eb-4036-a89c-d6cf75eba8e2</t>
        </is>
      </c>
      <c r="D635" t="inlineStr">
        <is>
          <t>11111127</t>
        </is>
      </c>
      <c r="E635" t="inlineStr">
        <is>
          <t>Vodacom Life 20260622</t>
        </is>
      </c>
      <c r="J635" t="inlineStr">
        <is>
          <t>DROP</t>
        </is>
      </c>
      <c r="K635" t="inlineStr">
        <is>
          <t>Dropped</t>
        </is>
      </c>
      <c r="L635" t="n">
        <v>5</v>
      </c>
      <c r="M635" t="inlineStr">
        <is>
          <t>2026-06-26 11:45:29</t>
        </is>
      </c>
      <c r="N635" t="inlineStr">
        <is>
          <t>system</t>
        </is>
      </c>
      <c r="O635" t="inlineStr">
        <is>
          <t>2026-06-22 14:11:25</t>
        </is>
      </c>
      <c r="P635" t="inlineStr">
        <is>
          <t>2026-06-22 14:11:25</t>
        </is>
      </c>
      <c r="Y635" t="inlineStr">
        <is>
          <t>27760493660</t>
        </is>
      </c>
    </row>
    <row r="636">
      <c r="A636" t="inlineStr">
        <is>
          <t>14974014</t>
        </is>
      </c>
      <c r="B636" t="inlineStr">
        <is>
          <t>c73aae55-06a4-4197-9f08-46b3e78f524d</t>
        </is>
      </c>
      <c r="D636" t="inlineStr">
        <is>
          <t>11111127</t>
        </is>
      </c>
      <c r="E636" t="inlineStr">
        <is>
          <t>Vodacom Life 20260622</t>
        </is>
      </c>
      <c r="H636" t="inlineStr">
        <is>
          <t>27607143526</t>
        </is>
      </c>
      <c r="J636" t="inlineStr">
        <is>
          <t>AA</t>
        </is>
      </c>
      <c r="K636" t="inlineStr">
        <is>
          <t>Answering Machine Autodial</t>
        </is>
      </c>
      <c r="L636" t="n">
        <v>5</v>
      </c>
      <c r="M636" t="inlineStr">
        <is>
          <t>2026-06-26 11:45:29</t>
        </is>
      </c>
      <c r="N636" t="inlineStr">
        <is>
          <t>system</t>
        </is>
      </c>
      <c r="O636" t="inlineStr">
        <is>
          <t>2026-06-22 14:11:25</t>
        </is>
      </c>
      <c r="P636" t="inlineStr">
        <is>
          <t>2026-06-22 14:11:25</t>
        </is>
      </c>
      <c r="Y636" t="inlineStr">
        <is>
          <t>27607143526</t>
        </is>
      </c>
    </row>
    <row r="637">
      <c r="A637" t="inlineStr">
        <is>
          <t>14974015</t>
        </is>
      </c>
      <c r="B637" t="inlineStr">
        <is>
          <t>ccea5d40-af46-43bb-bc19-d78da6e9864f</t>
        </is>
      </c>
      <c r="D637" t="inlineStr">
        <is>
          <t>11111127</t>
        </is>
      </c>
      <c r="E637" t="inlineStr">
        <is>
          <t>Vodacom Life 20260622</t>
        </is>
      </c>
      <c r="J637" t="inlineStr">
        <is>
          <t>CU</t>
        </is>
      </c>
      <c r="K637" t="inlineStr">
        <is>
          <t>Client Hung Up</t>
        </is>
      </c>
      <c r="L637" t="n">
        <v>5</v>
      </c>
      <c r="M637" t="inlineStr">
        <is>
          <t>2026-06-26 11:45:25</t>
        </is>
      </c>
      <c r="N637" t="inlineStr">
        <is>
          <t>Khensane Mabasa</t>
        </is>
      </c>
      <c r="O637" t="inlineStr">
        <is>
          <t>2026-06-22 14:11:25</t>
        </is>
      </c>
      <c r="P637" t="inlineStr">
        <is>
          <t>2026-06-22 14:11:25</t>
        </is>
      </c>
      <c r="Y637" t="inlineStr">
        <is>
          <t>27828782672</t>
        </is>
      </c>
    </row>
    <row r="638">
      <c r="A638" t="inlineStr">
        <is>
          <t>14974016</t>
        </is>
      </c>
      <c r="B638" t="inlineStr">
        <is>
          <t>959a406b-6ce4-4197-ba3a-e4485531c018</t>
        </is>
      </c>
      <c r="D638" t="inlineStr">
        <is>
          <t>11111127</t>
        </is>
      </c>
      <c r="E638" t="inlineStr">
        <is>
          <t>Vodacom Life 20260622</t>
        </is>
      </c>
      <c r="J638" t="inlineStr">
        <is>
          <t>AE</t>
        </is>
      </c>
      <c r="K638" t="inlineStr">
        <is>
          <t>Auto Engaged</t>
        </is>
      </c>
      <c r="L638" t="n">
        <v>5</v>
      </c>
      <c r="M638" t="inlineStr">
        <is>
          <t>2026-06-26 11:45:24</t>
        </is>
      </c>
      <c r="N638" t="inlineStr">
        <is>
          <t>system</t>
        </is>
      </c>
      <c r="O638" t="inlineStr">
        <is>
          <t>2026-06-22 14:11:25</t>
        </is>
      </c>
      <c r="P638" t="inlineStr">
        <is>
          <t>2026-06-22 14:11:25</t>
        </is>
      </c>
      <c r="Y638" t="inlineStr">
        <is>
          <t>27680000005</t>
        </is>
      </c>
    </row>
    <row r="639">
      <c r="A639" t="inlineStr">
        <is>
          <t>14974019</t>
        </is>
      </c>
      <c r="B639" t="inlineStr">
        <is>
          <t>c9c35730-afe1-4b87-8be3-33452533e075</t>
        </is>
      </c>
      <c r="D639" t="inlineStr">
        <is>
          <t>11111127</t>
        </is>
      </c>
      <c r="E639" t="inlineStr">
        <is>
          <t>Vodacom Life 20260622</t>
        </is>
      </c>
      <c r="J639" t="inlineStr">
        <is>
          <t>U</t>
        </is>
      </c>
      <c r="K639" t="inlineStr">
        <is>
          <t>Unemployed</t>
        </is>
      </c>
      <c r="L639" t="n">
        <v>5</v>
      </c>
      <c r="M639" t="inlineStr">
        <is>
          <t>2026-06-26 11:45:17</t>
        </is>
      </c>
      <c r="N639" t="inlineStr">
        <is>
          <t>Musiiwa Mary Mabirimisa</t>
        </is>
      </c>
      <c r="O639" t="inlineStr">
        <is>
          <t>2026-06-22 14:11:25</t>
        </is>
      </c>
      <c r="P639" t="inlineStr">
        <is>
          <t>2026-06-22 14:11:25</t>
        </is>
      </c>
      <c r="Y639" t="inlineStr">
        <is>
          <t>27712294740</t>
        </is>
      </c>
    </row>
    <row r="640">
      <c r="A640" t="inlineStr">
        <is>
          <t>14974297</t>
        </is>
      </c>
      <c r="B640" t="inlineStr">
        <is>
          <t>dd42871e-ec0f-4886-9008-4b6020a1dd04</t>
        </is>
      </c>
      <c r="D640" t="inlineStr">
        <is>
          <t>11111127</t>
        </is>
      </c>
      <c r="E640" t="inlineStr">
        <is>
          <t>Vodacom Life 20260622</t>
        </is>
      </c>
      <c r="J640" t="inlineStr">
        <is>
          <t>DROP</t>
        </is>
      </c>
      <c r="K640" t="inlineStr">
        <is>
          <t>Dropped</t>
        </is>
      </c>
      <c r="L640" t="n">
        <v>5</v>
      </c>
      <c r="M640" t="inlineStr">
        <is>
          <t>2026-06-26 11:44:23</t>
        </is>
      </c>
      <c r="N640" t="inlineStr">
        <is>
          <t>system</t>
        </is>
      </c>
      <c r="O640" t="inlineStr">
        <is>
          <t>2026-06-22 14:11:25</t>
        </is>
      </c>
      <c r="P640" t="inlineStr">
        <is>
          <t>2026-06-22 14:11:25</t>
        </is>
      </c>
      <c r="Y640" t="inlineStr">
        <is>
          <t>27767431639</t>
        </is>
      </c>
    </row>
    <row r="641">
      <c r="A641" t="inlineStr">
        <is>
          <t>14974299</t>
        </is>
      </c>
      <c r="B641" t="inlineStr">
        <is>
          <t>1fc8df16-1f27-46c8-8658-d4c42779817b</t>
        </is>
      </c>
      <c r="D641" t="inlineStr">
        <is>
          <t>11111127</t>
        </is>
      </c>
      <c r="E641" t="inlineStr">
        <is>
          <t>Vodacom Life 20260622</t>
        </is>
      </c>
      <c r="H641" t="inlineStr">
        <is>
          <t>27726675694</t>
        </is>
      </c>
      <c r="J641" t="inlineStr">
        <is>
          <t>DROP</t>
        </is>
      </c>
      <c r="K641" t="inlineStr">
        <is>
          <t>Dropped</t>
        </is>
      </c>
      <c r="L641" t="n">
        <v>5</v>
      </c>
      <c r="M641" t="inlineStr">
        <is>
          <t>2026-06-26 11:44:22</t>
        </is>
      </c>
      <c r="N641" t="inlineStr">
        <is>
          <t>system</t>
        </is>
      </c>
      <c r="O641" t="inlineStr">
        <is>
          <t>2026-06-22 14:11:25</t>
        </is>
      </c>
      <c r="P641" t="inlineStr">
        <is>
          <t>2026-06-22 14:11:25</t>
        </is>
      </c>
      <c r="Y641" t="inlineStr">
        <is>
          <t>27726675694</t>
        </is>
      </c>
    </row>
    <row r="642">
      <c r="A642" t="inlineStr">
        <is>
          <t>14973702</t>
        </is>
      </c>
      <c r="B642" t="inlineStr">
        <is>
          <t>0b686c5d-43af-4c6d-b4db-9086e5b90aeb</t>
        </is>
      </c>
      <c r="D642" t="inlineStr">
        <is>
          <t>11111127</t>
        </is>
      </c>
      <c r="E642" t="inlineStr">
        <is>
          <t>Vodacom Life 20260622</t>
        </is>
      </c>
      <c r="H642" t="inlineStr">
        <is>
          <t>27764145079</t>
        </is>
      </c>
      <c r="J642" t="inlineStr">
        <is>
          <t>IABDN</t>
        </is>
      </c>
      <c r="K642" t="inlineStr">
        <is>
          <t>Inbound Abandon</t>
        </is>
      </c>
      <c r="L642" t="n">
        <v>5</v>
      </c>
      <c r="M642" t="inlineStr">
        <is>
          <t>2026-06-26 11:43:55</t>
        </is>
      </c>
      <c r="N642" t="inlineStr">
        <is>
          <t>system</t>
        </is>
      </c>
      <c r="O642" t="inlineStr">
        <is>
          <t>2026-06-22 14:11:25</t>
        </is>
      </c>
      <c r="P642" t="inlineStr">
        <is>
          <t>2026-06-22 14:11:25</t>
        </is>
      </c>
      <c r="Y642" t="inlineStr">
        <is>
          <t>27764145079</t>
        </is>
      </c>
    </row>
    <row r="643">
      <c r="A643" t="inlineStr">
        <is>
          <t>14973756</t>
        </is>
      </c>
      <c r="B643" t="inlineStr">
        <is>
          <t>fe4e2f15-c528-4b4a-8cf2-43c071f257a8</t>
        </is>
      </c>
      <c r="D643" t="inlineStr">
        <is>
          <t>11111127</t>
        </is>
      </c>
      <c r="E643" t="inlineStr">
        <is>
          <t>Vodacom Life 20260622</t>
        </is>
      </c>
      <c r="H643" t="inlineStr">
        <is>
          <t>27765568312</t>
        </is>
      </c>
      <c r="J643" t="inlineStr">
        <is>
          <t>CU</t>
        </is>
      </c>
      <c r="K643" t="inlineStr">
        <is>
          <t>Client Hung Up</t>
        </is>
      </c>
      <c r="L643" t="n">
        <v>7</v>
      </c>
      <c r="M643" t="inlineStr">
        <is>
          <t>2026-06-26 11:43:54</t>
        </is>
      </c>
      <c r="N643" t="inlineStr">
        <is>
          <t>Maureen Ntsoko</t>
        </is>
      </c>
      <c r="O643" t="inlineStr">
        <is>
          <t>2026-06-22 14:11:25</t>
        </is>
      </c>
      <c r="P643" t="inlineStr">
        <is>
          <t>2026-06-22 14:11:25</t>
        </is>
      </c>
      <c r="Y643" t="inlineStr">
        <is>
          <t>27765568312</t>
        </is>
      </c>
    </row>
    <row r="644">
      <c r="A644" t="inlineStr">
        <is>
          <t>14974036</t>
        </is>
      </c>
      <c r="B644" t="inlineStr">
        <is>
          <t>43eee4df-f7ea-4edf-94b2-b18d87fc9c0d</t>
        </is>
      </c>
      <c r="D644" t="inlineStr">
        <is>
          <t>11111127</t>
        </is>
      </c>
      <c r="E644" t="inlineStr">
        <is>
          <t>Vodacom Life 20260622</t>
        </is>
      </c>
      <c r="J644" t="inlineStr">
        <is>
          <t>AE</t>
        </is>
      </c>
      <c r="K644" t="inlineStr">
        <is>
          <t>Auto Engaged</t>
        </is>
      </c>
      <c r="L644" t="n">
        <v>5</v>
      </c>
      <c r="M644" t="inlineStr">
        <is>
          <t>2026-06-26 11:43:42</t>
        </is>
      </c>
      <c r="N644" t="inlineStr">
        <is>
          <t>system</t>
        </is>
      </c>
      <c r="O644" t="inlineStr">
        <is>
          <t>2026-06-22 14:11:25</t>
        </is>
      </c>
      <c r="P644" t="inlineStr">
        <is>
          <t>2026-06-22 14:11:25</t>
        </is>
      </c>
      <c r="Y644" t="inlineStr">
        <is>
          <t>27627847699</t>
        </is>
      </c>
    </row>
    <row r="645">
      <c r="A645" t="inlineStr">
        <is>
          <t>14974038</t>
        </is>
      </c>
      <c r="B645" t="inlineStr">
        <is>
          <t>de376fbe-2277-4987-b3da-6377af0fe41a</t>
        </is>
      </c>
      <c r="D645" t="inlineStr">
        <is>
          <t>11111127</t>
        </is>
      </c>
      <c r="E645" t="inlineStr">
        <is>
          <t>Vodacom Life 20260622</t>
        </is>
      </c>
      <c r="J645" t="inlineStr">
        <is>
          <t>A</t>
        </is>
      </c>
      <c r="K645" t="inlineStr">
        <is>
          <t>Answering Machine</t>
        </is>
      </c>
      <c r="L645" t="n">
        <v>5</v>
      </c>
      <c r="M645" t="inlineStr">
        <is>
          <t>2026-06-26 11:43:39</t>
        </is>
      </c>
      <c r="N645" t="inlineStr">
        <is>
          <t>Maureen Ntsoko</t>
        </is>
      </c>
      <c r="O645" t="inlineStr">
        <is>
          <t>2026-06-22 14:11:25</t>
        </is>
      </c>
      <c r="P645" t="inlineStr">
        <is>
          <t>2026-06-22 14:11:25</t>
        </is>
      </c>
      <c r="Y645" t="inlineStr">
        <is>
          <t>27761001897</t>
        </is>
      </c>
    </row>
    <row r="646">
      <c r="A646" t="inlineStr">
        <is>
          <t>14974045</t>
        </is>
      </c>
      <c r="B646" t="inlineStr">
        <is>
          <t>f877c3aa-d849-40aa-957f-c0d8a221cda5</t>
        </is>
      </c>
      <c r="D646" t="inlineStr">
        <is>
          <t>11111127</t>
        </is>
      </c>
      <c r="E646" t="inlineStr">
        <is>
          <t>Vodacom Life 20260622</t>
        </is>
      </c>
      <c r="H646" t="inlineStr">
        <is>
          <t>27724660911</t>
        </is>
      </c>
      <c r="J646" t="inlineStr">
        <is>
          <t>AE</t>
        </is>
      </c>
      <c r="K646" t="inlineStr">
        <is>
          <t>Auto Engaged</t>
        </is>
      </c>
      <c r="L646" t="n">
        <v>5</v>
      </c>
      <c r="M646" t="inlineStr">
        <is>
          <t>2026-06-26 11:43:36</t>
        </is>
      </c>
      <c r="N646" t="inlineStr">
        <is>
          <t>system</t>
        </is>
      </c>
      <c r="O646" t="inlineStr">
        <is>
          <t>2026-06-22 14:11:25</t>
        </is>
      </c>
      <c r="P646" t="inlineStr">
        <is>
          <t>2026-06-22 14:11:25</t>
        </is>
      </c>
      <c r="Y646" t="inlineStr">
        <is>
          <t>27724660911</t>
        </is>
      </c>
    </row>
    <row r="647">
      <c r="A647" t="inlineStr">
        <is>
          <t>14974052</t>
        </is>
      </c>
      <c r="B647" t="inlineStr">
        <is>
          <t>77ba2d25-e525-4b06-9d05-e06988f1fafc</t>
        </is>
      </c>
      <c r="D647" t="inlineStr">
        <is>
          <t>11111127</t>
        </is>
      </c>
      <c r="E647" t="inlineStr">
        <is>
          <t>Vodacom Life 20260622</t>
        </is>
      </c>
      <c r="H647" t="inlineStr">
        <is>
          <t>27714655042</t>
        </is>
      </c>
      <c r="J647" t="inlineStr">
        <is>
          <t>AA</t>
        </is>
      </c>
      <c r="K647" t="inlineStr">
        <is>
          <t>Answering Machine Autodial</t>
        </is>
      </c>
      <c r="L647" t="n">
        <v>5</v>
      </c>
      <c r="M647" t="inlineStr">
        <is>
          <t>2026-06-26 11:43:30</t>
        </is>
      </c>
      <c r="N647" t="inlineStr">
        <is>
          <t>system</t>
        </is>
      </c>
      <c r="O647" t="inlineStr">
        <is>
          <t>2026-06-22 14:11:25</t>
        </is>
      </c>
      <c r="P647" t="inlineStr">
        <is>
          <t>2026-06-22 14:11:25</t>
        </is>
      </c>
      <c r="Y647" t="inlineStr">
        <is>
          <t>27714655042</t>
        </is>
      </c>
    </row>
    <row r="648">
      <c r="A648" t="inlineStr">
        <is>
          <t>14974053</t>
        </is>
      </c>
      <c r="B648" t="inlineStr">
        <is>
          <t>09988262-a5ed-47db-8e7d-86e148cac954</t>
        </is>
      </c>
      <c r="D648" t="inlineStr">
        <is>
          <t>11111127</t>
        </is>
      </c>
      <c r="E648" t="inlineStr">
        <is>
          <t>Vodacom Life 20260622</t>
        </is>
      </c>
      <c r="J648" t="inlineStr">
        <is>
          <t>AA</t>
        </is>
      </c>
      <c r="K648" t="inlineStr">
        <is>
          <t>Answering Machine Autodial</t>
        </is>
      </c>
      <c r="L648" t="n">
        <v>5</v>
      </c>
      <c r="M648" t="inlineStr">
        <is>
          <t>2026-06-26 11:43:30</t>
        </is>
      </c>
      <c r="N648" t="inlineStr">
        <is>
          <t>system</t>
        </is>
      </c>
      <c r="O648" t="inlineStr">
        <is>
          <t>2026-06-22 14:11:25</t>
        </is>
      </c>
      <c r="P648" t="inlineStr">
        <is>
          <t>2026-06-22 14:11:25</t>
        </is>
      </c>
      <c r="Y648" t="inlineStr">
        <is>
          <t>27636604138</t>
        </is>
      </c>
    </row>
    <row r="649">
      <c r="A649" t="inlineStr">
        <is>
          <t>14974054</t>
        </is>
      </c>
      <c r="B649" t="inlineStr">
        <is>
          <t>b8f619c2-52c2-46bf-972e-63d271ea4026</t>
        </is>
      </c>
      <c r="D649" t="inlineStr">
        <is>
          <t>11111127</t>
        </is>
      </c>
      <c r="E649" t="inlineStr">
        <is>
          <t>Vodacom Life 20260622</t>
        </is>
      </c>
      <c r="J649" t="inlineStr">
        <is>
          <t>AA</t>
        </is>
      </c>
      <c r="K649" t="inlineStr">
        <is>
          <t>Answering Machine Autodial</t>
        </is>
      </c>
      <c r="L649" t="n">
        <v>5</v>
      </c>
      <c r="M649" t="inlineStr">
        <is>
          <t>2026-06-26 11:43:29</t>
        </is>
      </c>
      <c r="N649" t="inlineStr">
        <is>
          <t>system</t>
        </is>
      </c>
      <c r="O649" t="inlineStr">
        <is>
          <t>2026-06-22 14:11:25</t>
        </is>
      </c>
      <c r="P649" t="inlineStr">
        <is>
          <t>2026-06-22 14:11:25</t>
        </is>
      </c>
      <c r="Y649" t="inlineStr">
        <is>
          <t>27685184934</t>
        </is>
      </c>
    </row>
    <row r="650">
      <c r="A650" t="inlineStr">
        <is>
          <t>14974063</t>
        </is>
      </c>
      <c r="B650" t="inlineStr">
        <is>
          <t>dd9e5922-671d-4a43-8dfd-2c466e069968</t>
        </is>
      </c>
      <c r="D650" t="inlineStr">
        <is>
          <t>11111127</t>
        </is>
      </c>
      <c r="E650" t="inlineStr">
        <is>
          <t>Vodacom Life 20260622</t>
        </is>
      </c>
      <c r="J650" t="inlineStr">
        <is>
          <t>NA</t>
        </is>
      </c>
      <c r="K650" t="inlineStr">
        <is>
          <t>No Answer Autodial</t>
        </is>
      </c>
      <c r="L650" t="n">
        <v>5</v>
      </c>
      <c r="M650" t="inlineStr">
        <is>
          <t>2026-06-26 11:43:11</t>
        </is>
      </c>
      <c r="N650" t="inlineStr">
        <is>
          <t>system</t>
        </is>
      </c>
      <c r="O650" t="inlineStr">
        <is>
          <t>2026-06-22 14:11:25</t>
        </is>
      </c>
      <c r="P650" t="inlineStr">
        <is>
          <t>2026-06-22 14:11:25</t>
        </is>
      </c>
      <c r="Y650" t="inlineStr">
        <is>
          <t>27722350698</t>
        </is>
      </c>
    </row>
    <row r="651">
      <c r="A651" t="inlineStr">
        <is>
          <t>14974067</t>
        </is>
      </c>
      <c r="B651" t="inlineStr">
        <is>
          <t>d80d383f-f002-4b5d-bda5-33c42ae33ecf</t>
        </is>
      </c>
      <c r="D651" t="inlineStr">
        <is>
          <t>11111127</t>
        </is>
      </c>
      <c r="E651" t="inlineStr">
        <is>
          <t>Vodacom Life 20260622</t>
        </is>
      </c>
      <c r="J651" t="inlineStr">
        <is>
          <t>AA</t>
        </is>
      </c>
      <c r="K651" t="inlineStr">
        <is>
          <t>Answering Machine Autodial</t>
        </is>
      </c>
      <c r="L651" t="n">
        <v>5</v>
      </c>
      <c r="M651" t="inlineStr">
        <is>
          <t>2026-06-26 11:43:11</t>
        </is>
      </c>
      <c r="N651" t="inlineStr">
        <is>
          <t>system</t>
        </is>
      </c>
      <c r="O651" t="inlineStr">
        <is>
          <t>2026-06-22 14:11:25</t>
        </is>
      </c>
      <c r="P651" t="inlineStr">
        <is>
          <t>2026-06-22 14:11:25</t>
        </is>
      </c>
      <c r="Y651" t="inlineStr">
        <is>
          <t>27664191644</t>
        </is>
      </c>
    </row>
    <row r="652">
      <c r="A652" t="inlineStr">
        <is>
          <t>14974071</t>
        </is>
      </c>
      <c r="B652" t="inlineStr">
        <is>
          <t>7d0bb3a4-9623-4bcb-b6c0-2cfbbc1fdde7</t>
        </is>
      </c>
      <c r="D652" t="inlineStr">
        <is>
          <t>11111127</t>
        </is>
      </c>
      <c r="E652" t="inlineStr">
        <is>
          <t>Vodacom Life 20260622</t>
        </is>
      </c>
      <c r="J652" t="inlineStr">
        <is>
          <t>DROP</t>
        </is>
      </c>
      <c r="K652" t="inlineStr">
        <is>
          <t>Dropped</t>
        </is>
      </c>
      <c r="L652" t="n">
        <v>5</v>
      </c>
      <c r="M652" t="inlineStr">
        <is>
          <t>2026-06-26 11:43:09</t>
        </is>
      </c>
      <c r="N652" t="inlineStr">
        <is>
          <t>system</t>
        </is>
      </c>
      <c r="O652" t="inlineStr">
        <is>
          <t>2026-06-22 14:11:25</t>
        </is>
      </c>
      <c r="P652" t="inlineStr">
        <is>
          <t>2026-06-22 14:11:25</t>
        </is>
      </c>
      <c r="Y652" t="inlineStr">
        <is>
          <t>27637053464</t>
        </is>
      </c>
    </row>
    <row r="653">
      <c r="A653" t="inlineStr">
        <is>
          <t>14974073</t>
        </is>
      </c>
      <c r="B653" t="inlineStr">
        <is>
          <t>25c0f279-c9de-48f4-a335-3437ba7ef731</t>
        </is>
      </c>
      <c r="D653" t="inlineStr">
        <is>
          <t>11111127</t>
        </is>
      </c>
      <c r="E653" t="inlineStr">
        <is>
          <t>Vodacom Life 20260622</t>
        </is>
      </c>
      <c r="J653" t="inlineStr">
        <is>
          <t>A</t>
        </is>
      </c>
      <c r="K653" t="inlineStr">
        <is>
          <t>Answering Machine</t>
        </is>
      </c>
      <c r="L653" t="n">
        <v>5</v>
      </c>
      <c r="M653" t="inlineStr">
        <is>
          <t>2026-06-26 11:43:08</t>
        </is>
      </c>
      <c r="N653" t="inlineStr">
        <is>
          <t>Maureen Ntsoko</t>
        </is>
      </c>
      <c r="O653" t="inlineStr">
        <is>
          <t>2026-06-22 14:11:25</t>
        </is>
      </c>
      <c r="P653" t="inlineStr">
        <is>
          <t>2026-06-22 14:11:25</t>
        </is>
      </c>
      <c r="Y653" t="inlineStr">
        <is>
          <t>27797373695</t>
        </is>
      </c>
    </row>
    <row r="654">
      <c r="A654" t="inlineStr">
        <is>
          <t>14974075</t>
        </is>
      </c>
      <c r="B654" t="inlineStr">
        <is>
          <t>34d2903c-cfc3-4a1c-81c9-30f2481909c4</t>
        </is>
      </c>
      <c r="D654" t="inlineStr">
        <is>
          <t>11111127</t>
        </is>
      </c>
      <c r="E654" t="inlineStr">
        <is>
          <t>Vodacom Life 20260622</t>
        </is>
      </c>
      <c r="J654" t="inlineStr">
        <is>
          <t>AE</t>
        </is>
      </c>
      <c r="K654" t="inlineStr">
        <is>
          <t>Auto Engaged</t>
        </is>
      </c>
      <c r="L654" t="n">
        <v>5</v>
      </c>
      <c r="M654" t="inlineStr">
        <is>
          <t>2026-06-26 11:43:08</t>
        </is>
      </c>
      <c r="N654" t="inlineStr">
        <is>
          <t>system</t>
        </is>
      </c>
      <c r="O654" t="inlineStr">
        <is>
          <t>2026-06-22 14:11:25</t>
        </is>
      </c>
      <c r="P654" t="inlineStr">
        <is>
          <t>2026-06-22 14:11:25</t>
        </is>
      </c>
      <c r="Y654" t="inlineStr">
        <is>
          <t>27728248307</t>
        </is>
      </c>
    </row>
    <row r="655">
      <c r="A655" t="inlineStr">
        <is>
          <t>14974076</t>
        </is>
      </c>
      <c r="B655" t="inlineStr">
        <is>
          <t>11e0f0ca-fb72-467f-b970-0008a41420dc</t>
        </is>
      </c>
      <c r="D655" t="inlineStr">
        <is>
          <t>11111127</t>
        </is>
      </c>
      <c r="E655" t="inlineStr">
        <is>
          <t>Vodacom Life 20260622</t>
        </is>
      </c>
      <c r="J655" t="inlineStr">
        <is>
          <t>AE</t>
        </is>
      </c>
      <c r="K655" t="inlineStr">
        <is>
          <t>Auto Engaged</t>
        </is>
      </c>
      <c r="L655" t="n">
        <v>5</v>
      </c>
      <c r="M655" t="inlineStr">
        <is>
          <t>2026-06-26 11:43:08</t>
        </is>
      </c>
      <c r="N655" t="inlineStr">
        <is>
          <t>system</t>
        </is>
      </c>
      <c r="O655" t="inlineStr">
        <is>
          <t>2026-06-22 14:11:25</t>
        </is>
      </c>
      <c r="P655" t="inlineStr">
        <is>
          <t>2026-06-22 14:11:25</t>
        </is>
      </c>
      <c r="Y655" t="inlineStr">
        <is>
          <t>27772676353</t>
        </is>
      </c>
    </row>
    <row r="656">
      <c r="A656" t="inlineStr">
        <is>
          <t>14974077</t>
        </is>
      </c>
      <c r="B656" t="inlineStr">
        <is>
          <t>c2e29495-1773-41c1-a617-c2a2f5e5cd70</t>
        </is>
      </c>
      <c r="D656" t="inlineStr">
        <is>
          <t>11111127</t>
        </is>
      </c>
      <c r="E656" t="inlineStr">
        <is>
          <t>Vodacom Life 20260622</t>
        </is>
      </c>
      <c r="J656" t="inlineStr">
        <is>
          <t>DROP</t>
        </is>
      </c>
      <c r="K656" t="inlineStr">
        <is>
          <t>Dropped</t>
        </is>
      </c>
      <c r="L656" t="n">
        <v>5</v>
      </c>
      <c r="M656" t="inlineStr">
        <is>
          <t>2026-06-26 11:42:31</t>
        </is>
      </c>
      <c r="N656" t="inlineStr">
        <is>
          <t>system</t>
        </is>
      </c>
      <c r="O656" t="inlineStr">
        <is>
          <t>2026-06-22 14:11:25</t>
        </is>
      </c>
      <c r="P656" t="inlineStr">
        <is>
          <t>2026-06-22 14:11:25</t>
        </is>
      </c>
      <c r="Y656" t="inlineStr">
        <is>
          <t>27764470912</t>
        </is>
      </c>
    </row>
    <row r="657">
      <c r="A657" t="inlineStr">
        <is>
          <t>14973813</t>
        </is>
      </c>
      <c r="B657" t="inlineStr">
        <is>
          <t>4f51d0ba-6619-4b8a-b129-262cdd24c34a</t>
        </is>
      </c>
      <c r="D657" t="inlineStr">
        <is>
          <t>11111127</t>
        </is>
      </c>
      <c r="E657" t="inlineStr">
        <is>
          <t>Vodacom Life 20260622</t>
        </is>
      </c>
      <c r="H657" t="inlineStr">
        <is>
          <t>27827933330</t>
        </is>
      </c>
      <c r="J657" t="inlineStr">
        <is>
          <t>N</t>
        </is>
      </c>
      <c r="K657" t="inlineStr">
        <is>
          <t>No Answer</t>
        </is>
      </c>
      <c r="L657" t="n">
        <v>5</v>
      </c>
      <c r="M657" t="inlineStr">
        <is>
          <t>2026-06-26 11:42:28</t>
        </is>
      </c>
      <c r="N657" t="inlineStr">
        <is>
          <t>Khensane Mabasa</t>
        </is>
      </c>
      <c r="O657" t="inlineStr">
        <is>
          <t>2026-06-22 14:11:25</t>
        </is>
      </c>
      <c r="P657" t="inlineStr">
        <is>
          <t>2026-06-22 14:11:25</t>
        </is>
      </c>
      <c r="Y657" t="inlineStr">
        <is>
          <t>27827933330</t>
        </is>
      </c>
    </row>
    <row r="658">
      <c r="A658" t="inlineStr">
        <is>
          <t>14973812</t>
        </is>
      </c>
      <c r="B658" t="inlineStr">
        <is>
          <t>0fdd6b10-1f14-4953-8ad1-5362fdec8226</t>
        </is>
      </c>
      <c r="D658" t="inlineStr">
        <is>
          <t>11111127</t>
        </is>
      </c>
      <c r="E658" t="inlineStr">
        <is>
          <t>Vodacom Life 20260622</t>
        </is>
      </c>
      <c r="J658" t="inlineStr">
        <is>
          <t>U</t>
        </is>
      </c>
      <c r="K658" t="inlineStr">
        <is>
          <t>Unemployed</t>
        </is>
      </c>
      <c r="L658" t="n">
        <v>5</v>
      </c>
      <c r="M658" t="inlineStr">
        <is>
          <t>2026-06-26 11:41:54</t>
        </is>
      </c>
      <c r="N658" t="inlineStr">
        <is>
          <t>Musiiwa Mary Mabirimisa</t>
        </is>
      </c>
      <c r="O658" t="inlineStr">
        <is>
          <t>2026-06-22 14:11:25</t>
        </is>
      </c>
      <c r="P658" t="inlineStr">
        <is>
          <t>2026-06-22 14:11:25</t>
        </is>
      </c>
      <c r="Y658" t="inlineStr">
        <is>
          <t>27760196538</t>
        </is>
      </c>
    </row>
    <row r="659">
      <c r="A659" t="inlineStr">
        <is>
          <t>14973811</t>
        </is>
      </c>
      <c r="B659" t="inlineStr">
        <is>
          <t>9304ecd9-1f6e-440a-875f-6c13ef4067bd</t>
        </is>
      </c>
      <c r="D659" t="inlineStr">
        <is>
          <t>11111127</t>
        </is>
      </c>
      <c r="E659" t="inlineStr">
        <is>
          <t>Vodacom Life 20260622</t>
        </is>
      </c>
      <c r="J659" t="inlineStr">
        <is>
          <t>AE</t>
        </is>
      </c>
      <c r="K659" t="inlineStr">
        <is>
          <t>Auto Engaged</t>
        </is>
      </c>
      <c r="L659" t="n">
        <v>5</v>
      </c>
      <c r="M659" t="inlineStr">
        <is>
          <t>2026-06-26 11:41:51</t>
        </is>
      </c>
      <c r="N659" t="inlineStr">
        <is>
          <t>system</t>
        </is>
      </c>
      <c r="O659" t="inlineStr">
        <is>
          <t>2026-06-22 14:11:25</t>
        </is>
      </c>
      <c r="P659" t="inlineStr">
        <is>
          <t>2026-06-22 14:11:25</t>
        </is>
      </c>
      <c r="Y659" t="inlineStr">
        <is>
          <t>27735695959</t>
        </is>
      </c>
    </row>
    <row r="660">
      <c r="A660" t="inlineStr">
        <is>
          <t>14973808</t>
        </is>
      </c>
      <c r="B660" t="inlineStr">
        <is>
          <t>6750633d-ad36-4b92-8b56-b66f3dca8837</t>
        </is>
      </c>
      <c r="D660" t="inlineStr">
        <is>
          <t>11111127</t>
        </is>
      </c>
      <c r="E660" t="inlineStr">
        <is>
          <t>Vodacom Life 20260622</t>
        </is>
      </c>
      <c r="J660" t="inlineStr">
        <is>
          <t>AA</t>
        </is>
      </c>
      <c r="K660" t="inlineStr">
        <is>
          <t>Answering Machine Autodial</t>
        </is>
      </c>
      <c r="L660" t="n">
        <v>5</v>
      </c>
      <c r="M660" t="inlineStr">
        <is>
          <t>2026-06-26 11:41:47</t>
        </is>
      </c>
      <c r="N660" t="inlineStr">
        <is>
          <t>system</t>
        </is>
      </c>
      <c r="O660" t="inlineStr">
        <is>
          <t>2026-06-22 14:11:25</t>
        </is>
      </c>
      <c r="P660" t="inlineStr">
        <is>
          <t>2026-06-22 14:11:25</t>
        </is>
      </c>
      <c r="Y660" t="inlineStr">
        <is>
          <t>27827788406</t>
        </is>
      </c>
    </row>
    <row r="661">
      <c r="A661" t="inlineStr">
        <is>
          <t>14973809</t>
        </is>
      </c>
      <c r="B661" t="inlineStr">
        <is>
          <t>ee30f904-feca-4ad6-887f-c33cf6762bde</t>
        </is>
      </c>
      <c r="D661" t="inlineStr">
        <is>
          <t>11111127</t>
        </is>
      </c>
      <c r="E661" t="inlineStr">
        <is>
          <t>Vodacom Life 20260622</t>
        </is>
      </c>
      <c r="J661" t="inlineStr">
        <is>
          <t>AE</t>
        </is>
      </c>
      <c r="K661" t="inlineStr">
        <is>
          <t>Auto Engaged</t>
        </is>
      </c>
      <c r="L661" t="n">
        <v>5</v>
      </c>
      <c r="M661" t="inlineStr">
        <is>
          <t>2026-06-26 11:41:47</t>
        </is>
      </c>
      <c r="N661" t="inlineStr">
        <is>
          <t>system</t>
        </is>
      </c>
      <c r="O661" t="inlineStr">
        <is>
          <t>2026-06-22 14:11:25</t>
        </is>
      </c>
      <c r="P661" t="inlineStr">
        <is>
          <t>2026-06-22 14:11:25</t>
        </is>
      </c>
      <c r="Y661" t="inlineStr">
        <is>
          <t>27714549837</t>
        </is>
      </c>
    </row>
    <row r="662">
      <c r="A662" t="inlineStr">
        <is>
          <t>14973806</t>
        </is>
      </c>
      <c r="B662" t="inlineStr">
        <is>
          <t>b8635f42-3919-4084-bfab-3d1ed6a4e394</t>
        </is>
      </c>
      <c r="D662" t="inlineStr">
        <is>
          <t>11111127</t>
        </is>
      </c>
      <c r="E662" t="inlineStr">
        <is>
          <t>Vodacom Life 20260622</t>
        </is>
      </c>
      <c r="J662" t="inlineStr">
        <is>
          <t>NA</t>
        </is>
      </c>
      <c r="K662" t="inlineStr">
        <is>
          <t>No Answer Autodial</t>
        </is>
      </c>
      <c r="L662" t="n">
        <v>5</v>
      </c>
      <c r="M662" t="inlineStr">
        <is>
          <t>2026-06-26 11:41:42</t>
        </is>
      </c>
      <c r="N662" t="inlineStr">
        <is>
          <t>system</t>
        </is>
      </c>
      <c r="O662" t="inlineStr">
        <is>
          <t>2026-06-22 14:11:25</t>
        </is>
      </c>
      <c r="P662" t="inlineStr">
        <is>
          <t>2026-06-22 14:11:25</t>
        </is>
      </c>
      <c r="Y662" t="inlineStr">
        <is>
          <t>27727499926</t>
        </is>
      </c>
    </row>
    <row r="663">
      <c r="A663" t="inlineStr">
        <is>
          <t>14973807</t>
        </is>
      </c>
      <c r="B663" t="inlineStr">
        <is>
          <t>cb69d753-9e0b-4f22-881f-cedd2fd8186d</t>
        </is>
      </c>
      <c r="D663" t="inlineStr">
        <is>
          <t>11111127</t>
        </is>
      </c>
      <c r="E663" t="inlineStr">
        <is>
          <t>Vodacom Life 20260622</t>
        </is>
      </c>
      <c r="J663" t="inlineStr">
        <is>
          <t>AE</t>
        </is>
      </c>
      <c r="K663" t="inlineStr">
        <is>
          <t>Auto Engaged</t>
        </is>
      </c>
      <c r="L663" t="n">
        <v>5</v>
      </c>
      <c r="M663" t="inlineStr">
        <is>
          <t>2026-06-26 11:41:41</t>
        </is>
      </c>
      <c r="N663" t="inlineStr">
        <is>
          <t>system</t>
        </is>
      </c>
      <c r="O663" t="inlineStr">
        <is>
          <t>2026-06-22 14:11:25</t>
        </is>
      </c>
      <c r="P663" t="inlineStr">
        <is>
          <t>2026-06-22 14:11:25</t>
        </is>
      </c>
      <c r="Y663" t="inlineStr">
        <is>
          <t>27661880879</t>
        </is>
      </c>
    </row>
    <row r="664">
      <c r="A664" t="inlineStr">
        <is>
          <t>14973805</t>
        </is>
      </c>
      <c r="B664" t="inlineStr">
        <is>
          <t>abffcb43-9121-4da6-a4df-7ff60a4bfcd9</t>
        </is>
      </c>
      <c r="D664" t="inlineStr">
        <is>
          <t>11111127</t>
        </is>
      </c>
      <c r="E664" t="inlineStr">
        <is>
          <t>Vodacom Life 20260622</t>
        </is>
      </c>
      <c r="J664" t="inlineStr">
        <is>
          <t>AA</t>
        </is>
      </c>
      <c r="K664" t="inlineStr">
        <is>
          <t>Answering Machine Autodial</t>
        </is>
      </c>
      <c r="L664" t="n">
        <v>5</v>
      </c>
      <c r="M664" t="inlineStr">
        <is>
          <t>2026-06-26 11:41:36</t>
        </is>
      </c>
      <c r="N664" t="inlineStr">
        <is>
          <t>system</t>
        </is>
      </c>
      <c r="O664" t="inlineStr">
        <is>
          <t>2026-06-22 14:11:25</t>
        </is>
      </c>
      <c r="P664" t="inlineStr">
        <is>
          <t>2026-06-22 14:11:25</t>
        </is>
      </c>
      <c r="Y664" t="inlineStr">
        <is>
          <t>27768047347</t>
        </is>
      </c>
    </row>
    <row r="665">
      <c r="A665" t="inlineStr">
        <is>
          <t>14973804</t>
        </is>
      </c>
      <c r="B665" t="inlineStr">
        <is>
          <t>70a64fa4-bf0b-48f2-8a0c-7adba5260a2c</t>
        </is>
      </c>
      <c r="D665" t="inlineStr">
        <is>
          <t>11111127</t>
        </is>
      </c>
      <c r="E665" t="inlineStr">
        <is>
          <t>Vodacom Life 20260622</t>
        </is>
      </c>
      <c r="J665" t="inlineStr">
        <is>
          <t>AE</t>
        </is>
      </c>
      <c r="K665" t="inlineStr">
        <is>
          <t>Auto Engaged</t>
        </is>
      </c>
      <c r="L665" t="n">
        <v>5</v>
      </c>
      <c r="M665" t="inlineStr">
        <is>
          <t>2026-06-26 11:41:35</t>
        </is>
      </c>
      <c r="N665" t="inlineStr">
        <is>
          <t>system</t>
        </is>
      </c>
      <c r="O665" t="inlineStr">
        <is>
          <t>2026-06-22 14:11:25</t>
        </is>
      </c>
      <c r="P665" t="inlineStr">
        <is>
          <t>2026-06-22 14:11:25</t>
        </is>
      </c>
      <c r="Y665" t="inlineStr">
        <is>
          <t>27791379908</t>
        </is>
      </c>
    </row>
    <row r="666">
      <c r="A666" t="inlineStr">
        <is>
          <t>14973798</t>
        </is>
      </c>
      <c r="B666" t="inlineStr">
        <is>
          <t>96806589-dec5-4fdc-9141-7279d5481ce1</t>
        </is>
      </c>
      <c r="D666" t="inlineStr">
        <is>
          <t>11111127</t>
        </is>
      </c>
      <c r="E666" t="inlineStr">
        <is>
          <t>Vodacom Life 20260622</t>
        </is>
      </c>
      <c r="H666" t="inlineStr">
        <is>
          <t>27760564063</t>
        </is>
      </c>
      <c r="J666" t="inlineStr">
        <is>
          <t>AA</t>
        </is>
      </c>
      <c r="K666" t="inlineStr">
        <is>
          <t>Answering Machine Autodial</t>
        </is>
      </c>
      <c r="L666" t="n">
        <v>5</v>
      </c>
      <c r="M666" t="inlineStr">
        <is>
          <t>2026-06-26 11:41:31</t>
        </is>
      </c>
      <c r="N666" t="inlineStr">
        <is>
          <t>system</t>
        </is>
      </c>
      <c r="O666" t="inlineStr">
        <is>
          <t>2026-06-22 14:11:25</t>
        </is>
      </c>
      <c r="P666" t="inlineStr">
        <is>
          <t>2026-06-22 14:11:25</t>
        </is>
      </c>
      <c r="Y666" t="inlineStr">
        <is>
          <t>27760564063</t>
        </is>
      </c>
    </row>
    <row r="667">
      <c r="A667" t="inlineStr">
        <is>
          <t>14973801</t>
        </is>
      </c>
      <c r="B667" t="inlineStr">
        <is>
          <t>6fd09a5a-8818-4aca-9b17-bf0e89824672</t>
        </is>
      </c>
      <c r="D667" t="inlineStr">
        <is>
          <t>11111127</t>
        </is>
      </c>
      <c r="E667" t="inlineStr">
        <is>
          <t>Vodacom Life 20260622</t>
        </is>
      </c>
      <c r="J667" t="inlineStr">
        <is>
          <t>AE</t>
        </is>
      </c>
      <c r="K667" t="inlineStr">
        <is>
          <t>Auto Engaged</t>
        </is>
      </c>
      <c r="L667" t="n">
        <v>5</v>
      </c>
      <c r="M667" t="inlineStr">
        <is>
          <t>2026-06-26 11:41:31</t>
        </is>
      </c>
      <c r="N667" t="inlineStr">
        <is>
          <t>system</t>
        </is>
      </c>
      <c r="O667" t="inlineStr">
        <is>
          <t>2026-06-22 14:11:25</t>
        </is>
      </c>
      <c r="P667" t="inlineStr">
        <is>
          <t>2026-06-22 14:11:25</t>
        </is>
      </c>
      <c r="Y667" t="inlineStr">
        <is>
          <t>27724688544</t>
        </is>
      </c>
    </row>
    <row r="668">
      <c r="A668" t="inlineStr">
        <is>
          <t>14973802</t>
        </is>
      </c>
      <c r="B668" t="inlineStr">
        <is>
          <t>20c1ba57-7cab-4ea8-8a80-82dad17e5218</t>
        </is>
      </c>
      <c r="D668" t="inlineStr">
        <is>
          <t>11111127</t>
        </is>
      </c>
      <c r="E668" t="inlineStr">
        <is>
          <t>Vodacom Life 20260622</t>
        </is>
      </c>
      <c r="H668" t="inlineStr">
        <is>
          <t>27724819885</t>
        </is>
      </c>
      <c r="J668" t="inlineStr">
        <is>
          <t>NA</t>
        </is>
      </c>
      <c r="K668" t="inlineStr">
        <is>
          <t>No Answer Autodial</t>
        </is>
      </c>
      <c r="L668" t="n">
        <v>5</v>
      </c>
      <c r="M668" t="inlineStr">
        <is>
          <t>2026-06-26 11:41:31</t>
        </is>
      </c>
      <c r="N668" t="inlineStr">
        <is>
          <t>system</t>
        </is>
      </c>
      <c r="O668" t="inlineStr">
        <is>
          <t>2026-06-22 14:11:25</t>
        </is>
      </c>
      <c r="P668" t="inlineStr">
        <is>
          <t>2026-06-22 14:11:25</t>
        </is>
      </c>
      <c r="Y668" t="inlineStr">
        <is>
          <t>27724819885</t>
        </is>
      </c>
    </row>
    <row r="669">
      <c r="A669" t="inlineStr">
        <is>
          <t>14973793</t>
        </is>
      </c>
      <c r="B669" t="inlineStr">
        <is>
          <t>0be0f09e-8c8a-4d58-a85c-5be604fab3cb</t>
        </is>
      </c>
      <c r="D669" t="inlineStr">
        <is>
          <t>11111127</t>
        </is>
      </c>
      <c r="E669" t="inlineStr">
        <is>
          <t>Vodacom Life 20260622</t>
        </is>
      </c>
      <c r="J669" t="inlineStr">
        <is>
          <t>DROP</t>
        </is>
      </c>
      <c r="K669" t="inlineStr">
        <is>
          <t>Dropped</t>
        </is>
      </c>
      <c r="L669" t="n">
        <v>5</v>
      </c>
      <c r="M669" t="inlineStr">
        <is>
          <t>2026-06-26 11:41:12</t>
        </is>
      </c>
      <c r="N669" t="inlineStr">
        <is>
          <t>system</t>
        </is>
      </c>
      <c r="O669" t="inlineStr">
        <is>
          <t>2026-06-22 14:11:25</t>
        </is>
      </c>
      <c r="P669" t="inlineStr">
        <is>
          <t>2026-06-22 14:11:25</t>
        </is>
      </c>
      <c r="Y669" t="inlineStr">
        <is>
          <t>27664388275</t>
        </is>
      </c>
    </row>
    <row r="670">
      <c r="A670" t="inlineStr">
        <is>
          <t>14973794</t>
        </is>
      </c>
      <c r="B670" t="inlineStr">
        <is>
          <t>ac90d526-94c8-4214-8c58-5087713cc128</t>
        </is>
      </c>
      <c r="D670" t="inlineStr">
        <is>
          <t>11111127</t>
        </is>
      </c>
      <c r="E670" t="inlineStr">
        <is>
          <t>Vodacom Life 20260622</t>
        </is>
      </c>
      <c r="J670" t="inlineStr">
        <is>
          <t>AA</t>
        </is>
      </c>
      <c r="K670" t="inlineStr">
        <is>
          <t>Answering Machine Autodial</t>
        </is>
      </c>
      <c r="L670" t="n">
        <v>5</v>
      </c>
      <c r="M670" t="inlineStr">
        <is>
          <t>2026-06-26 11:41:11</t>
        </is>
      </c>
      <c r="N670" t="inlineStr">
        <is>
          <t>system</t>
        </is>
      </c>
      <c r="O670" t="inlineStr">
        <is>
          <t>2026-06-22 14:11:25</t>
        </is>
      </c>
      <c r="P670" t="inlineStr">
        <is>
          <t>2026-06-22 14:11:25</t>
        </is>
      </c>
      <c r="Y670" t="inlineStr">
        <is>
          <t>27711101823</t>
        </is>
      </c>
    </row>
    <row r="671">
      <c r="A671" t="inlineStr">
        <is>
          <t>14973795</t>
        </is>
      </c>
      <c r="B671" t="inlineStr">
        <is>
          <t>ea16e167-d9ad-4cef-b207-367949093584</t>
        </is>
      </c>
      <c r="D671" t="inlineStr">
        <is>
          <t>11111127</t>
        </is>
      </c>
      <c r="E671" t="inlineStr">
        <is>
          <t>Vodacom Life 20260622</t>
        </is>
      </c>
      <c r="J671" t="inlineStr">
        <is>
          <t>DROP</t>
        </is>
      </c>
      <c r="K671" t="inlineStr">
        <is>
          <t>Dropped</t>
        </is>
      </c>
      <c r="L671" t="n">
        <v>5</v>
      </c>
      <c r="M671" t="inlineStr">
        <is>
          <t>2026-06-26 11:41:11</t>
        </is>
      </c>
      <c r="N671" t="inlineStr">
        <is>
          <t>system</t>
        </is>
      </c>
      <c r="O671" t="inlineStr">
        <is>
          <t>2026-06-22 14:11:25</t>
        </is>
      </c>
      <c r="P671" t="inlineStr">
        <is>
          <t>2026-06-22 14:11:25</t>
        </is>
      </c>
      <c r="Y671" t="inlineStr">
        <is>
          <t>27797527167</t>
        </is>
      </c>
    </row>
    <row r="672">
      <c r="A672" t="inlineStr">
        <is>
          <t>14973797</t>
        </is>
      </c>
      <c r="B672" t="inlineStr">
        <is>
          <t>23f059d8-7941-4fb0-8818-cee29b293ebf</t>
        </is>
      </c>
      <c r="D672" t="inlineStr">
        <is>
          <t>11111127</t>
        </is>
      </c>
      <c r="E672" t="inlineStr">
        <is>
          <t>Vodacom Life 20260622</t>
        </is>
      </c>
      <c r="J672" t="inlineStr">
        <is>
          <t>AE</t>
        </is>
      </c>
      <c r="K672" t="inlineStr">
        <is>
          <t>Auto Engaged</t>
        </is>
      </c>
      <c r="L672" t="n">
        <v>5</v>
      </c>
      <c r="M672" t="inlineStr">
        <is>
          <t>2026-06-26 11:41:09</t>
        </is>
      </c>
      <c r="N672" t="inlineStr">
        <is>
          <t>system</t>
        </is>
      </c>
      <c r="O672" t="inlineStr">
        <is>
          <t>2026-06-22 14:11:25</t>
        </is>
      </c>
      <c r="P672" t="inlineStr">
        <is>
          <t>2026-06-22 14:11:25</t>
        </is>
      </c>
      <c r="Y672" t="inlineStr">
        <is>
          <t>27818591677</t>
        </is>
      </c>
    </row>
    <row r="673">
      <c r="A673" t="inlineStr">
        <is>
          <t>14973792</t>
        </is>
      </c>
      <c r="B673" t="inlineStr">
        <is>
          <t>f375f433-daa1-4920-aad7-be06a43fe990</t>
        </is>
      </c>
      <c r="D673" t="inlineStr">
        <is>
          <t>11111127</t>
        </is>
      </c>
      <c r="E673" t="inlineStr">
        <is>
          <t>Vodacom Life 20260622</t>
        </is>
      </c>
      <c r="J673" t="inlineStr">
        <is>
          <t>AA</t>
        </is>
      </c>
      <c r="K673" t="inlineStr">
        <is>
          <t>Answering Machine Autodial</t>
        </is>
      </c>
      <c r="L673" t="n">
        <v>5</v>
      </c>
      <c r="M673" t="inlineStr">
        <is>
          <t>2026-06-26 11:40:59</t>
        </is>
      </c>
      <c r="N673" t="inlineStr">
        <is>
          <t>system</t>
        </is>
      </c>
      <c r="O673" t="inlineStr">
        <is>
          <t>2026-06-22 14:11:25</t>
        </is>
      </c>
      <c r="P673" t="inlineStr">
        <is>
          <t>2026-06-22 14:11:25</t>
        </is>
      </c>
      <c r="Y673" t="inlineStr">
        <is>
          <t>27724630843</t>
        </is>
      </c>
    </row>
    <row r="674">
      <c r="A674" t="inlineStr">
        <is>
          <t>14973790</t>
        </is>
      </c>
      <c r="B674" t="inlineStr">
        <is>
          <t>78f16eeb-34ca-493f-80a9-8e11670969e6</t>
        </is>
      </c>
      <c r="D674" t="inlineStr">
        <is>
          <t>11111127</t>
        </is>
      </c>
      <c r="E674" t="inlineStr">
        <is>
          <t>Vodacom Life 20260622</t>
        </is>
      </c>
      <c r="J674" t="inlineStr">
        <is>
          <t>TDN</t>
        </is>
      </c>
      <c r="K674" t="inlineStr">
        <is>
          <t>Temporary Disconnected Number</t>
        </is>
      </c>
      <c r="L674" t="n">
        <v>5</v>
      </c>
      <c r="M674" t="inlineStr">
        <is>
          <t>2026-06-26 11:40:57</t>
        </is>
      </c>
      <c r="N674" t="inlineStr">
        <is>
          <t>system</t>
        </is>
      </c>
      <c r="O674" t="inlineStr">
        <is>
          <t>2026-06-22 14:11:25</t>
        </is>
      </c>
      <c r="P674" t="inlineStr">
        <is>
          <t>2026-06-22 14:11:25</t>
        </is>
      </c>
      <c r="Y674" t="inlineStr">
        <is>
          <t>27607385608</t>
        </is>
      </c>
    </row>
    <row r="675">
      <c r="A675" t="inlineStr">
        <is>
          <t>14973789</t>
        </is>
      </c>
      <c r="B675" t="inlineStr">
        <is>
          <t>d26f6c9a-753d-4cde-a77d-965e715cb4e3</t>
        </is>
      </c>
      <c r="D675" t="inlineStr">
        <is>
          <t>11111127</t>
        </is>
      </c>
      <c r="E675" t="inlineStr">
        <is>
          <t>Vodacom Life 20260622</t>
        </is>
      </c>
      <c r="H675" t="inlineStr">
        <is>
          <t>27823827462</t>
        </is>
      </c>
      <c r="J675" t="inlineStr">
        <is>
          <t>AA</t>
        </is>
      </c>
      <c r="K675" t="inlineStr">
        <is>
          <t>Answering Machine Autodial</t>
        </is>
      </c>
      <c r="L675" t="n">
        <v>5</v>
      </c>
      <c r="M675" t="inlineStr">
        <is>
          <t>2026-06-26 11:40:56</t>
        </is>
      </c>
      <c r="N675" t="inlineStr">
        <is>
          <t>system</t>
        </is>
      </c>
      <c r="O675" t="inlineStr">
        <is>
          <t>2026-06-22 14:11:25</t>
        </is>
      </c>
      <c r="P675" t="inlineStr">
        <is>
          <t>2026-06-22 14:11:25</t>
        </is>
      </c>
      <c r="Y675" t="inlineStr">
        <is>
          <t>27823827462</t>
        </is>
      </c>
    </row>
    <row r="676">
      <c r="A676" t="inlineStr">
        <is>
          <t>14973788</t>
        </is>
      </c>
      <c r="B676" t="inlineStr">
        <is>
          <t>627acf1a-c202-456a-ae46-1e06c996edd2</t>
        </is>
      </c>
      <c r="D676" t="inlineStr">
        <is>
          <t>11111127</t>
        </is>
      </c>
      <c r="E676" t="inlineStr">
        <is>
          <t>Vodacom Life 20260622</t>
        </is>
      </c>
      <c r="J676" t="inlineStr">
        <is>
          <t>AE</t>
        </is>
      </c>
      <c r="K676" t="inlineStr">
        <is>
          <t>Auto Engaged</t>
        </is>
      </c>
      <c r="L676" t="n">
        <v>5</v>
      </c>
      <c r="M676" t="inlineStr">
        <is>
          <t>2026-06-26 11:40:55</t>
        </is>
      </c>
      <c r="N676" t="inlineStr">
        <is>
          <t>system</t>
        </is>
      </c>
      <c r="O676" t="inlineStr">
        <is>
          <t>2026-06-22 14:11:25</t>
        </is>
      </c>
      <c r="P676" t="inlineStr">
        <is>
          <t>2026-06-22 14:11:25</t>
        </is>
      </c>
      <c r="Y676" t="inlineStr">
        <is>
          <t>27820834996</t>
        </is>
      </c>
    </row>
    <row r="677">
      <c r="A677" t="inlineStr">
        <is>
          <t>14973786</t>
        </is>
      </c>
      <c r="B677" t="inlineStr">
        <is>
          <t>2a81a144-e874-4e26-bef1-949fb06ae63a</t>
        </is>
      </c>
      <c r="D677" t="inlineStr">
        <is>
          <t>11111127</t>
        </is>
      </c>
      <c r="E677" t="inlineStr">
        <is>
          <t>Vodacom Life 20260622</t>
        </is>
      </c>
      <c r="H677" t="inlineStr">
        <is>
          <t>27720481052</t>
        </is>
      </c>
      <c r="J677" t="inlineStr">
        <is>
          <t>CU</t>
        </is>
      </c>
      <c r="K677" t="inlineStr">
        <is>
          <t>Client Hung Up</t>
        </is>
      </c>
      <c r="L677" t="n">
        <v>5</v>
      </c>
      <c r="M677" t="inlineStr">
        <is>
          <t>2026-06-26 11:40:52</t>
        </is>
      </c>
      <c r="N677" t="inlineStr">
        <is>
          <t>Maureen Ntsoko</t>
        </is>
      </c>
      <c r="O677" t="inlineStr">
        <is>
          <t>2026-06-22 14:11:25</t>
        </is>
      </c>
      <c r="P677" t="inlineStr">
        <is>
          <t>2026-06-22 14:11:25</t>
        </is>
      </c>
      <c r="Y677" t="inlineStr">
        <is>
          <t>27720481052</t>
        </is>
      </c>
    </row>
    <row r="678">
      <c r="A678" t="inlineStr">
        <is>
          <t>14973787</t>
        </is>
      </c>
      <c r="B678" t="inlineStr">
        <is>
          <t>50c2bf77-256f-453a-8cec-90ac0d542aa0</t>
        </is>
      </c>
      <c r="D678" t="inlineStr">
        <is>
          <t>11111127</t>
        </is>
      </c>
      <c r="E678" t="inlineStr">
        <is>
          <t>Vodacom Life 20260622</t>
        </is>
      </c>
      <c r="J678" t="inlineStr">
        <is>
          <t>AA</t>
        </is>
      </c>
      <c r="K678" t="inlineStr">
        <is>
          <t>Answering Machine Autodial</t>
        </is>
      </c>
      <c r="L678" t="n">
        <v>5</v>
      </c>
      <c r="M678" t="inlineStr">
        <is>
          <t>2026-06-26 11:40:52</t>
        </is>
      </c>
      <c r="N678" t="inlineStr">
        <is>
          <t>system</t>
        </is>
      </c>
      <c r="O678" t="inlineStr">
        <is>
          <t>2026-06-22 14:11:25</t>
        </is>
      </c>
      <c r="P678" t="inlineStr">
        <is>
          <t>2026-06-22 14:11:25</t>
        </is>
      </c>
      <c r="Y678" t="inlineStr">
        <is>
          <t>27722342801</t>
        </is>
      </c>
    </row>
    <row r="679">
      <c r="A679" t="inlineStr">
        <is>
          <t>14973784</t>
        </is>
      </c>
      <c r="B679" t="inlineStr">
        <is>
          <t>db048c8b-6106-4440-b785-c33025d39772</t>
        </is>
      </c>
      <c r="D679" t="inlineStr">
        <is>
          <t>11111127</t>
        </is>
      </c>
      <c r="E679" t="inlineStr">
        <is>
          <t>Vodacom Life 20260622</t>
        </is>
      </c>
      <c r="J679" t="inlineStr">
        <is>
          <t>AE</t>
        </is>
      </c>
      <c r="K679" t="inlineStr">
        <is>
          <t>Auto Engaged</t>
        </is>
      </c>
      <c r="L679" t="n">
        <v>5</v>
      </c>
      <c r="M679" t="inlineStr">
        <is>
          <t>2026-06-26 11:40:51</t>
        </is>
      </c>
      <c r="N679" t="inlineStr">
        <is>
          <t>system</t>
        </is>
      </c>
      <c r="O679" t="inlineStr">
        <is>
          <t>2026-06-22 14:11:25</t>
        </is>
      </c>
      <c r="P679" t="inlineStr">
        <is>
          <t>2026-06-22 14:11:25</t>
        </is>
      </c>
      <c r="Y679" t="inlineStr">
        <is>
          <t>27826282220</t>
        </is>
      </c>
    </row>
    <row r="680">
      <c r="A680" t="inlineStr">
        <is>
          <t>14974366</t>
        </is>
      </c>
      <c r="B680" t="inlineStr">
        <is>
          <t>b7ec3093-26c3-45cf-bc46-29a4569d37a6</t>
        </is>
      </c>
      <c r="D680" t="inlineStr">
        <is>
          <t>11111127</t>
        </is>
      </c>
      <c r="E680" t="inlineStr">
        <is>
          <t>Vodacom Life 20260622</t>
        </is>
      </c>
      <c r="H680" t="inlineStr">
        <is>
          <t>27823200555</t>
        </is>
      </c>
      <c r="J680" t="inlineStr">
        <is>
          <t>AE</t>
        </is>
      </c>
      <c r="K680" t="inlineStr">
        <is>
          <t>Auto Engaged</t>
        </is>
      </c>
      <c r="L680" t="n">
        <v>5</v>
      </c>
      <c r="M680" t="inlineStr">
        <is>
          <t>2026-06-26 11:40:42</t>
        </is>
      </c>
      <c r="N680" t="inlineStr">
        <is>
          <t>system</t>
        </is>
      </c>
      <c r="O680" t="inlineStr">
        <is>
          <t>2026-06-22 14:11:25</t>
        </is>
      </c>
      <c r="P680" t="inlineStr">
        <is>
          <t>2026-06-22 14:11:25</t>
        </is>
      </c>
      <c r="Y680" t="inlineStr">
        <is>
          <t>27823200555</t>
        </is>
      </c>
    </row>
    <row r="681">
      <c r="A681" t="inlineStr">
        <is>
          <t>14973783</t>
        </is>
      </c>
      <c r="B681" t="inlineStr">
        <is>
          <t>bb49a45c-4451-4dfd-b423-1459381a90d0</t>
        </is>
      </c>
      <c r="D681" t="inlineStr">
        <is>
          <t>11111127</t>
        </is>
      </c>
      <c r="E681" t="inlineStr">
        <is>
          <t>Vodacom Life 20260622</t>
        </is>
      </c>
      <c r="J681" t="inlineStr">
        <is>
          <t>AA</t>
        </is>
      </c>
      <c r="K681" t="inlineStr">
        <is>
          <t>Answering Machine Autodial</t>
        </is>
      </c>
      <c r="L681" t="n">
        <v>5</v>
      </c>
      <c r="M681" t="inlineStr">
        <is>
          <t>2026-06-26 11:40:17</t>
        </is>
      </c>
      <c r="N681" t="inlineStr">
        <is>
          <t>system</t>
        </is>
      </c>
      <c r="O681" t="inlineStr">
        <is>
          <t>2026-06-22 14:11:25</t>
        </is>
      </c>
      <c r="P681" t="inlineStr">
        <is>
          <t>2026-06-22 14:11:25</t>
        </is>
      </c>
      <c r="Y681" t="inlineStr">
        <is>
          <t>27649799833</t>
        </is>
      </c>
    </row>
    <row r="682">
      <c r="A682" t="inlineStr">
        <is>
          <t>14973782</t>
        </is>
      </c>
      <c r="B682" t="inlineStr">
        <is>
          <t>f9c61516-4416-497b-99ee-4421c089598d</t>
        </is>
      </c>
      <c r="D682" t="inlineStr">
        <is>
          <t>11111127</t>
        </is>
      </c>
      <c r="E682" t="inlineStr">
        <is>
          <t>Vodacom Life 20260622</t>
        </is>
      </c>
      <c r="J682" t="inlineStr">
        <is>
          <t>AE</t>
        </is>
      </c>
      <c r="K682" t="inlineStr">
        <is>
          <t>Auto Engaged</t>
        </is>
      </c>
      <c r="L682" t="n">
        <v>5</v>
      </c>
      <c r="M682" t="inlineStr">
        <is>
          <t>2026-06-26 11:40:16</t>
        </is>
      </c>
      <c r="N682" t="inlineStr">
        <is>
          <t>system</t>
        </is>
      </c>
      <c r="O682" t="inlineStr">
        <is>
          <t>2026-06-22 14:11:25</t>
        </is>
      </c>
      <c r="P682" t="inlineStr">
        <is>
          <t>2026-06-22 14:11:25</t>
        </is>
      </c>
      <c r="Y682" t="inlineStr">
        <is>
          <t>27793200080</t>
        </is>
      </c>
    </row>
    <row r="683">
      <c r="A683" t="inlineStr">
        <is>
          <t>14973781</t>
        </is>
      </c>
      <c r="B683" t="inlineStr">
        <is>
          <t>48a81fa8-fc77-4702-8b8d-efd34b389f29</t>
        </is>
      </c>
      <c r="D683" t="inlineStr">
        <is>
          <t>11111127</t>
        </is>
      </c>
      <c r="E683" t="inlineStr">
        <is>
          <t>Vodacom Life 20260622</t>
        </is>
      </c>
      <c r="J683" t="inlineStr">
        <is>
          <t>AE</t>
        </is>
      </c>
      <c r="K683" t="inlineStr">
        <is>
          <t>Auto Engaged</t>
        </is>
      </c>
      <c r="L683" t="n">
        <v>5</v>
      </c>
      <c r="M683" t="inlineStr">
        <is>
          <t>2026-06-26 11:40:13</t>
        </is>
      </c>
      <c r="N683" t="inlineStr">
        <is>
          <t>system</t>
        </is>
      </c>
      <c r="O683" t="inlineStr">
        <is>
          <t>2026-06-22 14:11:25</t>
        </is>
      </c>
      <c r="P683" t="inlineStr">
        <is>
          <t>2026-06-22 14:11:25</t>
        </is>
      </c>
      <c r="Y683" t="inlineStr">
        <is>
          <t>27793140104</t>
        </is>
      </c>
    </row>
    <row r="684">
      <c r="A684" t="inlineStr">
        <is>
          <t>14973776</t>
        </is>
      </c>
      <c r="B684" t="inlineStr">
        <is>
          <t>206fc063-2ce3-4efc-b282-028a894a7b01</t>
        </is>
      </c>
      <c r="D684" t="inlineStr">
        <is>
          <t>11111127</t>
        </is>
      </c>
      <c r="E684" t="inlineStr">
        <is>
          <t>Vodacom Life 20260622</t>
        </is>
      </c>
      <c r="J684" t="inlineStr">
        <is>
          <t>AA</t>
        </is>
      </c>
      <c r="K684" t="inlineStr">
        <is>
          <t>Answering Machine Autodial</t>
        </is>
      </c>
      <c r="L684" t="n">
        <v>5</v>
      </c>
      <c r="M684" t="inlineStr">
        <is>
          <t>2026-06-26 11:40:12</t>
        </is>
      </c>
      <c r="N684" t="inlineStr">
        <is>
          <t>system</t>
        </is>
      </c>
      <c r="O684" t="inlineStr">
        <is>
          <t>2026-06-22 14:11:25</t>
        </is>
      </c>
      <c r="P684" t="inlineStr">
        <is>
          <t>2026-06-22 14:11:25</t>
        </is>
      </c>
      <c r="Y684" t="inlineStr">
        <is>
          <t>27768030774</t>
        </is>
      </c>
    </row>
    <row r="685">
      <c r="A685" t="inlineStr">
        <is>
          <t>14973777</t>
        </is>
      </c>
      <c r="B685" t="inlineStr">
        <is>
          <t>f555e4c4-2ead-440a-a340-441120e44543</t>
        </is>
      </c>
      <c r="D685" t="inlineStr">
        <is>
          <t>11111127</t>
        </is>
      </c>
      <c r="E685" t="inlineStr">
        <is>
          <t>Vodacom Life 20260622</t>
        </is>
      </c>
      <c r="J685" t="inlineStr">
        <is>
          <t>AA</t>
        </is>
      </c>
      <c r="K685" t="inlineStr">
        <is>
          <t>Answering Machine Autodial</t>
        </is>
      </c>
      <c r="L685" t="n">
        <v>5</v>
      </c>
      <c r="M685" t="inlineStr">
        <is>
          <t>2026-06-26 11:40:12</t>
        </is>
      </c>
      <c r="N685" t="inlineStr">
        <is>
          <t>system</t>
        </is>
      </c>
      <c r="O685" t="inlineStr">
        <is>
          <t>2026-06-22 14:11:25</t>
        </is>
      </c>
      <c r="P685" t="inlineStr">
        <is>
          <t>2026-06-22 14:11:25</t>
        </is>
      </c>
      <c r="Y685" t="inlineStr">
        <is>
          <t>27768949196</t>
        </is>
      </c>
    </row>
    <row r="686">
      <c r="A686" t="inlineStr">
        <is>
          <t>14973779</t>
        </is>
      </c>
      <c r="B686" t="inlineStr">
        <is>
          <t>a0aa762f-30b8-49a0-8fb0-3c9787dec3ab</t>
        </is>
      </c>
      <c r="D686" t="inlineStr">
        <is>
          <t>11111127</t>
        </is>
      </c>
      <c r="E686" t="inlineStr">
        <is>
          <t>Vodacom Life 20260622</t>
        </is>
      </c>
      <c r="J686" t="inlineStr">
        <is>
          <t>AA</t>
        </is>
      </c>
      <c r="K686" t="inlineStr">
        <is>
          <t>Answering Machine Autodial</t>
        </is>
      </c>
      <c r="L686" t="n">
        <v>5</v>
      </c>
      <c r="M686" t="inlineStr">
        <is>
          <t>2026-06-26 11:40:12</t>
        </is>
      </c>
      <c r="N686" t="inlineStr">
        <is>
          <t>system</t>
        </is>
      </c>
      <c r="O686" t="inlineStr">
        <is>
          <t>2026-06-22 14:11:25</t>
        </is>
      </c>
      <c r="P686" t="inlineStr">
        <is>
          <t>2026-06-22 14:11:25</t>
        </is>
      </c>
      <c r="Y686" t="inlineStr">
        <is>
          <t>27774949812</t>
        </is>
      </c>
    </row>
    <row r="687">
      <c r="A687" t="inlineStr">
        <is>
          <t>14973780</t>
        </is>
      </c>
      <c r="B687" t="inlineStr">
        <is>
          <t>af4d797f-c337-4c96-bad4-042bbc0aec60</t>
        </is>
      </c>
      <c r="D687" t="inlineStr">
        <is>
          <t>11111127</t>
        </is>
      </c>
      <c r="E687" t="inlineStr">
        <is>
          <t>Vodacom Life 20260622</t>
        </is>
      </c>
      <c r="J687" t="inlineStr">
        <is>
          <t>AE</t>
        </is>
      </c>
      <c r="K687" t="inlineStr">
        <is>
          <t>Auto Engaged</t>
        </is>
      </c>
      <c r="L687" t="n">
        <v>5</v>
      </c>
      <c r="M687" t="inlineStr">
        <is>
          <t>2026-06-26 11:40:12</t>
        </is>
      </c>
      <c r="N687" t="inlineStr">
        <is>
          <t>system</t>
        </is>
      </c>
      <c r="O687" t="inlineStr">
        <is>
          <t>2026-06-22 14:11:25</t>
        </is>
      </c>
      <c r="P687" t="inlineStr">
        <is>
          <t>2026-06-22 14:11:25</t>
        </is>
      </c>
      <c r="Y687" t="inlineStr">
        <is>
          <t>27792207436</t>
        </is>
      </c>
    </row>
    <row r="688">
      <c r="A688" t="inlineStr">
        <is>
          <t>14973764</t>
        </is>
      </c>
      <c r="B688" t="inlineStr">
        <is>
          <t>f1281686-176c-4eea-91ae-072fae4172b3</t>
        </is>
      </c>
      <c r="D688" t="inlineStr">
        <is>
          <t>11111127</t>
        </is>
      </c>
      <c r="E688" t="inlineStr">
        <is>
          <t>Vodacom Life 20260622</t>
        </is>
      </c>
      <c r="J688" t="inlineStr">
        <is>
          <t>AA</t>
        </is>
      </c>
      <c r="K688" t="inlineStr">
        <is>
          <t>Answering Machine Autodial</t>
        </is>
      </c>
      <c r="L688" t="n">
        <v>5</v>
      </c>
      <c r="M688" t="inlineStr">
        <is>
          <t>2026-06-26 11:39:31</t>
        </is>
      </c>
      <c r="N688" t="inlineStr">
        <is>
          <t>system</t>
        </is>
      </c>
      <c r="O688" t="inlineStr">
        <is>
          <t>2026-06-22 14:11:25</t>
        </is>
      </c>
      <c r="P688" t="inlineStr">
        <is>
          <t>2026-06-22 14:11:25</t>
        </is>
      </c>
      <c r="Y688" t="inlineStr">
        <is>
          <t>27793974624</t>
        </is>
      </c>
    </row>
    <row r="689">
      <c r="A689" t="inlineStr">
        <is>
          <t>14973766</t>
        </is>
      </c>
      <c r="B689" t="inlineStr">
        <is>
          <t>8668ec9f-8307-496e-abfd-8fb68c39530b</t>
        </is>
      </c>
      <c r="D689" t="inlineStr">
        <is>
          <t>11111127</t>
        </is>
      </c>
      <c r="E689" t="inlineStr">
        <is>
          <t>Vodacom Life 20260622</t>
        </is>
      </c>
      <c r="H689" t="inlineStr">
        <is>
          <t>27726055830</t>
        </is>
      </c>
      <c r="J689" t="inlineStr">
        <is>
          <t>DROP</t>
        </is>
      </c>
      <c r="K689" t="inlineStr">
        <is>
          <t>Dropped</t>
        </is>
      </c>
      <c r="L689" t="n">
        <v>5</v>
      </c>
      <c r="M689" t="inlineStr">
        <is>
          <t>2026-06-26 11:39:31</t>
        </is>
      </c>
      <c r="N689" t="inlineStr">
        <is>
          <t>system</t>
        </is>
      </c>
      <c r="O689" t="inlineStr">
        <is>
          <t>2026-06-22 14:11:25</t>
        </is>
      </c>
      <c r="P689" t="inlineStr">
        <is>
          <t>2026-06-22 14:11:25</t>
        </is>
      </c>
      <c r="Y689" t="inlineStr">
        <is>
          <t>27726055830</t>
        </is>
      </c>
    </row>
    <row r="690">
      <c r="A690" t="inlineStr">
        <is>
          <t>14973768</t>
        </is>
      </c>
      <c r="B690" t="inlineStr">
        <is>
          <t>2adf83a1-a42c-4954-b97a-fbade06587e8</t>
        </is>
      </c>
      <c r="D690" t="inlineStr">
        <is>
          <t>11111127</t>
        </is>
      </c>
      <c r="E690" t="inlineStr">
        <is>
          <t>Vodacom Life 20260622</t>
        </is>
      </c>
      <c r="H690" t="inlineStr">
        <is>
          <t>27737016399</t>
        </is>
      </c>
      <c r="J690" t="inlineStr">
        <is>
          <t>AA</t>
        </is>
      </c>
      <c r="K690" t="inlineStr">
        <is>
          <t>Answering Machine Autodial</t>
        </is>
      </c>
      <c r="L690" t="n">
        <v>5</v>
      </c>
      <c r="M690" t="inlineStr">
        <is>
          <t>2026-06-26 11:39:31</t>
        </is>
      </c>
      <c r="N690" t="inlineStr">
        <is>
          <t>system</t>
        </is>
      </c>
      <c r="O690" t="inlineStr">
        <is>
          <t>2026-06-22 14:11:25</t>
        </is>
      </c>
      <c r="P690" t="inlineStr">
        <is>
          <t>2026-06-22 14:11:25</t>
        </is>
      </c>
      <c r="Y690" t="inlineStr">
        <is>
          <t>27737016399</t>
        </is>
      </c>
    </row>
    <row r="691">
      <c r="A691" t="inlineStr">
        <is>
          <t>14973770</t>
        </is>
      </c>
      <c r="B691" t="inlineStr">
        <is>
          <t>1591889b-3cbd-4ad7-a86b-c3b58bfab620</t>
        </is>
      </c>
      <c r="D691" t="inlineStr">
        <is>
          <t>11111127</t>
        </is>
      </c>
      <c r="E691" t="inlineStr">
        <is>
          <t>Vodacom Life 20260622</t>
        </is>
      </c>
      <c r="J691" t="inlineStr">
        <is>
          <t>DROP</t>
        </is>
      </c>
      <c r="K691" t="inlineStr">
        <is>
          <t>Dropped</t>
        </is>
      </c>
      <c r="L691" t="n">
        <v>5</v>
      </c>
      <c r="M691" t="inlineStr">
        <is>
          <t>2026-06-26 11:39:31</t>
        </is>
      </c>
      <c r="N691" t="inlineStr">
        <is>
          <t>system</t>
        </is>
      </c>
      <c r="O691" t="inlineStr">
        <is>
          <t>2026-06-22 14:11:25</t>
        </is>
      </c>
      <c r="P691" t="inlineStr">
        <is>
          <t>2026-06-22 14:11:25</t>
        </is>
      </c>
      <c r="Y691" t="inlineStr">
        <is>
          <t>27761493388</t>
        </is>
      </c>
    </row>
    <row r="692">
      <c r="A692" t="inlineStr">
        <is>
          <t>14973772</t>
        </is>
      </c>
      <c r="B692" t="inlineStr">
        <is>
          <t>f80b654d-f856-481e-bd5a-17eaea45de30</t>
        </is>
      </c>
      <c r="D692" t="inlineStr">
        <is>
          <t>11111127</t>
        </is>
      </c>
      <c r="E692" t="inlineStr">
        <is>
          <t>Vodacom Life 20260622</t>
        </is>
      </c>
      <c r="J692" t="inlineStr">
        <is>
          <t>AA</t>
        </is>
      </c>
      <c r="K692" t="inlineStr">
        <is>
          <t>Answering Machine Autodial</t>
        </is>
      </c>
      <c r="L692" t="n">
        <v>5</v>
      </c>
      <c r="M692" t="inlineStr">
        <is>
          <t>2026-06-26 11:39:31</t>
        </is>
      </c>
      <c r="N692" t="inlineStr">
        <is>
          <t>system</t>
        </is>
      </c>
      <c r="O692" t="inlineStr">
        <is>
          <t>2026-06-22 14:11:25</t>
        </is>
      </c>
      <c r="P692" t="inlineStr">
        <is>
          <t>2026-06-22 14:11:25</t>
        </is>
      </c>
      <c r="Y692" t="inlineStr">
        <is>
          <t>27829673059</t>
        </is>
      </c>
    </row>
    <row r="693">
      <c r="A693" t="inlineStr">
        <is>
          <t>14973763</t>
        </is>
      </c>
      <c r="B693" t="inlineStr">
        <is>
          <t>e2cf029c-2567-47c4-8a6c-861cc48e7bcb</t>
        </is>
      </c>
      <c r="D693" t="inlineStr">
        <is>
          <t>11111127</t>
        </is>
      </c>
      <c r="E693" t="inlineStr">
        <is>
          <t>Vodacom Life 20260622</t>
        </is>
      </c>
      <c r="J693" t="inlineStr">
        <is>
          <t>NA</t>
        </is>
      </c>
      <c r="K693" t="inlineStr">
        <is>
          <t>No Answer Autodial</t>
        </is>
      </c>
      <c r="L693" t="n">
        <v>5</v>
      </c>
      <c r="M693" t="inlineStr">
        <is>
          <t>2026-06-26 11:39:30</t>
        </is>
      </c>
      <c r="N693" t="inlineStr">
        <is>
          <t>system</t>
        </is>
      </c>
      <c r="O693" t="inlineStr">
        <is>
          <t>2026-06-22 14:11:25</t>
        </is>
      </c>
      <c r="P693" t="inlineStr">
        <is>
          <t>2026-06-22 14:11:25</t>
        </is>
      </c>
      <c r="Y693" t="inlineStr">
        <is>
          <t>27828672891</t>
        </is>
      </c>
    </row>
    <row r="694">
      <c r="A694" t="inlineStr">
        <is>
          <t>14973758</t>
        </is>
      </c>
      <c r="B694" t="inlineStr">
        <is>
          <t>d59fde03-619e-45a9-9b05-f50be45ebf5a</t>
        </is>
      </c>
      <c r="D694" t="inlineStr">
        <is>
          <t>11111127</t>
        </is>
      </c>
      <c r="E694" t="inlineStr">
        <is>
          <t>Vodacom Life 20260622</t>
        </is>
      </c>
      <c r="J694" t="inlineStr">
        <is>
          <t>AE</t>
        </is>
      </c>
      <c r="K694" t="inlineStr">
        <is>
          <t>Auto Engaged</t>
        </is>
      </c>
      <c r="L694" t="n">
        <v>5</v>
      </c>
      <c r="M694" t="inlineStr">
        <is>
          <t>2026-06-26 11:39:25</t>
        </is>
      </c>
      <c r="N694" t="inlineStr">
        <is>
          <t>system</t>
        </is>
      </c>
      <c r="O694" t="inlineStr">
        <is>
          <t>2026-06-22 14:11:25</t>
        </is>
      </c>
      <c r="P694" t="inlineStr">
        <is>
          <t>2026-06-22 14:11:25</t>
        </is>
      </c>
      <c r="Y694" t="inlineStr">
        <is>
          <t>27674683620</t>
        </is>
      </c>
    </row>
    <row r="695">
      <c r="A695" t="inlineStr">
        <is>
          <t>14973759</t>
        </is>
      </c>
      <c r="B695" t="inlineStr">
        <is>
          <t>aa025dd8-17ba-42ce-9628-69cc3a002fe5</t>
        </is>
      </c>
      <c r="D695" t="inlineStr">
        <is>
          <t>11111127</t>
        </is>
      </c>
      <c r="E695" t="inlineStr">
        <is>
          <t>Vodacom Life 20260622</t>
        </is>
      </c>
      <c r="J695" t="inlineStr">
        <is>
          <t>AA</t>
        </is>
      </c>
      <c r="K695" t="inlineStr">
        <is>
          <t>Answering Machine Autodial</t>
        </is>
      </c>
      <c r="L695" t="n">
        <v>5</v>
      </c>
      <c r="M695" t="inlineStr">
        <is>
          <t>2026-06-26 11:39:25</t>
        </is>
      </c>
      <c r="N695" t="inlineStr">
        <is>
          <t>system</t>
        </is>
      </c>
      <c r="O695" t="inlineStr">
        <is>
          <t>2026-06-22 14:11:25</t>
        </is>
      </c>
      <c r="P695" t="inlineStr">
        <is>
          <t>2026-06-22 14:11:25</t>
        </is>
      </c>
      <c r="Y695" t="inlineStr">
        <is>
          <t>27720312717</t>
        </is>
      </c>
    </row>
    <row r="696">
      <c r="A696" t="inlineStr">
        <is>
          <t>14973760</t>
        </is>
      </c>
      <c r="B696" t="inlineStr">
        <is>
          <t>f0cb3e1e-112d-4ea7-8dce-33ebbfa926fb</t>
        </is>
      </c>
      <c r="D696" t="inlineStr">
        <is>
          <t>11111127</t>
        </is>
      </c>
      <c r="E696" t="inlineStr">
        <is>
          <t>Vodacom Life 20260622</t>
        </is>
      </c>
      <c r="J696" t="inlineStr">
        <is>
          <t>NA</t>
        </is>
      </c>
      <c r="K696" t="inlineStr">
        <is>
          <t>No Answer Autodial</t>
        </is>
      </c>
      <c r="L696" t="n">
        <v>5</v>
      </c>
      <c r="M696" t="inlineStr">
        <is>
          <t>2026-06-26 11:39:25</t>
        </is>
      </c>
      <c r="N696" t="inlineStr">
        <is>
          <t>system</t>
        </is>
      </c>
      <c r="O696" t="inlineStr">
        <is>
          <t>2026-06-22 14:11:25</t>
        </is>
      </c>
      <c r="P696" t="inlineStr">
        <is>
          <t>2026-06-22 14:11:25</t>
        </is>
      </c>
      <c r="Y696" t="inlineStr">
        <is>
          <t>27673281955</t>
        </is>
      </c>
    </row>
    <row r="697">
      <c r="A697" t="inlineStr">
        <is>
          <t>14973755</t>
        </is>
      </c>
      <c r="B697" t="inlineStr">
        <is>
          <t>a1193f5a-6997-43f7-b2b5-ef194f068d0f</t>
        </is>
      </c>
      <c r="D697" t="inlineStr">
        <is>
          <t>11111127</t>
        </is>
      </c>
      <c r="E697" t="inlineStr">
        <is>
          <t>Vodacom Life 20260622</t>
        </is>
      </c>
      <c r="J697" t="inlineStr">
        <is>
          <t>NA</t>
        </is>
      </c>
      <c r="K697" t="inlineStr">
        <is>
          <t>No Answer Autodial</t>
        </is>
      </c>
      <c r="L697" t="n">
        <v>5</v>
      </c>
      <c r="M697" t="inlineStr">
        <is>
          <t>2026-06-26 11:39:23</t>
        </is>
      </c>
      <c r="N697" t="inlineStr">
        <is>
          <t>system</t>
        </is>
      </c>
      <c r="O697" t="inlineStr">
        <is>
          <t>2026-06-22 14:11:25</t>
        </is>
      </c>
      <c r="P697" t="inlineStr">
        <is>
          <t>2026-06-22 14:11:25</t>
        </is>
      </c>
      <c r="Y697" t="inlineStr">
        <is>
          <t>27723708152</t>
        </is>
      </c>
    </row>
    <row r="698">
      <c r="A698" t="inlineStr">
        <is>
          <t>14973754</t>
        </is>
      </c>
      <c r="B698" t="inlineStr">
        <is>
          <t>c33ff809-114a-4951-abf4-d56d6c770990</t>
        </is>
      </c>
      <c r="D698" t="inlineStr">
        <is>
          <t>11111127</t>
        </is>
      </c>
      <c r="E698" t="inlineStr">
        <is>
          <t>Vodacom Life 20260622</t>
        </is>
      </c>
      <c r="J698" t="inlineStr">
        <is>
          <t>AA</t>
        </is>
      </c>
      <c r="K698" t="inlineStr">
        <is>
          <t>Answering Machine Autodial</t>
        </is>
      </c>
      <c r="L698" t="n">
        <v>5</v>
      </c>
      <c r="M698" t="inlineStr">
        <is>
          <t>2026-06-26 11:39:23</t>
        </is>
      </c>
      <c r="N698" t="inlineStr">
        <is>
          <t>system</t>
        </is>
      </c>
      <c r="O698" t="inlineStr">
        <is>
          <t>2026-06-22 14:11:25</t>
        </is>
      </c>
      <c r="P698" t="inlineStr">
        <is>
          <t>2026-06-22 14:11:25</t>
        </is>
      </c>
      <c r="Y698" t="inlineStr">
        <is>
          <t>27798178399</t>
        </is>
      </c>
    </row>
    <row r="699">
      <c r="A699" t="inlineStr">
        <is>
          <t>14973753</t>
        </is>
      </c>
      <c r="B699" t="inlineStr">
        <is>
          <t>48d7978e-0d57-4fe6-9412-ee76161e98c0</t>
        </is>
      </c>
      <c r="D699" t="inlineStr">
        <is>
          <t>11111127</t>
        </is>
      </c>
      <c r="E699" t="inlineStr">
        <is>
          <t>Vodacom Life 20260622</t>
        </is>
      </c>
      <c r="H699" t="inlineStr">
        <is>
          <t>27727301813</t>
        </is>
      </c>
      <c r="J699" t="inlineStr">
        <is>
          <t>TDN</t>
        </is>
      </c>
      <c r="K699" t="inlineStr">
        <is>
          <t>Temporary Disconnected Number</t>
        </is>
      </c>
      <c r="L699" t="n">
        <v>5</v>
      </c>
      <c r="M699" t="inlineStr">
        <is>
          <t>2026-06-26 11:39:19</t>
        </is>
      </c>
      <c r="N699" t="inlineStr">
        <is>
          <t>system</t>
        </is>
      </c>
      <c r="O699" t="inlineStr">
        <is>
          <t>2026-06-22 14:11:25</t>
        </is>
      </c>
      <c r="P699" t="inlineStr">
        <is>
          <t>2026-06-22 14:11:25</t>
        </is>
      </c>
      <c r="Y699" t="inlineStr">
        <is>
          <t>27727301813</t>
        </is>
      </c>
    </row>
    <row r="700">
      <c r="A700" t="inlineStr">
        <is>
          <t>14973752</t>
        </is>
      </c>
      <c r="B700" t="inlineStr">
        <is>
          <t>d4ba1a37-c56a-4f18-825d-97b68c039284</t>
        </is>
      </c>
      <c r="D700" t="inlineStr">
        <is>
          <t>11111127</t>
        </is>
      </c>
      <c r="E700" t="inlineStr">
        <is>
          <t>Vodacom Life 20260622</t>
        </is>
      </c>
      <c r="J700" t="inlineStr">
        <is>
          <t>TDN</t>
        </is>
      </c>
      <c r="K700" t="inlineStr">
        <is>
          <t>Temporary Disconnected Number</t>
        </is>
      </c>
      <c r="L700" t="n">
        <v>5</v>
      </c>
      <c r="M700" t="inlineStr">
        <is>
          <t>2026-06-26 11:38:58</t>
        </is>
      </c>
      <c r="N700" t="inlineStr">
        <is>
          <t>system</t>
        </is>
      </c>
      <c r="O700" t="inlineStr">
        <is>
          <t>2026-06-22 14:11:25</t>
        </is>
      </c>
      <c r="P700" t="inlineStr">
        <is>
          <t>2026-06-22 14:11:25</t>
        </is>
      </c>
      <c r="Y700" t="inlineStr">
        <is>
          <t>27729665620</t>
        </is>
      </c>
    </row>
    <row r="701">
      <c r="A701" t="inlineStr">
        <is>
          <t>14973749</t>
        </is>
      </c>
      <c r="B701" t="inlineStr">
        <is>
          <t>c08da2a7-8d8a-4146-9095-4fc27d6a6f40</t>
        </is>
      </c>
      <c r="D701" t="inlineStr">
        <is>
          <t>11111127</t>
        </is>
      </c>
      <c r="E701" t="inlineStr">
        <is>
          <t>Vodacom Life 20260622</t>
        </is>
      </c>
      <c r="J701" t="inlineStr">
        <is>
          <t>AE</t>
        </is>
      </c>
      <c r="K701" t="inlineStr">
        <is>
          <t>Auto Engaged</t>
        </is>
      </c>
      <c r="L701" t="n">
        <v>5</v>
      </c>
      <c r="M701" t="inlineStr">
        <is>
          <t>2026-06-26 11:38:56</t>
        </is>
      </c>
      <c r="N701" t="inlineStr">
        <is>
          <t>system</t>
        </is>
      </c>
      <c r="O701" t="inlineStr">
        <is>
          <t>2026-06-22 14:11:25</t>
        </is>
      </c>
      <c r="P701" t="inlineStr">
        <is>
          <t>2026-06-22 14:11:25</t>
        </is>
      </c>
      <c r="Y701" t="inlineStr">
        <is>
          <t>27725678067</t>
        </is>
      </c>
    </row>
    <row r="702">
      <c r="A702" t="inlineStr">
        <is>
          <t>14973751</t>
        </is>
      </c>
      <c r="B702" t="inlineStr">
        <is>
          <t>c4d2da0a-378b-4ecc-bdfe-c8c870d854d3</t>
        </is>
      </c>
      <c r="D702" t="inlineStr">
        <is>
          <t>11111127</t>
        </is>
      </c>
      <c r="E702" t="inlineStr">
        <is>
          <t>Vodacom Life 20260622</t>
        </is>
      </c>
      <c r="J702" t="inlineStr">
        <is>
          <t>NA</t>
        </is>
      </c>
      <c r="K702" t="inlineStr">
        <is>
          <t>No Answer Autodial</t>
        </is>
      </c>
      <c r="L702" t="n">
        <v>5</v>
      </c>
      <c r="M702" t="inlineStr">
        <is>
          <t>2026-06-26 11:38:56</t>
        </is>
      </c>
      <c r="N702" t="inlineStr">
        <is>
          <t>system</t>
        </is>
      </c>
      <c r="O702" t="inlineStr">
        <is>
          <t>2026-06-22 14:11:25</t>
        </is>
      </c>
      <c r="P702" t="inlineStr">
        <is>
          <t>2026-06-22 14:11:25</t>
        </is>
      </c>
      <c r="Y702" t="inlineStr">
        <is>
          <t>27726994818</t>
        </is>
      </c>
    </row>
    <row r="703">
      <c r="A703" t="inlineStr">
        <is>
          <t>14973728</t>
        </is>
      </c>
      <c r="B703" t="inlineStr">
        <is>
          <t>291475cc-1a0b-4905-bd8a-16ff0c11987f</t>
        </is>
      </c>
      <c r="D703" t="inlineStr">
        <is>
          <t>11111127</t>
        </is>
      </c>
      <c r="E703" t="inlineStr">
        <is>
          <t>Vodacom Life 20260622</t>
        </is>
      </c>
      <c r="J703" t="inlineStr">
        <is>
          <t>AE</t>
        </is>
      </c>
      <c r="K703" t="inlineStr">
        <is>
          <t>Auto Engaged</t>
        </is>
      </c>
      <c r="L703" t="n">
        <v>5</v>
      </c>
      <c r="M703" t="inlineStr">
        <is>
          <t>2026-06-26 11:38:54</t>
        </is>
      </c>
      <c r="N703" t="inlineStr">
        <is>
          <t>system</t>
        </is>
      </c>
      <c r="O703" t="inlineStr">
        <is>
          <t>2026-06-22 14:11:25</t>
        </is>
      </c>
      <c r="P703" t="inlineStr">
        <is>
          <t>2026-06-22 14:11:25</t>
        </is>
      </c>
      <c r="Y703" t="inlineStr">
        <is>
          <t>27715171725</t>
        </is>
      </c>
    </row>
    <row r="704">
      <c r="A704" t="inlineStr">
        <is>
          <t>14973729</t>
        </is>
      </c>
      <c r="B704" t="inlineStr">
        <is>
          <t>a27af360-8d93-4c16-83b6-8636d9cbd9f6</t>
        </is>
      </c>
      <c r="D704" t="inlineStr">
        <is>
          <t>11111127</t>
        </is>
      </c>
      <c r="E704" t="inlineStr">
        <is>
          <t>Vodacom Life 20260622</t>
        </is>
      </c>
      <c r="H704" t="inlineStr">
        <is>
          <t>27660348686</t>
        </is>
      </c>
      <c r="J704" t="inlineStr">
        <is>
          <t>AA</t>
        </is>
      </c>
      <c r="K704" t="inlineStr">
        <is>
          <t>Answering Machine Autodial</t>
        </is>
      </c>
      <c r="L704" t="n">
        <v>5</v>
      </c>
      <c r="M704" t="inlineStr">
        <is>
          <t>2026-06-26 11:38:54</t>
        </is>
      </c>
      <c r="N704" t="inlineStr">
        <is>
          <t>system</t>
        </is>
      </c>
      <c r="O704" t="inlineStr">
        <is>
          <t>2026-06-22 14:11:25</t>
        </is>
      </c>
      <c r="P704" t="inlineStr">
        <is>
          <t>2026-06-22 14:11:25</t>
        </is>
      </c>
      <c r="Y704" t="inlineStr">
        <is>
          <t>27660348686</t>
        </is>
      </c>
    </row>
    <row r="705">
      <c r="A705" t="inlineStr">
        <is>
          <t>14973748</t>
        </is>
      </c>
      <c r="B705" t="inlineStr">
        <is>
          <t>94a606c0-87ae-4f70-bffc-689b572ad1cd</t>
        </is>
      </c>
      <c r="D705" t="inlineStr">
        <is>
          <t>11111127</t>
        </is>
      </c>
      <c r="E705" t="inlineStr">
        <is>
          <t>Vodacom Life 20260622</t>
        </is>
      </c>
      <c r="J705" t="inlineStr">
        <is>
          <t>CCB</t>
        </is>
      </c>
      <c r="K705" t="inlineStr">
        <is>
          <t>Call Dropped</t>
        </is>
      </c>
      <c r="L705" t="n">
        <v>5</v>
      </c>
      <c r="M705" t="inlineStr">
        <is>
          <t>2026-06-26 11:38:54</t>
        </is>
      </c>
      <c r="N705" t="inlineStr">
        <is>
          <t>Musiiwa Mary Mabirimisa</t>
        </is>
      </c>
      <c r="O705" t="inlineStr">
        <is>
          <t>2026-06-22 14:11:25</t>
        </is>
      </c>
      <c r="P705" t="inlineStr">
        <is>
          <t>2026-06-22 14:11:25</t>
        </is>
      </c>
      <c r="Y705" t="inlineStr">
        <is>
          <t>27823697559</t>
        </is>
      </c>
    </row>
    <row r="706">
      <c r="A706" t="inlineStr">
        <is>
          <t>14973725</t>
        </is>
      </c>
      <c r="B706" t="inlineStr">
        <is>
          <t>1b4b32ae-b565-4926-8334-33d739f4b53f</t>
        </is>
      </c>
      <c r="D706" t="inlineStr">
        <is>
          <t>11111127</t>
        </is>
      </c>
      <c r="E706" t="inlineStr">
        <is>
          <t>Vodacom Life 20260622</t>
        </is>
      </c>
      <c r="J706" t="inlineStr">
        <is>
          <t>ADC</t>
        </is>
      </c>
      <c r="K706" t="inlineStr">
        <is>
          <t>Auto Dial Disconnected</t>
        </is>
      </c>
      <c r="L706" t="n">
        <v>5</v>
      </c>
      <c r="M706" t="inlineStr">
        <is>
          <t>2026-06-26 11:38:53</t>
        </is>
      </c>
      <c r="N706" t="inlineStr">
        <is>
          <t>system</t>
        </is>
      </c>
      <c r="O706" t="inlineStr">
        <is>
          <t>2026-06-22 14:11:25</t>
        </is>
      </c>
      <c r="P706" t="inlineStr">
        <is>
          <t>2026-06-22 14:11:25</t>
        </is>
      </c>
      <c r="Y706" t="inlineStr">
        <is>
          <t>27762860291</t>
        </is>
      </c>
    </row>
    <row r="707">
      <c r="A707" t="inlineStr">
        <is>
          <t>14973726</t>
        </is>
      </c>
      <c r="B707" t="inlineStr">
        <is>
          <t>88f11cc1-2360-45e4-a857-d8f96cf5ba26</t>
        </is>
      </c>
      <c r="D707" t="inlineStr">
        <is>
          <t>11111127</t>
        </is>
      </c>
      <c r="E707" t="inlineStr">
        <is>
          <t>Vodacom Life 20260622</t>
        </is>
      </c>
      <c r="J707" t="inlineStr">
        <is>
          <t>AE</t>
        </is>
      </c>
      <c r="K707" t="inlineStr">
        <is>
          <t>Auto Engaged</t>
        </is>
      </c>
      <c r="L707" t="n">
        <v>5</v>
      </c>
      <c r="M707" t="inlineStr">
        <is>
          <t>2026-06-26 11:38:53</t>
        </is>
      </c>
      <c r="N707" t="inlineStr">
        <is>
          <t>system</t>
        </is>
      </c>
      <c r="O707" t="inlineStr">
        <is>
          <t>2026-06-22 14:11:25</t>
        </is>
      </c>
      <c r="P707" t="inlineStr">
        <is>
          <t>2026-06-22 14:11:25</t>
        </is>
      </c>
      <c r="Y707" t="inlineStr">
        <is>
          <t>27828143030</t>
        </is>
      </c>
    </row>
    <row r="708">
      <c r="A708" t="inlineStr">
        <is>
          <t>14973723</t>
        </is>
      </c>
      <c r="B708" t="inlineStr">
        <is>
          <t>66824111-5920-4054-a979-c9a0b6fad134</t>
        </is>
      </c>
      <c r="D708" t="inlineStr">
        <is>
          <t>11111127</t>
        </is>
      </c>
      <c r="E708" t="inlineStr">
        <is>
          <t>Vodacom Life 20260622</t>
        </is>
      </c>
      <c r="J708" t="inlineStr">
        <is>
          <t>NA</t>
        </is>
      </c>
      <c r="K708" t="inlineStr">
        <is>
          <t>No Answer Autodial</t>
        </is>
      </c>
      <c r="L708" t="n">
        <v>5</v>
      </c>
      <c r="M708" t="inlineStr">
        <is>
          <t>2026-06-26 11:38:52</t>
        </is>
      </c>
      <c r="N708" t="inlineStr">
        <is>
          <t>system</t>
        </is>
      </c>
      <c r="O708" t="inlineStr">
        <is>
          <t>2026-06-22 14:11:25</t>
        </is>
      </c>
      <c r="P708" t="inlineStr">
        <is>
          <t>2026-06-22 14:11:25</t>
        </is>
      </c>
      <c r="Y708" t="inlineStr">
        <is>
          <t>27761469210</t>
        </is>
      </c>
    </row>
    <row r="709">
      <c r="A709" t="inlineStr">
        <is>
          <t>14974138</t>
        </is>
      </c>
      <c r="B709" t="inlineStr">
        <is>
          <t>4f7eeec0-9bbb-44e7-82e3-16d89a0a923c</t>
        </is>
      </c>
      <c r="D709" t="inlineStr">
        <is>
          <t>11111127</t>
        </is>
      </c>
      <c r="E709" t="inlineStr">
        <is>
          <t>Vodacom Life 20260622</t>
        </is>
      </c>
      <c r="H709" t="inlineStr">
        <is>
          <t>27725514286</t>
        </is>
      </c>
      <c r="J709" t="inlineStr">
        <is>
          <t>CBACK</t>
        </is>
      </c>
      <c r="K709" t="inlineStr">
        <is>
          <t>Callback</t>
        </is>
      </c>
      <c r="L709" t="n">
        <v>5</v>
      </c>
      <c r="M709" t="inlineStr">
        <is>
          <t>2026-06-26 11:38:46</t>
        </is>
      </c>
      <c r="N709" t="inlineStr">
        <is>
          <t>Maureen Ntsoko</t>
        </is>
      </c>
      <c r="O709" t="inlineStr">
        <is>
          <t>2026-06-22 14:11:25</t>
        </is>
      </c>
      <c r="P709" t="inlineStr">
        <is>
          <t>2026-06-22 14:11:25</t>
        </is>
      </c>
      <c r="Y709" t="inlineStr">
        <is>
          <t>27725514286</t>
        </is>
      </c>
    </row>
    <row r="710">
      <c r="A710" t="inlineStr">
        <is>
          <t>14973722</t>
        </is>
      </c>
      <c r="B710" t="inlineStr">
        <is>
          <t>4f4ded9e-7a0e-4b9f-bfaf-8b4caa137a47</t>
        </is>
      </c>
      <c r="D710" t="inlineStr">
        <is>
          <t>11111127</t>
        </is>
      </c>
      <c r="E710" t="inlineStr">
        <is>
          <t>Vodacom Life 20260622</t>
        </is>
      </c>
      <c r="J710" t="inlineStr">
        <is>
          <t>AA</t>
        </is>
      </c>
      <c r="K710" t="inlineStr">
        <is>
          <t>Answering Machine Autodial</t>
        </is>
      </c>
      <c r="L710" t="n">
        <v>5</v>
      </c>
      <c r="M710" t="inlineStr">
        <is>
          <t>2026-06-26 11:38:36</t>
        </is>
      </c>
      <c r="N710" t="inlineStr">
        <is>
          <t>system</t>
        </is>
      </c>
      <c r="O710" t="inlineStr">
        <is>
          <t>2026-06-22 14:11:25</t>
        </is>
      </c>
      <c r="P710" t="inlineStr">
        <is>
          <t>2026-06-22 14:11:25</t>
        </is>
      </c>
      <c r="Y710" t="inlineStr">
        <is>
          <t>27772011615</t>
        </is>
      </c>
    </row>
    <row r="711">
      <c r="A711" t="inlineStr">
        <is>
          <t>14974529</t>
        </is>
      </c>
      <c r="B711" t="inlineStr">
        <is>
          <t>32d7d6a3-a783-4d0a-ab44-10a02801b58d</t>
        </is>
      </c>
      <c r="D711" t="inlineStr">
        <is>
          <t>11111127</t>
        </is>
      </c>
      <c r="E711" t="inlineStr">
        <is>
          <t>Vodacom Life 20260622</t>
        </is>
      </c>
      <c r="H711" t="inlineStr">
        <is>
          <t>27631651668</t>
        </is>
      </c>
      <c r="J711" t="inlineStr">
        <is>
          <t>CBACK</t>
        </is>
      </c>
      <c r="K711" t="inlineStr">
        <is>
          <t>Callback</t>
        </is>
      </c>
      <c r="L711" t="n">
        <v>5</v>
      </c>
      <c r="M711" t="inlineStr">
        <is>
          <t>2026-06-26 11:38:36</t>
        </is>
      </c>
      <c r="N711" t="inlineStr">
        <is>
          <t>Khensane Mabasa</t>
        </is>
      </c>
      <c r="O711" t="inlineStr">
        <is>
          <t>2026-06-22 14:11:25</t>
        </is>
      </c>
      <c r="P711" t="inlineStr">
        <is>
          <t>2026-06-22 14:11:25</t>
        </is>
      </c>
      <c r="Y711" t="inlineStr">
        <is>
          <t>27631651668</t>
        </is>
      </c>
    </row>
    <row r="712">
      <c r="A712" t="inlineStr">
        <is>
          <t>14973717</t>
        </is>
      </c>
      <c r="B712" t="inlineStr">
        <is>
          <t>f1edae8d-e3e7-4c65-8d6b-aecd3e71e908</t>
        </is>
      </c>
      <c r="D712" t="inlineStr">
        <is>
          <t>11111127</t>
        </is>
      </c>
      <c r="E712" t="inlineStr">
        <is>
          <t>Vodacom Life 20260622</t>
        </is>
      </c>
      <c r="J712" t="inlineStr">
        <is>
          <t>AA</t>
        </is>
      </c>
      <c r="K712" t="inlineStr">
        <is>
          <t>Answering Machine Autodial</t>
        </is>
      </c>
      <c r="L712" t="n">
        <v>5</v>
      </c>
      <c r="M712" t="inlineStr">
        <is>
          <t>2026-06-26 11:38:31</t>
        </is>
      </c>
      <c r="N712" t="inlineStr">
        <is>
          <t>system</t>
        </is>
      </c>
      <c r="O712" t="inlineStr">
        <is>
          <t>2026-06-22 14:11:25</t>
        </is>
      </c>
      <c r="P712" t="inlineStr">
        <is>
          <t>2026-06-22 14:11:25</t>
        </is>
      </c>
      <c r="Y712" t="inlineStr">
        <is>
          <t>27663761104</t>
        </is>
      </c>
    </row>
    <row r="713">
      <c r="A713" t="inlineStr">
        <is>
          <t>14973719</t>
        </is>
      </c>
      <c r="B713" t="inlineStr">
        <is>
          <t>a5b5051c-8bfd-48de-9156-9a386e12e0bd</t>
        </is>
      </c>
      <c r="D713" t="inlineStr">
        <is>
          <t>11111127</t>
        </is>
      </c>
      <c r="E713" t="inlineStr">
        <is>
          <t>Vodacom Life 20260622</t>
        </is>
      </c>
      <c r="J713" t="inlineStr">
        <is>
          <t>DROP</t>
        </is>
      </c>
      <c r="K713" t="inlineStr">
        <is>
          <t>Dropped</t>
        </is>
      </c>
      <c r="L713" t="n">
        <v>5</v>
      </c>
      <c r="M713" t="inlineStr">
        <is>
          <t>2026-06-26 11:38:31</t>
        </is>
      </c>
      <c r="N713" t="inlineStr">
        <is>
          <t>system</t>
        </is>
      </c>
      <c r="O713" t="inlineStr">
        <is>
          <t>2026-06-22 14:11:25</t>
        </is>
      </c>
      <c r="P713" t="inlineStr">
        <is>
          <t>2026-06-22 14:11:25</t>
        </is>
      </c>
      <c r="Y713" t="inlineStr">
        <is>
          <t>27636246477</t>
        </is>
      </c>
    </row>
    <row r="714">
      <c r="A714" t="inlineStr">
        <is>
          <t>14973721</t>
        </is>
      </c>
      <c r="B714" t="inlineStr">
        <is>
          <t>36700a09-8af0-4105-b10e-f996afd0091e</t>
        </is>
      </c>
      <c r="D714" t="inlineStr">
        <is>
          <t>11111127</t>
        </is>
      </c>
      <c r="E714" t="inlineStr">
        <is>
          <t>Vodacom Life 20260622</t>
        </is>
      </c>
      <c r="H714" t="inlineStr">
        <is>
          <t>27792447567</t>
        </is>
      </c>
      <c r="J714" t="inlineStr">
        <is>
          <t>AA</t>
        </is>
      </c>
      <c r="K714" t="inlineStr">
        <is>
          <t>Answering Machine Autodial</t>
        </is>
      </c>
      <c r="L714" t="n">
        <v>5</v>
      </c>
      <c r="M714" t="inlineStr">
        <is>
          <t>2026-06-26 11:38:31</t>
        </is>
      </c>
      <c r="N714" t="inlineStr">
        <is>
          <t>system</t>
        </is>
      </c>
      <c r="O714" t="inlineStr">
        <is>
          <t>2026-06-22 14:11:25</t>
        </is>
      </c>
      <c r="P714" t="inlineStr">
        <is>
          <t>2026-06-22 14:11:25</t>
        </is>
      </c>
      <c r="Y714" t="inlineStr">
        <is>
          <t>27792447567</t>
        </is>
      </c>
    </row>
    <row r="715">
      <c r="A715" t="inlineStr">
        <is>
          <t>14973715</t>
        </is>
      </c>
      <c r="B715" t="inlineStr">
        <is>
          <t>61d2bac7-ebcb-4d74-992d-87b60d7eb3d1</t>
        </is>
      </c>
      <c r="D715" t="inlineStr">
        <is>
          <t>11111127</t>
        </is>
      </c>
      <c r="E715" t="inlineStr">
        <is>
          <t>Vodacom Life 20260622</t>
        </is>
      </c>
      <c r="J715" t="inlineStr">
        <is>
          <t>DROP</t>
        </is>
      </c>
      <c r="K715" t="inlineStr">
        <is>
          <t>Dropped</t>
        </is>
      </c>
      <c r="L715" t="n">
        <v>5</v>
      </c>
      <c r="M715" t="inlineStr">
        <is>
          <t>2026-06-26 11:38:30</t>
        </is>
      </c>
      <c r="N715" t="inlineStr">
        <is>
          <t>system</t>
        </is>
      </c>
      <c r="O715" t="inlineStr">
        <is>
          <t>2026-06-22 14:11:25</t>
        </is>
      </c>
      <c r="P715" t="inlineStr">
        <is>
          <t>2026-06-22 14:11:25</t>
        </is>
      </c>
      <c r="Y715" t="inlineStr">
        <is>
          <t>27793627939</t>
        </is>
      </c>
    </row>
    <row r="716">
      <c r="A716" t="inlineStr">
        <is>
          <t>14973716</t>
        </is>
      </c>
      <c r="B716" t="inlineStr">
        <is>
          <t>04e79a52-fd79-485a-a9e4-ab2fadbac3f5</t>
        </is>
      </c>
      <c r="D716" t="inlineStr">
        <is>
          <t>11111127</t>
        </is>
      </c>
      <c r="E716" t="inlineStr">
        <is>
          <t>Vodacom Life 20260622</t>
        </is>
      </c>
      <c r="J716" t="inlineStr">
        <is>
          <t>AE</t>
        </is>
      </c>
      <c r="K716" t="inlineStr">
        <is>
          <t>Auto Engaged</t>
        </is>
      </c>
      <c r="L716" t="n">
        <v>5</v>
      </c>
      <c r="M716" t="inlineStr">
        <is>
          <t>2026-06-26 11:38:30</t>
        </is>
      </c>
      <c r="N716" t="inlineStr">
        <is>
          <t>system</t>
        </is>
      </c>
      <c r="O716" t="inlineStr">
        <is>
          <t>2026-06-22 14:11:25</t>
        </is>
      </c>
      <c r="P716" t="inlineStr">
        <is>
          <t>2026-06-22 14:11:25</t>
        </is>
      </c>
      <c r="Y716" t="inlineStr">
        <is>
          <t>27774480957</t>
        </is>
      </c>
    </row>
    <row r="717">
      <c r="A717" t="inlineStr">
        <is>
          <t>14973714</t>
        </is>
      </c>
      <c r="B717" t="inlineStr">
        <is>
          <t>b47d7091-8b19-40e8-a8fc-51aa35b7e66b</t>
        </is>
      </c>
      <c r="D717" t="inlineStr">
        <is>
          <t>11111127</t>
        </is>
      </c>
      <c r="E717" t="inlineStr">
        <is>
          <t>Vodacom Life 20260622</t>
        </is>
      </c>
      <c r="J717" t="inlineStr">
        <is>
          <t>AE</t>
        </is>
      </c>
      <c r="K717" t="inlineStr">
        <is>
          <t>Auto Engaged</t>
        </is>
      </c>
      <c r="L717" t="n">
        <v>5</v>
      </c>
      <c r="M717" t="inlineStr">
        <is>
          <t>2026-06-26 11:38:29</t>
        </is>
      </c>
      <c r="N717" t="inlineStr">
        <is>
          <t>system</t>
        </is>
      </c>
      <c r="O717" t="inlineStr">
        <is>
          <t>2026-06-22 14:11:25</t>
        </is>
      </c>
      <c r="P717" t="inlineStr">
        <is>
          <t>2026-06-22 14:11:25</t>
        </is>
      </c>
      <c r="Y717" t="inlineStr">
        <is>
          <t>27792979998</t>
        </is>
      </c>
    </row>
    <row r="718">
      <c r="A718" t="inlineStr">
        <is>
          <t>14973999</t>
        </is>
      </c>
      <c r="B718" t="inlineStr">
        <is>
          <t>c2463a53-021a-465e-b10d-64c1d703cdeb</t>
        </is>
      </c>
      <c r="D718" t="inlineStr">
        <is>
          <t>11111127</t>
        </is>
      </c>
      <c r="E718" t="inlineStr">
        <is>
          <t>Vodacom Life 20260622</t>
        </is>
      </c>
      <c r="J718" t="inlineStr">
        <is>
          <t>AA</t>
        </is>
      </c>
      <c r="K718" t="inlineStr">
        <is>
          <t>Answering Machine Autodial</t>
        </is>
      </c>
      <c r="L718" t="n">
        <v>5</v>
      </c>
      <c r="M718" t="inlineStr">
        <is>
          <t>2026-06-26 11:38:29</t>
        </is>
      </c>
      <c r="N718" t="inlineStr">
        <is>
          <t>system</t>
        </is>
      </c>
      <c r="O718" t="inlineStr">
        <is>
          <t>2026-06-22 14:11:25</t>
        </is>
      </c>
      <c r="P718" t="inlineStr">
        <is>
          <t>2026-06-22 14:11:25</t>
        </is>
      </c>
      <c r="Y718" t="inlineStr">
        <is>
          <t>27837525618</t>
        </is>
      </c>
    </row>
    <row r="719">
      <c r="A719" t="inlineStr">
        <is>
          <t>14974111</t>
        </is>
      </c>
      <c r="B719" t="inlineStr">
        <is>
          <t>1eb7db94-0f3a-4e82-8c91-d3bb098bb583</t>
        </is>
      </c>
      <c r="D719" t="inlineStr">
        <is>
          <t>11111127</t>
        </is>
      </c>
      <c r="E719" t="inlineStr">
        <is>
          <t>Vodacom Life 20260622</t>
        </is>
      </c>
      <c r="H719" t="inlineStr">
        <is>
          <t>27792560581</t>
        </is>
      </c>
      <c r="J719" t="inlineStr">
        <is>
          <t>IABDN</t>
        </is>
      </c>
      <c r="K719" t="inlineStr">
        <is>
          <t>Inbound Abandon</t>
        </is>
      </c>
      <c r="L719" t="n">
        <v>5</v>
      </c>
      <c r="M719" t="inlineStr">
        <is>
          <t>2026-06-26 11:37:34</t>
        </is>
      </c>
      <c r="N719" t="inlineStr">
        <is>
          <t>system</t>
        </is>
      </c>
      <c r="O719" t="inlineStr">
        <is>
          <t>2026-06-22 14:11:25</t>
        </is>
      </c>
      <c r="P719" t="inlineStr">
        <is>
          <t>2026-06-22 14:11:25</t>
        </is>
      </c>
      <c r="Y719" t="inlineStr">
        <is>
          <t>27792560581</t>
        </is>
      </c>
    </row>
    <row r="720">
      <c r="A720" t="inlineStr">
        <is>
          <t>14974258</t>
        </is>
      </c>
      <c r="B720" t="inlineStr">
        <is>
          <t>5a679be3-575c-486d-9820-9d6d4db0bd51</t>
        </is>
      </c>
      <c r="D720" t="inlineStr">
        <is>
          <t>11111127</t>
        </is>
      </c>
      <c r="E720" t="inlineStr">
        <is>
          <t>Vodacom Life 20260622</t>
        </is>
      </c>
      <c r="H720" t="inlineStr">
        <is>
          <t>27832644752</t>
        </is>
      </c>
      <c r="J720" t="inlineStr">
        <is>
          <t>CU</t>
        </is>
      </c>
      <c r="K720" t="inlineStr">
        <is>
          <t>Client Hung Up</t>
        </is>
      </c>
      <c r="L720" t="n">
        <v>5</v>
      </c>
      <c r="M720" t="inlineStr">
        <is>
          <t>2026-06-26 11:37:20</t>
        </is>
      </c>
      <c r="N720" t="inlineStr">
        <is>
          <t>Musiiwa Mary Mabirimisa</t>
        </is>
      </c>
      <c r="O720" t="inlineStr">
        <is>
          <t>2026-06-22 14:11:25</t>
        </is>
      </c>
      <c r="P720" t="inlineStr">
        <is>
          <t>2026-06-22 14:11:25</t>
        </is>
      </c>
      <c r="Y720" t="inlineStr">
        <is>
          <t>27832644752</t>
        </is>
      </c>
    </row>
    <row r="721">
      <c r="A721" t="inlineStr">
        <is>
          <t>14974110</t>
        </is>
      </c>
      <c r="B721" t="inlineStr">
        <is>
          <t>48537ae7-3960-4e10-a939-1e22f55e54c1</t>
        </is>
      </c>
      <c r="D721" t="inlineStr">
        <is>
          <t>11111127</t>
        </is>
      </c>
      <c r="E721" t="inlineStr">
        <is>
          <t>Vodacom Life 20260622</t>
        </is>
      </c>
      <c r="J721" t="inlineStr">
        <is>
          <t>AE</t>
        </is>
      </c>
      <c r="K721" t="inlineStr">
        <is>
          <t>Auto Engaged</t>
        </is>
      </c>
      <c r="L721" t="n">
        <v>5</v>
      </c>
      <c r="M721" t="inlineStr">
        <is>
          <t>2026-06-26 11:37:13</t>
        </is>
      </c>
      <c r="N721" t="inlineStr">
        <is>
          <t>system</t>
        </is>
      </c>
      <c r="O721" t="inlineStr">
        <is>
          <t>2026-06-22 14:11:25</t>
        </is>
      </c>
      <c r="P721" t="inlineStr">
        <is>
          <t>2026-06-22 14:11:25</t>
        </is>
      </c>
      <c r="Y721" t="inlineStr">
        <is>
          <t>27791678478</t>
        </is>
      </c>
    </row>
    <row r="722">
      <c r="A722" t="inlineStr">
        <is>
          <t>14974295</t>
        </is>
      </c>
      <c r="B722" t="inlineStr">
        <is>
          <t>1597cfc9-36a6-4c64-a9db-b4a8d0134e5b</t>
        </is>
      </c>
      <c r="D722" t="inlineStr">
        <is>
          <t>11111127</t>
        </is>
      </c>
      <c r="E722" t="inlineStr">
        <is>
          <t>Vodacom Life 20260622</t>
        </is>
      </c>
      <c r="H722" t="inlineStr">
        <is>
          <t>27766280698</t>
        </is>
      </c>
      <c r="J722" t="inlineStr">
        <is>
          <t>CU</t>
        </is>
      </c>
      <c r="K722" t="inlineStr">
        <is>
          <t>Client Hung Up</t>
        </is>
      </c>
      <c r="L722" t="n">
        <v>5</v>
      </c>
      <c r="M722" t="inlineStr">
        <is>
          <t>2026-06-26 11:36:18</t>
        </is>
      </c>
      <c r="N722" t="inlineStr">
        <is>
          <t>Maureen Ntsoko</t>
        </is>
      </c>
      <c r="O722" t="inlineStr">
        <is>
          <t>2026-06-22 14:11:25</t>
        </is>
      </c>
      <c r="P722" t="inlineStr">
        <is>
          <t>2026-06-22 14:11:25</t>
        </is>
      </c>
      <c r="Y722" t="inlineStr">
        <is>
          <t>27766280698</t>
        </is>
      </c>
    </row>
    <row r="723">
      <c r="A723" t="inlineStr">
        <is>
          <t>14974151</t>
        </is>
      </c>
      <c r="B723" t="inlineStr">
        <is>
          <t>ff1f349c-0736-4dfc-8345-7eda420da33c</t>
        </is>
      </c>
      <c r="D723" t="inlineStr">
        <is>
          <t>11111127</t>
        </is>
      </c>
      <c r="E723" t="inlineStr">
        <is>
          <t>Vodacom Life 20260622</t>
        </is>
      </c>
      <c r="H723" t="inlineStr">
        <is>
          <t>27769302825</t>
        </is>
      </c>
      <c r="J723" t="inlineStr">
        <is>
          <t>CU</t>
        </is>
      </c>
      <c r="K723" t="inlineStr">
        <is>
          <t>Client Hung Up</t>
        </is>
      </c>
      <c r="L723" t="n">
        <v>5</v>
      </c>
      <c r="M723" t="inlineStr">
        <is>
          <t>2026-06-26 11:35:47</t>
        </is>
      </c>
      <c r="N723" t="inlineStr">
        <is>
          <t>Musiiwa Mary Mabirimisa</t>
        </is>
      </c>
      <c r="O723" t="inlineStr">
        <is>
          <t>2026-06-22 14:11:25</t>
        </is>
      </c>
      <c r="P723" t="inlineStr">
        <is>
          <t>2026-06-22 14:11:25</t>
        </is>
      </c>
      <c r="Y723" t="inlineStr">
        <is>
          <t>27769302825</t>
        </is>
      </c>
    </row>
    <row r="724">
      <c r="A724" t="inlineStr">
        <is>
          <t>14974153</t>
        </is>
      </c>
      <c r="B724" t="inlineStr">
        <is>
          <t>a94265d6-9e03-48b6-81c5-1408b3393b6c</t>
        </is>
      </c>
      <c r="D724" t="inlineStr">
        <is>
          <t>11111127</t>
        </is>
      </c>
      <c r="E724" t="inlineStr">
        <is>
          <t>Vodacom Life 20260622</t>
        </is>
      </c>
      <c r="H724" t="inlineStr">
        <is>
          <t>27793829843</t>
        </is>
      </c>
      <c r="J724" t="inlineStr">
        <is>
          <t>CU</t>
        </is>
      </c>
      <c r="K724" t="inlineStr">
        <is>
          <t>Client Hung Up</t>
        </is>
      </c>
      <c r="L724" t="n">
        <v>5</v>
      </c>
      <c r="M724" t="inlineStr">
        <is>
          <t>2026-06-26 11:34:47</t>
        </is>
      </c>
      <c r="N724" t="inlineStr">
        <is>
          <t>Maureen Ntsoko</t>
        </is>
      </c>
      <c r="O724" t="inlineStr">
        <is>
          <t>2026-06-22 14:11:25</t>
        </is>
      </c>
      <c r="P724" t="inlineStr">
        <is>
          <t>2026-06-22 14:11:25</t>
        </is>
      </c>
      <c r="Y724" t="inlineStr">
        <is>
          <t>27793829843</t>
        </is>
      </c>
    </row>
    <row r="725">
      <c r="A725" t="inlineStr">
        <is>
          <t>14974205</t>
        </is>
      </c>
      <c r="B725" t="inlineStr">
        <is>
          <t>edc292e4-a947-4697-994f-3d3d9a35453b</t>
        </is>
      </c>
      <c r="D725" t="inlineStr">
        <is>
          <t>11111127</t>
        </is>
      </c>
      <c r="E725" t="inlineStr">
        <is>
          <t>Vodacom Life 20260622</t>
        </is>
      </c>
      <c r="H725" t="inlineStr">
        <is>
          <t>27721284662</t>
        </is>
      </c>
      <c r="J725" t="inlineStr">
        <is>
          <t>CCB</t>
        </is>
      </c>
      <c r="K725" t="inlineStr">
        <is>
          <t>Call Dropped</t>
        </is>
      </c>
      <c r="L725" t="n">
        <v>5</v>
      </c>
      <c r="M725" t="inlineStr">
        <is>
          <t>2026-06-26 11:34:23</t>
        </is>
      </c>
      <c r="N725" t="inlineStr">
        <is>
          <t>Musiiwa Mary Mabirimisa</t>
        </is>
      </c>
      <c r="O725" t="inlineStr">
        <is>
          <t>2026-06-22 14:11:25</t>
        </is>
      </c>
      <c r="P725" t="inlineStr">
        <is>
          <t>2026-06-22 14:11:25</t>
        </is>
      </c>
      <c r="Y725" t="inlineStr">
        <is>
          <t>27721284662</t>
        </is>
      </c>
    </row>
    <row r="726">
      <c r="A726" t="inlineStr">
        <is>
          <t>14974152</t>
        </is>
      </c>
      <c r="B726" t="inlineStr">
        <is>
          <t>0823c0a3-562d-47a6-a750-05c87af4693f</t>
        </is>
      </c>
      <c r="D726" t="inlineStr">
        <is>
          <t>11111127</t>
        </is>
      </c>
      <c r="E726" t="inlineStr">
        <is>
          <t>Vodacom Life 20260622</t>
        </is>
      </c>
      <c r="J726" t="inlineStr">
        <is>
          <t>NA</t>
        </is>
      </c>
      <c r="K726" t="inlineStr">
        <is>
          <t>No Answer Autodial</t>
        </is>
      </c>
      <c r="L726" t="n">
        <v>5</v>
      </c>
      <c r="M726" t="inlineStr">
        <is>
          <t>2026-06-26 11:34:14</t>
        </is>
      </c>
      <c r="N726" t="inlineStr">
        <is>
          <t>system</t>
        </is>
      </c>
      <c r="O726" t="inlineStr">
        <is>
          <t>2026-06-22 14:11:25</t>
        </is>
      </c>
      <c r="P726" t="inlineStr">
        <is>
          <t>2026-06-22 14:11:25</t>
        </is>
      </c>
      <c r="Y726" t="inlineStr">
        <is>
          <t>27606624384</t>
        </is>
      </c>
    </row>
    <row r="727">
      <c r="A727" t="inlineStr">
        <is>
          <t>15000000</t>
        </is>
      </c>
      <c r="B727" t="inlineStr">
        <is>
          <t>35e991b0-3147-4e17-ba8e-e3f67dea79cb</t>
        </is>
      </c>
      <c r="D727" t="inlineStr">
        <is>
          <t>11111127</t>
        </is>
      </c>
      <c r="E727" t="inlineStr">
        <is>
          <t>Vodacom Life 20260622</t>
        </is>
      </c>
      <c r="H727" t="inlineStr">
        <is>
          <t>27823807436</t>
        </is>
      </c>
      <c r="J727" t="inlineStr">
        <is>
          <t>AA</t>
        </is>
      </c>
      <c r="K727" t="inlineStr">
        <is>
          <t>Answering Machine Autodial</t>
        </is>
      </c>
      <c r="L727" t="n">
        <v>5</v>
      </c>
      <c r="M727" t="inlineStr">
        <is>
          <t>2026-06-26 11:33:29</t>
        </is>
      </c>
      <c r="N727" t="inlineStr">
        <is>
          <t>system</t>
        </is>
      </c>
      <c r="O727" t="inlineStr">
        <is>
          <t>2026-06-22 14:11:25</t>
        </is>
      </c>
      <c r="P727" t="inlineStr">
        <is>
          <t>2026-06-22 14:11:25</t>
        </is>
      </c>
      <c r="Y727" t="inlineStr">
        <is>
          <t>27823807436</t>
        </is>
      </c>
    </row>
    <row r="728">
      <c r="A728" t="inlineStr">
        <is>
          <t>14974155</t>
        </is>
      </c>
      <c r="B728" t="inlineStr">
        <is>
          <t>d95f1229-01dc-4aeb-93f2-cdb6000949c2</t>
        </is>
      </c>
      <c r="D728" t="inlineStr">
        <is>
          <t>11111127</t>
        </is>
      </c>
      <c r="E728" t="inlineStr">
        <is>
          <t>Vodacom Life 20260622</t>
        </is>
      </c>
      <c r="H728" t="inlineStr">
        <is>
          <t>27828210659</t>
        </is>
      </c>
      <c r="J728" t="inlineStr">
        <is>
          <t>AA</t>
        </is>
      </c>
      <c r="K728" t="inlineStr">
        <is>
          <t>Answering Machine Autodial</t>
        </is>
      </c>
      <c r="L728" t="n">
        <v>5</v>
      </c>
      <c r="M728" t="inlineStr">
        <is>
          <t>2026-06-26 11:33:24</t>
        </is>
      </c>
      <c r="N728" t="inlineStr">
        <is>
          <t>system</t>
        </is>
      </c>
      <c r="O728" t="inlineStr">
        <is>
          <t>2026-06-22 14:11:25</t>
        </is>
      </c>
      <c r="P728" t="inlineStr">
        <is>
          <t>2026-06-22 14:11:25</t>
        </is>
      </c>
      <c r="Y728" t="inlineStr">
        <is>
          <t>27828210659</t>
        </is>
      </c>
    </row>
    <row r="729">
      <c r="A729" t="inlineStr">
        <is>
          <t>14974156</t>
        </is>
      </c>
      <c r="B729" t="inlineStr">
        <is>
          <t>8a4a94e8-dbba-4999-91a9-186fcdda140e</t>
        </is>
      </c>
      <c r="D729" t="inlineStr">
        <is>
          <t>11111127</t>
        </is>
      </c>
      <c r="E729" t="inlineStr">
        <is>
          <t>Vodacom Life 20260622</t>
        </is>
      </c>
      <c r="J729" t="inlineStr">
        <is>
          <t>CU</t>
        </is>
      </c>
      <c r="K729" t="inlineStr">
        <is>
          <t>Client Hung Up</t>
        </is>
      </c>
      <c r="L729" t="n">
        <v>5</v>
      </c>
      <c r="M729" t="inlineStr">
        <is>
          <t>2026-06-26 11:33:21</t>
        </is>
      </c>
      <c r="N729" t="inlineStr">
        <is>
          <t>bongiwe lushaba</t>
        </is>
      </c>
      <c r="O729" t="inlineStr">
        <is>
          <t>2026-06-22 14:11:25</t>
        </is>
      </c>
      <c r="P729" t="inlineStr">
        <is>
          <t>2026-06-22 14:11:25</t>
        </is>
      </c>
      <c r="Y729" t="inlineStr">
        <is>
          <t>27664694849</t>
        </is>
      </c>
    </row>
    <row r="730">
      <c r="A730" t="inlineStr">
        <is>
          <t>14974158</t>
        </is>
      </c>
      <c r="B730" t="inlineStr">
        <is>
          <t>fa1b209e-c481-4e3f-978a-272911cfc0b5</t>
        </is>
      </c>
      <c r="D730" t="inlineStr">
        <is>
          <t>11111127</t>
        </is>
      </c>
      <c r="E730" t="inlineStr">
        <is>
          <t>Vodacom Life 20260622</t>
        </is>
      </c>
      <c r="J730" t="inlineStr">
        <is>
          <t>ADC</t>
        </is>
      </c>
      <c r="K730" t="inlineStr">
        <is>
          <t>Auto Dial Disconnected</t>
        </is>
      </c>
      <c r="L730" t="n">
        <v>5</v>
      </c>
      <c r="M730" t="inlineStr">
        <is>
          <t>2026-06-26 11:33:20</t>
        </is>
      </c>
      <c r="N730" t="inlineStr">
        <is>
          <t>system</t>
        </is>
      </c>
      <c r="O730" t="inlineStr">
        <is>
          <t>2026-06-22 14:11:25</t>
        </is>
      </c>
      <c r="P730" t="inlineStr">
        <is>
          <t>2026-06-22 14:11:25</t>
        </is>
      </c>
      <c r="Y730" t="inlineStr">
        <is>
          <t>27715237068</t>
        </is>
      </c>
    </row>
    <row r="731">
      <c r="A731" t="inlineStr">
        <is>
          <t>14974160</t>
        </is>
      </c>
      <c r="B731" t="inlineStr">
        <is>
          <t>eb98e071-b50c-4d72-8288-666d4412bc54</t>
        </is>
      </c>
      <c r="D731" t="inlineStr">
        <is>
          <t>11111127</t>
        </is>
      </c>
      <c r="E731" t="inlineStr">
        <is>
          <t>Vodacom Life 20260622</t>
        </is>
      </c>
      <c r="J731" t="inlineStr">
        <is>
          <t>ADC</t>
        </is>
      </c>
      <c r="K731" t="inlineStr">
        <is>
          <t>Auto Dial Disconnected</t>
        </is>
      </c>
      <c r="L731" t="n">
        <v>5</v>
      </c>
      <c r="M731" t="inlineStr">
        <is>
          <t>2026-06-26 11:33:20</t>
        </is>
      </c>
      <c r="N731" t="inlineStr">
        <is>
          <t>system</t>
        </is>
      </c>
      <c r="O731" t="inlineStr">
        <is>
          <t>2026-06-22 14:11:25</t>
        </is>
      </c>
      <c r="P731" t="inlineStr">
        <is>
          <t>2026-06-22 14:11:25</t>
        </is>
      </c>
      <c r="Y731" t="inlineStr">
        <is>
          <t>27711027044</t>
        </is>
      </c>
    </row>
    <row r="732">
      <c r="A732" t="inlineStr">
        <is>
          <t>14974171</t>
        </is>
      </c>
      <c r="B732" t="inlineStr">
        <is>
          <t>644c668e-c54f-4b20-b07f-cd3686ff8643</t>
        </is>
      </c>
      <c r="D732" t="inlineStr">
        <is>
          <t>11111127</t>
        </is>
      </c>
      <c r="E732" t="inlineStr">
        <is>
          <t>Vodacom Life 20260622</t>
        </is>
      </c>
      <c r="J732" t="inlineStr">
        <is>
          <t>AA</t>
        </is>
      </c>
      <c r="K732" t="inlineStr">
        <is>
          <t>Answering Machine Autodial</t>
        </is>
      </c>
      <c r="L732" t="n">
        <v>5</v>
      </c>
      <c r="M732" t="inlineStr">
        <is>
          <t>2026-06-26 11:33:16</t>
        </is>
      </c>
      <c r="N732" t="inlineStr">
        <is>
          <t>system</t>
        </is>
      </c>
      <c r="O732" t="inlineStr">
        <is>
          <t>2026-06-22 14:11:25</t>
        </is>
      </c>
      <c r="P732" t="inlineStr">
        <is>
          <t>2026-06-22 14:11:25</t>
        </is>
      </c>
      <c r="Y732" t="inlineStr">
        <is>
          <t>27723806310</t>
        </is>
      </c>
    </row>
    <row r="733">
      <c r="A733" t="inlineStr">
        <is>
          <t>14974293</t>
        </is>
      </c>
      <c r="B733" t="inlineStr">
        <is>
          <t>01043364-eb62-4bde-8a1c-44a92c8e22e4</t>
        </is>
      </c>
      <c r="D733" t="inlineStr">
        <is>
          <t>11111127</t>
        </is>
      </c>
      <c r="E733" t="inlineStr">
        <is>
          <t>Vodacom Life 20260622</t>
        </is>
      </c>
      <c r="J733" t="inlineStr">
        <is>
          <t>AE</t>
        </is>
      </c>
      <c r="K733" t="inlineStr">
        <is>
          <t>Auto Engaged</t>
        </is>
      </c>
      <c r="L733" t="n">
        <v>5</v>
      </c>
      <c r="M733" t="inlineStr">
        <is>
          <t>2026-06-26 11:33:16</t>
        </is>
      </c>
      <c r="N733" t="inlineStr">
        <is>
          <t>system</t>
        </is>
      </c>
      <c r="O733" t="inlineStr">
        <is>
          <t>2026-06-22 14:11:25</t>
        </is>
      </c>
      <c r="P733" t="inlineStr">
        <is>
          <t>2026-06-22 14:11:25</t>
        </is>
      </c>
      <c r="Y733" t="inlineStr">
        <is>
          <t>27764855586</t>
        </is>
      </c>
    </row>
    <row r="734">
      <c r="A734" t="inlineStr">
        <is>
          <t>14974294</t>
        </is>
      </c>
      <c r="B734" t="inlineStr">
        <is>
          <t>dfe90b56-86f1-485e-8cae-90d466c28c7c</t>
        </is>
      </c>
      <c r="D734" t="inlineStr">
        <is>
          <t>11111127</t>
        </is>
      </c>
      <c r="E734" t="inlineStr">
        <is>
          <t>Vodacom Life 20260622</t>
        </is>
      </c>
      <c r="J734" t="inlineStr">
        <is>
          <t>AE</t>
        </is>
      </c>
      <c r="K734" t="inlineStr">
        <is>
          <t>Auto Engaged</t>
        </is>
      </c>
      <c r="L734" t="n">
        <v>5</v>
      </c>
      <c r="M734" t="inlineStr">
        <is>
          <t>2026-06-26 11:33:16</t>
        </is>
      </c>
      <c r="N734" t="inlineStr">
        <is>
          <t>system</t>
        </is>
      </c>
      <c r="O734" t="inlineStr">
        <is>
          <t>2026-06-22 14:11:25</t>
        </is>
      </c>
      <c r="P734" t="inlineStr">
        <is>
          <t>2026-06-22 14:11:25</t>
        </is>
      </c>
      <c r="Y734" t="inlineStr">
        <is>
          <t>27765111732</t>
        </is>
      </c>
    </row>
    <row r="735">
      <c r="A735" t="inlineStr">
        <is>
          <t>14974161</t>
        </is>
      </c>
      <c r="B735" t="inlineStr">
        <is>
          <t>ce9ece7f-f55c-4972-b8c0-8c78880177fd</t>
        </is>
      </c>
      <c r="D735" t="inlineStr">
        <is>
          <t>11111127</t>
        </is>
      </c>
      <c r="E735" t="inlineStr">
        <is>
          <t>Vodacom Life 20260622</t>
        </is>
      </c>
      <c r="J735" t="inlineStr">
        <is>
          <t>NA</t>
        </is>
      </c>
      <c r="K735" t="inlineStr">
        <is>
          <t>No Answer Autodial</t>
        </is>
      </c>
      <c r="L735" t="n">
        <v>5</v>
      </c>
      <c r="M735" t="inlineStr">
        <is>
          <t>2026-06-26 11:33:00</t>
        </is>
      </c>
      <c r="N735" t="inlineStr">
        <is>
          <t>system</t>
        </is>
      </c>
      <c r="O735" t="inlineStr">
        <is>
          <t>2026-06-22 14:11:25</t>
        </is>
      </c>
      <c r="P735" t="inlineStr">
        <is>
          <t>2026-06-22 14:11:25</t>
        </is>
      </c>
      <c r="Y735" t="inlineStr">
        <is>
          <t>27761466264</t>
        </is>
      </c>
    </row>
    <row r="736">
      <c r="A736" t="inlineStr">
        <is>
          <t>14974162</t>
        </is>
      </c>
      <c r="B736" t="inlineStr">
        <is>
          <t>90cb5af0-5dc1-4801-9e34-56bba92bc7c1</t>
        </is>
      </c>
      <c r="D736" t="inlineStr">
        <is>
          <t>11111127</t>
        </is>
      </c>
      <c r="E736" t="inlineStr">
        <is>
          <t>Vodacom Life 20260622</t>
        </is>
      </c>
      <c r="J736" t="inlineStr">
        <is>
          <t>DROP</t>
        </is>
      </c>
      <c r="K736" t="inlineStr">
        <is>
          <t>Dropped</t>
        </is>
      </c>
      <c r="L736" t="n">
        <v>5</v>
      </c>
      <c r="M736" t="inlineStr">
        <is>
          <t>2026-06-26 11:32:59</t>
        </is>
      </c>
      <c r="N736" t="inlineStr">
        <is>
          <t>system</t>
        </is>
      </c>
      <c r="O736" t="inlineStr">
        <is>
          <t>2026-06-22 14:11:25</t>
        </is>
      </c>
      <c r="P736" t="inlineStr">
        <is>
          <t>2026-06-22 14:11:25</t>
        </is>
      </c>
      <c r="Y736" t="inlineStr">
        <is>
          <t>27727894203</t>
        </is>
      </c>
    </row>
    <row r="737">
      <c r="A737" t="inlineStr">
        <is>
          <t>14974164</t>
        </is>
      </c>
      <c r="B737" t="inlineStr">
        <is>
          <t>8570e149-0176-4828-a187-cfc077068d5d</t>
        </is>
      </c>
      <c r="D737" t="inlineStr">
        <is>
          <t>11111127</t>
        </is>
      </c>
      <c r="E737" t="inlineStr">
        <is>
          <t>Vodacom Life 20260622</t>
        </is>
      </c>
      <c r="J737" t="inlineStr">
        <is>
          <t>ADC</t>
        </is>
      </c>
      <c r="K737" t="inlineStr">
        <is>
          <t>Auto Dial Disconnected</t>
        </is>
      </c>
      <c r="L737" t="n">
        <v>5</v>
      </c>
      <c r="M737" t="inlineStr">
        <is>
          <t>2026-06-26 11:32:50</t>
        </is>
      </c>
      <c r="N737" t="inlineStr">
        <is>
          <t>system</t>
        </is>
      </c>
      <c r="O737" t="inlineStr">
        <is>
          <t>2026-06-22 14:11:25</t>
        </is>
      </c>
      <c r="P737" t="inlineStr">
        <is>
          <t>2026-06-22 14:11:25</t>
        </is>
      </c>
      <c r="Y737" t="inlineStr">
        <is>
          <t>27791746641</t>
        </is>
      </c>
    </row>
    <row r="738">
      <c r="A738" t="inlineStr">
        <is>
          <t>14974165</t>
        </is>
      </c>
      <c r="B738" t="inlineStr">
        <is>
          <t>5548255f-47c9-46ab-846d-7dd23e3c6fad</t>
        </is>
      </c>
      <c r="D738" t="inlineStr">
        <is>
          <t>11111127</t>
        </is>
      </c>
      <c r="E738" t="inlineStr">
        <is>
          <t>Vodacom Life 20260622</t>
        </is>
      </c>
      <c r="H738" t="inlineStr">
        <is>
          <t>27795441900</t>
        </is>
      </c>
      <c r="J738" t="inlineStr">
        <is>
          <t>DROP</t>
        </is>
      </c>
      <c r="K738" t="inlineStr">
        <is>
          <t>Dropped</t>
        </is>
      </c>
      <c r="L738" t="n">
        <v>5</v>
      </c>
      <c r="M738" t="inlineStr">
        <is>
          <t>2026-06-26 11:32:49</t>
        </is>
      </c>
      <c r="N738" t="inlineStr">
        <is>
          <t>system</t>
        </is>
      </c>
      <c r="O738" t="inlineStr">
        <is>
          <t>2026-06-22 14:11:25</t>
        </is>
      </c>
      <c r="P738" t="inlineStr">
        <is>
          <t>2026-06-22 14:11:25</t>
        </is>
      </c>
      <c r="Y738" t="inlineStr">
        <is>
          <t>27795441900</t>
        </is>
      </c>
    </row>
    <row r="739">
      <c r="A739" t="inlineStr">
        <is>
          <t>15000000</t>
        </is>
      </c>
      <c r="B739" t="inlineStr">
        <is>
          <t>77e7189a-144d-4561-bcee-46c230b585fb</t>
        </is>
      </c>
      <c r="D739" t="inlineStr">
        <is>
          <t>11111127</t>
        </is>
      </c>
      <c r="E739" t="inlineStr">
        <is>
          <t>Vodacom Life 20260622</t>
        </is>
      </c>
      <c r="H739" t="inlineStr">
        <is>
          <t>27818020768</t>
        </is>
      </c>
      <c r="J739" t="inlineStr">
        <is>
          <t>NA</t>
        </is>
      </c>
      <c r="K739" t="inlineStr">
        <is>
          <t>No Answer Autodial</t>
        </is>
      </c>
      <c r="L739" t="n">
        <v>5</v>
      </c>
      <c r="M739" t="inlineStr">
        <is>
          <t>2026-06-26 11:32:49</t>
        </is>
      </c>
      <c r="N739" t="inlineStr">
        <is>
          <t>system</t>
        </is>
      </c>
      <c r="O739" t="inlineStr">
        <is>
          <t>2026-06-22 14:11:25</t>
        </is>
      </c>
      <c r="P739" t="inlineStr">
        <is>
          <t>2026-06-22 14:11:25</t>
        </is>
      </c>
      <c r="Y739" t="inlineStr">
        <is>
          <t>27818020768</t>
        </is>
      </c>
    </row>
    <row r="740">
      <c r="A740" t="inlineStr">
        <is>
          <t>14974167</t>
        </is>
      </c>
      <c r="B740" t="inlineStr">
        <is>
          <t>a30ad595-0882-479e-b252-ee476c5321ca</t>
        </is>
      </c>
      <c r="D740" t="inlineStr">
        <is>
          <t>11111127</t>
        </is>
      </c>
      <c r="E740" t="inlineStr">
        <is>
          <t>Vodacom Life 20260622</t>
        </is>
      </c>
      <c r="J740" t="inlineStr">
        <is>
          <t>AE</t>
        </is>
      </c>
      <c r="K740" t="inlineStr">
        <is>
          <t>Auto Engaged</t>
        </is>
      </c>
      <c r="L740" t="n">
        <v>5</v>
      </c>
      <c r="M740" t="inlineStr">
        <is>
          <t>2026-06-26 11:32:49</t>
        </is>
      </c>
      <c r="N740" t="inlineStr">
        <is>
          <t>system</t>
        </is>
      </c>
      <c r="O740" t="inlineStr">
        <is>
          <t>2026-06-22 14:11:25</t>
        </is>
      </c>
      <c r="P740" t="inlineStr">
        <is>
          <t>2026-06-22 14:11:25</t>
        </is>
      </c>
      <c r="Y740" t="inlineStr">
        <is>
          <t>27823444854</t>
        </is>
      </c>
    </row>
    <row r="741">
      <c r="A741" t="inlineStr">
        <is>
          <t>14974207</t>
        </is>
      </c>
      <c r="B741" t="inlineStr">
        <is>
          <t>4acbe402-a566-4efa-8bcb-87b7e309ed55</t>
        </is>
      </c>
      <c r="D741" t="inlineStr">
        <is>
          <t>11111127</t>
        </is>
      </c>
      <c r="E741" t="inlineStr">
        <is>
          <t>Vodacom Life 20260622</t>
        </is>
      </c>
      <c r="H741" t="inlineStr">
        <is>
          <t>27716690483</t>
        </is>
      </c>
      <c r="J741" t="inlineStr">
        <is>
          <t>NI</t>
        </is>
      </c>
      <c r="K741" t="inlineStr">
        <is>
          <t>Not Interested</t>
        </is>
      </c>
      <c r="L741" t="n">
        <v>6</v>
      </c>
      <c r="M741" t="inlineStr">
        <is>
          <t>2026-06-26 11:31:33</t>
        </is>
      </c>
      <c r="N741" t="inlineStr">
        <is>
          <t>Maureen Ntsoko</t>
        </is>
      </c>
      <c r="O741" t="inlineStr">
        <is>
          <t>2026-06-22 14:11:25</t>
        </is>
      </c>
      <c r="P741" t="inlineStr">
        <is>
          <t>2026-06-22 14:11:25</t>
        </is>
      </c>
      <c r="Y741" t="inlineStr">
        <is>
          <t>27716690483</t>
        </is>
      </c>
    </row>
    <row r="742">
      <c r="A742" t="inlineStr">
        <is>
          <t>14974172</t>
        </is>
      </c>
      <c r="B742" t="inlineStr">
        <is>
          <t>22c8aa52-4072-4962-b173-2ff516b096d6</t>
        </is>
      </c>
      <c r="D742" t="inlineStr">
        <is>
          <t>11111127</t>
        </is>
      </c>
      <c r="E742" t="inlineStr">
        <is>
          <t>Vodacom Life 20260622</t>
        </is>
      </c>
      <c r="H742" t="inlineStr">
        <is>
          <t>27723895134</t>
        </is>
      </c>
      <c r="J742" t="inlineStr">
        <is>
          <t>DROP</t>
        </is>
      </c>
      <c r="K742" t="inlineStr">
        <is>
          <t>Dropped</t>
        </is>
      </c>
      <c r="L742" t="n">
        <v>5</v>
      </c>
      <c r="M742" t="inlineStr">
        <is>
          <t>2026-06-26 11:31:30</t>
        </is>
      </c>
      <c r="N742" t="inlineStr">
        <is>
          <t>system</t>
        </is>
      </c>
      <c r="O742" t="inlineStr">
        <is>
          <t>2026-06-22 14:11:25</t>
        </is>
      </c>
      <c r="P742" t="inlineStr">
        <is>
          <t>2026-06-22 14:11:25</t>
        </is>
      </c>
      <c r="Y742" t="inlineStr">
        <is>
          <t>27723895134</t>
        </is>
      </c>
    </row>
    <row r="743">
      <c r="A743" t="inlineStr">
        <is>
          <t>14974292</t>
        </is>
      </c>
      <c r="B743" t="inlineStr">
        <is>
          <t>c7eb39f8-693a-45fb-8815-17c886190657</t>
        </is>
      </c>
      <c r="D743" t="inlineStr">
        <is>
          <t>11111127</t>
        </is>
      </c>
      <c r="E743" t="inlineStr">
        <is>
          <t>Vodacom Life 20260622</t>
        </is>
      </c>
      <c r="H743" t="inlineStr">
        <is>
          <t>27764152045</t>
        </is>
      </c>
      <c r="J743" t="inlineStr">
        <is>
          <t>NA</t>
        </is>
      </c>
      <c r="K743" t="inlineStr">
        <is>
          <t>No Answer Autodial</t>
        </is>
      </c>
      <c r="L743" t="n">
        <v>5</v>
      </c>
      <c r="M743" t="inlineStr">
        <is>
          <t>2026-06-26 11:31:30</t>
        </is>
      </c>
      <c r="N743" t="inlineStr">
        <is>
          <t>system</t>
        </is>
      </c>
      <c r="O743" t="inlineStr">
        <is>
          <t>2026-06-22 14:11:25</t>
        </is>
      </c>
      <c r="P743" t="inlineStr">
        <is>
          <t>2026-06-22 14:11:25</t>
        </is>
      </c>
      <c r="Y743" t="inlineStr">
        <is>
          <t>27764152045</t>
        </is>
      </c>
    </row>
    <row r="744">
      <c r="A744" t="inlineStr">
        <is>
          <t>14974173</t>
        </is>
      </c>
      <c r="B744" t="inlineStr">
        <is>
          <t>1abe5ce6-976e-4dae-84d9-0500192675c6</t>
        </is>
      </c>
      <c r="D744" t="inlineStr">
        <is>
          <t>11111127</t>
        </is>
      </c>
      <c r="E744" t="inlineStr">
        <is>
          <t>Vodacom Life 20260622</t>
        </is>
      </c>
      <c r="J744" t="inlineStr">
        <is>
          <t>AA</t>
        </is>
      </c>
      <c r="K744" t="inlineStr">
        <is>
          <t>Answering Machine Autodial</t>
        </is>
      </c>
      <c r="L744" t="n">
        <v>5</v>
      </c>
      <c r="M744" t="inlineStr">
        <is>
          <t>2026-06-26 11:30:59</t>
        </is>
      </c>
      <c r="N744" t="inlineStr">
        <is>
          <t>system</t>
        </is>
      </c>
      <c r="O744" t="inlineStr">
        <is>
          <t>2026-06-22 14:11:25</t>
        </is>
      </c>
      <c r="P744" t="inlineStr">
        <is>
          <t>2026-06-22 14:11:25</t>
        </is>
      </c>
      <c r="Y744" t="inlineStr">
        <is>
          <t>27713401503</t>
        </is>
      </c>
    </row>
    <row r="745">
      <c r="A745" t="inlineStr">
        <is>
          <t>14974200</t>
        </is>
      </c>
      <c r="B745" t="inlineStr">
        <is>
          <t>6fcc3667-598b-4862-bd6a-2bef3e69a111</t>
        </is>
      </c>
      <c r="D745" t="inlineStr">
        <is>
          <t>11111127</t>
        </is>
      </c>
      <c r="E745" t="inlineStr">
        <is>
          <t>Vodacom Life 20260622</t>
        </is>
      </c>
      <c r="J745" t="inlineStr">
        <is>
          <t>AC</t>
        </is>
      </c>
      <c r="K745" t="inlineStr">
        <is>
          <t>Already Contacted</t>
        </is>
      </c>
      <c r="L745" t="n">
        <v>5</v>
      </c>
      <c r="M745" t="inlineStr">
        <is>
          <t>2026-06-26 11:29:30</t>
        </is>
      </c>
      <c r="N745" t="inlineStr">
        <is>
          <t>Maureen Ntsoko</t>
        </is>
      </c>
      <c r="O745" t="inlineStr">
        <is>
          <t>2026-06-22 14:11:25</t>
        </is>
      </c>
      <c r="P745" t="inlineStr">
        <is>
          <t>2026-06-22 14:11:25</t>
        </is>
      </c>
      <c r="Y745" t="inlineStr">
        <is>
          <t>27727520474</t>
        </is>
      </c>
    </row>
    <row r="746">
      <c r="A746" t="inlineStr">
        <is>
          <t>14974203</t>
        </is>
      </c>
      <c r="B746" t="inlineStr">
        <is>
          <t>c81dd258-4dd1-457e-be01-7c8ce31c6683</t>
        </is>
      </c>
      <c r="D746" t="inlineStr">
        <is>
          <t>11111127</t>
        </is>
      </c>
      <c r="E746" t="inlineStr">
        <is>
          <t>Vodacom Life 20260622</t>
        </is>
      </c>
      <c r="J746" t="inlineStr">
        <is>
          <t>NA</t>
        </is>
      </c>
      <c r="K746" t="inlineStr">
        <is>
          <t>No Answer Autodial</t>
        </is>
      </c>
      <c r="L746" t="n">
        <v>5</v>
      </c>
      <c r="M746" t="inlineStr">
        <is>
          <t>2026-06-26 11:29:30</t>
        </is>
      </c>
      <c r="N746" t="inlineStr">
        <is>
          <t>system</t>
        </is>
      </c>
      <c r="O746" t="inlineStr">
        <is>
          <t>2026-06-22 14:11:25</t>
        </is>
      </c>
      <c r="P746" t="inlineStr">
        <is>
          <t>2026-06-22 14:11:25</t>
        </is>
      </c>
      <c r="Y746" t="inlineStr">
        <is>
          <t>27761979136</t>
        </is>
      </c>
    </row>
    <row r="747">
      <c r="A747" t="inlineStr">
        <is>
          <t>14974287</t>
        </is>
      </c>
      <c r="B747" t="inlineStr">
        <is>
          <t>fc8add06-fce0-4149-8782-bfb51685a548</t>
        </is>
      </c>
      <c r="D747" t="inlineStr">
        <is>
          <t>11111127</t>
        </is>
      </c>
      <c r="E747" t="inlineStr">
        <is>
          <t>Vodacom Life 20260622</t>
        </is>
      </c>
      <c r="J747" t="inlineStr">
        <is>
          <t>ADC</t>
        </is>
      </c>
      <c r="K747" t="inlineStr">
        <is>
          <t>Auto Dial Disconnected</t>
        </is>
      </c>
      <c r="L747" t="n">
        <v>5</v>
      </c>
      <c r="M747" t="inlineStr">
        <is>
          <t>2026-06-26 11:29:26</t>
        </is>
      </c>
      <c r="N747" t="inlineStr">
        <is>
          <t>system</t>
        </is>
      </c>
      <c r="O747" t="inlineStr">
        <is>
          <t>2026-06-22 14:11:25</t>
        </is>
      </c>
      <c r="P747" t="inlineStr">
        <is>
          <t>2026-06-22 14:11:25</t>
        </is>
      </c>
      <c r="Y747" t="inlineStr">
        <is>
          <t>27713001536</t>
        </is>
      </c>
    </row>
    <row r="748">
      <c r="A748" t="inlineStr">
        <is>
          <t>14974288</t>
        </is>
      </c>
      <c r="B748" t="inlineStr">
        <is>
          <t>90fb219a-f01c-443f-9303-2085ed48ad9a</t>
        </is>
      </c>
      <c r="D748" t="inlineStr">
        <is>
          <t>11111127</t>
        </is>
      </c>
      <c r="E748" t="inlineStr">
        <is>
          <t>Vodacom Life 20260622</t>
        </is>
      </c>
      <c r="J748" t="inlineStr">
        <is>
          <t>AA</t>
        </is>
      </c>
      <c r="K748" t="inlineStr">
        <is>
          <t>Answering Machine Autodial</t>
        </is>
      </c>
      <c r="L748" t="n">
        <v>5</v>
      </c>
      <c r="M748" t="inlineStr">
        <is>
          <t>2026-06-26 11:29:25</t>
        </is>
      </c>
      <c r="N748" t="inlineStr">
        <is>
          <t>system</t>
        </is>
      </c>
      <c r="O748" t="inlineStr">
        <is>
          <t>2026-06-22 14:11:25</t>
        </is>
      </c>
      <c r="P748" t="inlineStr">
        <is>
          <t>2026-06-22 14:11:25</t>
        </is>
      </c>
      <c r="Y748" t="inlineStr">
        <is>
          <t>27794301472</t>
        </is>
      </c>
    </row>
    <row r="749">
      <c r="A749" t="inlineStr">
        <is>
          <t>14974291</t>
        </is>
      </c>
      <c r="B749" t="inlineStr">
        <is>
          <t>659d47bc-84f4-4a0a-834c-fedbdb578db2</t>
        </is>
      </c>
      <c r="D749" t="inlineStr">
        <is>
          <t>11111127</t>
        </is>
      </c>
      <c r="E749" t="inlineStr">
        <is>
          <t>Vodacom Life 20260622</t>
        </is>
      </c>
      <c r="J749" t="inlineStr">
        <is>
          <t>AE</t>
        </is>
      </c>
      <c r="K749" t="inlineStr">
        <is>
          <t>Auto Engaged</t>
        </is>
      </c>
      <c r="L749" t="n">
        <v>5</v>
      </c>
      <c r="M749" t="inlineStr">
        <is>
          <t>2026-06-26 11:29:17</t>
        </is>
      </c>
      <c r="N749" t="inlineStr">
        <is>
          <t>system</t>
        </is>
      </c>
      <c r="O749" t="inlineStr">
        <is>
          <t>2026-06-22 14:11:25</t>
        </is>
      </c>
      <c r="P749" t="inlineStr">
        <is>
          <t>2026-06-22 14:11:25</t>
        </is>
      </c>
      <c r="Y749" t="inlineStr">
        <is>
          <t>27763273164</t>
        </is>
      </c>
    </row>
    <row r="750">
      <c r="A750" t="inlineStr">
        <is>
          <t>14974204</t>
        </is>
      </c>
      <c r="B750" t="inlineStr">
        <is>
          <t>a802b6e3-132b-4b25-a787-f27c2f5dcd53</t>
        </is>
      </c>
      <c r="D750" t="inlineStr">
        <is>
          <t>11111127</t>
        </is>
      </c>
      <c r="E750" t="inlineStr">
        <is>
          <t>Vodacom Life 20260622</t>
        </is>
      </c>
      <c r="J750" t="inlineStr">
        <is>
          <t>NA</t>
        </is>
      </c>
      <c r="K750" t="inlineStr">
        <is>
          <t>No Answer Autodial</t>
        </is>
      </c>
      <c r="L750" t="n">
        <v>5</v>
      </c>
      <c r="M750" t="inlineStr">
        <is>
          <t>2026-06-26 11:29:12</t>
        </is>
      </c>
      <c r="N750" t="inlineStr">
        <is>
          <t>system</t>
        </is>
      </c>
      <c r="O750" t="inlineStr">
        <is>
          <t>2026-06-22 14:11:25</t>
        </is>
      </c>
      <c r="P750" t="inlineStr">
        <is>
          <t>2026-06-22 14:11:25</t>
        </is>
      </c>
      <c r="Y750" t="inlineStr">
        <is>
          <t>27725771456</t>
        </is>
      </c>
    </row>
    <row r="751">
      <c r="A751" t="inlineStr">
        <is>
          <t>14974266</t>
        </is>
      </c>
      <c r="B751" t="inlineStr">
        <is>
          <t>9e8ebc8f-51a0-429d-9aed-11024b4c4fd6</t>
        </is>
      </c>
      <c r="D751" t="inlineStr">
        <is>
          <t>11111127</t>
        </is>
      </c>
      <c r="E751" t="inlineStr">
        <is>
          <t>Vodacom Life 20260622</t>
        </is>
      </c>
      <c r="H751" t="inlineStr">
        <is>
          <t>27796318086</t>
        </is>
      </c>
      <c r="J751" t="inlineStr">
        <is>
          <t>CU</t>
        </is>
      </c>
      <c r="K751" t="inlineStr">
        <is>
          <t>Client Hung Up</t>
        </is>
      </c>
      <c r="L751" t="n">
        <v>5</v>
      </c>
      <c r="M751" t="inlineStr">
        <is>
          <t>2026-06-26 11:28:47</t>
        </is>
      </c>
      <c r="N751" t="inlineStr">
        <is>
          <t>Khensane Mabasa</t>
        </is>
      </c>
      <c r="O751" t="inlineStr">
        <is>
          <t>2026-06-22 14:11:25</t>
        </is>
      </c>
      <c r="P751" t="inlineStr">
        <is>
          <t>2026-06-22 14:11:25</t>
        </is>
      </c>
      <c r="Y751" t="inlineStr">
        <is>
          <t>27796318086</t>
        </is>
      </c>
    </row>
    <row r="752">
      <c r="A752" t="inlineStr">
        <is>
          <t>14974206</t>
        </is>
      </c>
      <c r="B752" t="inlineStr">
        <is>
          <t>72f1aca0-821a-4ed9-8142-747c85152ed1</t>
        </is>
      </c>
      <c r="D752" t="inlineStr">
        <is>
          <t>11111127</t>
        </is>
      </c>
      <c r="E752" t="inlineStr">
        <is>
          <t>Vodacom Life 20260622</t>
        </is>
      </c>
      <c r="J752" t="inlineStr">
        <is>
          <t>AA</t>
        </is>
      </c>
      <c r="K752" t="inlineStr">
        <is>
          <t>Answering Machine Autodial</t>
        </is>
      </c>
      <c r="L752" t="n">
        <v>5</v>
      </c>
      <c r="M752" t="inlineStr">
        <is>
          <t>2026-06-26 11:28:46</t>
        </is>
      </c>
      <c r="N752" t="inlineStr">
        <is>
          <t>system</t>
        </is>
      </c>
      <c r="O752" t="inlineStr">
        <is>
          <t>2026-06-22 14:11:25</t>
        </is>
      </c>
      <c r="P752" t="inlineStr">
        <is>
          <t>2026-06-22 14:11:25</t>
        </is>
      </c>
      <c r="Y752" t="inlineStr">
        <is>
          <t>27606566979</t>
        </is>
      </c>
    </row>
    <row r="753">
      <c r="A753" t="inlineStr">
        <is>
          <t>14974208</t>
        </is>
      </c>
      <c r="B753" t="inlineStr">
        <is>
          <t>d7622ab1-be57-4e48-a8f7-a3f5bcd64543</t>
        </is>
      </c>
      <c r="D753" t="inlineStr">
        <is>
          <t>11111127</t>
        </is>
      </c>
      <c r="E753" t="inlineStr">
        <is>
          <t>Vodacom Life 20260622</t>
        </is>
      </c>
      <c r="J753" t="inlineStr">
        <is>
          <t>ADC</t>
        </is>
      </c>
      <c r="K753" t="inlineStr">
        <is>
          <t>Auto Dial Disconnected</t>
        </is>
      </c>
      <c r="L753" t="n">
        <v>5</v>
      </c>
      <c r="M753" t="inlineStr">
        <is>
          <t>2026-06-26 11:28:46</t>
        </is>
      </c>
      <c r="N753" t="inlineStr">
        <is>
          <t>system</t>
        </is>
      </c>
      <c r="O753" t="inlineStr">
        <is>
          <t>2026-06-22 14:11:25</t>
        </is>
      </c>
      <c r="P753" t="inlineStr">
        <is>
          <t>2026-06-22 14:11:25</t>
        </is>
      </c>
      <c r="Y753" t="inlineStr">
        <is>
          <t>27724562776</t>
        </is>
      </c>
    </row>
    <row r="754">
      <c r="A754" t="inlineStr">
        <is>
          <t>14974210</t>
        </is>
      </c>
      <c r="B754" t="inlineStr">
        <is>
          <t>67792cb3-908d-480a-bcee-625d53672473</t>
        </is>
      </c>
      <c r="D754" t="inlineStr">
        <is>
          <t>11111127</t>
        </is>
      </c>
      <c r="E754" t="inlineStr">
        <is>
          <t>Vodacom Life 20260622</t>
        </is>
      </c>
      <c r="J754" t="inlineStr">
        <is>
          <t>AA</t>
        </is>
      </c>
      <c r="K754" t="inlineStr">
        <is>
          <t>Answering Machine Autodial</t>
        </is>
      </c>
      <c r="L754" t="n">
        <v>5</v>
      </c>
      <c r="M754" t="inlineStr">
        <is>
          <t>2026-06-26 11:28:46</t>
        </is>
      </c>
      <c r="N754" t="inlineStr">
        <is>
          <t>system</t>
        </is>
      </c>
      <c r="O754" t="inlineStr">
        <is>
          <t>2026-06-22 14:11:25</t>
        </is>
      </c>
      <c r="P754" t="inlineStr">
        <is>
          <t>2026-06-22 14:11:25</t>
        </is>
      </c>
      <c r="Y754" t="inlineStr">
        <is>
          <t>27768137488</t>
        </is>
      </c>
    </row>
    <row r="755">
      <c r="A755" t="inlineStr">
        <is>
          <t>14974212</t>
        </is>
      </c>
      <c r="B755" t="inlineStr">
        <is>
          <t>042ff8e4-37d1-4e5f-93f0-ce2e4f6821cf</t>
        </is>
      </c>
      <c r="D755" t="inlineStr">
        <is>
          <t>11111127</t>
        </is>
      </c>
      <c r="E755" t="inlineStr">
        <is>
          <t>Vodacom Life 20260622</t>
        </is>
      </c>
      <c r="H755" t="inlineStr">
        <is>
          <t>27760613070</t>
        </is>
      </c>
      <c r="J755" t="inlineStr">
        <is>
          <t>DROP</t>
        </is>
      </c>
      <c r="K755" t="inlineStr">
        <is>
          <t>Dropped</t>
        </is>
      </c>
      <c r="L755" t="n">
        <v>5</v>
      </c>
      <c r="M755" t="inlineStr">
        <is>
          <t>2026-06-26 11:28:46</t>
        </is>
      </c>
      <c r="N755" t="inlineStr">
        <is>
          <t>system</t>
        </is>
      </c>
      <c r="O755" t="inlineStr">
        <is>
          <t>2026-06-22 14:11:25</t>
        </is>
      </c>
      <c r="P755" t="inlineStr">
        <is>
          <t>2026-06-22 14:11:25</t>
        </is>
      </c>
      <c r="Y755" t="inlineStr">
        <is>
          <t>27760613070</t>
        </is>
      </c>
    </row>
    <row r="756">
      <c r="A756" t="inlineStr">
        <is>
          <t>14974213</t>
        </is>
      </c>
      <c r="B756" t="inlineStr">
        <is>
          <t>d57b8e29-eb52-4125-91b7-45140e207f7c</t>
        </is>
      </c>
      <c r="D756" t="inlineStr">
        <is>
          <t>11111127</t>
        </is>
      </c>
      <c r="E756" t="inlineStr">
        <is>
          <t>Vodacom Life 20260622</t>
        </is>
      </c>
      <c r="J756" t="inlineStr">
        <is>
          <t>AE</t>
        </is>
      </c>
      <c r="K756" t="inlineStr">
        <is>
          <t>Auto Engaged</t>
        </is>
      </c>
      <c r="L756" t="n">
        <v>5</v>
      </c>
      <c r="M756" t="inlineStr">
        <is>
          <t>2026-06-26 11:28:45</t>
        </is>
      </c>
      <c r="N756" t="inlineStr">
        <is>
          <t>system</t>
        </is>
      </c>
      <c r="O756" t="inlineStr">
        <is>
          <t>2026-06-22 14:11:25</t>
        </is>
      </c>
      <c r="P756" t="inlineStr">
        <is>
          <t>2026-06-22 14:11:25</t>
        </is>
      </c>
      <c r="Y756" t="inlineStr">
        <is>
          <t>27767050468</t>
        </is>
      </c>
    </row>
    <row r="757">
      <c r="A757" t="inlineStr">
        <is>
          <t>14974215</t>
        </is>
      </c>
      <c r="B757" t="inlineStr">
        <is>
          <t>0c59e2f5-6d33-4c09-9ba1-8f44e430b929</t>
        </is>
      </c>
      <c r="D757" t="inlineStr">
        <is>
          <t>11111127</t>
        </is>
      </c>
      <c r="E757" t="inlineStr">
        <is>
          <t>Vodacom Life 20260622</t>
        </is>
      </c>
      <c r="J757" t="inlineStr">
        <is>
          <t>AE</t>
        </is>
      </c>
      <c r="K757" t="inlineStr">
        <is>
          <t>Auto Engaged</t>
        </is>
      </c>
      <c r="L757" t="n">
        <v>5</v>
      </c>
      <c r="M757" t="inlineStr">
        <is>
          <t>2026-06-26 11:28:40</t>
        </is>
      </c>
      <c r="N757" t="inlineStr">
        <is>
          <t>system</t>
        </is>
      </c>
      <c r="O757" t="inlineStr">
        <is>
          <t>2026-06-22 14:11:25</t>
        </is>
      </c>
      <c r="P757" t="inlineStr">
        <is>
          <t>2026-06-22 14:11:25</t>
        </is>
      </c>
      <c r="Y757" t="inlineStr">
        <is>
          <t>27769814342</t>
        </is>
      </c>
    </row>
    <row r="758">
      <c r="A758" t="inlineStr">
        <is>
          <t>14974216</t>
        </is>
      </c>
      <c r="B758" t="inlineStr">
        <is>
          <t>17f9c6db-a6bf-4977-ad5d-33ef72365036</t>
        </is>
      </c>
      <c r="D758" t="inlineStr">
        <is>
          <t>11111127</t>
        </is>
      </c>
      <c r="E758" t="inlineStr">
        <is>
          <t>Vodacom Life 20260622</t>
        </is>
      </c>
      <c r="J758" t="inlineStr">
        <is>
          <t>CU</t>
        </is>
      </c>
      <c r="K758" t="inlineStr">
        <is>
          <t>Client Hung Up</t>
        </is>
      </c>
      <c r="L758" t="n">
        <v>5</v>
      </c>
      <c r="M758" t="inlineStr">
        <is>
          <t>2026-06-26 11:28:40</t>
        </is>
      </c>
      <c r="N758" t="inlineStr">
        <is>
          <t>Musiiwa Mary Mabirimisa</t>
        </is>
      </c>
      <c r="O758" t="inlineStr">
        <is>
          <t>2026-06-22 14:11:25</t>
        </is>
      </c>
      <c r="P758" t="inlineStr">
        <is>
          <t>2026-06-22 14:11:25</t>
        </is>
      </c>
      <c r="Y758" t="inlineStr">
        <is>
          <t>27760833762</t>
        </is>
      </c>
    </row>
    <row r="759">
      <c r="A759" t="inlineStr">
        <is>
          <t>14974217</t>
        </is>
      </c>
      <c r="B759" t="inlineStr">
        <is>
          <t>ff96b84b-1253-46af-a423-2848c515724f</t>
        </is>
      </c>
      <c r="D759" t="inlineStr">
        <is>
          <t>11111127</t>
        </is>
      </c>
      <c r="E759" t="inlineStr">
        <is>
          <t>Vodacom Life 20260622</t>
        </is>
      </c>
      <c r="J759" t="inlineStr">
        <is>
          <t>AA</t>
        </is>
      </c>
      <c r="K759" t="inlineStr">
        <is>
          <t>Answering Machine Autodial</t>
        </is>
      </c>
      <c r="L759" t="n">
        <v>5</v>
      </c>
      <c r="M759" t="inlineStr">
        <is>
          <t>2026-06-26 11:28:39</t>
        </is>
      </c>
      <c r="N759" t="inlineStr">
        <is>
          <t>system</t>
        </is>
      </c>
      <c r="O759" t="inlineStr">
        <is>
          <t>2026-06-22 14:11:25</t>
        </is>
      </c>
      <c r="P759" t="inlineStr">
        <is>
          <t>2026-06-22 14:11:25</t>
        </is>
      </c>
      <c r="Y759" t="inlineStr">
        <is>
          <t>27647784423</t>
        </is>
      </c>
    </row>
    <row r="760">
      <c r="A760" t="inlineStr">
        <is>
          <t>14974230</t>
        </is>
      </c>
      <c r="B760" t="inlineStr">
        <is>
          <t>8019ce0a-e748-43e4-a635-f986c71f19bf</t>
        </is>
      </c>
      <c r="D760" t="inlineStr">
        <is>
          <t>11111127</t>
        </is>
      </c>
      <c r="E760" t="inlineStr">
        <is>
          <t>Vodacom Life 20260622</t>
        </is>
      </c>
      <c r="J760" t="inlineStr">
        <is>
          <t>AE</t>
        </is>
      </c>
      <c r="K760" t="inlineStr">
        <is>
          <t>Auto Engaged</t>
        </is>
      </c>
      <c r="L760" t="n">
        <v>5</v>
      </c>
      <c r="M760" t="inlineStr">
        <is>
          <t>2026-06-26 11:28:24</t>
        </is>
      </c>
      <c r="N760" t="inlineStr">
        <is>
          <t>system</t>
        </is>
      </c>
      <c r="O760" t="inlineStr">
        <is>
          <t>2026-06-22 14:11:25</t>
        </is>
      </c>
      <c r="P760" t="inlineStr">
        <is>
          <t>2026-06-22 14:11:25</t>
        </is>
      </c>
      <c r="Y760" t="inlineStr">
        <is>
          <t>27606451823</t>
        </is>
      </c>
    </row>
    <row r="761">
      <c r="A761" t="inlineStr">
        <is>
          <t>14974231</t>
        </is>
      </c>
      <c r="B761" t="inlineStr">
        <is>
          <t>c72f988f-0911-4d54-ab39-3c85e498bae7</t>
        </is>
      </c>
      <c r="D761" t="inlineStr">
        <is>
          <t>11111127</t>
        </is>
      </c>
      <c r="E761" t="inlineStr">
        <is>
          <t>Vodacom Life 20260622</t>
        </is>
      </c>
      <c r="J761" t="inlineStr">
        <is>
          <t>NA</t>
        </is>
      </c>
      <c r="K761" t="inlineStr">
        <is>
          <t>No Answer Autodial</t>
        </is>
      </c>
      <c r="L761" t="n">
        <v>5</v>
      </c>
      <c r="M761" t="inlineStr">
        <is>
          <t>2026-06-26 11:28:09</t>
        </is>
      </c>
      <c r="N761" t="inlineStr">
        <is>
          <t>system</t>
        </is>
      </c>
      <c r="O761" t="inlineStr">
        <is>
          <t>2026-06-22 14:11:25</t>
        </is>
      </c>
      <c r="P761" t="inlineStr">
        <is>
          <t>2026-06-22 14:11:25</t>
        </is>
      </c>
      <c r="Y761" t="inlineStr">
        <is>
          <t>27637870716</t>
        </is>
      </c>
    </row>
    <row r="762">
      <c r="A762" t="inlineStr">
        <is>
          <t>14974264</t>
        </is>
      </c>
      <c r="B762" t="inlineStr">
        <is>
          <t>e277fb4b-80c5-4452-8924-2b7eb75957fa</t>
        </is>
      </c>
      <c r="D762" t="inlineStr">
        <is>
          <t>11111127</t>
        </is>
      </c>
      <c r="E762" t="inlineStr">
        <is>
          <t>Vodacom Life 20260622</t>
        </is>
      </c>
      <c r="H762" t="inlineStr">
        <is>
          <t>27727153788</t>
        </is>
      </c>
      <c r="J762" t="inlineStr">
        <is>
          <t>AA</t>
        </is>
      </c>
      <c r="K762" t="inlineStr">
        <is>
          <t>Answering Machine Autodial</t>
        </is>
      </c>
      <c r="L762" t="n">
        <v>5</v>
      </c>
      <c r="M762" t="inlineStr">
        <is>
          <t>2026-06-26 11:28:09</t>
        </is>
      </c>
      <c r="N762" t="inlineStr">
        <is>
          <t>system</t>
        </is>
      </c>
      <c r="O762" t="inlineStr">
        <is>
          <t>2026-06-22 14:11:25</t>
        </is>
      </c>
      <c r="P762" t="inlineStr">
        <is>
          <t>2026-06-22 14:11:25</t>
        </is>
      </c>
      <c r="Y762" t="inlineStr">
        <is>
          <t>27727153788</t>
        </is>
      </c>
    </row>
    <row r="763">
      <c r="A763" t="inlineStr">
        <is>
          <t>14974265</t>
        </is>
      </c>
      <c r="B763" t="inlineStr">
        <is>
          <t>dce2553d-7f49-4ed4-af5e-cb53d7cc2249</t>
        </is>
      </c>
      <c r="D763" t="inlineStr">
        <is>
          <t>11111127</t>
        </is>
      </c>
      <c r="E763" t="inlineStr">
        <is>
          <t>Vodacom Life 20260622</t>
        </is>
      </c>
      <c r="J763" t="inlineStr">
        <is>
          <t>AE</t>
        </is>
      </c>
      <c r="K763" t="inlineStr">
        <is>
          <t>Auto Engaged</t>
        </is>
      </c>
      <c r="L763" t="n">
        <v>5</v>
      </c>
      <c r="M763" t="inlineStr">
        <is>
          <t>2026-06-26 11:28:05</t>
        </is>
      </c>
      <c r="N763" t="inlineStr">
        <is>
          <t>system</t>
        </is>
      </c>
      <c r="O763" t="inlineStr">
        <is>
          <t>2026-06-22 14:11:25</t>
        </is>
      </c>
      <c r="P763" t="inlineStr">
        <is>
          <t>2026-06-22 14:11:25</t>
        </is>
      </c>
      <c r="Y763" t="inlineStr">
        <is>
          <t>27646426541</t>
        </is>
      </c>
    </row>
    <row r="764">
      <c r="A764" t="inlineStr">
        <is>
          <t>14974267</t>
        </is>
      </c>
      <c r="B764" t="inlineStr">
        <is>
          <t>2a609642-ae66-43a3-b3bb-3512548968b6</t>
        </is>
      </c>
      <c r="D764" t="inlineStr">
        <is>
          <t>11111127</t>
        </is>
      </c>
      <c r="E764" t="inlineStr">
        <is>
          <t>Vodacom Life 20260622</t>
        </is>
      </c>
      <c r="J764" t="inlineStr">
        <is>
          <t>NA</t>
        </is>
      </c>
      <c r="K764" t="inlineStr">
        <is>
          <t>No Answer Autodial</t>
        </is>
      </c>
      <c r="L764" t="n">
        <v>5</v>
      </c>
      <c r="M764" t="inlineStr">
        <is>
          <t>2026-06-26 11:27:56</t>
        </is>
      </c>
      <c r="N764" t="inlineStr">
        <is>
          <t>system</t>
        </is>
      </c>
      <c r="O764" t="inlineStr">
        <is>
          <t>2026-06-22 14:11:25</t>
        </is>
      </c>
      <c r="P764" t="inlineStr">
        <is>
          <t>2026-06-22 14:11:25</t>
        </is>
      </c>
      <c r="Y764" t="inlineStr">
        <is>
          <t>27716434673</t>
        </is>
      </c>
    </row>
    <row r="765">
      <c r="A765" t="inlineStr">
        <is>
          <t>14974269</t>
        </is>
      </c>
      <c r="B765" t="inlineStr">
        <is>
          <t>5631234c-d619-45ee-b59e-80b3140465b2</t>
        </is>
      </c>
      <c r="D765" t="inlineStr">
        <is>
          <t>11111127</t>
        </is>
      </c>
      <c r="E765" t="inlineStr">
        <is>
          <t>Vodacom Life 20260622</t>
        </is>
      </c>
      <c r="J765" t="inlineStr">
        <is>
          <t>DROP</t>
        </is>
      </c>
      <c r="K765" t="inlineStr">
        <is>
          <t>Dropped</t>
        </is>
      </c>
      <c r="L765" t="n">
        <v>5</v>
      </c>
      <c r="M765" t="inlineStr">
        <is>
          <t>2026-06-26 11:27:15</t>
        </is>
      </c>
      <c r="N765" t="inlineStr">
        <is>
          <t>system</t>
        </is>
      </c>
      <c r="O765" t="inlineStr">
        <is>
          <t>2026-06-22 14:11:25</t>
        </is>
      </c>
      <c r="P765" t="inlineStr">
        <is>
          <t>2026-06-22 14:11:25</t>
        </is>
      </c>
      <c r="Y765" t="inlineStr">
        <is>
          <t>27726610850</t>
        </is>
      </c>
    </row>
    <row r="766">
      <c r="A766" t="inlineStr">
        <is>
          <t>14974270</t>
        </is>
      </c>
      <c r="B766" t="inlineStr">
        <is>
          <t>94381cdf-9f12-4153-a8af-7681626c311e</t>
        </is>
      </c>
      <c r="D766" t="inlineStr">
        <is>
          <t>11111127</t>
        </is>
      </c>
      <c r="E766" t="inlineStr">
        <is>
          <t>Vodacom Life 20260622</t>
        </is>
      </c>
      <c r="H766" t="inlineStr">
        <is>
          <t>27727005183</t>
        </is>
      </c>
      <c r="J766" t="inlineStr">
        <is>
          <t>AE</t>
        </is>
      </c>
      <c r="K766" t="inlineStr">
        <is>
          <t>Auto Engaged</t>
        </is>
      </c>
      <c r="L766" t="n">
        <v>5</v>
      </c>
      <c r="M766" t="inlineStr">
        <is>
          <t>2026-06-26 11:27:14</t>
        </is>
      </c>
      <c r="N766" t="inlineStr">
        <is>
          <t>system</t>
        </is>
      </c>
      <c r="O766" t="inlineStr">
        <is>
          <t>2026-06-22 14:11:25</t>
        </is>
      </c>
      <c r="P766" t="inlineStr">
        <is>
          <t>2026-06-22 14:11:25</t>
        </is>
      </c>
      <c r="Y766" t="inlineStr">
        <is>
          <t>27727005183</t>
        </is>
      </c>
    </row>
    <row r="767">
      <c r="A767" t="inlineStr">
        <is>
          <t>14974271</t>
        </is>
      </c>
      <c r="B767" t="inlineStr">
        <is>
          <t>71117a0e-e30c-480b-b40c-0998c1adef38</t>
        </is>
      </c>
      <c r="D767" t="inlineStr">
        <is>
          <t>11111127</t>
        </is>
      </c>
      <c r="E767" t="inlineStr">
        <is>
          <t>Vodacom Life 20260622</t>
        </is>
      </c>
      <c r="J767" t="inlineStr">
        <is>
          <t>NA</t>
        </is>
      </c>
      <c r="K767" t="inlineStr">
        <is>
          <t>No Answer Autodial</t>
        </is>
      </c>
      <c r="L767" t="n">
        <v>5</v>
      </c>
      <c r="M767" t="inlineStr">
        <is>
          <t>2026-06-26 11:27:11</t>
        </is>
      </c>
      <c r="N767" t="inlineStr">
        <is>
          <t>system</t>
        </is>
      </c>
      <c r="O767" t="inlineStr">
        <is>
          <t>2026-06-22 14:11:25</t>
        </is>
      </c>
      <c r="P767" t="inlineStr">
        <is>
          <t>2026-06-22 14:11:25</t>
        </is>
      </c>
      <c r="Y767" t="inlineStr">
        <is>
          <t>27664044346</t>
        </is>
      </c>
    </row>
    <row r="768">
      <c r="A768" t="inlineStr">
        <is>
          <t>14974272</t>
        </is>
      </c>
      <c r="B768" t="inlineStr">
        <is>
          <t>1d72b7ff-74e8-4da9-8418-e425a6313ad6</t>
        </is>
      </c>
      <c r="D768" t="inlineStr">
        <is>
          <t>11111127</t>
        </is>
      </c>
      <c r="E768" t="inlineStr">
        <is>
          <t>Vodacom Life 20260622</t>
        </is>
      </c>
      <c r="H768" t="inlineStr">
        <is>
          <t>27675592949</t>
        </is>
      </c>
      <c r="J768" t="inlineStr">
        <is>
          <t>CU</t>
        </is>
      </c>
      <c r="K768" t="inlineStr">
        <is>
          <t>Client Hung Up</t>
        </is>
      </c>
      <c r="L768" t="n">
        <v>5</v>
      </c>
      <c r="M768" t="inlineStr">
        <is>
          <t>2026-06-26 11:27:08</t>
        </is>
      </c>
      <c r="N768" t="inlineStr">
        <is>
          <t>Maureen Ntsoko</t>
        </is>
      </c>
      <c r="O768" t="inlineStr">
        <is>
          <t>2026-06-22 14:11:25</t>
        </is>
      </c>
      <c r="P768" t="inlineStr">
        <is>
          <t>2026-06-22 14:11:25</t>
        </is>
      </c>
      <c r="Y768" t="inlineStr">
        <is>
          <t>27675592949</t>
        </is>
      </c>
    </row>
    <row r="769">
      <c r="A769" t="inlineStr">
        <is>
          <t>14974273</t>
        </is>
      </c>
      <c r="B769" t="inlineStr">
        <is>
          <t>a882a362-c039-4d22-a3bc-fa12790491a6</t>
        </is>
      </c>
      <c r="D769" t="inlineStr">
        <is>
          <t>11111127</t>
        </is>
      </c>
      <c r="E769" t="inlineStr">
        <is>
          <t>Vodacom Life 20260622</t>
        </is>
      </c>
      <c r="J769" t="inlineStr">
        <is>
          <t>AA</t>
        </is>
      </c>
      <c r="K769" t="inlineStr">
        <is>
          <t>Answering Machine Autodial</t>
        </is>
      </c>
      <c r="L769" t="n">
        <v>5</v>
      </c>
      <c r="M769" t="inlineStr">
        <is>
          <t>2026-06-26 11:26:56</t>
        </is>
      </c>
      <c r="N769" t="inlineStr">
        <is>
          <t>system</t>
        </is>
      </c>
      <c r="O769" t="inlineStr">
        <is>
          <t>2026-06-22 14:11:25</t>
        </is>
      </c>
      <c r="P769" t="inlineStr">
        <is>
          <t>2026-06-22 14:11:25</t>
        </is>
      </c>
      <c r="Y769" t="inlineStr">
        <is>
          <t>27711948888</t>
        </is>
      </c>
    </row>
    <row r="770">
      <c r="A770" t="inlineStr">
        <is>
          <t>14974274</t>
        </is>
      </c>
      <c r="B770" t="inlineStr">
        <is>
          <t>26053c06-00e8-48c2-b4a7-e9ab6f8651cd</t>
        </is>
      </c>
      <c r="D770" t="inlineStr">
        <is>
          <t>11111127</t>
        </is>
      </c>
      <c r="E770" t="inlineStr">
        <is>
          <t>Vodacom Life 20260622</t>
        </is>
      </c>
      <c r="H770" t="inlineStr">
        <is>
          <t>27798994431</t>
        </is>
      </c>
      <c r="J770" t="inlineStr">
        <is>
          <t>AA</t>
        </is>
      </c>
      <c r="K770" t="inlineStr">
        <is>
          <t>Answering Machine Autodial</t>
        </is>
      </c>
      <c r="L770" t="n">
        <v>5</v>
      </c>
      <c r="M770" t="inlineStr">
        <is>
          <t>2026-06-26 11:26:51</t>
        </is>
      </c>
      <c r="N770" t="inlineStr">
        <is>
          <t>system</t>
        </is>
      </c>
      <c r="O770" t="inlineStr">
        <is>
          <t>2026-06-22 14:11:25</t>
        </is>
      </c>
      <c r="P770" t="inlineStr">
        <is>
          <t>2026-06-22 14:11:25</t>
        </is>
      </c>
      <c r="Y770" t="inlineStr">
        <is>
          <t>27798994431</t>
        </is>
      </c>
    </row>
    <row r="771">
      <c r="A771" t="inlineStr">
        <is>
          <t>14974276</t>
        </is>
      </c>
      <c r="B771" t="inlineStr">
        <is>
          <t>efbae956-d72f-400c-bc31-eb745f1d9476</t>
        </is>
      </c>
      <c r="D771" t="inlineStr">
        <is>
          <t>11111127</t>
        </is>
      </c>
      <c r="E771" t="inlineStr">
        <is>
          <t>Vodacom Life 20260622</t>
        </is>
      </c>
      <c r="J771" t="inlineStr">
        <is>
          <t>AC</t>
        </is>
      </c>
      <c r="K771" t="inlineStr">
        <is>
          <t>Already Contacted</t>
        </is>
      </c>
      <c r="L771" t="n">
        <v>5</v>
      </c>
      <c r="M771" t="inlineStr">
        <is>
          <t>2026-06-26 11:26:50</t>
        </is>
      </c>
      <c r="N771" t="inlineStr">
        <is>
          <t>Maureen Ntsoko</t>
        </is>
      </c>
      <c r="O771" t="inlineStr">
        <is>
          <t>2026-06-22 14:11:25</t>
        </is>
      </c>
      <c r="P771" t="inlineStr">
        <is>
          <t>2026-06-22 14:11:25</t>
        </is>
      </c>
      <c r="Y771" t="inlineStr">
        <is>
          <t>27765170334</t>
        </is>
      </c>
    </row>
    <row r="772">
      <c r="A772" t="inlineStr">
        <is>
          <t>14974277</t>
        </is>
      </c>
      <c r="B772" t="inlineStr">
        <is>
          <t>2af7d7a1-6b1c-48b1-8462-0c8e5a32a42f</t>
        </is>
      </c>
      <c r="D772" t="inlineStr">
        <is>
          <t>11111127</t>
        </is>
      </c>
      <c r="E772" t="inlineStr">
        <is>
          <t>Vodacom Life 20260622</t>
        </is>
      </c>
      <c r="J772" t="inlineStr">
        <is>
          <t>NI</t>
        </is>
      </c>
      <c r="K772" t="inlineStr">
        <is>
          <t>Not Interested</t>
        </is>
      </c>
      <c r="L772" t="n">
        <v>5</v>
      </c>
      <c r="M772" t="inlineStr">
        <is>
          <t>2026-06-26 11:26:48</t>
        </is>
      </c>
      <c r="N772" t="inlineStr">
        <is>
          <t>Musiiwa Mary Mabirimisa</t>
        </is>
      </c>
      <c r="O772" t="inlineStr">
        <is>
          <t>2026-06-22 14:11:25</t>
        </is>
      </c>
      <c r="P772" t="inlineStr">
        <is>
          <t>2026-06-22 14:11:25</t>
        </is>
      </c>
      <c r="Y772" t="inlineStr">
        <is>
          <t>27715170263</t>
        </is>
      </c>
    </row>
    <row r="773">
      <c r="A773" t="inlineStr">
        <is>
          <t>14974278</t>
        </is>
      </c>
      <c r="B773" t="inlineStr">
        <is>
          <t>ce9b2b82-6da2-4d1a-98b1-e8760e11fdb5</t>
        </is>
      </c>
      <c r="D773" t="inlineStr">
        <is>
          <t>11111127</t>
        </is>
      </c>
      <c r="E773" t="inlineStr">
        <is>
          <t>Vodacom Life 20260622</t>
        </is>
      </c>
      <c r="H773" t="inlineStr">
        <is>
          <t>27715336466</t>
        </is>
      </c>
      <c r="J773" t="inlineStr">
        <is>
          <t>AE</t>
        </is>
      </c>
      <c r="K773" t="inlineStr">
        <is>
          <t>Auto Engaged</t>
        </is>
      </c>
      <c r="L773" t="n">
        <v>5</v>
      </c>
      <c r="M773" t="inlineStr">
        <is>
          <t>2026-06-26 11:26:48</t>
        </is>
      </c>
      <c r="N773" t="inlineStr">
        <is>
          <t>system</t>
        </is>
      </c>
      <c r="O773" t="inlineStr">
        <is>
          <t>2026-06-22 14:11:25</t>
        </is>
      </c>
      <c r="P773" t="inlineStr">
        <is>
          <t>2026-06-22 14:11:25</t>
        </is>
      </c>
      <c r="Y773" t="inlineStr">
        <is>
          <t>27715336466</t>
        </is>
      </c>
    </row>
    <row r="774">
      <c r="A774" t="inlineStr">
        <is>
          <t>14974279</t>
        </is>
      </c>
      <c r="B774" t="inlineStr">
        <is>
          <t>1b98353b-a4cf-47a2-8bc1-ea9a3be11106</t>
        </is>
      </c>
      <c r="D774" t="inlineStr">
        <is>
          <t>11111127</t>
        </is>
      </c>
      <c r="E774" t="inlineStr">
        <is>
          <t>Vodacom Life 20260622</t>
        </is>
      </c>
      <c r="J774" t="inlineStr">
        <is>
          <t>AA</t>
        </is>
      </c>
      <c r="K774" t="inlineStr">
        <is>
          <t>Answering Machine Autodial</t>
        </is>
      </c>
      <c r="L774" t="n">
        <v>5</v>
      </c>
      <c r="M774" t="inlineStr">
        <is>
          <t>2026-06-26 11:26:48</t>
        </is>
      </c>
      <c r="N774" t="inlineStr">
        <is>
          <t>system</t>
        </is>
      </c>
      <c r="O774" t="inlineStr">
        <is>
          <t>2026-06-22 14:11:25</t>
        </is>
      </c>
      <c r="P774" t="inlineStr">
        <is>
          <t>2026-06-22 14:11:25</t>
        </is>
      </c>
      <c r="Y774" t="inlineStr">
        <is>
          <t>27769086300</t>
        </is>
      </c>
    </row>
    <row r="775">
      <c r="A775" t="inlineStr">
        <is>
          <t>14974280</t>
        </is>
      </c>
      <c r="B775" t="inlineStr">
        <is>
          <t>5e4d5859-f7e1-44e1-9f06-3c9a8dccfcdb</t>
        </is>
      </c>
      <c r="D775" t="inlineStr">
        <is>
          <t>11111127</t>
        </is>
      </c>
      <c r="E775" t="inlineStr">
        <is>
          <t>Vodacom Life 20260622</t>
        </is>
      </c>
      <c r="H775" t="inlineStr">
        <is>
          <t>27739729669</t>
        </is>
      </c>
      <c r="J775" t="inlineStr">
        <is>
          <t>AE</t>
        </is>
      </c>
      <c r="K775" t="inlineStr">
        <is>
          <t>Auto Engaged</t>
        </is>
      </c>
      <c r="L775" t="n">
        <v>5</v>
      </c>
      <c r="M775" t="inlineStr">
        <is>
          <t>2026-06-26 11:26:48</t>
        </is>
      </c>
      <c r="N775" t="inlineStr">
        <is>
          <t>system</t>
        </is>
      </c>
      <c r="O775" t="inlineStr">
        <is>
          <t>2026-06-22 14:11:25</t>
        </is>
      </c>
      <c r="P775" t="inlineStr">
        <is>
          <t>2026-06-22 14:11:25</t>
        </is>
      </c>
      <c r="Y775" t="inlineStr">
        <is>
          <t>27739729669</t>
        </is>
      </c>
    </row>
    <row r="776">
      <c r="A776" t="inlineStr">
        <is>
          <t>14974281</t>
        </is>
      </c>
      <c r="B776" t="inlineStr">
        <is>
          <t>c070cb54-ee89-4d4f-856d-dba059ba479a</t>
        </is>
      </c>
      <c r="D776" t="inlineStr">
        <is>
          <t>11111127</t>
        </is>
      </c>
      <c r="E776" t="inlineStr">
        <is>
          <t>Vodacom Life 20260622</t>
        </is>
      </c>
      <c r="J776" t="inlineStr">
        <is>
          <t>AA</t>
        </is>
      </c>
      <c r="K776" t="inlineStr">
        <is>
          <t>Answering Machine Autodial</t>
        </is>
      </c>
      <c r="L776" t="n">
        <v>5</v>
      </c>
      <c r="M776" t="inlineStr">
        <is>
          <t>2026-06-26 11:26:42</t>
        </is>
      </c>
      <c r="N776" t="inlineStr">
        <is>
          <t>system</t>
        </is>
      </c>
      <c r="O776" t="inlineStr">
        <is>
          <t>2026-06-22 14:11:25</t>
        </is>
      </c>
      <c r="P776" t="inlineStr">
        <is>
          <t>2026-06-22 14:11:25</t>
        </is>
      </c>
      <c r="Y776" t="inlineStr">
        <is>
          <t>27760376060</t>
        </is>
      </c>
    </row>
    <row r="777">
      <c r="A777" t="inlineStr">
        <is>
          <t>14974283</t>
        </is>
      </c>
      <c r="B777" t="inlineStr">
        <is>
          <t>cddcf06c-004a-473c-8c85-e1692d0981d4</t>
        </is>
      </c>
      <c r="D777" t="inlineStr">
        <is>
          <t>11111127</t>
        </is>
      </c>
      <c r="E777" t="inlineStr">
        <is>
          <t>Vodacom Life 20260622</t>
        </is>
      </c>
      <c r="J777" t="inlineStr">
        <is>
          <t>NA</t>
        </is>
      </c>
      <c r="K777" t="inlineStr">
        <is>
          <t>No Answer Autodial</t>
        </is>
      </c>
      <c r="L777" t="n">
        <v>5</v>
      </c>
      <c r="M777" t="inlineStr">
        <is>
          <t>2026-06-26 11:26:40</t>
        </is>
      </c>
      <c r="N777" t="inlineStr">
        <is>
          <t>system</t>
        </is>
      </c>
      <c r="O777" t="inlineStr">
        <is>
          <t>2026-06-22 14:11:25</t>
        </is>
      </c>
      <c r="P777" t="inlineStr">
        <is>
          <t>2026-06-22 14:11:25</t>
        </is>
      </c>
      <c r="Y777" t="inlineStr">
        <is>
          <t>27768018919</t>
        </is>
      </c>
    </row>
    <row r="778">
      <c r="A778" t="inlineStr">
        <is>
          <t>14974284</t>
        </is>
      </c>
      <c r="B778" t="inlineStr">
        <is>
          <t>4c8085a6-a6f6-43e1-9047-67bcdb304c4f</t>
        </is>
      </c>
      <c r="D778" t="inlineStr">
        <is>
          <t>11111127</t>
        </is>
      </c>
      <c r="E778" t="inlineStr">
        <is>
          <t>Vodacom Life 20260622</t>
        </is>
      </c>
      <c r="J778" t="inlineStr">
        <is>
          <t>AA</t>
        </is>
      </c>
      <c r="K778" t="inlineStr">
        <is>
          <t>Answering Machine Autodial</t>
        </is>
      </c>
      <c r="L778" t="n">
        <v>5</v>
      </c>
      <c r="M778" t="inlineStr">
        <is>
          <t>2026-06-26 11:26:36</t>
        </is>
      </c>
      <c r="N778" t="inlineStr">
        <is>
          <t>system</t>
        </is>
      </c>
      <c r="O778" t="inlineStr">
        <is>
          <t>2026-06-22 14:11:25</t>
        </is>
      </c>
      <c r="P778" t="inlineStr">
        <is>
          <t>2026-06-22 14:11:25</t>
        </is>
      </c>
      <c r="Y778" t="inlineStr">
        <is>
          <t>27636285521</t>
        </is>
      </c>
    </row>
    <row r="779">
      <c r="A779" t="inlineStr">
        <is>
          <t>14974285</t>
        </is>
      </c>
      <c r="B779" t="inlineStr">
        <is>
          <t>f8b7e836-d1d5-4ca8-88da-8465c1d6c1b3</t>
        </is>
      </c>
      <c r="D779" t="inlineStr">
        <is>
          <t>11111127</t>
        </is>
      </c>
      <c r="E779" t="inlineStr">
        <is>
          <t>Vodacom Life 20260622</t>
        </is>
      </c>
      <c r="H779" t="inlineStr">
        <is>
          <t>27648052461</t>
        </is>
      </c>
      <c r="J779" t="inlineStr">
        <is>
          <t>NA</t>
        </is>
      </c>
      <c r="K779" t="inlineStr">
        <is>
          <t>No Answer Autodial</t>
        </is>
      </c>
      <c r="L779" t="n">
        <v>5</v>
      </c>
      <c r="M779" t="inlineStr">
        <is>
          <t>2026-06-26 11:26:33</t>
        </is>
      </c>
      <c r="N779" t="inlineStr">
        <is>
          <t>system</t>
        </is>
      </c>
      <c r="O779" t="inlineStr">
        <is>
          <t>2026-06-22 14:11:25</t>
        </is>
      </c>
      <c r="P779" t="inlineStr">
        <is>
          <t>2026-06-22 14:11:25</t>
        </is>
      </c>
      <c r="Y779" t="inlineStr">
        <is>
          <t>27648052461</t>
        </is>
      </c>
    </row>
    <row r="780">
      <c r="A780" t="inlineStr">
        <is>
          <t>14974286</t>
        </is>
      </c>
      <c r="B780" t="inlineStr">
        <is>
          <t>6f58c099-3313-49f7-92b0-c274f46852f5</t>
        </is>
      </c>
      <c r="D780" t="inlineStr">
        <is>
          <t>11111127</t>
        </is>
      </c>
      <c r="E780" t="inlineStr">
        <is>
          <t>Vodacom Life 20260622</t>
        </is>
      </c>
      <c r="J780" t="inlineStr">
        <is>
          <t>AE</t>
        </is>
      </c>
      <c r="K780" t="inlineStr">
        <is>
          <t>Auto Engaged</t>
        </is>
      </c>
      <c r="L780" t="n">
        <v>5</v>
      </c>
      <c r="M780" t="inlineStr">
        <is>
          <t>2026-06-26 11:26:33</t>
        </is>
      </c>
      <c r="N780" t="inlineStr">
        <is>
          <t>system</t>
        </is>
      </c>
      <c r="O780" t="inlineStr">
        <is>
          <t>2026-06-22 14:11:25</t>
        </is>
      </c>
      <c r="P780" t="inlineStr">
        <is>
          <t>2026-06-22 14:11:25</t>
        </is>
      </c>
      <c r="Y780" t="inlineStr">
        <is>
          <t>27828151049</t>
        </is>
      </c>
    </row>
    <row r="781">
      <c r="A781" t="inlineStr">
        <is>
          <t>14973709</t>
        </is>
      </c>
      <c r="B781" t="inlineStr">
        <is>
          <t>0f12e20a-b92d-4fd8-b71c-ac7fc4bbccb9</t>
        </is>
      </c>
      <c r="D781" t="inlineStr">
        <is>
          <t>11111127</t>
        </is>
      </c>
      <c r="E781" t="inlineStr">
        <is>
          <t>Vodacom Life 20260622</t>
        </is>
      </c>
      <c r="J781" t="inlineStr">
        <is>
          <t>N</t>
        </is>
      </c>
      <c r="K781" t="inlineStr">
        <is>
          <t>No Answer</t>
        </is>
      </c>
      <c r="L781" t="n">
        <v>5</v>
      </c>
      <c r="M781" t="inlineStr">
        <is>
          <t>2026-06-26 11:26:10</t>
        </is>
      </c>
      <c r="N781" t="inlineStr">
        <is>
          <t>Musiiwa Mary Mabirimisa</t>
        </is>
      </c>
      <c r="O781" t="inlineStr">
        <is>
          <t>2026-06-22 14:11:25</t>
        </is>
      </c>
      <c r="P781" t="inlineStr">
        <is>
          <t>2026-06-22 14:11:25</t>
        </is>
      </c>
      <c r="Y781" t="inlineStr">
        <is>
          <t>27768591057</t>
        </is>
      </c>
    </row>
    <row r="782">
      <c r="A782" t="inlineStr">
        <is>
          <t>14973710</t>
        </is>
      </c>
      <c r="B782" t="inlineStr">
        <is>
          <t>90eba150-9d16-404e-88e0-0c5a6e80c01d</t>
        </is>
      </c>
      <c r="D782" t="inlineStr">
        <is>
          <t>11111127</t>
        </is>
      </c>
      <c r="E782" t="inlineStr">
        <is>
          <t>Vodacom Life 20260622</t>
        </is>
      </c>
      <c r="J782" t="inlineStr">
        <is>
          <t>AE</t>
        </is>
      </c>
      <c r="K782" t="inlineStr">
        <is>
          <t>Auto Engaged</t>
        </is>
      </c>
      <c r="L782" t="n">
        <v>5</v>
      </c>
      <c r="M782" t="inlineStr">
        <is>
          <t>2026-06-26 11:26:09</t>
        </is>
      </c>
      <c r="N782" t="inlineStr">
        <is>
          <t>system</t>
        </is>
      </c>
      <c r="O782" t="inlineStr">
        <is>
          <t>2026-06-22 14:11:25</t>
        </is>
      </c>
      <c r="P782" t="inlineStr">
        <is>
          <t>2026-06-22 14:11:25</t>
        </is>
      </c>
      <c r="Y782" t="inlineStr">
        <is>
          <t>27762524751</t>
        </is>
      </c>
    </row>
    <row r="783">
      <c r="A783" t="inlineStr">
        <is>
          <t>14973711</t>
        </is>
      </c>
      <c r="B783" t="inlineStr">
        <is>
          <t>9e0c3d97-af5d-49c4-9cf9-dc5dda9e9127</t>
        </is>
      </c>
      <c r="D783" t="inlineStr">
        <is>
          <t>11111127</t>
        </is>
      </c>
      <c r="E783" t="inlineStr">
        <is>
          <t>Vodacom Life 20260622</t>
        </is>
      </c>
      <c r="J783" t="inlineStr">
        <is>
          <t>AE</t>
        </is>
      </c>
      <c r="K783" t="inlineStr">
        <is>
          <t>Auto Engaged</t>
        </is>
      </c>
      <c r="L783" t="n">
        <v>5</v>
      </c>
      <c r="M783" t="inlineStr">
        <is>
          <t>2026-06-26 11:26:09</t>
        </is>
      </c>
      <c r="N783" t="inlineStr">
        <is>
          <t>system</t>
        </is>
      </c>
      <c r="O783" t="inlineStr">
        <is>
          <t>2026-06-22 14:11:25</t>
        </is>
      </c>
      <c r="P783" t="inlineStr">
        <is>
          <t>2026-06-22 14:11:25</t>
        </is>
      </c>
      <c r="Y783" t="inlineStr">
        <is>
          <t>27826376450</t>
        </is>
      </c>
    </row>
    <row r="784">
      <c r="A784" t="inlineStr">
        <is>
          <t>14973712</t>
        </is>
      </c>
      <c r="B784" t="inlineStr">
        <is>
          <t>b2fd49e4-4f5d-47da-92db-3fb87499ab20</t>
        </is>
      </c>
      <c r="D784" t="inlineStr">
        <is>
          <t>11111127</t>
        </is>
      </c>
      <c r="E784" t="inlineStr">
        <is>
          <t>Vodacom Life 20260622</t>
        </is>
      </c>
      <c r="J784" t="inlineStr">
        <is>
          <t>AE</t>
        </is>
      </c>
      <c r="K784" t="inlineStr">
        <is>
          <t>Auto Engaged</t>
        </is>
      </c>
      <c r="L784" t="n">
        <v>5</v>
      </c>
      <c r="M784" t="inlineStr">
        <is>
          <t>2026-06-26 11:26:09</t>
        </is>
      </c>
      <c r="N784" t="inlineStr">
        <is>
          <t>system</t>
        </is>
      </c>
      <c r="O784" t="inlineStr">
        <is>
          <t>2026-06-22 14:11:25</t>
        </is>
      </c>
      <c r="P784" t="inlineStr">
        <is>
          <t>2026-06-22 14:11:25</t>
        </is>
      </c>
      <c r="Y784" t="inlineStr">
        <is>
          <t>27794868573</t>
        </is>
      </c>
    </row>
    <row r="785">
      <c r="A785" t="inlineStr">
        <is>
          <t>14973713</t>
        </is>
      </c>
      <c r="B785" t="inlineStr">
        <is>
          <t>249c94fc-082e-419a-a665-912fd15d5e8c</t>
        </is>
      </c>
      <c r="D785" t="inlineStr">
        <is>
          <t>11111127</t>
        </is>
      </c>
      <c r="E785" t="inlineStr">
        <is>
          <t>Vodacom Life 20260622</t>
        </is>
      </c>
      <c r="J785" t="inlineStr">
        <is>
          <t>AA</t>
        </is>
      </c>
      <c r="K785" t="inlineStr">
        <is>
          <t>Answering Machine Autodial</t>
        </is>
      </c>
      <c r="L785" t="n">
        <v>5</v>
      </c>
      <c r="M785" t="inlineStr">
        <is>
          <t>2026-06-26 11:26:09</t>
        </is>
      </c>
      <c r="N785" t="inlineStr">
        <is>
          <t>system</t>
        </is>
      </c>
      <c r="O785" t="inlineStr">
        <is>
          <t>2026-06-22 14:11:25</t>
        </is>
      </c>
      <c r="P785" t="inlineStr">
        <is>
          <t>2026-06-22 14:11:25</t>
        </is>
      </c>
      <c r="Y785" t="inlineStr">
        <is>
          <t>27795513265</t>
        </is>
      </c>
    </row>
    <row r="786">
      <c r="A786" t="inlineStr">
        <is>
          <t>14973707</t>
        </is>
      </c>
      <c r="B786" t="inlineStr">
        <is>
          <t>0a6ac4ad-bd8f-4ccc-a0c1-db821eea2970</t>
        </is>
      </c>
      <c r="D786" t="inlineStr">
        <is>
          <t>11111127</t>
        </is>
      </c>
      <c r="E786" t="inlineStr">
        <is>
          <t>Vodacom Life 20260622</t>
        </is>
      </c>
      <c r="J786" t="inlineStr">
        <is>
          <t>AA</t>
        </is>
      </c>
      <c r="K786" t="inlineStr">
        <is>
          <t>Answering Machine Autodial</t>
        </is>
      </c>
      <c r="L786" t="n">
        <v>5</v>
      </c>
      <c r="M786" t="inlineStr">
        <is>
          <t>2026-06-26 11:25:51</t>
        </is>
      </c>
      <c r="N786" t="inlineStr">
        <is>
          <t>system</t>
        </is>
      </c>
      <c r="O786" t="inlineStr">
        <is>
          <t>2026-06-22 14:11:25</t>
        </is>
      </c>
      <c r="P786" t="inlineStr">
        <is>
          <t>2026-06-22 14:11:25</t>
        </is>
      </c>
      <c r="Y786" t="inlineStr">
        <is>
          <t>27713197615</t>
        </is>
      </c>
    </row>
    <row r="787">
      <c r="A787" t="inlineStr">
        <is>
          <t>14973706</t>
        </is>
      </c>
      <c r="B787" t="inlineStr">
        <is>
          <t>b87e4735-71fc-4a93-b78d-c4d6571ce12a</t>
        </is>
      </c>
      <c r="D787" t="inlineStr">
        <is>
          <t>11111127</t>
        </is>
      </c>
      <c r="E787" t="inlineStr">
        <is>
          <t>Vodacom Life 20260622</t>
        </is>
      </c>
      <c r="J787" t="inlineStr">
        <is>
          <t>AA</t>
        </is>
      </c>
      <c r="K787" t="inlineStr">
        <is>
          <t>Answering Machine Autodial</t>
        </is>
      </c>
      <c r="L787" t="n">
        <v>5</v>
      </c>
      <c r="M787" t="inlineStr">
        <is>
          <t>2026-06-26 11:25:47</t>
        </is>
      </c>
      <c r="N787" t="inlineStr">
        <is>
          <t>system</t>
        </is>
      </c>
      <c r="O787" t="inlineStr">
        <is>
          <t>2026-06-22 14:11:25</t>
        </is>
      </c>
      <c r="P787" t="inlineStr">
        <is>
          <t>2026-06-22 14:11:25</t>
        </is>
      </c>
      <c r="Y787" t="inlineStr">
        <is>
          <t>27727642829</t>
        </is>
      </c>
    </row>
    <row r="788">
      <c r="A788" t="inlineStr">
        <is>
          <t>14973700</t>
        </is>
      </c>
      <c r="B788" t="inlineStr">
        <is>
          <t>668168e7-fe48-4a62-9d8a-d7d28f8ac953</t>
        </is>
      </c>
      <c r="D788" t="inlineStr">
        <is>
          <t>11111127</t>
        </is>
      </c>
      <c r="E788" t="inlineStr">
        <is>
          <t>Vodacom Life 20260622</t>
        </is>
      </c>
      <c r="J788" t="inlineStr">
        <is>
          <t>NA</t>
        </is>
      </c>
      <c r="K788" t="inlineStr">
        <is>
          <t>No Answer Autodial</t>
        </is>
      </c>
      <c r="L788" t="n">
        <v>5</v>
      </c>
      <c r="M788" t="inlineStr">
        <is>
          <t>2026-06-26 11:25:46</t>
        </is>
      </c>
      <c r="N788" t="inlineStr">
        <is>
          <t>system</t>
        </is>
      </c>
      <c r="O788" t="inlineStr">
        <is>
          <t>2026-06-22 14:11:25</t>
        </is>
      </c>
      <c r="P788" t="inlineStr">
        <is>
          <t>2026-06-22 14:11:25</t>
        </is>
      </c>
      <c r="Y788" t="inlineStr">
        <is>
          <t>27729035308</t>
        </is>
      </c>
    </row>
    <row r="789">
      <c r="A789" t="inlineStr">
        <is>
          <t>14973701</t>
        </is>
      </c>
      <c r="B789" t="inlineStr">
        <is>
          <t>7a889087-8cab-4210-8cf5-c4475b1e3898</t>
        </is>
      </c>
      <c r="D789" t="inlineStr">
        <is>
          <t>11111127</t>
        </is>
      </c>
      <c r="E789" t="inlineStr">
        <is>
          <t>Vodacom Life 20260622</t>
        </is>
      </c>
      <c r="J789" t="inlineStr">
        <is>
          <t>AA</t>
        </is>
      </c>
      <c r="K789" t="inlineStr">
        <is>
          <t>Answering Machine Autodial</t>
        </is>
      </c>
      <c r="L789" t="n">
        <v>5</v>
      </c>
      <c r="M789" t="inlineStr">
        <is>
          <t>2026-06-26 11:25:46</t>
        </is>
      </c>
      <c r="N789" t="inlineStr">
        <is>
          <t>system</t>
        </is>
      </c>
      <c r="O789" t="inlineStr">
        <is>
          <t>2026-06-22 14:11:25</t>
        </is>
      </c>
      <c r="P789" t="inlineStr">
        <is>
          <t>2026-06-22 14:11:25</t>
        </is>
      </c>
      <c r="Y789" t="inlineStr">
        <is>
          <t>27763857330</t>
        </is>
      </c>
    </row>
    <row r="790">
      <c r="A790" t="inlineStr">
        <is>
          <t>14973705</t>
        </is>
      </c>
      <c r="B790" t="inlineStr">
        <is>
          <t>255ed38e-08ac-4bb2-8158-83b75cf7aba8</t>
        </is>
      </c>
      <c r="D790" t="inlineStr">
        <is>
          <t>11111127</t>
        </is>
      </c>
      <c r="E790" t="inlineStr">
        <is>
          <t>Vodacom Life 20260622</t>
        </is>
      </c>
      <c r="J790" t="inlineStr">
        <is>
          <t>AE</t>
        </is>
      </c>
      <c r="K790" t="inlineStr">
        <is>
          <t>Auto Engaged</t>
        </is>
      </c>
      <c r="L790" t="n">
        <v>5</v>
      </c>
      <c r="M790" t="inlineStr">
        <is>
          <t>2026-06-26 11:25:46</t>
        </is>
      </c>
      <c r="N790" t="inlineStr">
        <is>
          <t>system</t>
        </is>
      </c>
      <c r="O790" t="inlineStr">
        <is>
          <t>2026-06-22 14:11:25</t>
        </is>
      </c>
      <c r="P790" t="inlineStr">
        <is>
          <t>2026-06-22 14:11:25</t>
        </is>
      </c>
      <c r="Y790" t="inlineStr">
        <is>
          <t>27722985881</t>
        </is>
      </c>
    </row>
    <row r="791">
      <c r="A791" t="inlineStr">
        <is>
          <t>14973699</t>
        </is>
      </c>
      <c r="B791" t="inlineStr">
        <is>
          <t>872ac92f-3e8d-4786-a1ba-0cf24f418e92</t>
        </is>
      </c>
      <c r="D791" t="inlineStr">
        <is>
          <t>11111127</t>
        </is>
      </c>
      <c r="E791" t="inlineStr">
        <is>
          <t>Vodacom Life 20260622</t>
        </is>
      </c>
      <c r="J791" t="inlineStr">
        <is>
          <t>CU</t>
        </is>
      </c>
      <c r="K791" t="inlineStr">
        <is>
          <t>Client Hung Up</t>
        </is>
      </c>
      <c r="L791" t="n">
        <v>5</v>
      </c>
      <c r="M791" t="inlineStr">
        <is>
          <t>2026-06-26 11:25:41</t>
        </is>
      </c>
      <c r="N791" t="inlineStr">
        <is>
          <t>Maureen Ntsoko</t>
        </is>
      </c>
      <c r="O791" t="inlineStr">
        <is>
          <t>2026-06-22 14:11:25</t>
        </is>
      </c>
      <c r="P791" t="inlineStr">
        <is>
          <t>2026-06-22 14:11:25</t>
        </is>
      </c>
      <c r="Y791" t="inlineStr">
        <is>
          <t>27724009193</t>
        </is>
      </c>
    </row>
    <row r="792">
      <c r="A792" t="inlineStr">
        <is>
          <t>14973698</t>
        </is>
      </c>
      <c r="B792" t="inlineStr">
        <is>
          <t>2be3eff2-2d46-4d9d-80b3-dfe7abe9538b</t>
        </is>
      </c>
      <c r="D792" t="inlineStr">
        <is>
          <t>11111127</t>
        </is>
      </c>
      <c r="E792" t="inlineStr">
        <is>
          <t>Vodacom Life 20260622</t>
        </is>
      </c>
      <c r="J792" t="inlineStr">
        <is>
          <t>AE</t>
        </is>
      </c>
      <c r="K792" t="inlineStr">
        <is>
          <t>Auto Engaged</t>
        </is>
      </c>
      <c r="L792" t="n">
        <v>5</v>
      </c>
      <c r="M792" t="inlineStr">
        <is>
          <t>2026-06-26 11:25:38</t>
        </is>
      </c>
      <c r="N792" t="inlineStr">
        <is>
          <t>system</t>
        </is>
      </c>
      <c r="O792" t="inlineStr">
        <is>
          <t>2026-06-22 14:11:25</t>
        </is>
      </c>
      <c r="P792" t="inlineStr">
        <is>
          <t>2026-06-22 14:11:25</t>
        </is>
      </c>
      <c r="Y792" t="inlineStr">
        <is>
          <t>27820929955</t>
        </is>
      </c>
    </row>
    <row r="793">
      <c r="A793" t="inlineStr">
        <is>
          <t>14973697</t>
        </is>
      </c>
      <c r="B793" t="inlineStr">
        <is>
          <t>444216a5-8343-4e3d-b71c-594c63b53d9b</t>
        </is>
      </c>
      <c r="D793" t="inlineStr">
        <is>
          <t>11111127</t>
        </is>
      </c>
      <c r="E793" t="inlineStr">
        <is>
          <t>Vodacom Life 20260622</t>
        </is>
      </c>
      <c r="J793" t="inlineStr">
        <is>
          <t>AA</t>
        </is>
      </c>
      <c r="K793" t="inlineStr">
        <is>
          <t>Answering Machine Autodial</t>
        </is>
      </c>
      <c r="L793" t="n">
        <v>5</v>
      </c>
      <c r="M793" t="inlineStr">
        <is>
          <t>2026-06-26 11:25:36</t>
        </is>
      </c>
      <c r="N793" t="inlineStr">
        <is>
          <t>system</t>
        </is>
      </c>
      <c r="O793" t="inlineStr">
        <is>
          <t>2026-06-22 14:11:25</t>
        </is>
      </c>
      <c r="P793" t="inlineStr">
        <is>
          <t>2026-06-22 14:11:25</t>
        </is>
      </c>
      <c r="Y793" t="inlineStr">
        <is>
          <t>27818319036</t>
        </is>
      </c>
    </row>
    <row r="794">
      <c r="A794" t="inlineStr">
        <is>
          <t>14973738</t>
        </is>
      </c>
      <c r="B794" t="inlineStr">
        <is>
          <t>dfa81b9b-62a4-4bf1-b09e-33e27f7094eb</t>
        </is>
      </c>
      <c r="D794" t="inlineStr">
        <is>
          <t>11111127</t>
        </is>
      </c>
      <c r="E794" t="inlineStr">
        <is>
          <t>Vodacom Life 20260622</t>
        </is>
      </c>
      <c r="J794" t="inlineStr">
        <is>
          <t>DROP</t>
        </is>
      </c>
      <c r="K794" t="inlineStr">
        <is>
          <t>Dropped</t>
        </is>
      </c>
      <c r="L794" t="n">
        <v>5</v>
      </c>
      <c r="M794" t="inlineStr">
        <is>
          <t>2026-06-26 11:25:13</t>
        </is>
      </c>
      <c r="N794" t="inlineStr">
        <is>
          <t>system</t>
        </is>
      </c>
      <c r="O794" t="inlineStr">
        <is>
          <t>2026-06-22 14:11:25</t>
        </is>
      </c>
      <c r="P794" t="inlineStr">
        <is>
          <t>2026-06-22 14:11:25</t>
        </is>
      </c>
      <c r="Y794" t="inlineStr">
        <is>
          <t>27715733710</t>
        </is>
      </c>
    </row>
    <row r="795">
      <c r="A795" t="inlineStr">
        <is>
          <t>14973739</t>
        </is>
      </c>
      <c r="B795" t="inlineStr">
        <is>
          <t>42cf6d39-65f8-4bb3-b9ac-763fdbc57fa0</t>
        </is>
      </c>
      <c r="D795" t="inlineStr">
        <is>
          <t>11111127</t>
        </is>
      </c>
      <c r="E795" t="inlineStr">
        <is>
          <t>Vodacom Life 20260622</t>
        </is>
      </c>
      <c r="H795" t="inlineStr">
        <is>
          <t>27723616444</t>
        </is>
      </c>
      <c r="J795" t="inlineStr">
        <is>
          <t>NA</t>
        </is>
      </c>
      <c r="K795" t="inlineStr">
        <is>
          <t>No Answer Autodial</t>
        </is>
      </c>
      <c r="L795" t="n">
        <v>5</v>
      </c>
      <c r="M795" t="inlineStr">
        <is>
          <t>2026-06-26 11:25:13</t>
        </is>
      </c>
      <c r="N795" t="inlineStr">
        <is>
          <t>system</t>
        </is>
      </c>
      <c r="O795" t="inlineStr">
        <is>
          <t>2026-06-22 14:11:25</t>
        </is>
      </c>
      <c r="P795" t="inlineStr">
        <is>
          <t>2026-06-22 14:11:25</t>
        </is>
      </c>
      <c r="Y795" t="inlineStr">
        <is>
          <t>27723616444</t>
        </is>
      </c>
    </row>
    <row r="796">
      <c r="A796" t="inlineStr">
        <is>
          <t>14973740</t>
        </is>
      </c>
      <c r="B796" t="inlineStr">
        <is>
          <t>f4d008f8-feb0-43dc-97c1-690c21bd85f7</t>
        </is>
      </c>
      <c r="D796" t="inlineStr">
        <is>
          <t>11111127</t>
        </is>
      </c>
      <c r="E796" t="inlineStr">
        <is>
          <t>Vodacom Life 20260622</t>
        </is>
      </c>
      <c r="J796" t="inlineStr">
        <is>
          <t>NA</t>
        </is>
      </c>
      <c r="K796" t="inlineStr">
        <is>
          <t>No Answer Autodial</t>
        </is>
      </c>
      <c r="L796" t="n">
        <v>5</v>
      </c>
      <c r="M796" t="inlineStr">
        <is>
          <t>2026-06-26 11:25:03</t>
        </is>
      </c>
      <c r="N796" t="inlineStr">
        <is>
          <t>system</t>
        </is>
      </c>
      <c r="O796" t="inlineStr">
        <is>
          <t>2026-06-22 14:11:25</t>
        </is>
      </c>
      <c r="P796" t="inlineStr">
        <is>
          <t>2026-06-22 14:11:25</t>
        </is>
      </c>
      <c r="Y796" t="inlineStr">
        <is>
          <t>27713798508</t>
        </is>
      </c>
    </row>
    <row r="797">
      <c r="A797" t="inlineStr">
        <is>
          <t>14973899</t>
        </is>
      </c>
      <c r="B797" t="inlineStr">
        <is>
          <t>f86f8c19-11fd-43bd-94e1-45d882a4bf19</t>
        </is>
      </c>
      <c r="D797" t="inlineStr">
        <is>
          <t>11111127</t>
        </is>
      </c>
      <c r="E797" t="inlineStr">
        <is>
          <t>Vodacom Life 20260622</t>
        </is>
      </c>
      <c r="J797" t="inlineStr">
        <is>
          <t>AA</t>
        </is>
      </c>
      <c r="K797" t="inlineStr">
        <is>
          <t>Answering Machine Autodial</t>
        </is>
      </c>
      <c r="L797" t="n">
        <v>5</v>
      </c>
      <c r="M797" t="inlineStr">
        <is>
          <t>2026-06-26 11:24:40</t>
        </is>
      </c>
      <c r="N797" t="inlineStr">
        <is>
          <t>system</t>
        </is>
      </c>
      <c r="O797" t="inlineStr">
        <is>
          <t>2026-06-22 14:11:25</t>
        </is>
      </c>
      <c r="P797" t="inlineStr">
        <is>
          <t>2026-06-22 14:11:25</t>
        </is>
      </c>
      <c r="Y797" t="inlineStr">
        <is>
          <t>27768741462</t>
        </is>
      </c>
    </row>
    <row r="798">
      <c r="A798" t="inlineStr">
        <is>
          <t>14974249</t>
        </is>
      </c>
      <c r="B798" t="inlineStr">
        <is>
          <t>43cfc4d0-8aa0-443b-a8ca-7f48e82e6999</t>
        </is>
      </c>
      <c r="D798" t="inlineStr">
        <is>
          <t>11111127</t>
        </is>
      </c>
      <c r="E798" t="inlineStr">
        <is>
          <t>Vodacom Life 20260622</t>
        </is>
      </c>
      <c r="J798" t="inlineStr">
        <is>
          <t>CU</t>
        </is>
      </c>
      <c r="K798" t="inlineStr">
        <is>
          <t>Client Hung Up</t>
        </is>
      </c>
      <c r="L798" t="n">
        <v>5</v>
      </c>
      <c r="M798" t="inlineStr">
        <is>
          <t>2026-06-26 11:23:14</t>
        </is>
      </c>
      <c r="N798" t="inlineStr">
        <is>
          <t>Musiiwa Mary Mabirimisa</t>
        </is>
      </c>
      <c r="O798" t="inlineStr">
        <is>
          <t>2026-06-22 14:11:25</t>
        </is>
      </c>
      <c r="P798" t="inlineStr">
        <is>
          <t>2026-06-22 14:11:25</t>
        </is>
      </c>
      <c r="Y798" t="inlineStr">
        <is>
          <t>27766427290</t>
        </is>
      </c>
    </row>
    <row r="799">
      <c r="A799" t="inlineStr">
        <is>
          <t>14974251</t>
        </is>
      </c>
      <c r="B799" t="inlineStr">
        <is>
          <t>7aa5b63f-a14e-4be6-9f37-93ee423e0bed</t>
        </is>
      </c>
      <c r="D799" t="inlineStr">
        <is>
          <t>11111127</t>
        </is>
      </c>
      <c r="E799" t="inlineStr">
        <is>
          <t>Vodacom Life 20260622</t>
        </is>
      </c>
      <c r="H799" t="inlineStr">
        <is>
          <t>27772781695</t>
        </is>
      </c>
      <c r="J799" t="inlineStr">
        <is>
          <t>AA</t>
        </is>
      </c>
      <c r="K799" t="inlineStr">
        <is>
          <t>Answering Machine Autodial</t>
        </is>
      </c>
      <c r="L799" t="n">
        <v>5</v>
      </c>
      <c r="M799" t="inlineStr">
        <is>
          <t>2026-06-26 11:23:14</t>
        </is>
      </c>
      <c r="N799" t="inlineStr">
        <is>
          <t>system</t>
        </is>
      </c>
      <c r="O799" t="inlineStr">
        <is>
          <t>2026-06-22 14:11:25</t>
        </is>
      </c>
      <c r="P799" t="inlineStr">
        <is>
          <t>2026-06-22 14:11:25</t>
        </is>
      </c>
      <c r="Y799" t="inlineStr">
        <is>
          <t>27772781695</t>
        </is>
      </c>
    </row>
    <row r="800">
      <c r="A800" t="inlineStr">
        <is>
          <t>14974252</t>
        </is>
      </c>
      <c r="B800" t="inlineStr">
        <is>
          <t>cb78eb1b-c15b-4bed-b226-86f79a626fff</t>
        </is>
      </c>
      <c r="D800" t="inlineStr">
        <is>
          <t>11111127</t>
        </is>
      </c>
      <c r="E800" t="inlineStr">
        <is>
          <t>Vodacom Life 20260622</t>
        </is>
      </c>
      <c r="H800" t="inlineStr">
        <is>
          <t>27812721137</t>
        </is>
      </c>
      <c r="J800" t="inlineStr">
        <is>
          <t>AA</t>
        </is>
      </c>
      <c r="K800" t="inlineStr">
        <is>
          <t>Answering Machine Autodial</t>
        </is>
      </c>
      <c r="L800" t="n">
        <v>5</v>
      </c>
      <c r="M800" t="inlineStr">
        <is>
          <t>2026-06-26 11:23:13</t>
        </is>
      </c>
      <c r="N800" t="inlineStr">
        <is>
          <t>system</t>
        </is>
      </c>
      <c r="O800" t="inlineStr">
        <is>
          <t>2026-06-22 14:11:25</t>
        </is>
      </c>
      <c r="P800" t="inlineStr">
        <is>
          <t>2026-06-22 14:11:25</t>
        </is>
      </c>
      <c r="Y800" t="inlineStr">
        <is>
          <t>27812721137</t>
        </is>
      </c>
    </row>
    <row r="801">
      <c r="A801" t="inlineStr">
        <is>
          <t>14974253</t>
        </is>
      </c>
      <c r="B801" t="inlineStr">
        <is>
          <t>47996be2-58cf-4c3c-b096-143245763928</t>
        </is>
      </c>
      <c r="D801" t="inlineStr">
        <is>
          <t>11111127</t>
        </is>
      </c>
      <c r="E801" t="inlineStr">
        <is>
          <t>Vodacom Life 20260622</t>
        </is>
      </c>
      <c r="J801" t="inlineStr">
        <is>
          <t>NA</t>
        </is>
      </c>
      <c r="K801" t="inlineStr">
        <is>
          <t>No Answer Autodial</t>
        </is>
      </c>
      <c r="L801" t="n">
        <v>5</v>
      </c>
      <c r="M801" t="inlineStr">
        <is>
          <t>2026-06-26 11:23:13</t>
        </is>
      </c>
      <c r="N801" t="inlineStr">
        <is>
          <t>system</t>
        </is>
      </c>
      <c r="O801" t="inlineStr">
        <is>
          <t>2026-06-22 14:11:25</t>
        </is>
      </c>
      <c r="P801" t="inlineStr">
        <is>
          <t>2026-06-22 14:11:25</t>
        </is>
      </c>
      <c r="Y801" t="inlineStr">
        <is>
          <t>27825194609</t>
        </is>
      </c>
    </row>
    <row r="802">
      <c r="A802" t="inlineStr">
        <is>
          <t>14974254</t>
        </is>
      </c>
      <c r="B802" t="inlineStr">
        <is>
          <t>1512b42c-3303-4317-8227-666691520353</t>
        </is>
      </c>
      <c r="D802" t="inlineStr">
        <is>
          <t>11111127</t>
        </is>
      </c>
      <c r="E802" t="inlineStr">
        <is>
          <t>Vodacom Life 20260622</t>
        </is>
      </c>
      <c r="J802" t="inlineStr">
        <is>
          <t>AA</t>
        </is>
      </c>
      <c r="K802" t="inlineStr">
        <is>
          <t>Answering Machine Autodial</t>
        </is>
      </c>
      <c r="L802" t="n">
        <v>5</v>
      </c>
      <c r="M802" t="inlineStr">
        <is>
          <t>2026-06-26 11:23:13</t>
        </is>
      </c>
      <c r="N802" t="inlineStr">
        <is>
          <t>system</t>
        </is>
      </c>
      <c r="O802" t="inlineStr">
        <is>
          <t>2026-06-22 14:11:25</t>
        </is>
      </c>
      <c r="P802" t="inlineStr">
        <is>
          <t>2026-06-22 14:11:25</t>
        </is>
      </c>
      <c r="Y802" t="inlineStr">
        <is>
          <t>27647367550</t>
        </is>
      </c>
    </row>
    <row r="803">
      <c r="A803" t="inlineStr">
        <is>
          <t>14974255</t>
        </is>
      </c>
      <c r="B803" t="inlineStr">
        <is>
          <t>f43db75e-5255-49a4-9575-a6b015b3e167</t>
        </is>
      </c>
      <c r="D803" t="inlineStr">
        <is>
          <t>11111127</t>
        </is>
      </c>
      <c r="E803" t="inlineStr">
        <is>
          <t>Vodacom Life 20260622</t>
        </is>
      </c>
      <c r="H803" t="inlineStr">
        <is>
          <t>27661427638</t>
        </is>
      </c>
      <c r="J803" t="inlineStr">
        <is>
          <t>DROP</t>
        </is>
      </c>
      <c r="K803" t="inlineStr">
        <is>
          <t>Dropped</t>
        </is>
      </c>
      <c r="L803" t="n">
        <v>5</v>
      </c>
      <c r="M803" t="inlineStr">
        <is>
          <t>2026-06-26 11:23:11</t>
        </is>
      </c>
      <c r="N803" t="inlineStr">
        <is>
          <t>system</t>
        </is>
      </c>
      <c r="O803" t="inlineStr">
        <is>
          <t>2026-06-22 14:11:25</t>
        </is>
      </c>
      <c r="P803" t="inlineStr">
        <is>
          <t>2026-06-22 14:11:25</t>
        </is>
      </c>
      <c r="Y803" t="inlineStr">
        <is>
          <t>27661427638</t>
        </is>
      </c>
    </row>
    <row r="804">
      <c r="A804" t="inlineStr">
        <is>
          <t>15000000</t>
        </is>
      </c>
      <c r="B804" t="inlineStr">
        <is>
          <t>33e402c3-2dbb-4d79-a12a-c229000f1cd3</t>
        </is>
      </c>
      <c r="D804" t="inlineStr">
        <is>
          <t>11111127</t>
        </is>
      </c>
      <c r="E804" t="inlineStr">
        <is>
          <t>Vodacom Life 20260622</t>
        </is>
      </c>
      <c r="H804" t="inlineStr">
        <is>
          <t>27826243455</t>
        </is>
      </c>
      <c r="J804" t="inlineStr">
        <is>
          <t>AE</t>
        </is>
      </c>
      <c r="K804" t="inlineStr">
        <is>
          <t>Auto Engaged</t>
        </is>
      </c>
      <c r="L804" t="n">
        <v>5</v>
      </c>
      <c r="M804" t="inlineStr">
        <is>
          <t>2026-06-26 11:23:09</t>
        </is>
      </c>
      <c r="N804" t="inlineStr">
        <is>
          <t>system</t>
        </is>
      </c>
      <c r="O804" t="inlineStr">
        <is>
          <t>2026-06-22 14:11:25</t>
        </is>
      </c>
      <c r="P804" t="inlineStr">
        <is>
          <t>2026-06-22 14:11:25</t>
        </is>
      </c>
      <c r="Y804" t="inlineStr">
        <is>
          <t>27826243455</t>
        </is>
      </c>
    </row>
    <row r="805">
      <c r="A805" t="inlineStr">
        <is>
          <t>14974259</t>
        </is>
      </c>
      <c r="B805" t="inlineStr">
        <is>
          <t>c7278491-ad7a-494b-ac8d-091fefd94bab</t>
        </is>
      </c>
      <c r="D805" t="inlineStr">
        <is>
          <t>11111127</t>
        </is>
      </c>
      <c r="E805" t="inlineStr">
        <is>
          <t>Vodacom Life 20260622</t>
        </is>
      </c>
      <c r="J805" t="inlineStr">
        <is>
          <t>CU</t>
        </is>
      </c>
      <c r="K805" t="inlineStr">
        <is>
          <t>Client Hung Up</t>
        </is>
      </c>
      <c r="L805" t="n">
        <v>5</v>
      </c>
      <c r="M805" t="inlineStr">
        <is>
          <t>2026-06-26 11:22:40</t>
        </is>
      </c>
      <c r="N805" t="inlineStr">
        <is>
          <t>Maureen Ntsoko</t>
        </is>
      </c>
      <c r="O805" t="inlineStr">
        <is>
          <t>2026-06-22 14:11:25</t>
        </is>
      </c>
      <c r="P805" t="inlineStr">
        <is>
          <t>2026-06-22 14:11:25</t>
        </is>
      </c>
      <c r="Y805" t="inlineStr">
        <is>
          <t>27609844859</t>
        </is>
      </c>
    </row>
    <row r="806">
      <c r="A806" t="inlineStr">
        <is>
          <t>14974260</t>
        </is>
      </c>
      <c r="B806" t="inlineStr">
        <is>
          <t>88d521f7-5acf-4e51-a38e-049faa017040</t>
        </is>
      </c>
      <c r="D806" t="inlineStr">
        <is>
          <t>11111127</t>
        </is>
      </c>
      <c r="E806" t="inlineStr">
        <is>
          <t>Vodacom Life 20260622</t>
        </is>
      </c>
      <c r="H806" t="inlineStr">
        <is>
          <t>27726707565</t>
        </is>
      </c>
      <c r="J806" t="inlineStr">
        <is>
          <t>NA</t>
        </is>
      </c>
      <c r="K806" t="inlineStr">
        <is>
          <t>No Answer Autodial</t>
        </is>
      </c>
      <c r="L806" t="n">
        <v>5</v>
      </c>
      <c r="M806" t="inlineStr">
        <is>
          <t>2026-06-26 11:22:38</t>
        </is>
      </c>
      <c r="N806" t="inlineStr">
        <is>
          <t>system</t>
        </is>
      </c>
      <c r="O806" t="inlineStr">
        <is>
          <t>2026-06-22 14:11:25</t>
        </is>
      </c>
      <c r="P806" t="inlineStr">
        <is>
          <t>2026-06-22 14:11:25</t>
        </is>
      </c>
      <c r="Y806" t="inlineStr">
        <is>
          <t>27726707565</t>
        </is>
      </c>
    </row>
    <row r="807">
      <c r="A807" t="inlineStr">
        <is>
          <t>14974261</t>
        </is>
      </c>
      <c r="B807" t="inlineStr">
        <is>
          <t>af92cc6a-99d2-46c2-a46d-bdc036e4a201</t>
        </is>
      </c>
      <c r="D807" t="inlineStr">
        <is>
          <t>11111127</t>
        </is>
      </c>
      <c r="E807" t="inlineStr">
        <is>
          <t>Vodacom Life 20260622</t>
        </is>
      </c>
      <c r="J807" t="inlineStr">
        <is>
          <t>AE</t>
        </is>
      </c>
      <c r="K807" t="inlineStr">
        <is>
          <t>Auto Engaged</t>
        </is>
      </c>
      <c r="L807" t="n">
        <v>5</v>
      </c>
      <c r="M807" t="inlineStr">
        <is>
          <t>2026-06-26 11:22:38</t>
        </is>
      </c>
      <c r="N807" t="inlineStr">
        <is>
          <t>system</t>
        </is>
      </c>
      <c r="O807" t="inlineStr">
        <is>
          <t>2026-06-22 14:11:25</t>
        </is>
      </c>
      <c r="P807" t="inlineStr">
        <is>
          <t>2026-06-22 14:11:25</t>
        </is>
      </c>
      <c r="Y807" t="inlineStr">
        <is>
          <t>27744580840</t>
        </is>
      </c>
    </row>
    <row r="808">
      <c r="A808" t="inlineStr">
        <is>
          <t>14974262</t>
        </is>
      </c>
      <c r="B808" t="inlineStr">
        <is>
          <t>a31cdafe-e00d-496e-981f-cd8690a1469f</t>
        </is>
      </c>
      <c r="D808" t="inlineStr">
        <is>
          <t>11111127</t>
        </is>
      </c>
      <c r="E808" t="inlineStr">
        <is>
          <t>Vodacom Life 20260622</t>
        </is>
      </c>
      <c r="J808" t="inlineStr">
        <is>
          <t>AE</t>
        </is>
      </c>
      <c r="K808" t="inlineStr">
        <is>
          <t>Auto Engaged</t>
        </is>
      </c>
      <c r="L808" t="n">
        <v>5</v>
      </c>
      <c r="M808" t="inlineStr">
        <is>
          <t>2026-06-26 11:22:38</t>
        </is>
      </c>
      <c r="N808" t="inlineStr">
        <is>
          <t>system</t>
        </is>
      </c>
      <c r="O808" t="inlineStr">
        <is>
          <t>2026-06-22 14:11:25</t>
        </is>
      </c>
      <c r="P808" t="inlineStr">
        <is>
          <t>2026-06-22 14:11:25</t>
        </is>
      </c>
      <c r="Y808" t="inlineStr">
        <is>
          <t>27763358137</t>
        </is>
      </c>
    </row>
    <row r="809">
      <c r="A809" t="inlineStr">
        <is>
          <t>14974263</t>
        </is>
      </c>
      <c r="B809" t="inlineStr">
        <is>
          <t>6676e057-b9e9-48fd-b580-f5850d2d4a17</t>
        </is>
      </c>
      <c r="D809" t="inlineStr">
        <is>
          <t>11111127</t>
        </is>
      </c>
      <c r="E809" t="inlineStr">
        <is>
          <t>Vodacom Life 20260622</t>
        </is>
      </c>
      <c r="J809" t="inlineStr">
        <is>
          <t>NA</t>
        </is>
      </c>
      <c r="K809" t="inlineStr">
        <is>
          <t>No Answer Autodial</t>
        </is>
      </c>
      <c r="L809" t="n">
        <v>5</v>
      </c>
      <c r="M809" t="inlineStr">
        <is>
          <t>2026-06-26 11:22:37</t>
        </is>
      </c>
      <c r="N809" t="inlineStr">
        <is>
          <t>system</t>
        </is>
      </c>
      <c r="O809" t="inlineStr">
        <is>
          <t>2026-06-22 14:11:25</t>
        </is>
      </c>
      <c r="P809" t="inlineStr">
        <is>
          <t>2026-06-22 14:11:25</t>
        </is>
      </c>
      <c r="Y809" t="inlineStr">
        <is>
          <t>27725173256</t>
        </is>
      </c>
    </row>
    <row r="810">
      <c r="A810" t="inlineStr">
        <is>
          <t>14974232</t>
        </is>
      </c>
      <c r="B810" t="inlineStr">
        <is>
          <t>4397b935-387c-4ef2-b54d-8b18bafcadf2</t>
        </is>
      </c>
      <c r="D810" t="inlineStr">
        <is>
          <t>11111127</t>
        </is>
      </c>
      <c r="E810" t="inlineStr">
        <is>
          <t>Vodacom Life 20260622</t>
        </is>
      </c>
      <c r="J810" t="inlineStr">
        <is>
          <t>NA</t>
        </is>
      </c>
      <c r="K810" t="inlineStr">
        <is>
          <t>No Answer Autodial</t>
        </is>
      </c>
      <c r="L810" t="n">
        <v>5</v>
      </c>
      <c r="M810" t="inlineStr">
        <is>
          <t>2026-06-26 11:21:56</t>
        </is>
      </c>
      <c r="N810" t="inlineStr">
        <is>
          <t>system</t>
        </is>
      </c>
      <c r="O810" t="inlineStr">
        <is>
          <t>2026-06-22 14:11:25</t>
        </is>
      </c>
      <c r="P810" t="inlineStr">
        <is>
          <t>2026-06-22 14:11:25</t>
        </is>
      </c>
      <c r="Y810" t="inlineStr">
        <is>
          <t>27660054178</t>
        </is>
      </c>
    </row>
    <row r="811">
      <c r="A811" t="inlineStr">
        <is>
          <t>14974233</t>
        </is>
      </c>
      <c r="B811" t="inlineStr">
        <is>
          <t>0d2f4cf4-251c-4057-9b1f-58d93c971f2a</t>
        </is>
      </c>
      <c r="D811" t="inlineStr">
        <is>
          <t>11111127</t>
        </is>
      </c>
      <c r="E811" t="inlineStr">
        <is>
          <t>Vodacom Life 20260622</t>
        </is>
      </c>
      <c r="J811" t="inlineStr">
        <is>
          <t>AA</t>
        </is>
      </c>
      <c r="K811" t="inlineStr">
        <is>
          <t>Answering Machine Autodial</t>
        </is>
      </c>
      <c r="L811" t="n">
        <v>5</v>
      </c>
      <c r="M811" t="inlineStr">
        <is>
          <t>2026-06-26 11:21:46</t>
        </is>
      </c>
      <c r="N811" t="inlineStr">
        <is>
          <t>system</t>
        </is>
      </c>
      <c r="O811" t="inlineStr">
        <is>
          <t>2026-06-22 14:11:25</t>
        </is>
      </c>
      <c r="P811" t="inlineStr">
        <is>
          <t>2026-06-22 14:11:25</t>
        </is>
      </c>
      <c r="Y811" t="inlineStr">
        <is>
          <t>27824448017</t>
        </is>
      </c>
    </row>
    <row r="812">
      <c r="A812" t="inlineStr">
        <is>
          <t>14974245</t>
        </is>
      </c>
      <c r="B812" t="inlineStr">
        <is>
          <t>2893571b-cca9-4a1e-9b79-f1a4a406fa86</t>
        </is>
      </c>
      <c r="D812" t="inlineStr">
        <is>
          <t>11111127</t>
        </is>
      </c>
      <c r="E812" t="inlineStr">
        <is>
          <t>Vodacom Life 20260622</t>
        </is>
      </c>
      <c r="J812" t="inlineStr">
        <is>
          <t>ADC</t>
        </is>
      </c>
      <c r="K812" t="inlineStr">
        <is>
          <t>Auto Dial Disconnected</t>
        </is>
      </c>
      <c r="L812" t="n">
        <v>5</v>
      </c>
      <c r="M812" t="inlineStr">
        <is>
          <t>2026-06-26 11:21:45</t>
        </is>
      </c>
      <c r="N812" t="inlineStr">
        <is>
          <t>system</t>
        </is>
      </c>
      <c r="O812" t="inlineStr">
        <is>
          <t>2026-06-22 14:11:25</t>
        </is>
      </c>
      <c r="P812" t="inlineStr">
        <is>
          <t>2026-06-22 14:11:25</t>
        </is>
      </c>
      <c r="Y812" t="inlineStr">
        <is>
          <t>27715721684</t>
        </is>
      </c>
    </row>
    <row r="813">
      <c r="A813" t="inlineStr">
        <is>
          <t>14974235</t>
        </is>
      </c>
      <c r="B813" t="inlineStr">
        <is>
          <t>3c2f63f1-89c1-4ea7-9888-8174d33376b7</t>
        </is>
      </c>
      <c r="D813" t="inlineStr">
        <is>
          <t>11111127</t>
        </is>
      </c>
      <c r="E813" t="inlineStr">
        <is>
          <t>Vodacom Life 20260622</t>
        </is>
      </c>
      <c r="J813" t="inlineStr">
        <is>
          <t>AA</t>
        </is>
      </c>
      <c r="K813" t="inlineStr">
        <is>
          <t>Answering Machine Autodial</t>
        </is>
      </c>
      <c r="L813" t="n">
        <v>5</v>
      </c>
      <c r="M813" t="inlineStr">
        <is>
          <t>2026-06-26 11:21:45</t>
        </is>
      </c>
      <c r="N813" t="inlineStr">
        <is>
          <t>system</t>
        </is>
      </c>
      <c r="O813" t="inlineStr">
        <is>
          <t>2026-06-22 14:11:25</t>
        </is>
      </c>
      <c r="P813" t="inlineStr">
        <is>
          <t>2026-06-22 14:11:25</t>
        </is>
      </c>
      <c r="Y813" t="inlineStr">
        <is>
          <t>27608640408</t>
        </is>
      </c>
    </row>
    <row r="814">
      <c r="A814" t="inlineStr">
        <is>
          <t>14974246</t>
        </is>
      </c>
      <c r="B814" t="inlineStr">
        <is>
          <t>fa7fa7f2-a024-4eb1-8644-2a367b68f3cf</t>
        </is>
      </c>
      <c r="D814" t="inlineStr">
        <is>
          <t>11111127</t>
        </is>
      </c>
      <c r="E814" t="inlineStr">
        <is>
          <t>Vodacom Life 20260622</t>
        </is>
      </c>
      <c r="J814" t="inlineStr">
        <is>
          <t>AE</t>
        </is>
      </c>
      <c r="K814" t="inlineStr">
        <is>
          <t>Auto Engaged</t>
        </is>
      </c>
      <c r="L814" t="n">
        <v>5</v>
      </c>
      <c r="M814" t="inlineStr">
        <is>
          <t>2026-06-26 11:21:44</t>
        </is>
      </c>
      <c r="N814" t="inlineStr">
        <is>
          <t>system</t>
        </is>
      </c>
      <c r="O814" t="inlineStr">
        <is>
          <t>2026-06-22 14:11:25</t>
        </is>
      </c>
      <c r="P814" t="inlineStr">
        <is>
          <t>2026-06-22 14:11:25</t>
        </is>
      </c>
      <c r="Y814" t="inlineStr">
        <is>
          <t>27609259906</t>
        </is>
      </c>
    </row>
    <row r="815">
      <c r="A815" t="inlineStr">
        <is>
          <t>14974248</t>
        </is>
      </c>
      <c r="B815" t="inlineStr">
        <is>
          <t>460cb561-11a7-443a-99d2-40c8dd22589f</t>
        </is>
      </c>
      <c r="D815" t="inlineStr">
        <is>
          <t>11111127</t>
        </is>
      </c>
      <c r="E815" t="inlineStr">
        <is>
          <t>Vodacom Life 20260622</t>
        </is>
      </c>
      <c r="H815" t="inlineStr">
        <is>
          <t>27793465778</t>
        </is>
      </c>
      <c r="J815" t="inlineStr">
        <is>
          <t>AC</t>
        </is>
      </c>
      <c r="K815" t="inlineStr">
        <is>
          <t>Already Contacted</t>
        </is>
      </c>
      <c r="L815" t="n">
        <v>5</v>
      </c>
      <c r="M815" t="inlineStr">
        <is>
          <t>2026-06-26 11:21:44</t>
        </is>
      </c>
      <c r="N815" t="inlineStr">
        <is>
          <t>Maureen Ntsoko</t>
        </is>
      </c>
      <c r="O815" t="inlineStr">
        <is>
          <t>2026-06-22 14:11:25</t>
        </is>
      </c>
      <c r="P815" t="inlineStr">
        <is>
          <t>2026-06-22 14:11:25</t>
        </is>
      </c>
      <c r="Y815" t="inlineStr">
        <is>
          <t>27793465778</t>
        </is>
      </c>
    </row>
    <row r="816">
      <c r="A816" t="inlineStr">
        <is>
          <t>14974218</t>
        </is>
      </c>
      <c r="B816" t="inlineStr">
        <is>
          <t>9d9ec967-1a50-4d6b-abc1-0122c17fca29</t>
        </is>
      </c>
      <c r="D816" t="inlineStr">
        <is>
          <t>11111127</t>
        </is>
      </c>
      <c r="E816" t="inlineStr">
        <is>
          <t>Vodacom Life 20260622</t>
        </is>
      </c>
      <c r="H816" t="inlineStr">
        <is>
          <t>27715284933</t>
        </is>
      </c>
      <c r="J816" t="inlineStr">
        <is>
          <t>IABDN</t>
        </is>
      </c>
      <c r="K816" t="inlineStr">
        <is>
          <t>Inbound Abandon</t>
        </is>
      </c>
      <c r="L816" t="n">
        <v>5</v>
      </c>
      <c r="M816" t="inlineStr">
        <is>
          <t>2026-06-26 10:59:55</t>
        </is>
      </c>
      <c r="N816" t="inlineStr">
        <is>
          <t>system</t>
        </is>
      </c>
      <c r="O816" t="inlineStr">
        <is>
          <t>2026-06-22 14:11:25</t>
        </is>
      </c>
      <c r="P816" t="inlineStr">
        <is>
          <t>2026-06-22 14:11:25</t>
        </is>
      </c>
      <c r="Y816" t="inlineStr">
        <is>
          <t>27715284933</t>
        </is>
      </c>
    </row>
    <row r="817">
      <c r="A817" t="inlineStr">
        <is>
          <t>14974226</t>
        </is>
      </c>
      <c r="B817" t="inlineStr">
        <is>
          <t>da8e1b2a-5fb3-4764-9180-8c207c9d4b1e</t>
        </is>
      </c>
      <c r="D817" t="inlineStr">
        <is>
          <t>11111127</t>
        </is>
      </c>
      <c r="E817" t="inlineStr">
        <is>
          <t>Vodacom Life 20260622</t>
        </is>
      </c>
      <c r="J817" t="inlineStr">
        <is>
          <t>AA</t>
        </is>
      </c>
      <c r="K817" t="inlineStr">
        <is>
          <t>Answering Machine Autodial</t>
        </is>
      </c>
      <c r="L817" t="n">
        <v>5</v>
      </c>
      <c r="M817" t="inlineStr">
        <is>
          <t>2026-06-26 10:59:25</t>
        </is>
      </c>
      <c r="N817" t="inlineStr">
        <is>
          <t>system</t>
        </is>
      </c>
      <c r="O817" t="inlineStr">
        <is>
          <t>2026-06-22 14:11:25</t>
        </is>
      </c>
      <c r="P817" t="inlineStr">
        <is>
          <t>2026-06-22 14:11:25</t>
        </is>
      </c>
      <c r="Y817" t="inlineStr">
        <is>
          <t>27824509470</t>
        </is>
      </c>
    </row>
    <row r="818">
      <c r="A818" t="inlineStr">
        <is>
          <t>15000000</t>
        </is>
      </c>
      <c r="B818" t="inlineStr">
        <is>
          <t>69e56082-6089-4341-8dde-b564234809eb</t>
        </is>
      </c>
      <c r="D818" t="inlineStr">
        <is>
          <t>11111127</t>
        </is>
      </c>
      <c r="E818" t="inlineStr">
        <is>
          <t>Vodacom Life 20260622</t>
        </is>
      </c>
      <c r="J818" t="inlineStr">
        <is>
          <t>AA</t>
        </is>
      </c>
      <c r="K818" t="inlineStr">
        <is>
          <t>Answering Machine Autodial</t>
        </is>
      </c>
      <c r="L818" t="n">
        <v>5</v>
      </c>
      <c r="M818" t="inlineStr">
        <is>
          <t>2026-06-26 10:59:25</t>
        </is>
      </c>
      <c r="N818" t="inlineStr">
        <is>
          <t>system</t>
        </is>
      </c>
      <c r="O818" t="inlineStr">
        <is>
          <t>2026-06-22 14:11:25</t>
        </is>
      </c>
      <c r="P818" t="inlineStr">
        <is>
          <t>2026-06-22 14:11:25</t>
        </is>
      </c>
      <c r="Y818" t="inlineStr">
        <is>
          <t>27822351872</t>
        </is>
      </c>
    </row>
    <row r="819">
      <c r="A819" t="inlineStr">
        <is>
          <t>14974005</t>
        </is>
      </c>
      <c r="B819" t="inlineStr">
        <is>
          <t>ea1111c6-6a76-499e-a2df-c5bfcb8e7b91</t>
        </is>
      </c>
      <c r="D819" t="inlineStr">
        <is>
          <t>11111127</t>
        </is>
      </c>
      <c r="E819" t="inlineStr">
        <is>
          <t>Vodacom Life 20260622</t>
        </is>
      </c>
      <c r="J819" t="inlineStr">
        <is>
          <t>AA</t>
        </is>
      </c>
      <c r="K819" t="inlineStr">
        <is>
          <t>Answering Machine Autodial</t>
        </is>
      </c>
      <c r="L819" t="n">
        <v>5</v>
      </c>
      <c r="M819" t="inlineStr">
        <is>
          <t>2026-06-26 10:59:24</t>
        </is>
      </c>
      <c r="N819" t="inlineStr">
        <is>
          <t>system</t>
        </is>
      </c>
      <c r="O819" t="inlineStr">
        <is>
          <t>2026-06-22 14:11:25</t>
        </is>
      </c>
      <c r="P819" t="inlineStr">
        <is>
          <t>2026-06-22 14:11:25</t>
        </is>
      </c>
      <c r="Y819" t="inlineStr">
        <is>
          <t>27763908851</t>
        </is>
      </c>
    </row>
    <row r="820">
      <c r="A820" t="inlineStr">
        <is>
          <t>14974228</t>
        </is>
      </c>
      <c r="B820" t="inlineStr">
        <is>
          <t>ee5eb759-9b20-47dd-9fd7-140b185b50ad</t>
        </is>
      </c>
      <c r="D820" t="inlineStr">
        <is>
          <t>11111127</t>
        </is>
      </c>
      <c r="E820" t="inlineStr">
        <is>
          <t>Vodacom Life 20260622</t>
        </is>
      </c>
      <c r="J820" t="inlineStr">
        <is>
          <t>AA</t>
        </is>
      </c>
      <c r="K820" t="inlineStr">
        <is>
          <t>Answering Machine Autodial</t>
        </is>
      </c>
      <c r="L820" t="n">
        <v>5</v>
      </c>
      <c r="M820" t="inlineStr">
        <is>
          <t>2026-06-26 10:59:24</t>
        </is>
      </c>
      <c r="N820" t="inlineStr">
        <is>
          <t>system</t>
        </is>
      </c>
      <c r="O820" t="inlineStr">
        <is>
          <t>2026-06-22 14:11:25</t>
        </is>
      </c>
      <c r="P820" t="inlineStr">
        <is>
          <t>2026-06-22 14:11:25</t>
        </is>
      </c>
      <c r="Y820" t="inlineStr">
        <is>
          <t>27792852504</t>
        </is>
      </c>
    </row>
    <row r="821">
      <c r="A821" t="inlineStr">
        <is>
          <t>14974072</t>
        </is>
      </c>
      <c r="B821" t="inlineStr">
        <is>
          <t>452c7765-1288-4e48-8a50-df6c5e2ebdad</t>
        </is>
      </c>
      <c r="D821" t="inlineStr">
        <is>
          <t>11111127</t>
        </is>
      </c>
      <c r="E821" t="inlineStr">
        <is>
          <t>Vodacom Life 20260622</t>
        </is>
      </c>
      <c r="H821" t="inlineStr">
        <is>
          <t>27825691917</t>
        </is>
      </c>
      <c r="J821" t="inlineStr">
        <is>
          <t>IABDN</t>
        </is>
      </c>
      <c r="K821" t="inlineStr">
        <is>
          <t>Inbound Abandon</t>
        </is>
      </c>
      <c r="L821" t="n">
        <v>5</v>
      </c>
      <c r="M821" t="inlineStr">
        <is>
          <t>2026-06-26 10:31:07</t>
        </is>
      </c>
      <c r="N821" t="inlineStr">
        <is>
          <t>system</t>
        </is>
      </c>
      <c r="O821" t="inlineStr">
        <is>
          <t>2026-06-22 14:11:25</t>
        </is>
      </c>
      <c r="P821" t="inlineStr">
        <is>
          <t>2026-06-22 14:11:25</t>
        </is>
      </c>
      <c r="Y821" t="inlineStr">
        <is>
          <t>27825691917</t>
        </is>
      </c>
    </row>
    <row r="822">
      <c r="A822" t="inlineStr">
        <is>
          <t>14974238</t>
        </is>
      </c>
      <c r="B822" t="inlineStr">
        <is>
          <t>aabbf7a4-e62e-4ef5-bac5-9631555e4ae9</t>
        </is>
      </c>
      <c r="D822" t="inlineStr">
        <is>
          <t>11111127</t>
        </is>
      </c>
      <c r="E822" t="inlineStr">
        <is>
          <t>Vodacom Life 20260622</t>
        </is>
      </c>
      <c r="H822" t="inlineStr">
        <is>
          <t>27797805918</t>
        </is>
      </c>
      <c r="J822" t="inlineStr">
        <is>
          <t>IABDN</t>
        </is>
      </c>
      <c r="K822" t="inlineStr">
        <is>
          <t>Inbound Abandon</t>
        </is>
      </c>
      <c r="L822" t="n">
        <v>5</v>
      </c>
      <c r="M822" t="inlineStr">
        <is>
          <t>2026-06-26 10:30:06</t>
        </is>
      </c>
      <c r="N822" t="inlineStr">
        <is>
          <t>system</t>
        </is>
      </c>
      <c r="O822" t="inlineStr">
        <is>
          <t>2026-06-22 14:11:25</t>
        </is>
      </c>
      <c r="P822" t="inlineStr">
        <is>
          <t>2026-06-22 14:11:25</t>
        </is>
      </c>
      <c r="Y822" t="inlineStr">
        <is>
          <t>27797805918</t>
        </is>
      </c>
    </row>
    <row r="823">
      <c r="A823" t="inlineStr">
        <is>
          <t>14974224</t>
        </is>
      </c>
      <c r="B823" t="inlineStr">
        <is>
          <t>21e6b0e1-c04a-4a4f-8080-0c8c758c4050</t>
        </is>
      </c>
      <c r="D823" t="inlineStr">
        <is>
          <t>11111127</t>
        </is>
      </c>
      <c r="E823" t="inlineStr">
        <is>
          <t>Vodacom Life 20260622</t>
        </is>
      </c>
      <c r="J823" t="inlineStr">
        <is>
          <t>NA</t>
        </is>
      </c>
      <c r="K823" t="inlineStr">
        <is>
          <t>No Answer Autodial</t>
        </is>
      </c>
      <c r="L823" t="n">
        <v>5</v>
      </c>
      <c r="M823" t="inlineStr">
        <is>
          <t>2026-06-26 10:27:18</t>
        </is>
      </c>
      <c r="N823" t="inlineStr">
        <is>
          <t>system</t>
        </is>
      </c>
      <c r="O823" t="inlineStr">
        <is>
          <t>2026-06-22 14:11:25</t>
        </is>
      </c>
      <c r="P823" t="inlineStr">
        <is>
          <t>2026-06-22 14:11:25</t>
        </is>
      </c>
      <c r="Y823" t="inlineStr">
        <is>
          <t>27649385671</t>
        </is>
      </c>
    </row>
    <row r="824">
      <c r="A824" t="inlineStr">
        <is>
          <t>14974225</t>
        </is>
      </c>
      <c r="B824" t="inlineStr">
        <is>
          <t>04b76180-7ad1-411f-9e81-0593e4c80bd6</t>
        </is>
      </c>
      <c r="D824" t="inlineStr">
        <is>
          <t>11111127</t>
        </is>
      </c>
      <c r="E824" t="inlineStr">
        <is>
          <t>Vodacom Life 20260622</t>
        </is>
      </c>
      <c r="H824" t="inlineStr">
        <is>
          <t>27713507826</t>
        </is>
      </c>
      <c r="J824" t="inlineStr">
        <is>
          <t>ADC</t>
        </is>
      </c>
      <c r="K824" t="inlineStr">
        <is>
          <t>Auto Dial Disconnected</t>
        </is>
      </c>
      <c r="L824" t="n">
        <v>5</v>
      </c>
      <c r="M824" t="inlineStr">
        <is>
          <t>2026-06-26 10:27:18</t>
        </is>
      </c>
      <c r="N824" t="inlineStr">
        <is>
          <t>system</t>
        </is>
      </c>
      <c r="O824" t="inlineStr">
        <is>
          <t>2026-06-22 14:11:25</t>
        </is>
      </c>
      <c r="P824" t="inlineStr">
        <is>
          <t>2026-06-22 14:11:25</t>
        </is>
      </c>
      <c r="Y824" t="inlineStr">
        <is>
          <t>27713507826</t>
        </is>
      </c>
    </row>
    <row r="825">
      <c r="A825" t="inlineStr">
        <is>
          <t>14974220</t>
        </is>
      </c>
      <c r="B825" t="inlineStr">
        <is>
          <t>07e5c88b-18a7-4ea5-b010-c4679ba81d49</t>
        </is>
      </c>
      <c r="D825" t="inlineStr">
        <is>
          <t>11111127</t>
        </is>
      </c>
      <c r="E825" t="inlineStr">
        <is>
          <t>Vodacom Life 20260622</t>
        </is>
      </c>
      <c r="J825" t="inlineStr">
        <is>
          <t>AE</t>
        </is>
      </c>
      <c r="K825" t="inlineStr">
        <is>
          <t>Auto Engaged</t>
        </is>
      </c>
      <c r="L825" t="n">
        <v>5</v>
      </c>
      <c r="M825" t="inlineStr">
        <is>
          <t>2026-06-26 10:27:16</t>
        </is>
      </c>
      <c r="N825" t="inlineStr">
        <is>
          <t>system</t>
        </is>
      </c>
      <c r="O825" t="inlineStr">
        <is>
          <t>2026-06-22 14:11:25</t>
        </is>
      </c>
      <c r="P825" t="inlineStr">
        <is>
          <t>2026-06-22 14:11:25</t>
        </is>
      </c>
      <c r="Y825" t="inlineStr">
        <is>
          <t>27675855994</t>
        </is>
      </c>
    </row>
    <row r="826">
      <c r="A826" t="inlineStr">
        <is>
          <t>14974221</t>
        </is>
      </c>
      <c r="B826" t="inlineStr">
        <is>
          <t>cc00c507-e1bc-4cdb-8e36-0512ae16c2b8</t>
        </is>
      </c>
      <c r="D826" t="inlineStr">
        <is>
          <t>11111127</t>
        </is>
      </c>
      <c r="E826" t="inlineStr">
        <is>
          <t>Vodacom Life 20260622</t>
        </is>
      </c>
      <c r="H826" t="inlineStr">
        <is>
          <t>27712610452</t>
        </is>
      </c>
      <c r="J826" t="inlineStr">
        <is>
          <t>ADC</t>
        </is>
      </c>
      <c r="K826" t="inlineStr">
        <is>
          <t>Auto Dial Disconnected</t>
        </is>
      </c>
      <c r="L826" t="n">
        <v>5</v>
      </c>
      <c r="M826" t="inlineStr">
        <is>
          <t>2026-06-26 10:27:16</t>
        </is>
      </c>
      <c r="N826" t="inlineStr">
        <is>
          <t>system</t>
        </is>
      </c>
      <c r="O826" t="inlineStr">
        <is>
          <t>2026-06-22 14:11:25</t>
        </is>
      </c>
      <c r="P826" t="inlineStr">
        <is>
          <t>2026-06-22 14:11:25</t>
        </is>
      </c>
      <c r="Y826" t="inlineStr">
        <is>
          <t>27712610452</t>
        </is>
      </c>
    </row>
    <row r="827">
      <c r="A827" t="inlineStr">
        <is>
          <t>14974222</t>
        </is>
      </c>
      <c r="B827" t="inlineStr">
        <is>
          <t>9ab4d1dd-b2d5-4c43-bdfb-7f0563712987</t>
        </is>
      </c>
      <c r="D827" t="inlineStr">
        <is>
          <t>11111127</t>
        </is>
      </c>
      <c r="E827" t="inlineStr">
        <is>
          <t>Vodacom Life 20260622</t>
        </is>
      </c>
      <c r="J827" t="inlineStr">
        <is>
          <t>ADC</t>
        </is>
      </c>
      <c r="K827" t="inlineStr">
        <is>
          <t>Auto Dial Disconnected</t>
        </is>
      </c>
      <c r="L827" t="n">
        <v>5</v>
      </c>
      <c r="M827" t="inlineStr">
        <is>
          <t>2026-06-26 10:27:16</t>
        </is>
      </c>
      <c r="N827" t="inlineStr">
        <is>
          <t>system</t>
        </is>
      </c>
      <c r="O827" t="inlineStr">
        <is>
          <t>2026-06-22 14:11:25</t>
        </is>
      </c>
      <c r="P827" t="inlineStr">
        <is>
          <t>2026-06-22 14:11:25</t>
        </is>
      </c>
      <c r="Y827" t="inlineStr">
        <is>
          <t>27664457231</t>
        </is>
      </c>
    </row>
    <row r="828">
      <c r="A828" t="inlineStr">
        <is>
          <t>14974223</t>
        </is>
      </c>
      <c r="B828" t="inlineStr">
        <is>
          <t>9405d04a-878d-448f-8470-82346f1a3066</t>
        </is>
      </c>
      <c r="D828" t="inlineStr">
        <is>
          <t>11111127</t>
        </is>
      </c>
      <c r="E828" t="inlineStr">
        <is>
          <t>Vodacom Life 20260622</t>
        </is>
      </c>
      <c r="J828" t="inlineStr">
        <is>
          <t>AE</t>
        </is>
      </c>
      <c r="K828" t="inlineStr">
        <is>
          <t>Auto Engaged</t>
        </is>
      </c>
      <c r="L828" t="n">
        <v>5</v>
      </c>
      <c r="M828" t="inlineStr">
        <is>
          <t>2026-06-26 10:27:16</t>
        </is>
      </c>
      <c r="N828" t="inlineStr">
        <is>
          <t>system</t>
        </is>
      </c>
      <c r="O828" t="inlineStr">
        <is>
          <t>2026-06-22 14:11:25</t>
        </is>
      </c>
      <c r="P828" t="inlineStr">
        <is>
          <t>2026-06-22 14:11:25</t>
        </is>
      </c>
      <c r="Y828" t="inlineStr">
        <is>
          <t>27726784615</t>
        </is>
      </c>
    </row>
    <row r="829">
      <c r="A829" t="inlineStr">
        <is>
          <t>14974219</t>
        </is>
      </c>
      <c r="B829" t="inlineStr">
        <is>
          <t>879f8464-c5f7-4e45-a76d-f886366c0ffa</t>
        </is>
      </c>
      <c r="D829" t="inlineStr">
        <is>
          <t>11111127</t>
        </is>
      </c>
      <c r="E829" t="inlineStr">
        <is>
          <t>Vodacom Life 20260622</t>
        </is>
      </c>
      <c r="J829" t="inlineStr">
        <is>
          <t>AE</t>
        </is>
      </c>
      <c r="K829" t="inlineStr">
        <is>
          <t>Auto Engaged</t>
        </is>
      </c>
      <c r="L829" t="n">
        <v>5</v>
      </c>
      <c r="M829" t="inlineStr">
        <is>
          <t>2026-06-26 10:27:15</t>
        </is>
      </c>
      <c r="N829" t="inlineStr">
        <is>
          <t>system</t>
        </is>
      </c>
      <c r="O829" t="inlineStr">
        <is>
          <t>2026-06-22 14:11:25</t>
        </is>
      </c>
      <c r="P829" t="inlineStr">
        <is>
          <t>2026-06-22 14:11:25</t>
        </is>
      </c>
      <c r="Y829" t="inlineStr">
        <is>
          <t>27674553549</t>
        </is>
      </c>
    </row>
    <row r="830">
      <c r="A830" t="inlineStr">
        <is>
          <t>14974244</t>
        </is>
      </c>
      <c r="B830" t="inlineStr">
        <is>
          <t>0ba6b606-b6d4-4574-a074-edf62d66143d</t>
        </is>
      </c>
      <c r="D830" t="inlineStr">
        <is>
          <t>11111127</t>
        </is>
      </c>
      <c r="E830" t="inlineStr">
        <is>
          <t>Vodacom Life 20260622</t>
        </is>
      </c>
      <c r="J830" t="inlineStr">
        <is>
          <t>DROP</t>
        </is>
      </c>
      <c r="K830" t="inlineStr">
        <is>
          <t>Dropped</t>
        </is>
      </c>
      <c r="L830" t="n">
        <v>5</v>
      </c>
      <c r="M830" t="inlineStr">
        <is>
          <t>2026-06-26 10:23:57</t>
        </is>
      </c>
      <c r="N830" t="inlineStr">
        <is>
          <t>system</t>
        </is>
      </c>
      <c r="O830" t="inlineStr">
        <is>
          <t>2026-06-22 14:11:25</t>
        </is>
      </c>
      <c r="P830" t="inlineStr">
        <is>
          <t>2026-06-22 14:11:25</t>
        </is>
      </c>
      <c r="Y830" t="inlineStr">
        <is>
          <t>27760350461</t>
        </is>
      </c>
    </row>
    <row r="831">
      <c r="A831" t="inlineStr">
        <is>
          <t>14974243</t>
        </is>
      </c>
      <c r="B831" t="inlineStr">
        <is>
          <t>083096ff-c028-440b-8f66-793f9a190d81</t>
        </is>
      </c>
      <c r="D831" t="inlineStr">
        <is>
          <t>11111127</t>
        </is>
      </c>
      <c r="E831" t="inlineStr">
        <is>
          <t>Vodacom Life 20260622</t>
        </is>
      </c>
      <c r="H831" t="inlineStr">
        <is>
          <t>27726326982</t>
        </is>
      </c>
      <c r="J831" t="inlineStr">
        <is>
          <t>CU</t>
        </is>
      </c>
      <c r="K831" t="inlineStr">
        <is>
          <t>Client Hung Up</t>
        </is>
      </c>
      <c r="L831" t="n">
        <v>5</v>
      </c>
      <c r="M831" t="inlineStr">
        <is>
          <t>2026-06-26 10:23:47</t>
        </is>
      </c>
      <c r="N831" t="inlineStr">
        <is>
          <t>Khensane Mabasa</t>
        </is>
      </c>
      <c r="O831" t="inlineStr">
        <is>
          <t>2026-06-22 14:11:25</t>
        </is>
      </c>
      <c r="P831" t="inlineStr">
        <is>
          <t>2026-06-22 14:11:25</t>
        </is>
      </c>
      <c r="Y831" t="inlineStr">
        <is>
          <t>27726326982</t>
        </is>
      </c>
    </row>
    <row r="832">
      <c r="A832" t="inlineStr">
        <is>
          <t>14974241</t>
        </is>
      </c>
      <c r="B832" t="inlineStr">
        <is>
          <t>a7d2bf31-7dbb-465d-90f8-8795046dff76</t>
        </is>
      </c>
      <c r="D832" t="inlineStr">
        <is>
          <t>11111127</t>
        </is>
      </c>
      <c r="E832" t="inlineStr">
        <is>
          <t>Vodacom Life 20260622</t>
        </is>
      </c>
      <c r="J832" t="inlineStr">
        <is>
          <t>AA</t>
        </is>
      </c>
      <c r="K832" t="inlineStr">
        <is>
          <t>Answering Machine Autodial</t>
        </is>
      </c>
      <c r="L832" t="n">
        <v>5</v>
      </c>
      <c r="M832" t="inlineStr">
        <is>
          <t>2026-06-26 10:23:46</t>
        </is>
      </c>
      <c r="N832" t="inlineStr">
        <is>
          <t>system</t>
        </is>
      </c>
      <c r="O832" t="inlineStr">
        <is>
          <t>2026-06-22 14:11:25</t>
        </is>
      </c>
      <c r="P832" t="inlineStr">
        <is>
          <t>2026-06-22 14:11:25</t>
        </is>
      </c>
      <c r="Y832" t="inlineStr">
        <is>
          <t>27723779135</t>
        </is>
      </c>
    </row>
    <row r="833">
      <c r="A833" t="inlineStr">
        <is>
          <t>14974242</t>
        </is>
      </c>
      <c r="B833" t="inlineStr">
        <is>
          <t>256b5f3d-b22a-4677-9201-9b26926d51bd</t>
        </is>
      </c>
      <c r="D833" t="inlineStr">
        <is>
          <t>11111127</t>
        </is>
      </c>
      <c r="E833" t="inlineStr">
        <is>
          <t>Vodacom Life 20260622</t>
        </is>
      </c>
      <c r="J833" t="inlineStr">
        <is>
          <t>AE</t>
        </is>
      </c>
      <c r="K833" t="inlineStr">
        <is>
          <t>Auto Engaged</t>
        </is>
      </c>
      <c r="L833" t="n">
        <v>5</v>
      </c>
      <c r="M833" t="inlineStr">
        <is>
          <t>2026-06-26 10:23:46</t>
        </is>
      </c>
      <c r="N833" t="inlineStr">
        <is>
          <t>system</t>
        </is>
      </c>
      <c r="O833" t="inlineStr">
        <is>
          <t>2026-06-22 14:11:25</t>
        </is>
      </c>
      <c r="P833" t="inlineStr">
        <is>
          <t>2026-06-22 14:11:25</t>
        </is>
      </c>
      <c r="Y833" t="inlineStr">
        <is>
          <t>27760523738</t>
        </is>
      </c>
    </row>
    <row r="834">
      <c r="A834" t="inlineStr">
        <is>
          <t>14974237</t>
        </is>
      </c>
      <c r="B834" t="inlineStr">
        <is>
          <t>f5f4607c-c789-4bc0-883f-0dca605ee748</t>
        </is>
      </c>
      <c r="D834" t="inlineStr">
        <is>
          <t>11111127</t>
        </is>
      </c>
      <c r="E834" t="inlineStr">
        <is>
          <t>Vodacom Life 20260622</t>
        </is>
      </c>
      <c r="J834" t="inlineStr">
        <is>
          <t>AA</t>
        </is>
      </c>
      <c r="K834" t="inlineStr">
        <is>
          <t>Answering Machine Autodial</t>
        </is>
      </c>
      <c r="L834" t="n">
        <v>5</v>
      </c>
      <c r="M834" t="inlineStr">
        <is>
          <t>2026-06-26 10:23:32</t>
        </is>
      </c>
      <c r="N834" t="inlineStr">
        <is>
          <t>system</t>
        </is>
      </c>
      <c r="O834" t="inlineStr">
        <is>
          <t>2026-06-22 14:11:25</t>
        </is>
      </c>
      <c r="P834" t="inlineStr">
        <is>
          <t>2026-06-22 14:11:25</t>
        </is>
      </c>
      <c r="Y834" t="inlineStr">
        <is>
          <t>27795954882</t>
        </is>
      </c>
    </row>
    <row r="835">
      <c r="A835" t="inlineStr">
        <is>
          <t>14974239</t>
        </is>
      </c>
      <c r="B835" t="inlineStr">
        <is>
          <t>0dcfbd0b-e328-45e0-971d-d39332c09676</t>
        </is>
      </c>
      <c r="D835" t="inlineStr">
        <is>
          <t>11111127</t>
        </is>
      </c>
      <c r="E835" t="inlineStr">
        <is>
          <t>Vodacom Life 20260622</t>
        </is>
      </c>
      <c r="J835" t="inlineStr">
        <is>
          <t>AA</t>
        </is>
      </c>
      <c r="K835" t="inlineStr">
        <is>
          <t>Answering Machine Autodial</t>
        </is>
      </c>
      <c r="L835" t="n">
        <v>5</v>
      </c>
      <c r="M835" t="inlineStr">
        <is>
          <t>2026-06-26 10:23:32</t>
        </is>
      </c>
      <c r="N835" t="inlineStr">
        <is>
          <t>system</t>
        </is>
      </c>
      <c r="O835" t="inlineStr">
        <is>
          <t>2026-06-22 14:11:25</t>
        </is>
      </c>
      <c r="P835" t="inlineStr">
        <is>
          <t>2026-06-22 14:11:25</t>
        </is>
      </c>
      <c r="Y835" t="inlineStr">
        <is>
          <t>27824247099</t>
        </is>
      </c>
    </row>
    <row r="836">
      <c r="A836" t="inlineStr">
        <is>
          <t>14974240</t>
        </is>
      </c>
      <c r="B836" t="inlineStr">
        <is>
          <t>e156a63c-4078-4788-8937-a300a5b1c74b</t>
        </is>
      </c>
      <c r="D836" t="inlineStr">
        <is>
          <t>11111127</t>
        </is>
      </c>
      <c r="E836" t="inlineStr">
        <is>
          <t>Vodacom Life 20260622</t>
        </is>
      </c>
      <c r="J836" t="inlineStr">
        <is>
          <t>AE</t>
        </is>
      </c>
      <c r="K836" t="inlineStr">
        <is>
          <t>Auto Engaged</t>
        </is>
      </c>
      <c r="L836" t="n">
        <v>5</v>
      </c>
      <c r="M836" t="inlineStr">
        <is>
          <t>2026-06-26 10:23:32</t>
        </is>
      </c>
      <c r="N836" t="inlineStr">
        <is>
          <t>system</t>
        </is>
      </c>
      <c r="O836" t="inlineStr">
        <is>
          <t>2026-06-22 14:11:25</t>
        </is>
      </c>
      <c r="P836" t="inlineStr">
        <is>
          <t>2026-06-22 14:11:25</t>
        </is>
      </c>
      <c r="Y836" t="inlineStr">
        <is>
          <t>27674613063</t>
        </is>
      </c>
    </row>
    <row r="837">
      <c r="A837" t="inlineStr">
        <is>
          <t>14974070</t>
        </is>
      </c>
      <c r="B837" t="inlineStr">
        <is>
          <t>9da43b3c-408d-4ead-b9f9-2f8183e45462</t>
        </is>
      </c>
      <c r="D837" t="inlineStr">
        <is>
          <t>11111127</t>
        </is>
      </c>
      <c r="E837" t="inlineStr">
        <is>
          <t>Vodacom Life 20260622</t>
        </is>
      </c>
      <c r="H837" t="inlineStr">
        <is>
          <t>27825875898</t>
        </is>
      </c>
      <c r="J837" t="inlineStr">
        <is>
          <t>DROP</t>
        </is>
      </c>
      <c r="K837" t="inlineStr">
        <is>
          <t>Dropped</t>
        </is>
      </c>
      <c r="L837" t="n">
        <v>5</v>
      </c>
      <c r="M837" t="inlineStr">
        <is>
          <t>2026-06-26 10:22:20</t>
        </is>
      </c>
      <c r="N837" t="inlineStr">
        <is>
          <t>system</t>
        </is>
      </c>
      <c r="O837" t="inlineStr">
        <is>
          <t>2026-06-22 14:11:25</t>
        </is>
      </c>
      <c r="P837" t="inlineStr">
        <is>
          <t>2026-06-22 14:11:25</t>
        </is>
      </c>
      <c r="Y837" t="inlineStr">
        <is>
          <t>27825875898</t>
        </is>
      </c>
    </row>
    <row r="838">
      <c r="A838" t="inlineStr">
        <is>
          <t>14974095</t>
        </is>
      </c>
      <c r="B838" t="inlineStr">
        <is>
          <t>ffafcb9a-86aa-4083-97ad-6a34f2584203</t>
        </is>
      </c>
      <c r="D838" t="inlineStr">
        <is>
          <t>11111127</t>
        </is>
      </c>
      <c r="E838" t="inlineStr">
        <is>
          <t>Vodacom Life 20260622</t>
        </is>
      </c>
      <c r="J838" t="inlineStr">
        <is>
          <t>CU</t>
        </is>
      </c>
      <c r="K838" t="inlineStr">
        <is>
          <t>Client Hung Up</t>
        </is>
      </c>
      <c r="L838" t="n">
        <v>5</v>
      </c>
      <c r="M838" t="inlineStr">
        <is>
          <t>2026-06-26 10:22:16</t>
        </is>
      </c>
      <c r="N838" t="inlineStr">
        <is>
          <t>Khensane Mabasa</t>
        </is>
      </c>
      <c r="O838" t="inlineStr">
        <is>
          <t>2026-06-22 14:11:25</t>
        </is>
      </c>
      <c r="P838" t="inlineStr">
        <is>
          <t>2026-06-22 14:11:25</t>
        </is>
      </c>
      <c r="Y838" t="inlineStr">
        <is>
          <t>27723509178</t>
        </is>
      </c>
    </row>
    <row r="839">
      <c r="A839" t="inlineStr">
        <is>
          <t>14974057</t>
        </is>
      </c>
      <c r="B839" t="inlineStr">
        <is>
          <t>ff6eb85c-dba5-4b8e-b425-180cf3470a7e</t>
        </is>
      </c>
      <c r="D839" t="inlineStr">
        <is>
          <t>11111127</t>
        </is>
      </c>
      <c r="E839" t="inlineStr">
        <is>
          <t>Vodacom Life 20260622</t>
        </is>
      </c>
      <c r="J839" t="inlineStr">
        <is>
          <t>DROP</t>
        </is>
      </c>
      <c r="K839" t="inlineStr">
        <is>
          <t>Dropped</t>
        </is>
      </c>
      <c r="L839" t="n">
        <v>5</v>
      </c>
      <c r="M839" t="inlineStr">
        <is>
          <t>2026-06-26 10:20:36</t>
        </is>
      </c>
      <c r="N839" t="inlineStr">
        <is>
          <t>system</t>
        </is>
      </c>
      <c r="O839" t="inlineStr">
        <is>
          <t>2026-06-22 14:11:25</t>
        </is>
      </c>
      <c r="P839" t="inlineStr">
        <is>
          <t>2026-06-22 14:11:25</t>
        </is>
      </c>
      <c r="Y839" t="inlineStr">
        <is>
          <t>27661459869</t>
        </is>
      </c>
    </row>
    <row r="840">
      <c r="A840" t="inlineStr">
        <is>
          <t>14974066</t>
        </is>
      </c>
      <c r="B840" t="inlineStr">
        <is>
          <t>09222f65-2065-4a8e-b2a6-ea5c99da10cb</t>
        </is>
      </c>
      <c r="D840" t="inlineStr">
        <is>
          <t>11111127</t>
        </is>
      </c>
      <c r="E840" t="inlineStr">
        <is>
          <t>Vodacom Life 20260622</t>
        </is>
      </c>
      <c r="J840" t="inlineStr">
        <is>
          <t>DROP</t>
        </is>
      </c>
      <c r="K840" t="inlineStr">
        <is>
          <t>Dropped</t>
        </is>
      </c>
      <c r="L840" t="n">
        <v>5</v>
      </c>
      <c r="M840" t="inlineStr">
        <is>
          <t>2026-06-26 10:20:36</t>
        </is>
      </c>
      <c r="N840" t="inlineStr">
        <is>
          <t>system</t>
        </is>
      </c>
      <c r="O840" t="inlineStr">
        <is>
          <t>2026-06-22 14:11:25</t>
        </is>
      </c>
      <c r="P840" t="inlineStr">
        <is>
          <t>2026-06-22 14:11:25</t>
        </is>
      </c>
      <c r="Y840" t="inlineStr">
        <is>
          <t>27711617197</t>
        </is>
      </c>
    </row>
    <row r="841">
      <c r="A841" t="inlineStr">
        <is>
          <t>14974058</t>
        </is>
      </c>
      <c r="B841" t="inlineStr">
        <is>
          <t>c57336a5-2921-4518-8d35-54f91220d9bc</t>
        </is>
      </c>
      <c r="D841" t="inlineStr">
        <is>
          <t>11111127</t>
        </is>
      </c>
      <c r="E841" t="inlineStr">
        <is>
          <t>Vodacom Life 20260622</t>
        </is>
      </c>
      <c r="J841" t="inlineStr">
        <is>
          <t>AE</t>
        </is>
      </c>
      <c r="K841" t="inlineStr">
        <is>
          <t>Auto Engaged</t>
        </is>
      </c>
      <c r="L841" t="n">
        <v>5</v>
      </c>
      <c r="M841" t="inlineStr">
        <is>
          <t>2026-06-26 10:20:04</t>
        </is>
      </c>
      <c r="N841" t="inlineStr">
        <is>
          <t>system</t>
        </is>
      </c>
      <c r="O841" t="inlineStr">
        <is>
          <t>2026-06-22 14:11:25</t>
        </is>
      </c>
      <c r="P841" t="inlineStr">
        <is>
          <t>2026-06-22 14:11:25</t>
        </is>
      </c>
      <c r="Y841" t="inlineStr">
        <is>
          <t>27662153696</t>
        </is>
      </c>
    </row>
    <row r="842">
      <c r="A842" t="inlineStr">
        <is>
          <t>14974081</t>
        </is>
      </c>
      <c r="B842" t="inlineStr">
        <is>
          <t>f0be1dfe-5a24-40f4-a8da-8fe68dee4a36</t>
        </is>
      </c>
      <c r="D842" t="inlineStr">
        <is>
          <t>11111127</t>
        </is>
      </c>
      <c r="E842" t="inlineStr">
        <is>
          <t>Vodacom Life 20260622</t>
        </is>
      </c>
      <c r="J842" t="inlineStr">
        <is>
          <t>AA</t>
        </is>
      </c>
      <c r="K842" t="inlineStr">
        <is>
          <t>Answering Machine Autodial</t>
        </is>
      </c>
      <c r="L842" t="n">
        <v>5</v>
      </c>
      <c r="M842" t="inlineStr">
        <is>
          <t>2026-06-26 10:20:04</t>
        </is>
      </c>
      <c r="N842" t="inlineStr">
        <is>
          <t>system</t>
        </is>
      </c>
      <c r="O842" t="inlineStr">
        <is>
          <t>2026-06-22 14:11:25</t>
        </is>
      </c>
      <c r="P842" t="inlineStr">
        <is>
          <t>2026-06-22 14:11:25</t>
        </is>
      </c>
      <c r="Y842" t="inlineStr">
        <is>
          <t>27790684433</t>
        </is>
      </c>
    </row>
    <row r="843">
      <c r="A843" t="inlineStr">
        <is>
          <t>14974046</t>
        </is>
      </c>
      <c r="B843" t="inlineStr">
        <is>
          <t>32bd2cdc-2ea7-4522-b548-153b5a6af652</t>
        </is>
      </c>
      <c r="D843" t="inlineStr">
        <is>
          <t>11111127</t>
        </is>
      </c>
      <c r="E843" t="inlineStr">
        <is>
          <t>Vodacom Life 20260622</t>
        </is>
      </c>
      <c r="J843" t="inlineStr">
        <is>
          <t>CU</t>
        </is>
      </c>
      <c r="K843" t="inlineStr">
        <is>
          <t>Client Hung Up</t>
        </is>
      </c>
      <c r="L843" t="n">
        <v>5</v>
      </c>
      <c r="M843" t="inlineStr">
        <is>
          <t>2026-06-26 10:19:36</t>
        </is>
      </c>
      <c r="N843" t="inlineStr">
        <is>
          <t>Maureen Ntsoko</t>
        </is>
      </c>
      <c r="O843" t="inlineStr">
        <is>
          <t>2026-06-22 14:11:25</t>
        </is>
      </c>
      <c r="P843" t="inlineStr">
        <is>
          <t>2026-06-22 14:11:25</t>
        </is>
      </c>
      <c r="Y843" t="inlineStr">
        <is>
          <t>27825434194</t>
        </is>
      </c>
    </row>
    <row r="844">
      <c r="A844" t="inlineStr">
        <is>
          <t>14974040</t>
        </is>
      </c>
      <c r="B844" t="inlineStr">
        <is>
          <t>c93961ab-ab0c-413d-8c8b-397e02189811</t>
        </is>
      </c>
      <c r="D844" t="inlineStr">
        <is>
          <t>11111127</t>
        </is>
      </c>
      <c r="E844" t="inlineStr">
        <is>
          <t>Vodacom Life 20260622</t>
        </is>
      </c>
      <c r="J844" t="inlineStr">
        <is>
          <t>TDN</t>
        </is>
      </c>
      <c r="K844" t="inlineStr">
        <is>
          <t>Temporary Disconnected Number</t>
        </is>
      </c>
      <c r="L844" t="n">
        <v>5</v>
      </c>
      <c r="M844" t="inlineStr">
        <is>
          <t>2026-06-26 10:19:20</t>
        </is>
      </c>
      <c r="N844" t="inlineStr">
        <is>
          <t>system</t>
        </is>
      </c>
      <c r="O844" t="inlineStr">
        <is>
          <t>2026-06-22 14:11:25</t>
        </is>
      </c>
      <c r="P844" t="inlineStr">
        <is>
          <t>2026-06-22 14:11:25</t>
        </is>
      </c>
      <c r="Y844" t="inlineStr">
        <is>
          <t>27763618620</t>
        </is>
      </c>
    </row>
    <row r="845">
      <c r="A845" t="inlineStr">
        <is>
          <t>14974041</t>
        </is>
      </c>
      <c r="B845" t="inlineStr">
        <is>
          <t>1dd7111e-48e6-420b-bd33-032442ba401b</t>
        </is>
      </c>
      <c r="D845" t="inlineStr">
        <is>
          <t>11111127</t>
        </is>
      </c>
      <c r="E845" t="inlineStr">
        <is>
          <t>Vodacom Life 20260622</t>
        </is>
      </c>
      <c r="J845" t="inlineStr">
        <is>
          <t>ADC</t>
        </is>
      </c>
      <c r="K845" t="inlineStr">
        <is>
          <t>Auto Dial Disconnected</t>
        </is>
      </c>
      <c r="L845" t="n">
        <v>5</v>
      </c>
      <c r="M845" t="inlineStr">
        <is>
          <t>2026-06-26 10:19:19</t>
        </is>
      </c>
      <c r="N845" t="inlineStr">
        <is>
          <t>system</t>
        </is>
      </c>
      <c r="O845" t="inlineStr">
        <is>
          <t>2026-06-22 14:11:25</t>
        </is>
      </c>
      <c r="P845" t="inlineStr">
        <is>
          <t>2026-06-22 14:11:25</t>
        </is>
      </c>
      <c r="Y845" t="inlineStr">
        <is>
          <t>27793540158</t>
        </is>
      </c>
    </row>
    <row r="846">
      <c r="A846" t="inlineStr">
        <is>
          <t>14974069</t>
        </is>
      </c>
      <c r="B846" t="inlineStr">
        <is>
          <t>a0d6c175-1e0b-49b5-ba8f-dc751cacd8e2</t>
        </is>
      </c>
      <c r="D846" t="inlineStr">
        <is>
          <t>11111127</t>
        </is>
      </c>
      <c r="E846" t="inlineStr">
        <is>
          <t>Vodacom Life 20260622</t>
        </is>
      </c>
      <c r="J846" t="inlineStr">
        <is>
          <t>AA</t>
        </is>
      </c>
      <c r="K846" t="inlineStr">
        <is>
          <t>Answering Machine Autodial</t>
        </is>
      </c>
      <c r="L846" t="n">
        <v>5</v>
      </c>
      <c r="M846" t="inlineStr">
        <is>
          <t>2026-06-26 10:19:15</t>
        </is>
      </c>
      <c r="N846" t="inlineStr">
        <is>
          <t>system</t>
        </is>
      </c>
      <c r="O846" t="inlineStr">
        <is>
          <t>2026-06-22 14:11:25</t>
        </is>
      </c>
      <c r="P846" t="inlineStr">
        <is>
          <t>2026-06-22 14:11:25</t>
        </is>
      </c>
      <c r="Y846" t="inlineStr">
        <is>
          <t>27608230314</t>
        </is>
      </c>
    </row>
    <row r="847">
      <c r="A847" t="inlineStr">
        <is>
          <t>14974047</t>
        </is>
      </c>
      <c r="B847" t="inlineStr">
        <is>
          <t>524aa013-9164-47c6-bbc2-2db2bf67fbd3</t>
        </is>
      </c>
      <c r="D847" t="inlineStr">
        <is>
          <t>11111127</t>
        </is>
      </c>
      <c r="E847" t="inlineStr">
        <is>
          <t>Vodacom Life 20260622</t>
        </is>
      </c>
      <c r="J847" t="inlineStr">
        <is>
          <t>AA</t>
        </is>
      </c>
      <c r="K847" t="inlineStr">
        <is>
          <t>Answering Machine Autodial</t>
        </is>
      </c>
      <c r="L847" t="n">
        <v>5</v>
      </c>
      <c r="M847" t="inlineStr">
        <is>
          <t>2026-06-26 10:19:08</t>
        </is>
      </c>
      <c r="N847" t="inlineStr">
        <is>
          <t>system</t>
        </is>
      </c>
      <c r="O847" t="inlineStr">
        <is>
          <t>2026-06-22 14:11:25</t>
        </is>
      </c>
      <c r="P847" t="inlineStr">
        <is>
          <t>2026-06-22 14:11:25</t>
        </is>
      </c>
      <c r="Y847" t="inlineStr">
        <is>
          <t>27795946283</t>
        </is>
      </c>
    </row>
    <row r="848">
      <c r="A848" t="inlineStr">
        <is>
          <t>14974042</t>
        </is>
      </c>
      <c r="B848" t="inlineStr">
        <is>
          <t>03527f17-cb85-4630-bdf9-2d276177f256</t>
        </is>
      </c>
      <c r="D848" t="inlineStr">
        <is>
          <t>11111127</t>
        </is>
      </c>
      <c r="E848" t="inlineStr">
        <is>
          <t>Vodacom Life 20260622</t>
        </is>
      </c>
      <c r="J848" t="inlineStr">
        <is>
          <t>AA</t>
        </is>
      </c>
      <c r="K848" t="inlineStr">
        <is>
          <t>Answering Machine Autodial</t>
        </is>
      </c>
      <c r="L848" t="n">
        <v>5</v>
      </c>
      <c r="M848" t="inlineStr">
        <is>
          <t>2026-06-26 10:19:08</t>
        </is>
      </c>
      <c r="N848" t="inlineStr">
        <is>
          <t>system</t>
        </is>
      </c>
      <c r="O848" t="inlineStr">
        <is>
          <t>2026-06-22 14:11:25</t>
        </is>
      </c>
      <c r="P848" t="inlineStr">
        <is>
          <t>2026-06-22 14:11:25</t>
        </is>
      </c>
      <c r="Y848" t="inlineStr">
        <is>
          <t>27728825686</t>
        </is>
      </c>
    </row>
    <row r="849">
      <c r="A849" t="inlineStr">
        <is>
          <t>14974048</t>
        </is>
      </c>
      <c r="B849" t="inlineStr">
        <is>
          <t>a8e76d76-5f72-4d18-8cf2-7ce4b33774ca</t>
        </is>
      </c>
      <c r="D849" t="inlineStr">
        <is>
          <t>11111127</t>
        </is>
      </c>
      <c r="E849" t="inlineStr">
        <is>
          <t>Vodacom Life 20260622</t>
        </is>
      </c>
      <c r="J849" t="inlineStr">
        <is>
          <t>AA</t>
        </is>
      </c>
      <c r="K849" t="inlineStr">
        <is>
          <t>Answering Machine Autodial</t>
        </is>
      </c>
      <c r="L849" t="n">
        <v>5</v>
      </c>
      <c r="M849" t="inlineStr">
        <is>
          <t>2026-06-26 10:19:02</t>
        </is>
      </c>
      <c r="N849" t="inlineStr">
        <is>
          <t>system</t>
        </is>
      </c>
      <c r="O849" t="inlineStr">
        <is>
          <t>2026-06-22 14:11:25</t>
        </is>
      </c>
      <c r="P849" t="inlineStr">
        <is>
          <t>2026-06-22 14:11:25</t>
        </is>
      </c>
      <c r="Y849" t="inlineStr">
        <is>
          <t>27673647594</t>
        </is>
      </c>
    </row>
    <row r="850">
      <c r="A850" t="inlineStr">
        <is>
          <t>14974043</t>
        </is>
      </c>
      <c r="B850" t="inlineStr">
        <is>
          <t>4c58aad3-ae88-4691-9484-3bdfb3f1ed85</t>
        </is>
      </c>
      <c r="D850" t="inlineStr">
        <is>
          <t>11111127</t>
        </is>
      </c>
      <c r="E850" t="inlineStr">
        <is>
          <t>Vodacom Life 20260622</t>
        </is>
      </c>
      <c r="J850" t="inlineStr">
        <is>
          <t>AA</t>
        </is>
      </c>
      <c r="K850" t="inlineStr">
        <is>
          <t>Answering Machine Autodial</t>
        </is>
      </c>
      <c r="L850" t="n">
        <v>5</v>
      </c>
      <c r="M850" t="inlineStr">
        <is>
          <t>2026-06-26 10:18:48</t>
        </is>
      </c>
      <c r="N850" t="inlineStr">
        <is>
          <t>system</t>
        </is>
      </c>
      <c r="O850" t="inlineStr">
        <is>
          <t>2026-06-22 14:11:25</t>
        </is>
      </c>
      <c r="P850" t="inlineStr">
        <is>
          <t>2026-06-22 14:11:25</t>
        </is>
      </c>
      <c r="Y850" t="inlineStr">
        <is>
          <t>27729099941</t>
        </is>
      </c>
    </row>
    <row r="851">
      <c r="A851" t="inlineStr">
        <is>
          <t>14974049</t>
        </is>
      </c>
      <c r="B851" t="inlineStr">
        <is>
          <t>2fbdf83b-172c-4c57-99e0-5674a54f6d90</t>
        </is>
      </c>
      <c r="D851" t="inlineStr">
        <is>
          <t>11111127</t>
        </is>
      </c>
      <c r="E851" t="inlineStr">
        <is>
          <t>Vodacom Life 20260622</t>
        </is>
      </c>
      <c r="J851" t="inlineStr">
        <is>
          <t>DROP</t>
        </is>
      </c>
      <c r="K851" t="inlineStr">
        <is>
          <t>Dropped</t>
        </is>
      </c>
      <c r="L851" t="n">
        <v>5</v>
      </c>
      <c r="M851" t="inlineStr">
        <is>
          <t>2026-06-26 10:18:46</t>
        </is>
      </c>
      <c r="N851" t="inlineStr">
        <is>
          <t>system</t>
        </is>
      </c>
      <c r="O851" t="inlineStr">
        <is>
          <t>2026-06-22 14:11:25</t>
        </is>
      </c>
      <c r="P851" t="inlineStr">
        <is>
          <t>2026-06-22 14:11:25</t>
        </is>
      </c>
      <c r="Y851" t="inlineStr">
        <is>
          <t>27711357466</t>
        </is>
      </c>
    </row>
    <row r="852">
      <c r="A852" t="inlineStr">
        <is>
          <t>14974060</t>
        </is>
      </c>
      <c r="B852" t="inlineStr">
        <is>
          <t>2d1db6fa-061d-40aa-b981-d3597259ca4c</t>
        </is>
      </c>
      <c r="D852" t="inlineStr">
        <is>
          <t>11111127</t>
        </is>
      </c>
      <c r="E852" t="inlineStr">
        <is>
          <t>Vodacom Life 20260622</t>
        </is>
      </c>
      <c r="J852" t="inlineStr">
        <is>
          <t>NI</t>
        </is>
      </c>
      <c r="K852" t="inlineStr">
        <is>
          <t>Not Interested</t>
        </is>
      </c>
      <c r="L852" t="n">
        <v>5</v>
      </c>
      <c r="M852" t="inlineStr">
        <is>
          <t>2026-06-26 10:18:46</t>
        </is>
      </c>
      <c r="N852" t="inlineStr">
        <is>
          <t>Khensane Mabasa</t>
        </is>
      </c>
      <c r="O852" t="inlineStr">
        <is>
          <t>2026-06-22 14:11:25</t>
        </is>
      </c>
      <c r="P852" t="inlineStr">
        <is>
          <t>2026-06-22 14:11:25</t>
        </is>
      </c>
      <c r="Y852" t="inlineStr">
        <is>
          <t>27794520218</t>
        </is>
      </c>
    </row>
    <row r="853">
      <c r="A853" t="inlineStr">
        <is>
          <t>14974061</t>
        </is>
      </c>
      <c r="B853" t="inlineStr">
        <is>
          <t>abca5f64-6957-4bab-8ede-f9b66f01a910</t>
        </is>
      </c>
      <c r="D853" t="inlineStr">
        <is>
          <t>11111127</t>
        </is>
      </c>
      <c r="E853" t="inlineStr">
        <is>
          <t>Vodacom Life 20260622</t>
        </is>
      </c>
      <c r="J853" t="inlineStr">
        <is>
          <t>AA</t>
        </is>
      </c>
      <c r="K853" t="inlineStr">
        <is>
          <t>Answering Machine Autodial</t>
        </is>
      </c>
      <c r="L853" t="n">
        <v>5</v>
      </c>
      <c r="M853" t="inlineStr">
        <is>
          <t>2026-06-26 10:18:46</t>
        </is>
      </c>
      <c r="N853" t="inlineStr">
        <is>
          <t>system</t>
        </is>
      </c>
      <c r="O853" t="inlineStr">
        <is>
          <t>2026-06-22 14:11:25</t>
        </is>
      </c>
      <c r="P853" t="inlineStr">
        <is>
          <t>2026-06-22 14:11:25</t>
        </is>
      </c>
      <c r="Y853" t="inlineStr">
        <is>
          <t>27721528447</t>
        </is>
      </c>
    </row>
    <row r="854">
      <c r="A854" t="inlineStr">
        <is>
          <t>14974064</t>
        </is>
      </c>
      <c r="B854" t="inlineStr">
        <is>
          <t>077a2959-e7d2-41b2-a56e-fe3eb20e6b39</t>
        </is>
      </c>
      <c r="D854" t="inlineStr">
        <is>
          <t>11111127</t>
        </is>
      </c>
      <c r="E854" t="inlineStr">
        <is>
          <t>Vodacom Life 20260622</t>
        </is>
      </c>
      <c r="J854" t="inlineStr">
        <is>
          <t>AA</t>
        </is>
      </c>
      <c r="K854" t="inlineStr">
        <is>
          <t>Answering Machine Autodial</t>
        </is>
      </c>
      <c r="L854" t="n">
        <v>5</v>
      </c>
      <c r="M854" t="inlineStr">
        <is>
          <t>2026-06-26 10:18:46</t>
        </is>
      </c>
      <c r="N854" t="inlineStr">
        <is>
          <t>system</t>
        </is>
      </c>
      <c r="O854" t="inlineStr">
        <is>
          <t>2026-06-22 14:11:25</t>
        </is>
      </c>
      <c r="P854" t="inlineStr">
        <is>
          <t>2026-06-22 14:11:25</t>
        </is>
      </c>
      <c r="Y854" t="inlineStr">
        <is>
          <t>27674851545</t>
        </is>
      </c>
    </row>
    <row r="855">
      <c r="A855" t="inlineStr">
        <is>
          <t>14974055</t>
        </is>
      </c>
      <c r="B855" t="inlineStr">
        <is>
          <t>3af48bad-77a4-4d64-946b-c5c28962a8b1</t>
        </is>
      </c>
      <c r="D855" t="inlineStr">
        <is>
          <t>11111127</t>
        </is>
      </c>
      <c r="E855" t="inlineStr">
        <is>
          <t>Vodacom Life 20260622</t>
        </is>
      </c>
      <c r="J855" t="inlineStr">
        <is>
          <t>AA</t>
        </is>
      </c>
      <c r="K855" t="inlineStr">
        <is>
          <t>Answering Machine Autodial</t>
        </is>
      </c>
      <c r="L855" t="n">
        <v>5</v>
      </c>
      <c r="M855" t="inlineStr">
        <is>
          <t>2026-06-26 10:17:19</t>
        </is>
      </c>
      <c r="N855" t="inlineStr">
        <is>
          <t>system</t>
        </is>
      </c>
      <c r="O855" t="inlineStr">
        <is>
          <t>2026-06-22 14:11:25</t>
        </is>
      </c>
      <c r="P855" t="inlineStr">
        <is>
          <t>2026-06-22 14:11:25</t>
        </is>
      </c>
      <c r="Y855" t="inlineStr">
        <is>
          <t>27722151621</t>
        </is>
      </c>
    </row>
    <row r="856">
      <c r="A856" t="inlineStr">
        <is>
          <t>14974062</t>
        </is>
      </c>
      <c r="B856" t="inlineStr">
        <is>
          <t>2594b0b0-1855-438a-b526-9bef04e9da07</t>
        </is>
      </c>
      <c r="D856" t="inlineStr">
        <is>
          <t>11111127</t>
        </is>
      </c>
      <c r="E856" t="inlineStr">
        <is>
          <t>Vodacom Life 20260622</t>
        </is>
      </c>
      <c r="J856" t="inlineStr">
        <is>
          <t>CBACK</t>
        </is>
      </c>
      <c r="K856" t="inlineStr">
        <is>
          <t>Callback</t>
        </is>
      </c>
      <c r="L856" t="n">
        <v>5</v>
      </c>
      <c r="M856" t="inlineStr">
        <is>
          <t>2026-06-26 10:17:19</t>
        </is>
      </c>
      <c r="N856" t="inlineStr">
        <is>
          <t>Khensane Mabasa</t>
        </is>
      </c>
      <c r="O856" t="inlineStr">
        <is>
          <t>2026-06-22 14:11:25</t>
        </is>
      </c>
      <c r="P856" t="inlineStr">
        <is>
          <t>2026-06-22 14:11:25</t>
        </is>
      </c>
      <c r="Y856" t="inlineStr">
        <is>
          <t>27760936010</t>
        </is>
      </c>
    </row>
    <row r="857">
      <c r="A857" t="inlineStr">
        <is>
          <t>14974078</t>
        </is>
      </c>
      <c r="B857" t="inlineStr">
        <is>
          <t>057a32fe-b6f7-4a86-92e2-e6699fc5f26e</t>
        </is>
      </c>
      <c r="D857" t="inlineStr">
        <is>
          <t>11111127</t>
        </is>
      </c>
      <c r="E857" t="inlineStr">
        <is>
          <t>Vodacom Life 20260622</t>
        </is>
      </c>
      <c r="J857" t="inlineStr">
        <is>
          <t>DROP</t>
        </is>
      </c>
      <c r="K857" t="inlineStr">
        <is>
          <t>Dropped</t>
        </is>
      </c>
      <c r="L857" t="n">
        <v>5</v>
      </c>
      <c r="M857" t="inlineStr">
        <is>
          <t>2026-06-26 10:17:19</t>
        </is>
      </c>
      <c r="N857" t="inlineStr">
        <is>
          <t>system</t>
        </is>
      </c>
      <c r="O857" t="inlineStr">
        <is>
          <t>2026-06-22 14:11:25</t>
        </is>
      </c>
      <c r="P857" t="inlineStr">
        <is>
          <t>2026-06-22 14:11:25</t>
        </is>
      </c>
      <c r="Y857" t="inlineStr">
        <is>
          <t>27665584694</t>
        </is>
      </c>
    </row>
    <row r="858">
      <c r="A858" t="inlineStr">
        <is>
          <t>14974051</t>
        </is>
      </c>
      <c r="B858" t="inlineStr">
        <is>
          <t>9a6c0102-27d6-478c-9f6a-7a5a96ccbc7a</t>
        </is>
      </c>
      <c r="D858" t="inlineStr">
        <is>
          <t>11111127</t>
        </is>
      </c>
      <c r="E858" t="inlineStr">
        <is>
          <t>Vodacom Life 20260622</t>
        </is>
      </c>
      <c r="H858" t="inlineStr">
        <is>
          <t>27714299031</t>
        </is>
      </c>
      <c r="J858" t="inlineStr">
        <is>
          <t>AA</t>
        </is>
      </c>
      <c r="K858" t="inlineStr">
        <is>
          <t>Answering Machine Autodial</t>
        </is>
      </c>
      <c r="L858" t="n">
        <v>5</v>
      </c>
      <c r="M858" t="inlineStr">
        <is>
          <t>2026-06-26 10:17:18</t>
        </is>
      </c>
      <c r="N858" t="inlineStr">
        <is>
          <t>system</t>
        </is>
      </c>
      <c r="O858" t="inlineStr">
        <is>
          <t>2026-06-22 14:11:25</t>
        </is>
      </c>
      <c r="P858" t="inlineStr">
        <is>
          <t>2026-06-22 14:11:25</t>
        </is>
      </c>
      <c r="Y858" t="inlineStr">
        <is>
          <t>27714299031</t>
        </is>
      </c>
    </row>
    <row r="859">
      <c r="A859" t="inlineStr">
        <is>
          <t>14974547</t>
        </is>
      </c>
      <c r="B859" t="inlineStr">
        <is>
          <t>eb7d6191-4809-4aac-aa50-c551d0426974</t>
        </is>
      </c>
      <c r="D859" t="inlineStr">
        <is>
          <t>11111127</t>
        </is>
      </c>
      <c r="E859" t="inlineStr">
        <is>
          <t>Vodacom Life 20260622</t>
        </is>
      </c>
      <c r="J859" t="inlineStr">
        <is>
          <t>N</t>
        </is>
      </c>
      <c r="K859" t="inlineStr">
        <is>
          <t>No Answer</t>
        </is>
      </c>
      <c r="L859" t="n">
        <v>5</v>
      </c>
      <c r="M859" t="inlineStr">
        <is>
          <t>2026-06-26 09:34:13</t>
        </is>
      </c>
      <c r="N859" t="inlineStr">
        <is>
          <t>Musiiwa Mary Mabirimisa</t>
        </is>
      </c>
      <c r="O859" t="inlineStr">
        <is>
          <t>2026-06-22 14:11:25</t>
        </is>
      </c>
      <c r="P859" t="inlineStr">
        <is>
          <t>2026-06-22 14:11:25</t>
        </is>
      </c>
      <c r="Y859" t="inlineStr">
        <is>
          <t>27768633998</t>
        </is>
      </c>
    </row>
    <row r="860">
      <c r="A860" t="inlineStr">
        <is>
          <t>14974371</t>
        </is>
      </c>
      <c r="B860" t="inlineStr">
        <is>
          <t>d746cd65-a7d7-4427-82e5-1f14091ff163</t>
        </is>
      </c>
      <c r="D860" t="inlineStr">
        <is>
          <t>11111127</t>
        </is>
      </c>
      <c r="E860" t="inlineStr">
        <is>
          <t>Vodacom Life 20260622</t>
        </is>
      </c>
      <c r="J860" t="inlineStr">
        <is>
          <t>N</t>
        </is>
      </c>
      <c r="K860" t="inlineStr">
        <is>
          <t>No Answer</t>
        </is>
      </c>
      <c r="L860" t="n">
        <v>5</v>
      </c>
      <c r="M860" t="inlineStr">
        <is>
          <t>2026-06-26 09:33:18</t>
        </is>
      </c>
      <c r="N860" t="inlineStr">
        <is>
          <t>Musiiwa Mary Mabirimisa</t>
        </is>
      </c>
      <c r="O860" t="inlineStr">
        <is>
          <t>2026-06-22 14:11:25</t>
        </is>
      </c>
      <c r="P860" t="inlineStr">
        <is>
          <t>2026-06-22 14:11:25</t>
        </is>
      </c>
      <c r="Y860" t="inlineStr">
        <is>
          <t>27727460852</t>
        </is>
      </c>
    </row>
    <row r="861">
      <c r="A861" t="inlineStr">
        <is>
          <t>14974349</t>
        </is>
      </c>
      <c r="B861" t="inlineStr">
        <is>
          <t>7bdcb153-e662-4d00-836a-1d0c3be8091d</t>
        </is>
      </c>
      <c r="D861" t="inlineStr">
        <is>
          <t>11111127</t>
        </is>
      </c>
      <c r="E861" t="inlineStr">
        <is>
          <t>Vodacom Life 20260622</t>
        </is>
      </c>
      <c r="H861" t="inlineStr">
        <is>
          <t>27720195490</t>
        </is>
      </c>
      <c r="J861" t="inlineStr">
        <is>
          <t>N</t>
        </is>
      </c>
      <c r="K861" t="inlineStr">
        <is>
          <t>No Answer</t>
        </is>
      </c>
      <c r="L861" t="n">
        <v>6</v>
      </c>
      <c r="M861" t="inlineStr">
        <is>
          <t>2026-06-26 07:46:14</t>
        </is>
      </c>
      <c r="N861" t="inlineStr">
        <is>
          <t>Khensane Mabasa</t>
        </is>
      </c>
      <c r="O861" t="inlineStr">
        <is>
          <t>2026-06-22 14:11:25</t>
        </is>
      </c>
      <c r="P861" t="inlineStr">
        <is>
          <t>2026-06-22 14:11:25</t>
        </is>
      </c>
      <c r="Y861" t="inlineStr">
        <is>
          <t>27720195490</t>
        </is>
      </c>
    </row>
    <row r="862">
      <c r="A862" t="inlineStr">
        <is>
          <t>14974420</t>
        </is>
      </c>
      <c r="B862" t="inlineStr">
        <is>
          <t>3bc53d6d-e24d-48dd-9429-f8b386f040c0</t>
        </is>
      </c>
      <c r="D862" t="inlineStr">
        <is>
          <t>11111127</t>
        </is>
      </c>
      <c r="E862" t="inlineStr">
        <is>
          <t>Vodacom Life 20260622</t>
        </is>
      </c>
      <c r="H862" t="inlineStr">
        <is>
          <t>27647659542</t>
        </is>
      </c>
      <c r="J862" t="inlineStr">
        <is>
          <t>CBACK</t>
        </is>
      </c>
      <c r="K862" t="inlineStr">
        <is>
          <t>Callback</t>
        </is>
      </c>
      <c r="L862" t="n">
        <v>4</v>
      </c>
      <c r="M862" t="inlineStr">
        <is>
          <t>2026-06-26 07:11:25</t>
        </is>
      </c>
      <c r="N862" t="inlineStr">
        <is>
          <t>Thandile Nokubeni</t>
        </is>
      </c>
      <c r="O862" t="inlineStr">
        <is>
          <t>2026-06-22 14:11:25</t>
        </is>
      </c>
      <c r="P862" t="inlineStr">
        <is>
          <t>2026-06-22 14:11:25</t>
        </is>
      </c>
      <c r="Y862" t="inlineStr">
        <is>
          <t>27647659542</t>
        </is>
      </c>
    </row>
    <row r="863">
      <c r="A863" t="inlineStr">
        <is>
          <t>14974332</t>
        </is>
      </c>
      <c r="B863" t="inlineStr">
        <is>
          <t>1fe6a2ec-9c7a-402c-ba56-2535c1c672ba</t>
        </is>
      </c>
      <c r="D863" t="inlineStr">
        <is>
          <t>11111127</t>
        </is>
      </c>
      <c r="E863" t="inlineStr">
        <is>
          <t>Vodacom Life 20260622</t>
        </is>
      </c>
      <c r="H863" t="inlineStr">
        <is>
          <t>27818140653</t>
        </is>
      </c>
      <c r="J863" t="inlineStr">
        <is>
          <t>CB</t>
        </is>
      </c>
      <c r="K863" t="inlineStr">
        <is>
          <t>Busy Tone</t>
        </is>
      </c>
      <c r="L863" t="n">
        <v>7</v>
      </c>
      <c r="M863" t="inlineStr">
        <is>
          <t>2026-06-26 06:51:42</t>
        </is>
      </c>
      <c r="N863" t="inlineStr">
        <is>
          <t>Khensane Mabasa</t>
        </is>
      </c>
      <c r="O863" t="inlineStr">
        <is>
          <t>2026-06-22 14:11:25</t>
        </is>
      </c>
      <c r="P863" t="inlineStr">
        <is>
          <t>2026-06-22 14:11:25</t>
        </is>
      </c>
      <c r="Y863" t="inlineStr">
        <is>
          <t>27818140653</t>
        </is>
      </c>
    </row>
    <row r="864">
      <c r="A864" t="inlineStr">
        <is>
          <t>14974401</t>
        </is>
      </c>
      <c r="B864" t="inlineStr">
        <is>
          <t>6ddd4204-3bb3-4394-a0f9-eb113b047bdd</t>
        </is>
      </c>
      <c r="D864" t="inlineStr">
        <is>
          <t>11111127</t>
        </is>
      </c>
      <c r="E864" t="inlineStr">
        <is>
          <t>Vodacom Life 20260622</t>
        </is>
      </c>
      <c r="J864" t="inlineStr">
        <is>
          <t>NI</t>
        </is>
      </c>
      <c r="K864" t="inlineStr">
        <is>
          <t>Not Interested</t>
        </is>
      </c>
      <c r="L864" t="n">
        <v>5</v>
      </c>
      <c r="M864" t="inlineStr">
        <is>
          <t>2026-06-26 06:32:39</t>
        </is>
      </c>
      <c r="N864" t="inlineStr">
        <is>
          <t>Musiiwa Mary Mabirimisa</t>
        </is>
      </c>
      <c r="O864" t="inlineStr">
        <is>
          <t>2026-06-22 14:11:25</t>
        </is>
      </c>
      <c r="P864" t="inlineStr">
        <is>
          <t>2026-06-22 14:11:25</t>
        </is>
      </c>
      <c r="Y864" t="inlineStr">
        <is>
          <t>27796317116</t>
        </is>
      </c>
    </row>
    <row r="865">
      <c r="A865" t="inlineStr">
        <is>
          <t>14974007</t>
        </is>
      </c>
      <c r="B865" t="inlineStr">
        <is>
          <t>cb60b2da-9257-44c8-9135-f08a81083b7d</t>
        </is>
      </c>
      <c r="D865" t="inlineStr">
        <is>
          <t>11111127</t>
        </is>
      </c>
      <c r="E865" t="inlineStr">
        <is>
          <t>Vodacom Life 20260622</t>
        </is>
      </c>
      <c r="J865" t="inlineStr">
        <is>
          <t>N</t>
        </is>
      </c>
      <c r="K865" t="inlineStr">
        <is>
          <t>No Answer</t>
        </is>
      </c>
      <c r="L865" t="n">
        <v>9</v>
      </c>
      <c r="M865" t="inlineStr">
        <is>
          <t>2026-06-26 06:15:38</t>
        </is>
      </c>
      <c r="N865" t="inlineStr">
        <is>
          <t>Maureen Ntsoko</t>
        </is>
      </c>
      <c r="O865" t="inlineStr">
        <is>
          <t>2026-06-22 14:11:25</t>
        </is>
      </c>
      <c r="P865" t="inlineStr">
        <is>
          <t>2026-06-22 14:11:25</t>
        </is>
      </c>
      <c r="Y865" t="inlineStr">
        <is>
          <t>27607713642</t>
        </is>
      </c>
    </row>
    <row r="866">
      <c r="A866" t="inlineStr">
        <is>
          <t>14974234</t>
        </is>
      </c>
      <c r="B866" t="inlineStr">
        <is>
          <t>6868621c-ca28-40c2-b7d1-fa2052a566ab</t>
        </is>
      </c>
      <c r="D866" t="inlineStr">
        <is>
          <t>11111127</t>
        </is>
      </c>
      <c r="E866" t="inlineStr">
        <is>
          <t>Vodacom Life 20260622</t>
        </is>
      </c>
      <c r="J866" t="inlineStr">
        <is>
          <t>AC</t>
        </is>
      </c>
      <c r="K866" t="inlineStr">
        <is>
          <t>Already Contacted</t>
        </is>
      </c>
      <c r="L866" t="n">
        <v>4</v>
      </c>
      <c r="M866" t="inlineStr">
        <is>
          <t>2026-06-26 06:04:45</t>
        </is>
      </c>
      <c r="N866" t="inlineStr">
        <is>
          <t>Maureen Ntsoko</t>
        </is>
      </c>
      <c r="O866" t="inlineStr">
        <is>
          <t>2026-06-22 14:11:25</t>
        </is>
      </c>
      <c r="P866" t="inlineStr">
        <is>
          <t>2026-06-22 14:11:25</t>
        </is>
      </c>
      <c r="Y866" t="inlineStr">
        <is>
          <t>27673068096</t>
        </is>
      </c>
    </row>
    <row r="867">
      <c r="A867" t="inlineStr">
        <is>
          <t>14973848</t>
        </is>
      </c>
      <c r="B867" t="inlineStr">
        <is>
          <t>bde2fdd5-d344-47a7-94b8-f07313741420</t>
        </is>
      </c>
      <c r="D867" t="inlineStr">
        <is>
          <t>11111127</t>
        </is>
      </c>
      <c r="E867" t="inlineStr">
        <is>
          <t>Vodacom Life 20260622</t>
        </is>
      </c>
      <c r="H867" t="inlineStr">
        <is>
          <t>27763482757</t>
        </is>
      </c>
      <c r="J867" t="inlineStr">
        <is>
          <t>NI</t>
        </is>
      </c>
      <c r="K867" t="inlineStr">
        <is>
          <t>Not Interested</t>
        </is>
      </c>
      <c r="L867" t="n">
        <v>4</v>
      </c>
      <c r="M867" t="inlineStr">
        <is>
          <t>2026-06-25 14:54:47</t>
        </is>
      </c>
      <c r="N867" t="inlineStr">
        <is>
          <t>Khensane Mabasa</t>
        </is>
      </c>
      <c r="O867" t="inlineStr">
        <is>
          <t>2026-06-22 14:11:25</t>
        </is>
      </c>
      <c r="P867" t="inlineStr">
        <is>
          <t>2026-06-22 14:11:25</t>
        </is>
      </c>
      <c r="Y867" t="inlineStr">
        <is>
          <t>27763482757</t>
        </is>
      </c>
    </row>
    <row r="868">
      <c r="A868" t="inlineStr">
        <is>
          <t>14973743</t>
        </is>
      </c>
      <c r="B868" t="inlineStr">
        <is>
          <t>f907b39e-54b2-4c67-8eaa-a98c9b8c2c2b</t>
        </is>
      </c>
      <c r="D868" t="inlineStr">
        <is>
          <t>11111127</t>
        </is>
      </c>
      <c r="E868" t="inlineStr">
        <is>
          <t>Vodacom Life 20260622</t>
        </is>
      </c>
      <c r="H868" t="inlineStr">
        <is>
          <t>27796276943</t>
        </is>
      </c>
      <c r="J868" t="inlineStr">
        <is>
          <t>NI</t>
        </is>
      </c>
      <c r="K868" t="inlineStr">
        <is>
          <t>Not Interested</t>
        </is>
      </c>
      <c r="L868" t="n">
        <v>6</v>
      </c>
      <c r="M868" t="inlineStr">
        <is>
          <t>2026-06-25 14:48:20</t>
        </is>
      </c>
      <c r="N868" t="inlineStr">
        <is>
          <t>Musiiwa Mary Mabirimisa</t>
        </is>
      </c>
      <c r="O868" t="inlineStr">
        <is>
          <t>2026-06-22 14:11:25</t>
        </is>
      </c>
      <c r="P868" t="inlineStr">
        <is>
          <t>2026-06-22 14:11:25</t>
        </is>
      </c>
      <c r="Y868" t="inlineStr">
        <is>
          <t>27796276943</t>
        </is>
      </c>
    </row>
    <row r="869">
      <c r="A869" t="inlineStr">
        <is>
          <t>14974651</t>
        </is>
      </c>
      <c r="B869" t="inlineStr">
        <is>
          <t>8d3d4f77-6fab-425e-a6cb-9b2b9b2d3390</t>
        </is>
      </c>
      <c r="D869" t="inlineStr">
        <is>
          <t>11111127</t>
        </is>
      </c>
      <c r="E869" t="inlineStr">
        <is>
          <t>Vodacom Life 20260622</t>
        </is>
      </c>
      <c r="H869" t="inlineStr">
        <is>
          <t>27791751175</t>
        </is>
      </c>
      <c r="J869" t="inlineStr">
        <is>
          <t>DQQD</t>
        </is>
      </c>
      <c r="K869" t="inlineStr">
        <is>
          <t>DNQ Quote Declined</t>
        </is>
      </c>
      <c r="L869" t="n">
        <v>5</v>
      </c>
      <c r="M869" t="inlineStr">
        <is>
          <t>2026-06-25 14:13:13</t>
        </is>
      </c>
      <c r="N869" t="inlineStr">
        <is>
          <t>Khensane Mabasa</t>
        </is>
      </c>
      <c r="O869" t="inlineStr">
        <is>
          <t>2026-06-22 14:11:25</t>
        </is>
      </c>
      <c r="P869" t="inlineStr">
        <is>
          <t>2026-06-22 14:11:25</t>
        </is>
      </c>
      <c r="Y869" t="inlineStr">
        <is>
          <t>27791751175</t>
        </is>
      </c>
    </row>
    <row r="870">
      <c r="A870" t="inlineStr">
        <is>
          <t>14973924</t>
        </is>
      </c>
      <c r="B870" t="inlineStr">
        <is>
          <t>8c69397f-8ea5-415e-afd8-82fc8d2d1f75</t>
        </is>
      </c>
      <c r="D870" t="inlineStr">
        <is>
          <t>11111127</t>
        </is>
      </c>
      <c r="E870" t="inlineStr">
        <is>
          <t>Vodacom Life 20260622</t>
        </is>
      </c>
      <c r="J870" t="inlineStr">
        <is>
          <t>N</t>
        </is>
      </c>
      <c r="K870" t="inlineStr">
        <is>
          <t>No Answer</t>
        </is>
      </c>
      <c r="L870" t="n">
        <v>5</v>
      </c>
      <c r="M870" t="inlineStr">
        <is>
          <t>2026-06-25 14:12:37</t>
        </is>
      </c>
      <c r="N870" t="inlineStr">
        <is>
          <t>Khensane Mabasa</t>
        </is>
      </c>
      <c r="O870" t="inlineStr">
        <is>
          <t>2026-06-22 14:11:25</t>
        </is>
      </c>
      <c r="P870" t="inlineStr">
        <is>
          <t>2026-06-22 14:11:25</t>
        </is>
      </c>
      <c r="Y870" t="inlineStr">
        <is>
          <t>27764488763</t>
        </is>
      </c>
    </row>
    <row r="871">
      <c r="A871" t="inlineStr">
        <is>
          <t>14974346</t>
        </is>
      </c>
      <c r="B871" t="inlineStr">
        <is>
          <t>bdd2a719-ec46-4384-823b-95197e7c2f21</t>
        </is>
      </c>
      <c r="D871" t="inlineStr">
        <is>
          <t>11111127</t>
        </is>
      </c>
      <c r="E871" t="inlineStr">
        <is>
          <t>Vodacom Life 20260622</t>
        </is>
      </c>
      <c r="H871" t="inlineStr">
        <is>
          <t>27765537675</t>
        </is>
      </c>
      <c r="J871" t="inlineStr">
        <is>
          <t>AC</t>
        </is>
      </c>
      <c r="K871" t="inlineStr">
        <is>
          <t>Already Contacted</t>
        </is>
      </c>
      <c r="L871" t="n">
        <v>5</v>
      </c>
      <c r="M871" t="inlineStr">
        <is>
          <t>2026-06-25 13:40:22</t>
        </is>
      </c>
      <c r="N871" t="inlineStr">
        <is>
          <t>Maureen Ntsoko</t>
        </is>
      </c>
      <c r="O871" t="inlineStr">
        <is>
          <t>2026-06-22 14:11:25</t>
        </is>
      </c>
      <c r="P871" t="inlineStr">
        <is>
          <t>2026-06-22 14:11:25</t>
        </is>
      </c>
      <c r="Y871" t="inlineStr">
        <is>
          <t>27765537675</t>
        </is>
      </c>
    </row>
    <row r="872">
      <c r="A872" t="inlineStr">
        <is>
          <t>14973732</t>
        </is>
      </c>
      <c r="B872" t="inlineStr">
        <is>
          <t>399de5c4-83e9-43bd-9a34-38386820dd66</t>
        </is>
      </c>
      <c r="D872" t="inlineStr">
        <is>
          <t>11111127</t>
        </is>
      </c>
      <c r="E872" t="inlineStr">
        <is>
          <t>Vodacom Life 20260622</t>
        </is>
      </c>
      <c r="H872" t="inlineStr">
        <is>
          <t>27673664014</t>
        </is>
      </c>
      <c r="J872" t="inlineStr">
        <is>
          <t>EC</t>
        </is>
      </c>
      <c r="K872" t="inlineStr">
        <is>
          <t>Existing Client</t>
        </is>
      </c>
      <c r="L872" t="n">
        <v>7</v>
      </c>
      <c r="M872" t="inlineStr">
        <is>
          <t>2026-06-25 12:26:45</t>
        </is>
      </c>
      <c r="N872" t="inlineStr">
        <is>
          <t>Khensane Mabasa</t>
        </is>
      </c>
      <c r="O872" t="inlineStr">
        <is>
          <t>2026-06-22 14:11:25</t>
        </is>
      </c>
      <c r="P872" t="inlineStr">
        <is>
          <t>2026-06-22 14:11:25</t>
        </is>
      </c>
      <c r="Y872" t="inlineStr">
        <is>
          <t>27673664014</t>
        </is>
      </c>
    </row>
    <row r="873">
      <c r="A873" t="inlineStr">
        <is>
          <t>14974140</t>
        </is>
      </c>
      <c r="B873" t="inlineStr">
        <is>
          <t>04376e99-2fca-4bab-9d82-1772694f045a</t>
        </is>
      </c>
      <c r="D873" t="inlineStr">
        <is>
          <t>11111127</t>
        </is>
      </c>
      <c r="E873" t="inlineStr">
        <is>
          <t>Vodacom Life 20260622</t>
        </is>
      </c>
      <c r="H873" t="inlineStr">
        <is>
          <t>27772454886</t>
        </is>
      </c>
      <c r="J873" t="inlineStr">
        <is>
          <t>AC</t>
        </is>
      </c>
      <c r="K873" t="inlineStr">
        <is>
          <t>Already Contacted</t>
        </is>
      </c>
      <c r="L873" t="n">
        <v>4</v>
      </c>
      <c r="M873" t="inlineStr">
        <is>
          <t>2026-06-25 12:16:01</t>
        </is>
      </c>
      <c r="N873" t="inlineStr">
        <is>
          <t>Maureen Ntsoko</t>
        </is>
      </c>
      <c r="O873" t="inlineStr">
        <is>
          <t>2026-06-22 14:11:25</t>
        </is>
      </c>
      <c r="P873" t="inlineStr">
        <is>
          <t>2026-06-22 14:11:25</t>
        </is>
      </c>
      <c r="Y873" t="inlineStr">
        <is>
          <t>27772454886</t>
        </is>
      </c>
    </row>
    <row r="874">
      <c r="A874" t="inlineStr">
        <is>
          <t>14974008</t>
        </is>
      </c>
      <c r="B874" t="inlineStr">
        <is>
          <t>b7c317cf-11a6-4cfb-a76f-189fd0a96ab5</t>
        </is>
      </c>
      <c r="D874" t="inlineStr">
        <is>
          <t>11111127</t>
        </is>
      </c>
      <c r="E874" t="inlineStr">
        <is>
          <t>Vodacom Life 20260622</t>
        </is>
      </c>
      <c r="H874" t="inlineStr">
        <is>
          <t>27767333853</t>
        </is>
      </c>
      <c r="J874" t="inlineStr">
        <is>
          <t>DNQF</t>
        </is>
      </c>
      <c r="K874" t="inlineStr">
        <is>
          <t>Do Not Qualify Failed Medical Question</t>
        </is>
      </c>
      <c r="L874" t="n">
        <v>5</v>
      </c>
      <c r="M874" t="inlineStr">
        <is>
          <t>2026-06-25 12:14:17</t>
        </is>
      </c>
      <c r="N874" t="inlineStr">
        <is>
          <t>Khensane Mabasa</t>
        </is>
      </c>
      <c r="O874" t="inlineStr">
        <is>
          <t>2026-06-22 14:11:25</t>
        </is>
      </c>
      <c r="P874" t="inlineStr">
        <is>
          <t>2026-06-22 14:11:25</t>
        </is>
      </c>
      <c r="Y874" t="inlineStr">
        <is>
          <t>27767333853</t>
        </is>
      </c>
    </row>
    <row r="875">
      <c r="A875" t="inlineStr">
        <is>
          <t>14974056</t>
        </is>
      </c>
      <c r="B875" t="inlineStr">
        <is>
          <t>0e16f178-3bab-49ed-80c9-1a11e9643723</t>
        </is>
      </c>
      <c r="D875" t="inlineStr">
        <is>
          <t>11111127</t>
        </is>
      </c>
      <c r="E875" t="inlineStr">
        <is>
          <t>Vodacom Life 20260622</t>
        </is>
      </c>
      <c r="J875" t="inlineStr">
        <is>
          <t>CU</t>
        </is>
      </c>
      <c r="K875" t="inlineStr">
        <is>
          <t>Client Hung Up</t>
        </is>
      </c>
      <c r="L875" t="n">
        <v>5</v>
      </c>
      <c r="M875" t="inlineStr">
        <is>
          <t>2026-06-25 12:09:38</t>
        </is>
      </c>
      <c r="N875" t="inlineStr">
        <is>
          <t>Khensane Mabasa</t>
        </is>
      </c>
      <c r="O875" t="inlineStr">
        <is>
          <t>2026-06-22 14:11:25</t>
        </is>
      </c>
      <c r="P875" t="inlineStr">
        <is>
          <t>2026-06-22 14:11:25</t>
        </is>
      </c>
      <c r="Y875" t="inlineStr">
        <is>
          <t>27673819410</t>
        </is>
      </c>
    </row>
    <row r="876">
      <c r="A876" t="inlineStr">
        <is>
          <t>14974065</t>
        </is>
      </c>
      <c r="B876" t="inlineStr">
        <is>
          <t>192b3065-13ca-4e65-bc70-ffe03c4796d4</t>
        </is>
      </c>
      <c r="D876" t="inlineStr">
        <is>
          <t>11111127</t>
        </is>
      </c>
      <c r="E876" t="inlineStr">
        <is>
          <t>Vodacom Life 20260622</t>
        </is>
      </c>
      <c r="H876" t="inlineStr">
        <is>
          <t>27711542054</t>
        </is>
      </c>
      <c r="J876" t="inlineStr">
        <is>
          <t>NI</t>
        </is>
      </c>
      <c r="K876" t="inlineStr">
        <is>
          <t>Not Interested</t>
        </is>
      </c>
      <c r="L876" t="n">
        <v>5</v>
      </c>
      <c r="M876" t="inlineStr">
        <is>
          <t>2026-06-25 12:03:36</t>
        </is>
      </c>
      <c r="N876" t="inlineStr">
        <is>
          <t>Khensane Mabasa</t>
        </is>
      </c>
      <c r="O876" t="inlineStr">
        <is>
          <t>2026-06-22 14:11:25</t>
        </is>
      </c>
      <c r="P876" t="inlineStr">
        <is>
          <t>2026-06-22 14:11:25</t>
        </is>
      </c>
      <c r="Y876" t="inlineStr">
        <is>
          <t>27711542054</t>
        </is>
      </c>
    </row>
    <row r="877">
      <c r="A877" t="inlineStr">
        <is>
          <t>14974334</t>
        </is>
      </c>
      <c r="B877" t="inlineStr">
        <is>
          <t>14172712-f669-4201-84d3-62366a860d45</t>
        </is>
      </c>
      <c r="D877" t="inlineStr">
        <is>
          <t>11111127</t>
        </is>
      </c>
      <c r="E877" t="inlineStr">
        <is>
          <t>Vodacom Life 20260622</t>
        </is>
      </c>
      <c r="H877" t="inlineStr">
        <is>
          <t>27724906890</t>
        </is>
      </c>
      <c r="J877" t="inlineStr">
        <is>
          <t>A</t>
        </is>
      </c>
      <c r="K877" t="inlineStr">
        <is>
          <t>Answering Machine</t>
        </is>
      </c>
      <c r="L877" t="n">
        <v>5</v>
      </c>
      <c r="M877" t="inlineStr">
        <is>
          <t>2026-06-25 10:55:25</t>
        </is>
      </c>
      <c r="N877" t="inlineStr">
        <is>
          <t>bongiwe lushaba</t>
        </is>
      </c>
      <c r="O877" t="inlineStr">
        <is>
          <t>2026-06-22 14:11:25</t>
        </is>
      </c>
      <c r="P877" t="inlineStr">
        <is>
          <t>2026-06-22 14:11:25</t>
        </is>
      </c>
      <c r="Y877" t="inlineStr">
        <is>
          <t>27724906890</t>
        </is>
      </c>
    </row>
    <row r="878">
      <c r="A878" t="inlineStr">
        <is>
          <t>14974410</t>
        </is>
      </c>
      <c r="B878" t="inlineStr">
        <is>
          <t>5bab5be4-43e0-443a-91f3-995669e3ea71</t>
        </is>
      </c>
      <c r="D878" t="inlineStr">
        <is>
          <t>11111127</t>
        </is>
      </c>
      <c r="E878" t="inlineStr">
        <is>
          <t>Vodacom Life 20260622</t>
        </is>
      </c>
      <c r="H878" t="inlineStr">
        <is>
          <t>27714922648</t>
        </is>
      </c>
      <c r="J878" t="inlineStr">
        <is>
          <t>OAL</t>
        </is>
      </c>
      <c r="K878" t="inlineStr">
        <is>
          <t>Over Age Limit</t>
        </is>
      </c>
      <c r="L878" t="n">
        <v>4</v>
      </c>
      <c r="M878" t="inlineStr">
        <is>
          <t>2026-06-25 10:54:10</t>
        </is>
      </c>
      <c r="N878" t="inlineStr">
        <is>
          <t>Maureen Ntsoko</t>
        </is>
      </c>
      <c r="O878" t="inlineStr">
        <is>
          <t>2026-06-22 14:11:25</t>
        </is>
      </c>
      <c r="P878" t="inlineStr">
        <is>
          <t>2026-06-22 14:11:25</t>
        </is>
      </c>
      <c r="Y878" t="inlineStr">
        <is>
          <t>27714922648</t>
        </is>
      </c>
    </row>
    <row r="879">
      <c r="A879" t="inlineStr">
        <is>
          <t>14974456</t>
        </is>
      </c>
      <c r="B879" t="inlineStr">
        <is>
          <t>355afd2b-6341-4147-836c-dc51f0a07059</t>
        </is>
      </c>
      <c r="D879" t="inlineStr">
        <is>
          <t>11111127</t>
        </is>
      </c>
      <c r="E879" t="inlineStr">
        <is>
          <t>Vodacom Life 20260622</t>
        </is>
      </c>
      <c r="J879" t="inlineStr">
        <is>
          <t>AC</t>
        </is>
      </c>
      <c r="K879" t="inlineStr">
        <is>
          <t>Already Contacted</t>
        </is>
      </c>
      <c r="L879" t="n">
        <v>4</v>
      </c>
      <c r="M879" t="inlineStr">
        <is>
          <t>2026-06-25 10:53:14</t>
        </is>
      </c>
      <c r="N879" t="inlineStr">
        <is>
          <t>Maureen Ntsoko</t>
        </is>
      </c>
      <c r="O879" t="inlineStr">
        <is>
          <t>2026-06-22 14:11:25</t>
        </is>
      </c>
      <c r="P879" t="inlineStr">
        <is>
          <t>2026-06-22 14:11:25</t>
        </is>
      </c>
      <c r="Y879" t="inlineStr">
        <is>
          <t>27824005265</t>
        </is>
      </c>
    </row>
    <row r="880">
      <c r="A880" t="inlineStr">
        <is>
          <t>14974614</t>
        </is>
      </c>
      <c r="B880" t="inlineStr">
        <is>
          <t>d92e6ca9-e865-4815-80dc-0342b401713f</t>
        </is>
      </c>
      <c r="D880" t="inlineStr">
        <is>
          <t>11111127</t>
        </is>
      </c>
      <c r="E880" t="inlineStr">
        <is>
          <t>Vodacom Life 20260622</t>
        </is>
      </c>
      <c r="J880" t="inlineStr">
        <is>
          <t>SELECTED</t>
        </is>
      </c>
      <c r="K880" t="inlineStr">
        <is>
          <t>Selected</t>
        </is>
      </c>
      <c r="L880" t="n">
        <v>5</v>
      </c>
      <c r="M880" t="inlineStr">
        <is>
          <t>2026-06-25 10:52:47</t>
        </is>
      </c>
      <c r="N880" t="inlineStr">
        <is>
          <t>system</t>
        </is>
      </c>
      <c r="O880" t="inlineStr">
        <is>
          <t>2026-06-22 14:11:25</t>
        </is>
      </c>
      <c r="P880" t="inlineStr">
        <is>
          <t>2026-06-22 14:11:25</t>
        </is>
      </c>
      <c r="Y880" t="inlineStr">
        <is>
          <t>27713816275</t>
        </is>
      </c>
    </row>
    <row r="881">
      <c r="A881" t="inlineStr">
        <is>
          <t>14974484</t>
        </is>
      </c>
      <c r="B881" t="inlineStr">
        <is>
          <t>67e7fe8a-9697-4b66-8089-c07f6efb456f</t>
        </is>
      </c>
      <c r="D881" t="inlineStr">
        <is>
          <t>11111127</t>
        </is>
      </c>
      <c r="E881" t="inlineStr">
        <is>
          <t>Vodacom Life 20260622</t>
        </is>
      </c>
      <c r="J881" t="inlineStr">
        <is>
          <t>AC</t>
        </is>
      </c>
      <c r="K881" t="inlineStr">
        <is>
          <t>Already Contacted</t>
        </is>
      </c>
      <c r="L881" t="n">
        <v>5</v>
      </c>
      <c r="M881" t="inlineStr">
        <is>
          <t>2026-06-25 10:42:38</t>
        </is>
      </c>
      <c r="N881" t="inlineStr">
        <is>
          <t>Maureen Ntsoko</t>
        </is>
      </c>
      <c r="O881" t="inlineStr">
        <is>
          <t>2026-06-22 14:11:25</t>
        </is>
      </c>
      <c r="P881" t="inlineStr">
        <is>
          <t>2026-06-22 14:11:25</t>
        </is>
      </c>
      <c r="Y881" t="inlineStr">
        <is>
          <t>27823577944</t>
        </is>
      </c>
    </row>
    <row r="882">
      <c r="A882" t="inlineStr">
        <is>
          <t>14974448</t>
        </is>
      </c>
      <c r="B882" t="inlineStr">
        <is>
          <t>9dc214c8-c5e9-4fba-b4af-46fe85c8bdd7</t>
        </is>
      </c>
      <c r="D882" t="inlineStr">
        <is>
          <t>11111127</t>
        </is>
      </c>
      <c r="E882" t="inlineStr">
        <is>
          <t>Vodacom Life 20260622</t>
        </is>
      </c>
      <c r="J882" t="inlineStr">
        <is>
          <t>AC</t>
        </is>
      </c>
      <c r="K882" t="inlineStr">
        <is>
          <t>Already Contacted</t>
        </is>
      </c>
      <c r="L882" t="n">
        <v>4</v>
      </c>
      <c r="M882" t="inlineStr">
        <is>
          <t>2026-06-25 10:40:47</t>
        </is>
      </c>
      <c r="N882" t="inlineStr">
        <is>
          <t>Maureen Ntsoko</t>
        </is>
      </c>
      <c r="O882" t="inlineStr">
        <is>
          <t>2026-06-22 14:11:25</t>
        </is>
      </c>
      <c r="P882" t="inlineStr">
        <is>
          <t>2026-06-22 14:11:25</t>
        </is>
      </c>
      <c r="Y882" t="inlineStr">
        <is>
          <t>27637678802</t>
        </is>
      </c>
    </row>
    <row r="883">
      <c r="A883" t="inlineStr">
        <is>
          <t>14973957</t>
        </is>
      </c>
      <c r="B883" t="inlineStr">
        <is>
          <t>bb7660c8-06a9-4192-8f28-8f5fc3e0eed0</t>
        </is>
      </c>
      <c r="D883" t="inlineStr">
        <is>
          <t>11111127</t>
        </is>
      </c>
      <c r="E883" t="inlineStr">
        <is>
          <t>Vodacom Life 20260622</t>
        </is>
      </c>
      <c r="J883" t="inlineStr">
        <is>
          <t>NI</t>
        </is>
      </c>
      <c r="K883" t="inlineStr">
        <is>
          <t>Not Interested</t>
        </is>
      </c>
      <c r="L883" t="n">
        <v>4</v>
      </c>
      <c r="M883" t="inlineStr">
        <is>
          <t>2026-06-25 10:38:21</t>
        </is>
      </c>
      <c r="N883" t="inlineStr">
        <is>
          <t>Khensane Mabasa</t>
        </is>
      </c>
      <c r="O883" t="inlineStr">
        <is>
          <t>2026-06-22 14:11:25</t>
        </is>
      </c>
      <c r="P883" t="inlineStr">
        <is>
          <t>2026-06-22 14:11:25</t>
        </is>
      </c>
      <c r="Y883" t="inlineStr">
        <is>
          <t>27769643726</t>
        </is>
      </c>
    </row>
    <row r="884">
      <c r="A884" t="inlineStr">
        <is>
          <t>14974341</t>
        </is>
      </c>
      <c r="B884" t="inlineStr">
        <is>
          <t>1669cb40-95b2-465c-984d-23c36f761935</t>
        </is>
      </c>
      <c r="D884" t="inlineStr">
        <is>
          <t>11111127</t>
        </is>
      </c>
      <c r="E884" t="inlineStr">
        <is>
          <t>Vodacom Life 20260622</t>
        </is>
      </c>
      <c r="H884" t="inlineStr">
        <is>
          <t>27792308352</t>
        </is>
      </c>
      <c r="J884" t="inlineStr">
        <is>
          <t>CU</t>
        </is>
      </c>
      <c r="K884" t="inlineStr">
        <is>
          <t>Client Hung Up</t>
        </is>
      </c>
      <c r="L884" t="n">
        <v>6</v>
      </c>
      <c r="M884" t="inlineStr">
        <is>
          <t>2026-06-25 10:36:45</t>
        </is>
      </c>
      <c r="N884" t="inlineStr">
        <is>
          <t>bongiwe lushaba</t>
        </is>
      </c>
      <c r="O884" t="inlineStr">
        <is>
          <t>2026-06-22 14:11:25</t>
        </is>
      </c>
      <c r="P884" t="inlineStr">
        <is>
          <t>2026-06-22 14:11:25</t>
        </is>
      </c>
      <c r="Y884" t="inlineStr">
        <is>
          <t>27792308352</t>
        </is>
      </c>
    </row>
    <row r="885">
      <c r="A885" t="inlineStr">
        <is>
          <t>14974229</t>
        </is>
      </c>
      <c r="B885" t="inlineStr">
        <is>
          <t>22f2395e-9797-49d8-aad3-49f1173f02e1</t>
        </is>
      </c>
      <c r="D885" t="inlineStr">
        <is>
          <t>11111127</t>
        </is>
      </c>
      <c r="E885" t="inlineStr">
        <is>
          <t>Vodacom Life 20260622</t>
        </is>
      </c>
      <c r="H885" t="inlineStr">
        <is>
          <t>27790541756</t>
        </is>
      </c>
      <c r="J885" t="inlineStr">
        <is>
          <t>AC</t>
        </is>
      </c>
      <c r="K885" t="inlineStr">
        <is>
          <t>Already Contacted</t>
        </is>
      </c>
      <c r="L885" t="n">
        <v>4</v>
      </c>
      <c r="M885" t="inlineStr">
        <is>
          <t>2026-06-25 10:36:37</t>
        </is>
      </c>
      <c r="N885" t="inlineStr">
        <is>
          <t>Maureen Ntsoko</t>
        </is>
      </c>
      <c r="O885" t="inlineStr">
        <is>
          <t>2026-06-22 14:11:25</t>
        </is>
      </c>
      <c r="P885" t="inlineStr">
        <is>
          <t>2026-06-22 14:11:25</t>
        </is>
      </c>
      <c r="Y885" t="inlineStr">
        <is>
          <t>27790541756</t>
        </is>
      </c>
    </row>
    <row r="886">
      <c r="A886" t="inlineStr">
        <is>
          <t>14974096</t>
        </is>
      </c>
      <c r="B886" t="inlineStr">
        <is>
          <t>605d62cf-8541-45ae-90d7-a731b51dbd5f</t>
        </is>
      </c>
      <c r="D886" t="inlineStr">
        <is>
          <t>11111127</t>
        </is>
      </c>
      <c r="E886" t="inlineStr">
        <is>
          <t>Vodacom Life 20260622</t>
        </is>
      </c>
      <c r="H886" t="inlineStr">
        <is>
          <t>27664325572</t>
        </is>
      </c>
      <c r="J886" t="inlineStr">
        <is>
          <t>CU</t>
        </is>
      </c>
      <c r="K886" t="inlineStr">
        <is>
          <t>Client Hung Up</t>
        </is>
      </c>
      <c r="L886" t="n">
        <v>5</v>
      </c>
      <c r="M886" t="inlineStr">
        <is>
          <t>2026-06-25 10:32:49</t>
        </is>
      </c>
      <c r="N886" t="inlineStr">
        <is>
          <t>bongiwe lushaba</t>
        </is>
      </c>
      <c r="O886" t="inlineStr">
        <is>
          <t>2026-06-22 14:11:25</t>
        </is>
      </c>
      <c r="P886" t="inlineStr">
        <is>
          <t>2026-06-22 14:11:25</t>
        </is>
      </c>
      <c r="Y886" t="inlineStr">
        <is>
          <t>27664325572</t>
        </is>
      </c>
    </row>
    <row r="887">
      <c r="A887" t="inlineStr">
        <is>
          <t>14974347</t>
        </is>
      </c>
      <c r="B887" t="inlineStr">
        <is>
          <t>a2558a16-9514-404d-acee-c89576b75a84</t>
        </is>
      </c>
      <c r="D887" t="inlineStr">
        <is>
          <t>11111127</t>
        </is>
      </c>
      <c r="E887" t="inlineStr">
        <is>
          <t>Vodacom Life 20260622</t>
        </is>
      </c>
      <c r="H887" t="inlineStr">
        <is>
          <t>27764542613</t>
        </is>
      </c>
      <c r="J887" t="inlineStr">
        <is>
          <t>U</t>
        </is>
      </c>
      <c r="K887" t="inlineStr">
        <is>
          <t>Unemployed</t>
        </is>
      </c>
      <c r="L887" t="n">
        <v>4</v>
      </c>
      <c r="M887" t="inlineStr">
        <is>
          <t>2026-06-25 10:25:15</t>
        </is>
      </c>
      <c r="N887" t="inlineStr">
        <is>
          <t>bongiwe lushaba</t>
        </is>
      </c>
      <c r="O887" t="inlineStr">
        <is>
          <t>2026-06-22 14:11:25</t>
        </is>
      </c>
      <c r="P887" t="inlineStr">
        <is>
          <t>2026-06-22 14:11:25</t>
        </is>
      </c>
      <c r="Y887" t="inlineStr">
        <is>
          <t>27764542613</t>
        </is>
      </c>
    </row>
    <row r="888">
      <c r="A888" t="inlineStr">
        <is>
          <t>14974050</t>
        </is>
      </c>
      <c r="B888" t="inlineStr">
        <is>
          <t>33b93a3c-a180-45e4-b6e5-850a8fa0978f</t>
        </is>
      </c>
      <c r="D888" t="inlineStr">
        <is>
          <t>11111127</t>
        </is>
      </c>
      <c r="E888" t="inlineStr">
        <is>
          <t>Vodacom Life 20260622</t>
        </is>
      </c>
      <c r="H888" t="inlineStr">
        <is>
          <t>27720780789</t>
        </is>
      </c>
      <c r="J888" t="inlineStr">
        <is>
          <t>AC</t>
        </is>
      </c>
      <c r="K888" t="inlineStr">
        <is>
          <t>Already Contacted</t>
        </is>
      </c>
      <c r="L888" t="n">
        <v>4</v>
      </c>
      <c r="M888" t="inlineStr">
        <is>
          <t>2026-06-25 10:19:37</t>
        </is>
      </c>
      <c r="N888" t="inlineStr">
        <is>
          <t>Maureen Ntsoko</t>
        </is>
      </c>
      <c r="O888" t="inlineStr">
        <is>
          <t>2026-06-22 14:11:25</t>
        </is>
      </c>
      <c r="P888" t="inlineStr">
        <is>
          <t>2026-06-22 14:11:25</t>
        </is>
      </c>
      <c r="Y888" t="inlineStr">
        <is>
          <t>27720780789</t>
        </is>
      </c>
    </row>
    <row r="889">
      <c r="A889" t="inlineStr">
        <is>
          <t>14973942</t>
        </is>
      </c>
      <c r="B889" t="inlineStr">
        <is>
          <t>d14a9f4d-d918-4e92-8594-72bb7545afc3</t>
        </is>
      </c>
      <c r="D889" t="inlineStr">
        <is>
          <t>11111127</t>
        </is>
      </c>
      <c r="E889" t="inlineStr">
        <is>
          <t>Vodacom Life 20260622</t>
        </is>
      </c>
      <c r="J889" t="inlineStr">
        <is>
          <t>DNQF</t>
        </is>
      </c>
      <c r="K889" t="inlineStr">
        <is>
          <t>Do Not Qualify Failed Medical Question</t>
        </is>
      </c>
      <c r="L889" t="n">
        <v>4</v>
      </c>
      <c r="M889" t="inlineStr">
        <is>
          <t>2026-06-25 10:16:47</t>
        </is>
      </c>
      <c r="N889" t="inlineStr">
        <is>
          <t>bongiwe lushaba</t>
        </is>
      </c>
      <c r="O889" t="inlineStr">
        <is>
          <t>2026-06-22 14:11:25</t>
        </is>
      </c>
      <c r="P889" t="inlineStr">
        <is>
          <t>2026-06-22 14:11:25</t>
        </is>
      </c>
      <c r="Y889" t="inlineStr">
        <is>
          <t>27646057702</t>
        </is>
      </c>
    </row>
    <row r="890">
      <c r="A890" t="inlineStr">
        <is>
          <t>14973775</t>
        </is>
      </c>
      <c r="B890" t="inlineStr">
        <is>
          <t>c0aaf92f-a338-48c7-9cfa-52674de28b2b</t>
        </is>
      </c>
      <c r="D890" t="inlineStr">
        <is>
          <t>11111127</t>
        </is>
      </c>
      <c r="E890" t="inlineStr">
        <is>
          <t>Vodacom Life 20260622</t>
        </is>
      </c>
      <c r="J890" t="inlineStr">
        <is>
          <t>AC</t>
        </is>
      </c>
      <c r="K890" t="inlineStr">
        <is>
          <t>Already Contacted</t>
        </is>
      </c>
      <c r="L890" t="n">
        <v>4</v>
      </c>
      <c r="M890" t="inlineStr">
        <is>
          <t>2026-06-25 10:13:19</t>
        </is>
      </c>
      <c r="N890" t="inlineStr">
        <is>
          <t>bongiwe lushaba</t>
        </is>
      </c>
      <c r="O890" t="inlineStr">
        <is>
          <t>2026-06-22 14:11:25</t>
        </is>
      </c>
      <c r="P890" t="inlineStr">
        <is>
          <t>2026-06-22 14:11:25</t>
        </is>
      </c>
      <c r="Y890" t="inlineStr">
        <is>
          <t>27728338808</t>
        </is>
      </c>
    </row>
    <row r="891">
      <c r="A891" t="inlineStr">
        <is>
          <t>15000000</t>
        </is>
      </c>
      <c r="B891" t="inlineStr">
        <is>
          <t>1e5520ce-0c1a-451a-a473-bc6adf9c0c1f</t>
        </is>
      </c>
      <c r="D891" t="inlineStr">
        <is>
          <t>11111127</t>
        </is>
      </c>
      <c r="E891" t="inlineStr">
        <is>
          <t>Vodacom Life 20260622</t>
        </is>
      </c>
      <c r="H891" t="inlineStr">
        <is>
          <t>27823051699</t>
        </is>
      </c>
      <c r="J891" t="inlineStr">
        <is>
          <t>NI</t>
        </is>
      </c>
      <c r="K891" t="inlineStr">
        <is>
          <t>Not Interested</t>
        </is>
      </c>
      <c r="L891" t="n">
        <v>4</v>
      </c>
      <c r="M891" t="inlineStr">
        <is>
          <t>2026-06-25 10:09:39</t>
        </is>
      </c>
      <c r="N891" t="inlineStr">
        <is>
          <t>Khensane Mabasa</t>
        </is>
      </c>
      <c r="O891" t="inlineStr">
        <is>
          <t>2026-06-22 14:11:25</t>
        </is>
      </c>
      <c r="P891" t="inlineStr">
        <is>
          <t>2026-06-22 14:11:25</t>
        </is>
      </c>
      <c r="Y891" t="inlineStr">
        <is>
          <t>27823051699</t>
        </is>
      </c>
    </row>
    <row r="892">
      <c r="A892" t="inlineStr">
        <is>
          <t>14974011</t>
        </is>
      </c>
      <c r="B892" t="inlineStr">
        <is>
          <t>6fb28ecc-e985-4a80-a28a-fc379a56c898</t>
        </is>
      </c>
      <c r="D892" t="inlineStr">
        <is>
          <t>11111127</t>
        </is>
      </c>
      <c r="E892" t="inlineStr">
        <is>
          <t>Vodacom Life 20260622</t>
        </is>
      </c>
      <c r="J892" t="inlineStr">
        <is>
          <t>NI</t>
        </is>
      </c>
      <c r="K892" t="inlineStr">
        <is>
          <t>Not Interested</t>
        </is>
      </c>
      <c r="L892" t="n">
        <v>4</v>
      </c>
      <c r="M892" t="inlineStr">
        <is>
          <t>2026-06-25 10:07:50</t>
        </is>
      </c>
      <c r="N892" t="inlineStr">
        <is>
          <t>Maureen Ntsoko</t>
        </is>
      </c>
      <c r="O892" t="inlineStr">
        <is>
          <t>2026-06-22 14:11:25</t>
        </is>
      </c>
      <c r="P892" t="inlineStr">
        <is>
          <t>2026-06-22 14:11:25</t>
        </is>
      </c>
      <c r="Y892" t="inlineStr">
        <is>
          <t>27726809759</t>
        </is>
      </c>
    </row>
    <row r="893">
      <c r="A893" t="inlineStr">
        <is>
          <t>14974490</t>
        </is>
      </c>
      <c r="B893" t="inlineStr">
        <is>
          <t>3e4b5c2f-45cc-4778-9bf5-ae32dd1be8c2</t>
        </is>
      </c>
      <c r="D893" t="inlineStr">
        <is>
          <t>11111127</t>
        </is>
      </c>
      <c r="E893" t="inlineStr">
        <is>
          <t>Vodacom Life 20260622</t>
        </is>
      </c>
      <c r="J893" t="inlineStr">
        <is>
          <t>NI</t>
        </is>
      </c>
      <c r="K893" t="inlineStr">
        <is>
          <t>Not Interested</t>
        </is>
      </c>
      <c r="L893" t="n">
        <v>4</v>
      </c>
      <c r="M893" t="inlineStr">
        <is>
          <t>2026-06-25 10:04:54</t>
        </is>
      </c>
      <c r="N893" t="inlineStr">
        <is>
          <t>Khensane Mabasa</t>
        </is>
      </c>
      <c r="O893" t="inlineStr">
        <is>
          <t>2026-06-22 14:11:25</t>
        </is>
      </c>
      <c r="P893" t="inlineStr">
        <is>
          <t>2026-06-22 14:11:25</t>
        </is>
      </c>
      <c r="Y893" t="inlineStr">
        <is>
          <t>27791253549</t>
        </is>
      </c>
    </row>
    <row r="894">
      <c r="A894" t="inlineStr">
        <is>
          <t>14974296</t>
        </is>
      </c>
      <c r="B894" t="inlineStr">
        <is>
          <t>9f173461-04cd-4f57-9b82-c8b3d7a9f6f0</t>
        </is>
      </c>
      <c r="D894" t="inlineStr">
        <is>
          <t>11111127</t>
        </is>
      </c>
      <c r="E894" t="inlineStr">
        <is>
          <t>Vodacom Life 20260622</t>
        </is>
      </c>
      <c r="H894" t="inlineStr">
        <is>
          <t>27773804457</t>
        </is>
      </c>
      <c r="J894" t="inlineStr">
        <is>
          <t>AC</t>
        </is>
      </c>
      <c r="K894" t="inlineStr">
        <is>
          <t>Already Contacted</t>
        </is>
      </c>
      <c r="L894" t="n">
        <v>4</v>
      </c>
      <c r="M894" t="inlineStr">
        <is>
          <t>2026-06-25 10:00:58</t>
        </is>
      </c>
      <c r="N894" t="inlineStr">
        <is>
          <t>Maureen Ntsoko</t>
        </is>
      </c>
      <c r="O894" t="inlineStr">
        <is>
          <t>2026-06-22 14:11:25</t>
        </is>
      </c>
      <c r="P894" t="inlineStr">
        <is>
          <t>2026-06-22 14:11:25</t>
        </is>
      </c>
      <c r="Y894" t="inlineStr">
        <is>
          <t>27773804457</t>
        </is>
      </c>
    </row>
    <row r="895">
      <c r="A895" t="inlineStr">
        <is>
          <t>14974125</t>
        </is>
      </c>
      <c r="B895" t="inlineStr">
        <is>
          <t>9b70c71a-3076-461d-80c3-6ebda685f6e9</t>
        </is>
      </c>
      <c r="D895" t="inlineStr">
        <is>
          <t>11111127</t>
        </is>
      </c>
      <c r="E895" t="inlineStr">
        <is>
          <t>Vodacom Life 20260622</t>
        </is>
      </c>
      <c r="H895" t="inlineStr">
        <is>
          <t>27673613738</t>
        </is>
      </c>
      <c r="J895" t="inlineStr">
        <is>
          <t>OAL</t>
        </is>
      </c>
      <c r="K895" t="inlineStr">
        <is>
          <t>Over Age Limit</t>
        </is>
      </c>
      <c r="L895" t="n">
        <v>5</v>
      </c>
      <c r="M895" t="inlineStr">
        <is>
          <t>2026-06-25 09:56:34</t>
        </is>
      </c>
      <c r="N895" t="inlineStr">
        <is>
          <t>bongiwe lushaba</t>
        </is>
      </c>
      <c r="O895" t="inlineStr">
        <is>
          <t>2026-06-22 14:11:25</t>
        </is>
      </c>
      <c r="P895" t="inlineStr">
        <is>
          <t>2026-06-22 14:11:25</t>
        </is>
      </c>
      <c r="Y895" t="inlineStr">
        <is>
          <t>27673613738</t>
        </is>
      </c>
    </row>
    <row r="896">
      <c r="A896" t="inlineStr">
        <is>
          <t>15000000</t>
        </is>
      </c>
      <c r="B896" t="inlineStr">
        <is>
          <t>5e400f24-fe77-4cb2-8996-b7a207acb29a</t>
        </is>
      </c>
      <c r="D896" t="inlineStr">
        <is>
          <t>11111127</t>
        </is>
      </c>
      <c r="E896" t="inlineStr">
        <is>
          <t>Vodacom Life 20260622</t>
        </is>
      </c>
      <c r="J896" t="inlineStr">
        <is>
          <t>AC</t>
        </is>
      </c>
      <c r="K896" t="inlineStr">
        <is>
          <t>Already Contacted</t>
        </is>
      </c>
      <c r="L896" t="n">
        <v>4</v>
      </c>
      <c r="M896" t="inlineStr">
        <is>
          <t>2026-06-25 09:55:24</t>
        </is>
      </c>
      <c r="N896" t="inlineStr">
        <is>
          <t>bongiwe lushaba</t>
        </is>
      </c>
      <c r="O896" t="inlineStr">
        <is>
          <t>2026-06-22 14:11:25</t>
        </is>
      </c>
      <c r="P896" t="inlineStr">
        <is>
          <t>2026-06-22 14:11:25</t>
        </is>
      </c>
      <c r="Y896" t="inlineStr">
        <is>
          <t>27729187831</t>
        </is>
      </c>
    </row>
    <row r="897">
      <c r="A897" t="inlineStr">
        <is>
          <t>14974104</t>
        </is>
      </c>
      <c r="B897" t="inlineStr">
        <is>
          <t>38b893b5-d2df-41be-815d-f7d3a23bf765</t>
        </is>
      </c>
      <c r="D897" t="inlineStr">
        <is>
          <t>11111127</t>
        </is>
      </c>
      <c r="E897" t="inlineStr">
        <is>
          <t>Vodacom Life 20260622</t>
        </is>
      </c>
      <c r="H897" t="inlineStr">
        <is>
          <t>27724927209</t>
        </is>
      </c>
      <c r="J897" t="inlineStr">
        <is>
          <t>U</t>
        </is>
      </c>
      <c r="K897" t="inlineStr">
        <is>
          <t>Unemployed</t>
        </is>
      </c>
      <c r="L897" t="n">
        <v>4</v>
      </c>
      <c r="M897" t="inlineStr">
        <is>
          <t>2026-06-25 09:52:43</t>
        </is>
      </c>
      <c r="N897" t="inlineStr">
        <is>
          <t>bongiwe lushaba</t>
        </is>
      </c>
      <c r="O897" t="inlineStr">
        <is>
          <t>2026-06-22 14:11:25</t>
        </is>
      </c>
      <c r="P897" t="inlineStr">
        <is>
          <t>2026-06-22 14:11:25</t>
        </is>
      </c>
      <c r="Y897" t="inlineStr">
        <is>
          <t>27724927209</t>
        </is>
      </c>
    </row>
    <row r="898">
      <c r="A898" t="inlineStr">
        <is>
          <t>14973836</t>
        </is>
      </c>
      <c r="B898" t="inlineStr">
        <is>
          <t>d6ac9a79-7fea-4d90-a374-22159d3a5813</t>
        </is>
      </c>
      <c r="D898" t="inlineStr">
        <is>
          <t>11111127</t>
        </is>
      </c>
      <c r="E898" t="inlineStr">
        <is>
          <t>Vodacom Life 20260622</t>
        </is>
      </c>
      <c r="H898" t="inlineStr">
        <is>
          <t>27764074508</t>
        </is>
      </c>
      <c r="J898" t="inlineStr">
        <is>
          <t>DNCLIFE</t>
        </is>
      </c>
      <c r="K898" t="inlineStr">
        <is>
          <t>Do Not Call</t>
        </is>
      </c>
      <c r="L898" t="n">
        <v>4</v>
      </c>
      <c r="M898" t="inlineStr">
        <is>
          <t>2026-06-25 09:40:59</t>
        </is>
      </c>
      <c r="N898" t="inlineStr">
        <is>
          <t>Thandile Nokubeni</t>
        </is>
      </c>
      <c r="O898" t="inlineStr">
        <is>
          <t>2026-06-22 14:11:25</t>
        </is>
      </c>
      <c r="P898" t="inlineStr">
        <is>
          <t>2026-06-22 14:11:25</t>
        </is>
      </c>
      <c r="Y898" t="inlineStr">
        <is>
          <t>27764074508</t>
        </is>
      </c>
    </row>
    <row r="899">
      <c r="A899" t="inlineStr">
        <is>
          <t>14974039</t>
        </is>
      </c>
      <c r="B899" t="inlineStr">
        <is>
          <t>7f596c46-6e5c-41d7-8bbb-8cc52a23c95a</t>
        </is>
      </c>
      <c r="D899" t="inlineStr">
        <is>
          <t>11111127</t>
        </is>
      </c>
      <c r="E899" t="inlineStr">
        <is>
          <t>Vodacom Life 20260622</t>
        </is>
      </c>
      <c r="J899" t="inlineStr">
        <is>
          <t>CBACK</t>
        </is>
      </c>
      <c r="K899" t="inlineStr">
        <is>
          <t>Callback</t>
        </is>
      </c>
      <c r="L899" t="n">
        <v>4</v>
      </c>
      <c r="M899" t="inlineStr">
        <is>
          <t>2026-06-25 09:40:11</t>
        </is>
      </c>
      <c r="N899" t="inlineStr">
        <is>
          <t>Musiiwa Mary Mabirimisa</t>
        </is>
      </c>
      <c r="O899" t="inlineStr">
        <is>
          <t>2026-06-22 14:11:25</t>
        </is>
      </c>
      <c r="P899" t="inlineStr">
        <is>
          <t>2026-06-22 14:11:25</t>
        </is>
      </c>
      <c r="Y899" t="inlineStr">
        <is>
          <t>27762648475</t>
        </is>
      </c>
    </row>
    <row r="900">
      <c r="A900" t="inlineStr">
        <is>
          <t>14974209</t>
        </is>
      </c>
      <c r="B900" t="inlineStr">
        <is>
          <t>9fb754c0-2774-428d-bc20-af260c9c82ce</t>
        </is>
      </c>
      <c r="D900" t="inlineStr">
        <is>
          <t>11111127</t>
        </is>
      </c>
      <c r="E900" t="inlineStr">
        <is>
          <t>Vodacom Life 20260622</t>
        </is>
      </c>
      <c r="J900" t="inlineStr">
        <is>
          <t>U</t>
        </is>
      </c>
      <c r="K900" t="inlineStr">
        <is>
          <t>Unemployed</t>
        </is>
      </c>
      <c r="L900" t="n">
        <v>4</v>
      </c>
      <c r="M900" t="inlineStr">
        <is>
          <t>2026-06-25 09:37:58</t>
        </is>
      </c>
      <c r="N900" t="inlineStr">
        <is>
          <t>Thandile Nokubeni</t>
        </is>
      </c>
      <c r="O900" t="inlineStr">
        <is>
          <t>2026-06-22 14:11:25</t>
        </is>
      </c>
      <c r="P900" t="inlineStr">
        <is>
          <t>2026-06-22 14:11:25</t>
        </is>
      </c>
      <c r="Y900" t="inlineStr">
        <is>
          <t>27768002836</t>
        </is>
      </c>
    </row>
    <row r="901">
      <c r="A901" t="inlineStr">
        <is>
          <t>14973901</t>
        </is>
      </c>
      <c r="B901" t="inlineStr">
        <is>
          <t>5be2b4ea-799c-4279-8e3b-ddfdb44f107b</t>
        </is>
      </c>
      <c r="D901" t="inlineStr">
        <is>
          <t>11111127</t>
        </is>
      </c>
      <c r="E901" t="inlineStr">
        <is>
          <t>Vodacom Life 20260622</t>
        </is>
      </c>
      <c r="J901" t="inlineStr">
        <is>
          <t>CBACK</t>
        </is>
      </c>
      <c r="K901" t="inlineStr">
        <is>
          <t>Callback</t>
        </is>
      </c>
      <c r="L901" t="n">
        <v>4</v>
      </c>
      <c r="M901" t="inlineStr">
        <is>
          <t>2026-06-25 09:36:29</t>
        </is>
      </c>
      <c r="N901" t="inlineStr">
        <is>
          <t>Thandile Nokubeni</t>
        </is>
      </c>
      <c r="O901" t="inlineStr">
        <is>
          <t>2026-06-22 14:11:25</t>
        </is>
      </c>
      <c r="P901" t="inlineStr">
        <is>
          <t>2026-06-22 14:11:25</t>
        </is>
      </c>
      <c r="Y901" t="inlineStr">
        <is>
          <t>27713299738</t>
        </is>
      </c>
    </row>
    <row r="902">
      <c r="A902" t="inlineStr">
        <is>
          <t>14973921</t>
        </is>
      </c>
      <c r="B902" t="inlineStr">
        <is>
          <t>ac14e7f4-c444-46c6-853c-c73590d1ca79</t>
        </is>
      </c>
      <c r="D902" t="inlineStr">
        <is>
          <t>11111127</t>
        </is>
      </c>
      <c r="E902" t="inlineStr">
        <is>
          <t>Vodacom Life 20260622</t>
        </is>
      </c>
      <c r="H902" t="inlineStr">
        <is>
          <t>27727050590</t>
        </is>
      </c>
      <c r="J902" t="inlineStr">
        <is>
          <t>CU</t>
        </is>
      </c>
      <c r="K902" t="inlineStr">
        <is>
          <t>Client Hung Up</t>
        </is>
      </c>
      <c r="L902" t="n">
        <v>5</v>
      </c>
      <c r="M902" t="inlineStr">
        <is>
          <t>2026-06-25 09:34:56</t>
        </is>
      </c>
      <c r="N902" t="inlineStr">
        <is>
          <t>Thandile Nokubeni</t>
        </is>
      </c>
      <c r="O902" t="inlineStr">
        <is>
          <t>2026-06-22 14:11:25</t>
        </is>
      </c>
      <c r="P902" t="inlineStr">
        <is>
          <t>2026-06-22 14:11:25</t>
        </is>
      </c>
      <c r="Y902" t="inlineStr">
        <is>
          <t>27727050590</t>
        </is>
      </c>
    </row>
    <row r="903">
      <c r="A903" t="inlineStr">
        <is>
          <t>14973769</t>
        </is>
      </c>
      <c r="B903" t="inlineStr">
        <is>
          <t>db40a173-6732-43d9-8ce1-2554b0f6b818</t>
        </is>
      </c>
      <c r="D903" t="inlineStr">
        <is>
          <t>11111127</t>
        </is>
      </c>
      <c r="E903" t="inlineStr">
        <is>
          <t>Vodacom Life 20260622</t>
        </is>
      </c>
      <c r="J903" t="inlineStr">
        <is>
          <t>CBACK</t>
        </is>
      </c>
      <c r="K903" t="inlineStr">
        <is>
          <t>Callback</t>
        </is>
      </c>
      <c r="L903" t="n">
        <v>4</v>
      </c>
      <c r="M903" t="inlineStr">
        <is>
          <t>2026-06-25 09:32:21</t>
        </is>
      </c>
      <c r="N903" t="inlineStr">
        <is>
          <t>Khensane Mabasa</t>
        </is>
      </c>
      <c r="O903" t="inlineStr">
        <is>
          <t>2026-06-22 14:11:25</t>
        </is>
      </c>
      <c r="P903" t="inlineStr">
        <is>
          <t>2026-06-22 14:11:25</t>
        </is>
      </c>
      <c r="Y903" t="inlineStr">
        <is>
          <t>27716751142</t>
        </is>
      </c>
    </row>
    <row r="904">
      <c r="A904" t="inlineStr">
        <is>
          <t>14974079</t>
        </is>
      </c>
      <c r="B904" t="inlineStr">
        <is>
          <t>f6b64690-791c-41f1-a5d9-a98a65fa97c4</t>
        </is>
      </c>
      <c r="D904" t="inlineStr">
        <is>
          <t>11111127</t>
        </is>
      </c>
      <c r="E904" t="inlineStr">
        <is>
          <t>Vodacom Life 20260622</t>
        </is>
      </c>
      <c r="J904" t="inlineStr">
        <is>
          <t>CBACK</t>
        </is>
      </c>
      <c r="K904" t="inlineStr">
        <is>
          <t>Callback</t>
        </is>
      </c>
      <c r="L904" t="n">
        <v>4</v>
      </c>
      <c r="M904" t="inlineStr">
        <is>
          <t>2026-06-25 09:27:41</t>
        </is>
      </c>
      <c r="N904" t="inlineStr">
        <is>
          <t>Thandile Nokubeni</t>
        </is>
      </c>
      <c r="O904" t="inlineStr">
        <is>
          <t>2026-06-22 14:11:25</t>
        </is>
      </c>
      <c r="P904" t="inlineStr">
        <is>
          <t>2026-06-22 14:11:25</t>
        </is>
      </c>
      <c r="Y904" t="inlineStr">
        <is>
          <t>27675544506</t>
        </is>
      </c>
    </row>
    <row r="905">
      <c r="A905" t="inlineStr">
        <is>
          <t>14974037</t>
        </is>
      </c>
      <c r="B905" t="inlineStr">
        <is>
          <t>cad4560c-f15b-453e-85c1-035ab8af157c</t>
        </is>
      </c>
      <c r="D905" t="inlineStr">
        <is>
          <t>11111127</t>
        </is>
      </c>
      <c r="E905" t="inlineStr">
        <is>
          <t>Vodacom Life 20260622</t>
        </is>
      </c>
      <c r="J905" t="inlineStr">
        <is>
          <t>CBACK</t>
        </is>
      </c>
      <c r="K905" t="inlineStr">
        <is>
          <t>Callback</t>
        </is>
      </c>
      <c r="L905" t="n">
        <v>4</v>
      </c>
      <c r="M905" t="inlineStr">
        <is>
          <t>2026-06-25 09:26:27</t>
        </is>
      </c>
      <c r="N905" t="inlineStr">
        <is>
          <t>Thandile Nokubeni</t>
        </is>
      </c>
      <c r="O905" t="inlineStr">
        <is>
          <t>2026-06-22 14:11:25</t>
        </is>
      </c>
      <c r="P905" t="inlineStr">
        <is>
          <t>2026-06-22 14:11:25</t>
        </is>
      </c>
      <c r="Y905" t="inlineStr">
        <is>
          <t>27728714913</t>
        </is>
      </c>
    </row>
    <row r="906">
      <c r="A906" t="inlineStr">
        <is>
          <t>15000000</t>
        </is>
      </c>
      <c r="B906" t="inlineStr">
        <is>
          <t>6e669a82-02dd-44cf-9c1d-3480fd934337</t>
        </is>
      </c>
      <c r="D906" t="inlineStr">
        <is>
          <t>11111127</t>
        </is>
      </c>
      <c r="E906" t="inlineStr">
        <is>
          <t>Vodacom Life 20260622</t>
        </is>
      </c>
      <c r="H906" t="inlineStr">
        <is>
          <t>27649372989</t>
        </is>
      </c>
      <c r="J906" t="inlineStr">
        <is>
          <t>U</t>
        </is>
      </c>
      <c r="K906" t="inlineStr">
        <is>
          <t>Unemployed</t>
        </is>
      </c>
      <c r="L906" t="n">
        <v>4</v>
      </c>
      <c r="M906" t="inlineStr">
        <is>
          <t>2026-06-25 09:25:48</t>
        </is>
      </c>
      <c r="N906" t="inlineStr">
        <is>
          <t>bongiwe lushaba</t>
        </is>
      </c>
      <c r="O906" t="inlineStr">
        <is>
          <t>2026-06-22 14:11:25</t>
        </is>
      </c>
      <c r="P906" t="inlineStr">
        <is>
          <t>2026-06-22 14:11:25</t>
        </is>
      </c>
      <c r="Y906" t="inlineStr">
        <is>
          <t>27649372989</t>
        </is>
      </c>
    </row>
    <row r="907">
      <c r="A907" t="inlineStr">
        <is>
          <t>14973810</t>
        </is>
      </c>
      <c r="B907" t="inlineStr">
        <is>
          <t>02116814-9c62-4071-9b78-70a72a09c76a</t>
        </is>
      </c>
      <c r="D907" t="inlineStr">
        <is>
          <t>11111127</t>
        </is>
      </c>
      <c r="E907" t="inlineStr">
        <is>
          <t>Vodacom Life 20260622</t>
        </is>
      </c>
      <c r="H907" t="inlineStr">
        <is>
          <t>27769109408</t>
        </is>
      </c>
      <c r="J907" t="inlineStr">
        <is>
          <t>CBACK</t>
        </is>
      </c>
      <c r="K907" t="inlineStr">
        <is>
          <t>Callback</t>
        </is>
      </c>
      <c r="L907" t="n">
        <v>4</v>
      </c>
      <c r="M907" t="inlineStr">
        <is>
          <t>2026-06-25 09:23:33</t>
        </is>
      </c>
      <c r="N907" t="inlineStr">
        <is>
          <t>Thandile Nokubeni</t>
        </is>
      </c>
      <c r="O907" t="inlineStr">
        <is>
          <t>2026-06-22 14:11:25</t>
        </is>
      </c>
      <c r="P907" t="inlineStr">
        <is>
          <t>2026-06-22 14:11:25</t>
        </is>
      </c>
      <c r="Y907" t="inlineStr">
        <is>
          <t>27769109408</t>
        </is>
      </c>
    </row>
    <row r="908">
      <c r="A908" t="inlineStr">
        <is>
          <t>14973750</t>
        </is>
      </c>
      <c r="B908" t="inlineStr">
        <is>
          <t>56f694d1-d11e-49c2-b550-858481e2f472</t>
        </is>
      </c>
      <c r="D908" t="inlineStr">
        <is>
          <t>11111127</t>
        </is>
      </c>
      <c r="E908" t="inlineStr">
        <is>
          <t>Vodacom Life 20260622</t>
        </is>
      </c>
      <c r="J908" t="inlineStr">
        <is>
          <t>U</t>
        </is>
      </c>
      <c r="K908" t="inlineStr">
        <is>
          <t>Unemployed</t>
        </is>
      </c>
      <c r="L908" t="n">
        <v>4</v>
      </c>
      <c r="M908" t="inlineStr">
        <is>
          <t>2026-06-25 09:21:46</t>
        </is>
      </c>
      <c r="N908" t="inlineStr">
        <is>
          <t>bongiwe lushaba</t>
        </is>
      </c>
      <c r="O908" t="inlineStr">
        <is>
          <t>2026-06-22 14:11:25</t>
        </is>
      </c>
      <c r="P908" t="inlineStr">
        <is>
          <t>2026-06-22 14:11:25</t>
        </is>
      </c>
      <c r="Y908" t="inlineStr">
        <is>
          <t>27725845730</t>
        </is>
      </c>
    </row>
    <row r="909">
      <c r="A909" t="inlineStr">
        <is>
          <t>14973708</t>
        </is>
      </c>
      <c r="B909" t="inlineStr">
        <is>
          <t>b066d4b6-1b57-4cdb-9e1e-efddbed6589f</t>
        </is>
      </c>
      <c r="D909" t="inlineStr">
        <is>
          <t>11111127</t>
        </is>
      </c>
      <c r="E909" t="inlineStr">
        <is>
          <t>Vodacom Life 20260622</t>
        </is>
      </c>
      <c r="H909" t="inlineStr">
        <is>
          <t>27606468738</t>
        </is>
      </c>
      <c r="J909" t="inlineStr">
        <is>
          <t>NI</t>
        </is>
      </c>
      <c r="K909" t="inlineStr">
        <is>
          <t>Not Interested</t>
        </is>
      </c>
      <c r="L909" t="n">
        <v>4</v>
      </c>
      <c r="M909" t="inlineStr">
        <is>
          <t>2026-06-25 09:17:38</t>
        </is>
      </c>
      <c r="N909" t="inlineStr">
        <is>
          <t>Musiiwa Mary Mabirimisa</t>
        </is>
      </c>
      <c r="O909" t="inlineStr">
        <is>
          <t>2026-06-22 14:11:25</t>
        </is>
      </c>
      <c r="P909" t="inlineStr">
        <is>
          <t>2026-06-22 14:11:25</t>
        </is>
      </c>
      <c r="Y909" t="inlineStr">
        <is>
          <t>27606468738</t>
        </is>
      </c>
    </row>
    <row r="910">
      <c r="A910" t="inlineStr">
        <is>
          <t>14974168</t>
        </is>
      </c>
      <c r="B910" t="inlineStr">
        <is>
          <t>b2c1b17a-2f49-424a-9bc4-58c4e5b87325</t>
        </is>
      </c>
      <c r="D910" t="inlineStr">
        <is>
          <t>11111127</t>
        </is>
      </c>
      <c r="E910" t="inlineStr">
        <is>
          <t>Vodacom Life 20260622</t>
        </is>
      </c>
      <c r="H910" t="inlineStr">
        <is>
          <t>27768072544</t>
        </is>
      </c>
      <c r="J910" t="inlineStr">
        <is>
          <t>CBACK</t>
        </is>
      </c>
      <c r="K910" t="inlineStr">
        <is>
          <t>Callback</t>
        </is>
      </c>
      <c r="L910" t="n">
        <v>4</v>
      </c>
      <c r="M910" t="inlineStr">
        <is>
          <t>2026-06-25 09:16:58</t>
        </is>
      </c>
      <c r="N910" t="inlineStr">
        <is>
          <t>Thandile Nokubeni</t>
        </is>
      </c>
      <c r="O910" t="inlineStr">
        <is>
          <t>2026-06-22 14:11:25</t>
        </is>
      </c>
      <c r="P910" t="inlineStr">
        <is>
          <t>2026-06-22 14:11:25</t>
        </is>
      </c>
      <c r="Y910" t="inlineStr">
        <is>
          <t>27768072544</t>
        </is>
      </c>
    </row>
    <row r="911">
      <c r="A911" t="inlineStr">
        <is>
          <t>14974389</t>
        </is>
      </c>
      <c r="B911" t="inlineStr">
        <is>
          <t>41ad937d-d49e-4101-aa49-d211f199af07</t>
        </is>
      </c>
      <c r="D911" t="inlineStr">
        <is>
          <t>11111127</t>
        </is>
      </c>
      <c r="E911" t="inlineStr">
        <is>
          <t>Vodacom Life 20260622</t>
        </is>
      </c>
      <c r="H911" t="inlineStr">
        <is>
          <t>27632416330</t>
        </is>
      </c>
      <c r="J911" t="inlineStr">
        <is>
          <t>NI</t>
        </is>
      </c>
      <c r="K911" t="inlineStr">
        <is>
          <t>Not Interested</t>
        </is>
      </c>
      <c r="L911" t="n">
        <v>4</v>
      </c>
      <c r="M911" t="inlineStr">
        <is>
          <t>2026-06-25 09:11:55</t>
        </is>
      </c>
      <c r="N911" t="inlineStr">
        <is>
          <t>Musiiwa Mary Mabirimisa</t>
        </is>
      </c>
      <c r="O911" t="inlineStr">
        <is>
          <t>2026-06-22 14:11:25</t>
        </is>
      </c>
      <c r="P911" t="inlineStr">
        <is>
          <t>2026-06-22 14:11:25</t>
        </is>
      </c>
      <c r="Y911" t="inlineStr">
        <is>
          <t>27632416330</t>
        </is>
      </c>
    </row>
    <row r="912">
      <c r="A912" t="inlineStr">
        <is>
          <t>14974454</t>
        </is>
      </c>
      <c r="B912" t="inlineStr">
        <is>
          <t>05ea47c5-d4c0-4752-a4aa-696990c9753d</t>
        </is>
      </c>
      <c r="D912" t="inlineStr">
        <is>
          <t>11111127</t>
        </is>
      </c>
      <c r="E912" t="inlineStr">
        <is>
          <t>Vodacom Life 20260622</t>
        </is>
      </c>
      <c r="H912" t="inlineStr">
        <is>
          <t>27825641507</t>
        </is>
      </c>
      <c r="J912" t="inlineStr">
        <is>
          <t>CBACK</t>
        </is>
      </c>
      <c r="K912" t="inlineStr">
        <is>
          <t>Callback</t>
        </is>
      </c>
      <c r="L912" t="n">
        <v>4</v>
      </c>
      <c r="M912" t="inlineStr">
        <is>
          <t>2026-06-25 06:28:44</t>
        </is>
      </c>
      <c r="N912" t="inlineStr">
        <is>
          <t>Thandile Nokubeni</t>
        </is>
      </c>
      <c r="O912" t="inlineStr">
        <is>
          <t>2026-06-22 14:11:25</t>
        </is>
      </c>
      <c r="P912" t="inlineStr">
        <is>
          <t>2026-06-22 14:11:25</t>
        </is>
      </c>
      <c r="Y912" t="inlineStr">
        <is>
          <t>27825641507</t>
        </is>
      </c>
    </row>
    <row r="913">
      <c r="A913" t="inlineStr">
        <is>
          <t>14974126</t>
        </is>
      </c>
      <c r="B913" t="inlineStr">
        <is>
          <t>3bb38c9d-c827-466e-bd40-a7b0eeb43b41</t>
        </is>
      </c>
      <c r="D913" t="inlineStr">
        <is>
          <t>11111127</t>
        </is>
      </c>
      <c r="E913" t="inlineStr">
        <is>
          <t>Vodacom Life 20260622</t>
        </is>
      </c>
      <c r="H913" t="inlineStr">
        <is>
          <t>27762880368</t>
        </is>
      </c>
      <c r="J913" t="inlineStr">
        <is>
          <t>CU</t>
        </is>
      </c>
      <c r="K913" t="inlineStr">
        <is>
          <t>Client Hung Up</t>
        </is>
      </c>
      <c r="L913" t="n">
        <v>12</v>
      </c>
      <c r="M913" t="inlineStr">
        <is>
          <t>2026-06-25 06:09:59</t>
        </is>
      </c>
      <c r="N913" t="inlineStr">
        <is>
          <t>Maureen Ntsoko</t>
        </is>
      </c>
      <c r="O913" t="inlineStr">
        <is>
          <t>2026-06-22 14:11:25</t>
        </is>
      </c>
      <c r="P913" t="inlineStr">
        <is>
          <t>2026-06-22 14:11:25</t>
        </is>
      </c>
      <c r="Y913" t="inlineStr">
        <is>
          <t>27762880368</t>
        </is>
      </c>
    </row>
    <row r="914">
      <c r="A914" t="inlineStr">
        <is>
          <t>14974466</t>
        </is>
      </c>
      <c r="B914" t="inlineStr">
        <is>
          <t>5d7b58ba-2f7a-4f8c-9def-6e73b1878643</t>
        </is>
      </c>
      <c r="D914" t="inlineStr">
        <is>
          <t>11111127</t>
        </is>
      </c>
      <c r="E914" t="inlineStr">
        <is>
          <t>Vodacom Life 20260622</t>
        </is>
      </c>
      <c r="J914" t="inlineStr">
        <is>
          <t>CBACK</t>
        </is>
      </c>
      <c r="K914" t="inlineStr">
        <is>
          <t>Callback</t>
        </is>
      </c>
      <c r="L914" t="n">
        <v>3</v>
      </c>
      <c r="M914" t="inlineStr">
        <is>
          <t>2026-06-25 06:04:08</t>
        </is>
      </c>
      <c r="N914" t="inlineStr">
        <is>
          <t>Maureen Ntsoko</t>
        </is>
      </c>
      <c r="O914" t="inlineStr">
        <is>
          <t>2026-06-22 14:11:25</t>
        </is>
      </c>
      <c r="P914" t="inlineStr">
        <is>
          <t>2026-06-22 14:11:25</t>
        </is>
      </c>
      <c r="Y914" t="inlineStr">
        <is>
          <t>27727187995</t>
        </is>
      </c>
    </row>
    <row r="915">
      <c r="A915" t="inlineStr">
        <is>
          <t>14974413</t>
        </is>
      </c>
      <c r="B915" t="inlineStr">
        <is>
          <t>03c43980-23e0-4c31-844a-1ab001ba5e7f</t>
        </is>
      </c>
      <c r="D915" t="inlineStr">
        <is>
          <t>11111127</t>
        </is>
      </c>
      <c r="E915" t="inlineStr">
        <is>
          <t>Vodacom Life 20260622</t>
        </is>
      </c>
      <c r="H915" t="inlineStr">
        <is>
          <t>27824842350</t>
        </is>
      </c>
      <c r="J915" t="inlineStr">
        <is>
          <t>CU</t>
        </is>
      </c>
      <c r="K915" t="inlineStr">
        <is>
          <t>Client Hung Up</t>
        </is>
      </c>
      <c r="L915" t="n">
        <v>5</v>
      </c>
      <c r="M915" t="inlineStr">
        <is>
          <t>2026-06-24 15:18:49</t>
        </is>
      </c>
      <c r="N915" t="inlineStr">
        <is>
          <t>Khensane Mabasa</t>
        </is>
      </c>
      <c r="O915" t="inlineStr">
        <is>
          <t>2026-06-22 14:11:25</t>
        </is>
      </c>
      <c r="P915" t="inlineStr">
        <is>
          <t>2026-06-22 14:11:25</t>
        </is>
      </c>
      <c r="Y915" t="inlineStr">
        <is>
          <t>27824842350</t>
        </is>
      </c>
    </row>
    <row r="916">
      <c r="A916" t="inlineStr">
        <is>
          <t>14974387</t>
        </is>
      </c>
      <c r="B916" t="inlineStr">
        <is>
          <t>472b355f-b82f-4921-ba0e-96156f664b55</t>
        </is>
      </c>
      <c r="D916" t="inlineStr">
        <is>
          <t>11111127</t>
        </is>
      </c>
      <c r="E916" t="inlineStr">
        <is>
          <t>Vodacom Life 20260622</t>
        </is>
      </c>
      <c r="J916" t="inlineStr">
        <is>
          <t>CBACK</t>
        </is>
      </c>
      <c r="K916" t="inlineStr">
        <is>
          <t>Callback</t>
        </is>
      </c>
      <c r="L916" t="n">
        <v>3</v>
      </c>
      <c r="M916" t="inlineStr">
        <is>
          <t>2026-06-24 15:13:36</t>
        </is>
      </c>
      <c r="N916" t="inlineStr">
        <is>
          <t>Thandile Nokubeni</t>
        </is>
      </c>
      <c r="O916" t="inlineStr">
        <is>
          <t>2026-06-22 14:11:25</t>
        </is>
      </c>
      <c r="P916" t="inlineStr">
        <is>
          <t>2026-06-22 14:11:25</t>
        </is>
      </c>
      <c r="Y916" t="inlineStr">
        <is>
          <t>27763288491</t>
        </is>
      </c>
    </row>
    <row r="917">
      <c r="A917" t="inlineStr">
        <is>
          <t>15000000</t>
        </is>
      </c>
      <c r="B917" t="inlineStr">
        <is>
          <t>e349f377-9be2-4e45-b8cb-fc1d296fa1f5</t>
        </is>
      </c>
      <c r="D917" t="inlineStr">
        <is>
          <t>11111127</t>
        </is>
      </c>
      <c r="E917" t="inlineStr">
        <is>
          <t>Vodacom Life 20260622</t>
        </is>
      </c>
      <c r="H917" t="inlineStr">
        <is>
          <t>27725749422</t>
        </is>
      </c>
      <c r="J917" t="inlineStr">
        <is>
          <t>DNQS</t>
        </is>
      </c>
      <c r="K917" t="inlineStr">
        <is>
          <t>Does Not Qualify</t>
        </is>
      </c>
      <c r="L917" t="n">
        <v>3</v>
      </c>
      <c r="M917" t="inlineStr">
        <is>
          <t>2026-06-24 14:50:33</t>
        </is>
      </c>
      <c r="N917" t="inlineStr">
        <is>
          <t>Musiiwa Mary Mabirimisa</t>
        </is>
      </c>
      <c r="O917" t="inlineStr">
        <is>
          <t>2026-06-22 14:11:25</t>
        </is>
      </c>
      <c r="P917" t="inlineStr">
        <is>
          <t>2026-06-22 14:11:25</t>
        </is>
      </c>
      <c r="Y917" t="inlineStr">
        <is>
          <t>27725749422</t>
        </is>
      </c>
    </row>
    <row r="918">
      <c r="A918" t="inlineStr">
        <is>
          <t>14974194</t>
        </is>
      </c>
      <c r="B918" t="inlineStr">
        <is>
          <t>d0401d5b-9bb8-4600-99c9-962bb05e5c85</t>
        </is>
      </c>
      <c r="D918" t="inlineStr">
        <is>
          <t>11111127</t>
        </is>
      </c>
      <c r="E918" t="inlineStr">
        <is>
          <t>Vodacom Life 20260622</t>
        </is>
      </c>
      <c r="J918" t="inlineStr">
        <is>
          <t>CBACK</t>
        </is>
      </c>
      <c r="K918" t="inlineStr">
        <is>
          <t>Callback</t>
        </is>
      </c>
      <c r="L918" t="n">
        <v>3</v>
      </c>
      <c r="M918" t="inlineStr">
        <is>
          <t>2026-06-24 14:42:51</t>
        </is>
      </c>
      <c r="N918" t="inlineStr">
        <is>
          <t>Thandile Nokubeni</t>
        </is>
      </c>
      <c r="O918" t="inlineStr">
        <is>
          <t>2026-06-22 14:11:25</t>
        </is>
      </c>
      <c r="P918" t="inlineStr">
        <is>
          <t>2026-06-22 14:11:25</t>
        </is>
      </c>
      <c r="Y918" t="inlineStr">
        <is>
          <t>27646073426</t>
        </is>
      </c>
    </row>
    <row r="919">
      <c r="A919" t="inlineStr">
        <is>
          <t>14974192</t>
        </is>
      </c>
      <c r="B919" t="inlineStr">
        <is>
          <t>0ade60d3-5f9c-4b9e-b2cd-c62f4a16033d</t>
        </is>
      </c>
      <c r="D919" t="inlineStr">
        <is>
          <t>11111127</t>
        </is>
      </c>
      <c r="E919" t="inlineStr">
        <is>
          <t>Vodacom Life 20260622</t>
        </is>
      </c>
      <c r="J919" t="inlineStr">
        <is>
          <t>U</t>
        </is>
      </c>
      <c r="K919" t="inlineStr">
        <is>
          <t>Unemployed</t>
        </is>
      </c>
      <c r="L919" t="n">
        <v>3</v>
      </c>
      <c r="M919" t="inlineStr">
        <is>
          <t>2026-06-24 14:42:48</t>
        </is>
      </c>
      <c r="N919" t="inlineStr">
        <is>
          <t>bongiwe lushaba</t>
        </is>
      </c>
      <c r="O919" t="inlineStr">
        <is>
          <t>2026-06-22 14:11:25</t>
        </is>
      </c>
      <c r="P919" t="inlineStr">
        <is>
          <t>2026-06-22 14:11:25</t>
        </is>
      </c>
      <c r="Y919" t="inlineStr">
        <is>
          <t>27820531186</t>
        </is>
      </c>
    </row>
    <row r="920">
      <c r="A920" t="inlineStr">
        <is>
          <t>14974648</t>
        </is>
      </c>
      <c r="B920" t="inlineStr">
        <is>
          <t>5e7d3036-0246-4224-98be-c16711fe2013</t>
        </is>
      </c>
      <c r="D920" t="inlineStr">
        <is>
          <t>11111127</t>
        </is>
      </c>
      <c r="E920" t="inlineStr">
        <is>
          <t>Vodacom Life 20260622</t>
        </is>
      </c>
      <c r="J920" t="inlineStr">
        <is>
          <t>CBACK</t>
        </is>
      </c>
      <c r="K920" t="inlineStr">
        <is>
          <t>Callback</t>
        </is>
      </c>
      <c r="L920" t="n">
        <v>3</v>
      </c>
      <c r="M920" t="inlineStr">
        <is>
          <t>2026-06-24 14:40:10</t>
        </is>
      </c>
      <c r="N920" t="inlineStr">
        <is>
          <t>bongiwe lushaba</t>
        </is>
      </c>
      <c r="O920" t="inlineStr">
        <is>
          <t>2026-06-22 14:11:25</t>
        </is>
      </c>
      <c r="P920" t="inlineStr">
        <is>
          <t>2026-06-22 14:11:25</t>
        </is>
      </c>
      <c r="Y920" t="inlineStr">
        <is>
          <t>27762718669</t>
        </is>
      </c>
    </row>
    <row r="921">
      <c r="A921" t="inlineStr">
        <is>
          <t>14973803</t>
        </is>
      </c>
      <c r="B921" t="inlineStr">
        <is>
          <t>3f6681bc-5753-44e8-8f2f-91dde3c32e0d</t>
        </is>
      </c>
      <c r="D921" t="inlineStr">
        <is>
          <t>11111127</t>
        </is>
      </c>
      <c r="E921" t="inlineStr">
        <is>
          <t>Vodacom Life 20260622</t>
        </is>
      </c>
      <c r="H921" t="inlineStr">
        <is>
          <t>27772738953</t>
        </is>
      </c>
      <c r="J921" t="inlineStr">
        <is>
          <t>NI</t>
        </is>
      </c>
      <c r="K921" t="inlineStr">
        <is>
          <t>Not Interested</t>
        </is>
      </c>
      <c r="L921" t="n">
        <v>4</v>
      </c>
      <c r="M921" t="inlineStr">
        <is>
          <t>2026-06-24 14:36:28</t>
        </is>
      </c>
      <c r="N921" t="inlineStr">
        <is>
          <t>Thandile Nokubeni</t>
        </is>
      </c>
      <c r="O921" t="inlineStr">
        <is>
          <t>2026-06-22 14:11:25</t>
        </is>
      </c>
      <c r="P921" t="inlineStr">
        <is>
          <t>2026-06-22 14:11:25</t>
        </is>
      </c>
      <c r="Y921" t="inlineStr">
        <is>
          <t>27772738953</t>
        </is>
      </c>
    </row>
    <row r="922">
      <c r="A922" t="inlineStr">
        <is>
          <t>14973718</t>
        </is>
      </c>
      <c r="B922" t="inlineStr">
        <is>
          <t>4f8f4732-ee94-484f-80ba-df2494f65b6e</t>
        </is>
      </c>
      <c r="D922" t="inlineStr">
        <is>
          <t>11111127</t>
        </is>
      </c>
      <c r="E922" t="inlineStr">
        <is>
          <t>Vodacom Life 20260622</t>
        </is>
      </c>
      <c r="J922" t="inlineStr">
        <is>
          <t>NI</t>
        </is>
      </c>
      <c r="K922" t="inlineStr">
        <is>
          <t>Not Interested</t>
        </is>
      </c>
      <c r="L922" t="n">
        <v>3</v>
      </c>
      <c r="M922" t="inlineStr">
        <is>
          <t>2026-06-24 14:35:31</t>
        </is>
      </c>
      <c r="N922" t="inlineStr">
        <is>
          <t>Musiiwa Mary Mabirimisa</t>
        </is>
      </c>
      <c r="O922" t="inlineStr">
        <is>
          <t>2026-06-22 14:11:25</t>
        </is>
      </c>
      <c r="P922" t="inlineStr">
        <is>
          <t>2026-06-22 14:11:25</t>
        </is>
      </c>
      <c r="Y922" t="inlineStr">
        <is>
          <t>27824830299</t>
        </is>
      </c>
    </row>
    <row r="923">
      <c r="A923" t="inlineStr">
        <is>
          <t>14974129</t>
        </is>
      </c>
      <c r="B923" t="inlineStr">
        <is>
          <t>b2b1abad-4f69-4d59-b7f5-3b0a4919b6e7</t>
        </is>
      </c>
      <c r="D923" t="inlineStr">
        <is>
          <t>11111127</t>
        </is>
      </c>
      <c r="E923" t="inlineStr">
        <is>
          <t>Vodacom Life 20260622</t>
        </is>
      </c>
      <c r="J923" t="inlineStr">
        <is>
          <t>AC</t>
        </is>
      </c>
      <c r="K923" t="inlineStr">
        <is>
          <t>Already Contacted</t>
        </is>
      </c>
      <c r="L923" t="n">
        <v>3</v>
      </c>
      <c r="M923" t="inlineStr">
        <is>
          <t>2026-06-24 14:35:25</t>
        </is>
      </c>
      <c r="N923" t="inlineStr">
        <is>
          <t>Maureen Ntsoko</t>
        </is>
      </c>
      <c r="O923" t="inlineStr">
        <is>
          <t>2026-06-22 14:11:25</t>
        </is>
      </c>
      <c r="P923" t="inlineStr">
        <is>
          <t>2026-06-22 14:11:25</t>
        </is>
      </c>
      <c r="Y923" t="inlineStr">
        <is>
          <t>27847770675</t>
        </is>
      </c>
    </row>
    <row r="924">
      <c r="A924" t="inlineStr">
        <is>
          <t>14974688</t>
        </is>
      </c>
      <c r="B924" t="inlineStr">
        <is>
          <t>80771d8e-d7da-441a-baab-86120bc0a25b</t>
        </is>
      </c>
      <c r="D924" t="inlineStr">
        <is>
          <t>11111127</t>
        </is>
      </c>
      <c r="E924" t="inlineStr">
        <is>
          <t>Vodacom Life 20260622</t>
        </is>
      </c>
      <c r="J924" t="inlineStr">
        <is>
          <t>AF</t>
        </is>
      </c>
      <c r="K924" t="inlineStr">
        <is>
          <t>Cannot Afford</t>
        </is>
      </c>
      <c r="L924" t="n">
        <v>3</v>
      </c>
      <c r="M924" t="inlineStr">
        <is>
          <t>2026-06-24 14:32:17</t>
        </is>
      </c>
      <c r="N924" t="inlineStr">
        <is>
          <t>Maureen Ntsoko</t>
        </is>
      </c>
      <c r="O924" t="inlineStr">
        <is>
          <t>2026-06-22 14:11:25</t>
        </is>
      </c>
      <c r="P924" t="inlineStr">
        <is>
          <t>2026-06-22 14:11:25</t>
        </is>
      </c>
      <c r="Y924" t="inlineStr">
        <is>
          <t>27728795375</t>
        </is>
      </c>
    </row>
    <row r="925">
      <c r="A925" t="inlineStr">
        <is>
          <t>14974090</t>
        </is>
      </c>
      <c r="B925" t="inlineStr">
        <is>
          <t>acf9aeaa-3310-4ec1-8a06-8e42cb3414a5</t>
        </is>
      </c>
      <c r="D925" t="inlineStr">
        <is>
          <t>11111127</t>
        </is>
      </c>
      <c r="E925" t="inlineStr">
        <is>
          <t>Vodacom Life 20260622</t>
        </is>
      </c>
      <c r="J925" t="inlineStr">
        <is>
          <t>CBACK</t>
        </is>
      </c>
      <c r="K925" t="inlineStr">
        <is>
          <t>Callback</t>
        </is>
      </c>
      <c r="L925" t="n">
        <v>3</v>
      </c>
      <c r="M925" t="inlineStr">
        <is>
          <t>2026-06-24 14:31:23</t>
        </is>
      </c>
      <c r="N925" t="inlineStr">
        <is>
          <t>Maureen Ntsoko</t>
        </is>
      </c>
      <c r="O925" t="inlineStr">
        <is>
          <t>2026-06-22 14:11:25</t>
        </is>
      </c>
      <c r="P925" t="inlineStr">
        <is>
          <t>2026-06-22 14:11:25</t>
        </is>
      </c>
      <c r="Y925" t="inlineStr">
        <is>
          <t>27796432765</t>
        </is>
      </c>
    </row>
    <row r="926">
      <c r="A926" t="inlineStr">
        <is>
          <t>14974068</t>
        </is>
      </c>
      <c r="B926" t="inlineStr">
        <is>
          <t>a5ed8f95-89bc-4839-ba4d-bc1a05c7cfe5</t>
        </is>
      </c>
      <c r="D926" t="inlineStr">
        <is>
          <t>11111127</t>
        </is>
      </c>
      <c r="E926" t="inlineStr">
        <is>
          <t>Vodacom Life 20260622</t>
        </is>
      </c>
      <c r="H926" t="inlineStr">
        <is>
          <t>27647872100</t>
        </is>
      </c>
      <c r="J926" t="inlineStr">
        <is>
          <t>AC</t>
        </is>
      </c>
      <c r="K926" t="inlineStr">
        <is>
          <t>Already Contacted</t>
        </is>
      </c>
      <c r="L926" t="n">
        <v>3</v>
      </c>
      <c r="M926" t="inlineStr">
        <is>
          <t>2026-06-24 14:30:41</t>
        </is>
      </c>
      <c r="N926" t="inlineStr">
        <is>
          <t>Maureen Ntsoko</t>
        </is>
      </c>
      <c r="O926" t="inlineStr">
        <is>
          <t>2026-06-22 14:11:25</t>
        </is>
      </c>
      <c r="P926" t="inlineStr">
        <is>
          <t>2026-06-22 14:11:25</t>
        </is>
      </c>
      <c r="Y926" t="inlineStr">
        <is>
          <t>27647872100</t>
        </is>
      </c>
    </row>
    <row r="927">
      <c r="A927" t="inlineStr">
        <is>
          <t>14973974</t>
        </is>
      </c>
      <c r="B927" t="inlineStr">
        <is>
          <t>0e6d2f41-185f-41a8-bceb-ea75a60968ac</t>
        </is>
      </c>
      <c r="D927" t="inlineStr">
        <is>
          <t>11111127</t>
        </is>
      </c>
      <c r="E927" t="inlineStr">
        <is>
          <t>Vodacom Life 20260622</t>
        </is>
      </c>
      <c r="H927" t="inlineStr">
        <is>
          <t>27817474688</t>
        </is>
      </c>
      <c r="J927" t="inlineStr">
        <is>
          <t>AC</t>
        </is>
      </c>
      <c r="K927" t="inlineStr">
        <is>
          <t>Already Contacted</t>
        </is>
      </c>
      <c r="L927" t="n">
        <v>3</v>
      </c>
      <c r="M927" t="inlineStr">
        <is>
          <t>2026-06-24 14:30:07</t>
        </is>
      </c>
      <c r="N927" t="inlineStr">
        <is>
          <t>Maureen Ntsoko</t>
        </is>
      </c>
      <c r="O927" t="inlineStr">
        <is>
          <t>2026-06-22 14:11:25</t>
        </is>
      </c>
      <c r="P927" t="inlineStr">
        <is>
          <t>2026-06-22 14:11:25</t>
        </is>
      </c>
      <c r="Y927" t="inlineStr">
        <is>
          <t>27817474688</t>
        </is>
      </c>
    </row>
    <row r="928">
      <c r="A928" t="inlineStr">
        <is>
          <t>14973911</t>
        </is>
      </c>
      <c r="B928" t="inlineStr">
        <is>
          <t>abb3906e-fed2-4369-9a61-fec8c6efee0b</t>
        </is>
      </c>
      <c r="D928" t="inlineStr">
        <is>
          <t>11111127</t>
        </is>
      </c>
      <c r="E928" t="inlineStr">
        <is>
          <t>Vodacom Life 20260622</t>
        </is>
      </c>
      <c r="H928" t="inlineStr">
        <is>
          <t>27766097718</t>
        </is>
      </c>
      <c r="J928" t="inlineStr">
        <is>
          <t>NI</t>
        </is>
      </c>
      <c r="K928" t="inlineStr">
        <is>
          <t>Not Interested</t>
        </is>
      </c>
      <c r="L928" t="n">
        <v>3</v>
      </c>
      <c r="M928" t="inlineStr">
        <is>
          <t>2026-06-24 14:24:56</t>
        </is>
      </c>
      <c r="N928" t="inlineStr">
        <is>
          <t>Maureen Ntsoko</t>
        </is>
      </c>
      <c r="O928" t="inlineStr">
        <is>
          <t>2026-06-22 14:11:25</t>
        </is>
      </c>
      <c r="P928" t="inlineStr">
        <is>
          <t>2026-06-22 14:11:25</t>
        </is>
      </c>
      <c r="Y928" t="inlineStr">
        <is>
          <t>27766097718</t>
        </is>
      </c>
    </row>
    <row r="929">
      <c r="A929" t="inlineStr">
        <is>
          <t>14974018</t>
        </is>
      </c>
      <c r="B929" t="inlineStr">
        <is>
          <t>9bfe601e-7327-46c1-b2e6-4be0bdf9a35d</t>
        </is>
      </c>
      <c r="D929" t="inlineStr">
        <is>
          <t>11111127</t>
        </is>
      </c>
      <c r="E929" t="inlineStr">
        <is>
          <t>Vodacom Life 20260622</t>
        </is>
      </c>
      <c r="J929" t="inlineStr">
        <is>
          <t>DNQS</t>
        </is>
      </c>
      <c r="K929" t="inlineStr">
        <is>
          <t>Does Not Qualify</t>
        </is>
      </c>
      <c r="L929" t="n">
        <v>3</v>
      </c>
      <c r="M929" t="inlineStr">
        <is>
          <t>2026-06-24 14:23:54</t>
        </is>
      </c>
      <c r="N929" t="inlineStr">
        <is>
          <t>Thandile Nokubeni</t>
        </is>
      </c>
      <c r="O929" t="inlineStr">
        <is>
          <t>2026-06-22 14:11:25</t>
        </is>
      </c>
      <c r="P929" t="inlineStr">
        <is>
          <t>2026-06-22 14:11:25</t>
        </is>
      </c>
      <c r="Y929" t="inlineStr">
        <is>
          <t>27763896334</t>
        </is>
      </c>
    </row>
    <row r="930">
      <c r="A930" t="inlineStr">
        <is>
          <t>14973935</t>
        </is>
      </c>
      <c r="B930" t="inlineStr">
        <is>
          <t>ec6fe480-15c9-40d6-bdf2-c064371e1077</t>
        </is>
      </c>
      <c r="D930" t="inlineStr">
        <is>
          <t>11111127</t>
        </is>
      </c>
      <c r="E930" t="inlineStr">
        <is>
          <t>Vodacom Life 20260622</t>
        </is>
      </c>
      <c r="J930" t="inlineStr">
        <is>
          <t>CBACK</t>
        </is>
      </c>
      <c r="K930" t="inlineStr">
        <is>
          <t>Callback</t>
        </is>
      </c>
      <c r="L930" t="n">
        <v>3</v>
      </c>
      <c r="M930" t="inlineStr">
        <is>
          <t>2026-06-24 14:19:40</t>
        </is>
      </c>
      <c r="N930" t="inlineStr">
        <is>
          <t>Maureen Ntsoko</t>
        </is>
      </c>
      <c r="O930" t="inlineStr">
        <is>
          <t>2026-06-22 14:11:25</t>
        </is>
      </c>
      <c r="P930" t="inlineStr">
        <is>
          <t>2026-06-22 14:11:25</t>
        </is>
      </c>
      <c r="Y930" t="inlineStr">
        <is>
          <t>27762892233</t>
        </is>
      </c>
    </row>
    <row r="931">
      <c r="A931" t="inlineStr">
        <is>
          <t>14973919</t>
        </is>
      </c>
      <c r="B931" t="inlineStr">
        <is>
          <t>557e47cd-53d8-44be-82ee-60cca1d32de7</t>
        </is>
      </c>
      <c r="D931" t="inlineStr">
        <is>
          <t>11111127</t>
        </is>
      </c>
      <c r="E931" t="inlineStr">
        <is>
          <t>Vodacom Life 20260622</t>
        </is>
      </c>
      <c r="J931" t="inlineStr">
        <is>
          <t>NI</t>
        </is>
      </c>
      <c r="K931" t="inlineStr">
        <is>
          <t>Not Interested</t>
        </is>
      </c>
      <c r="L931" t="n">
        <v>3</v>
      </c>
      <c r="M931" t="inlineStr">
        <is>
          <t>2026-06-24 14:18:39</t>
        </is>
      </c>
      <c r="N931" t="inlineStr">
        <is>
          <t>Musiiwa Mary Mabirimisa</t>
        </is>
      </c>
      <c r="O931" t="inlineStr">
        <is>
          <t>2026-06-22 14:11:25</t>
        </is>
      </c>
      <c r="P931" t="inlineStr">
        <is>
          <t>2026-06-22 14:11:25</t>
        </is>
      </c>
      <c r="Y931" t="inlineStr">
        <is>
          <t>27664845802</t>
        </is>
      </c>
    </row>
    <row r="932">
      <c r="A932" t="inlineStr">
        <is>
          <t>14973952</t>
        </is>
      </c>
      <c r="B932" t="inlineStr">
        <is>
          <t>f42a21ce-2313-40d5-9422-03fda74c41b1</t>
        </is>
      </c>
      <c r="D932" t="inlineStr">
        <is>
          <t>11111127</t>
        </is>
      </c>
      <c r="E932" t="inlineStr">
        <is>
          <t>Vodacom Life 20260622</t>
        </is>
      </c>
      <c r="J932" t="inlineStr">
        <is>
          <t>SELECTED</t>
        </is>
      </c>
      <c r="K932" t="inlineStr">
        <is>
          <t>Selected</t>
        </is>
      </c>
      <c r="L932" t="n">
        <v>4</v>
      </c>
      <c r="M932" t="inlineStr">
        <is>
          <t>2026-06-24 14:16:52</t>
        </is>
      </c>
      <c r="N932" t="inlineStr">
        <is>
          <t>system</t>
        </is>
      </c>
      <c r="O932" t="inlineStr">
        <is>
          <t>2026-06-22 14:11:25</t>
        </is>
      </c>
      <c r="P932" t="inlineStr">
        <is>
          <t>2026-06-22 14:11:25</t>
        </is>
      </c>
      <c r="Y932" t="inlineStr">
        <is>
          <t>27762589577</t>
        </is>
      </c>
    </row>
    <row r="933">
      <c r="A933" t="inlineStr">
        <is>
          <t>14973947</t>
        </is>
      </c>
      <c r="B933" t="inlineStr">
        <is>
          <t>4021b13e-04ef-4db7-96e4-d1c1e7747a0e</t>
        </is>
      </c>
      <c r="D933" t="inlineStr">
        <is>
          <t>11111127</t>
        </is>
      </c>
      <c r="E933" t="inlineStr">
        <is>
          <t>Vodacom Life 20260622</t>
        </is>
      </c>
      <c r="J933" t="inlineStr">
        <is>
          <t>NI</t>
        </is>
      </c>
      <c r="K933" t="inlineStr">
        <is>
          <t>Not Interested</t>
        </is>
      </c>
      <c r="L933" t="n">
        <v>3</v>
      </c>
      <c r="M933" t="inlineStr">
        <is>
          <t>2026-06-24 14:16:36</t>
        </is>
      </c>
      <c r="N933" t="inlineStr">
        <is>
          <t>Musiiwa Mary Mabirimisa</t>
        </is>
      </c>
      <c r="O933" t="inlineStr">
        <is>
          <t>2026-06-22 14:11:25</t>
        </is>
      </c>
      <c r="P933" t="inlineStr">
        <is>
          <t>2026-06-22 14:11:25</t>
        </is>
      </c>
      <c r="Y933" t="inlineStr">
        <is>
          <t>27767750246</t>
        </is>
      </c>
    </row>
    <row r="934">
      <c r="A934" t="inlineStr">
        <is>
          <t>14973881</t>
        </is>
      </c>
      <c r="B934" t="inlineStr">
        <is>
          <t>08d242c7-3796-40bd-9863-3cfcd65656fd</t>
        </is>
      </c>
      <c r="D934" t="inlineStr">
        <is>
          <t>11111127</t>
        </is>
      </c>
      <c r="E934" t="inlineStr">
        <is>
          <t>Vodacom Life 20260622</t>
        </is>
      </c>
      <c r="J934" t="inlineStr">
        <is>
          <t>CBACK</t>
        </is>
      </c>
      <c r="K934" t="inlineStr">
        <is>
          <t>Callback</t>
        </is>
      </c>
      <c r="L934" t="n">
        <v>3</v>
      </c>
      <c r="M934" t="inlineStr">
        <is>
          <t>2026-06-24 14:09:41</t>
        </is>
      </c>
      <c r="N934" t="inlineStr">
        <is>
          <t>Thandile Nokubeni</t>
        </is>
      </c>
      <c r="O934" t="inlineStr">
        <is>
          <t>2026-06-22 14:11:25</t>
        </is>
      </c>
      <c r="P934" t="inlineStr">
        <is>
          <t>2026-06-22 14:11:25</t>
        </is>
      </c>
      <c r="Y934" t="inlineStr">
        <is>
          <t>27790460274</t>
        </is>
      </c>
    </row>
    <row r="935">
      <c r="A935" t="inlineStr">
        <is>
          <t>14973762</t>
        </is>
      </c>
      <c r="B935" t="inlineStr">
        <is>
          <t>3199c6d4-59f2-40bc-99aa-2f995a4cc5dc</t>
        </is>
      </c>
      <c r="D935" t="inlineStr">
        <is>
          <t>11111127</t>
        </is>
      </c>
      <c r="E935" t="inlineStr">
        <is>
          <t>Vodacom Life 20260622</t>
        </is>
      </c>
      <c r="H935" t="inlineStr">
        <is>
          <t>27637126826</t>
        </is>
      </c>
      <c r="J935" t="inlineStr">
        <is>
          <t>A</t>
        </is>
      </c>
      <c r="K935" t="inlineStr">
        <is>
          <t>Answering Machine</t>
        </is>
      </c>
      <c r="L935" t="n">
        <v>5</v>
      </c>
      <c r="M935" t="inlineStr">
        <is>
          <t>2026-06-24 14:01:47</t>
        </is>
      </c>
      <c r="N935" t="inlineStr">
        <is>
          <t>bongiwe lushaba</t>
        </is>
      </c>
      <c r="O935" t="inlineStr">
        <is>
          <t>2026-06-22 14:11:25</t>
        </is>
      </c>
      <c r="P935" t="inlineStr">
        <is>
          <t>2026-06-22 14:11:25</t>
        </is>
      </c>
      <c r="Y935" t="inlineStr">
        <is>
          <t>27637126826</t>
        </is>
      </c>
    </row>
    <row r="936">
      <c r="A936" t="inlineStr">
        <is>
          <t>14973765</t>
        </is>
      </c>
      <c r="B936" t="inlineStr">
        <is>
          <t>641d60a3-1882-4259-8cb8-f84f526101c9</t>
        </is>
      </c>
      <c r="D936" t="inlineStr">
        <is>
          <t>11111127</t>
        </is>
      </c>
      <c r="E936" t="inlineStr">
        <is>
          <t>Vodacom Life 20260622</t>
        </is>
      </c>
      <c r="H936" t="inlineStr">
        <is>
          <t>27794190558</t>
        </is>
      </c>
      <c r="J936" t="inlineStr">
        <is>
          <t>DNCLIFE</t>
        </is>
      </c>
      <c r="K936" t="inlineStr">
        <is>
          <t>Do Not Call</t>
        </is>
      </c>
      <c r="L936" t="n">
        <v>3</v>
      </c>
      <c r="M936" t="inlineStr">
        <is>
          <t>2026-06-24 14:00:31</t>
        </is>
      </c>
      <c r="N936" t="inlineStr">
        <is>
          <t>Thandile Nokubeni</t>
        </is>
      </c>
      <c r="O936" t="inlineStr">
        <is>
          <t>2026-06-22 14:11:25</t>
        </is>
      </c>
      <c r="P936" t="inlineStr">
        <is>
          <t>2026-06-22 14:11:25</t>
        </is>
      </c>
      <c r="Y936" t="inlineStr">
        <is>
          <t>27794190558</t>
        </is>
      </c>
    </row>
    <row r="937">
      <c r="A937" t="inlineStr">
        <is>
          <t>14973761</t>
        </is>
      </c>
      <c r="B937" t="inlineStr">
        <is>
          <t>093332a0-a14e-4c7e-b785-7c98a2543958</t>
        </is>
      </c>
      <c r="D937" t="inlineStr">
        <is>
          <t>11111127</t>
        </is>
      </c>
      <c r="E937" t="inlineStr">
        <is>
          <t>Vodacom Life 20260622</t>
        </is>
      </c>
      <c r="H937" t="inlineStr">
        <is>
          <t>27637124907</t>
        </is>
      </c>
      <c r="J937" t="inlineStr">
        <is>
          <t>CBACK</t>
        </is>
      </c>
      <c r="K937" t="inlineStr">
        <is>
          <t>Callback</t>
        </is>
      </c>
      <c r="L937" t="n">
        <v>3</v>
      </c>
      <c r="M937" t="inlineStr">
        <is>
          <t>2026-06-24 13:59:44</t>
        </is>
      </c>
      <c r="N937" t="inlineStr">
        <is>
          <t>Maureen Ntsoko</t>
        </is>
      </c>
      <c r="O937" t="inlineStr">
        <is>
          <t>2026-06-22 14:11:25</t>
        </is>
      </c>
      <c r="P937" t="inlineStr">
        <is>
          <t>2026-06-22 14:11:25</t>
        </is>
      </c>
      <c r="Y937" t="inlineStr">
        <is>
          <t>27637124907</t>
        </is>
      </c>
    </row>
    <row r="938">
      <c r="A938" t="inlineStr">
        <is>
          <t>14974683</t>
        </is>
      </c>
      <c r="B938" t="inlineStr">
        <is>
          <t>f9a18302-e2de-4e78-b4b6-22b58addb4cf</t>
        </is>
      </c>
      <c r="D938" t="inlineStr">
        <is>
          <t>11111127</t>
        </is>
      </c>
      <c r="E938" t="inlineStr">
        <is>
          <t>Vodacom Life 20260622</t>
        </is>
      </c>
      <c r="H938" t="inlineStr">
        <is>
          <t>27725564771</t>
        </is>
      </c>
      <c r="J938" t="inlineStr">
        <is>
          <t>AC</t>
        </is>
      </c>
      <c r="K938" t="inlineStr">
        <is>
          <t>Already Contacted</t>
        </is>
      </c>
      <c r="L938" t="n">
        <v>3</v>
      </c>
      <c r="M938" t="inlineStr">
        <is>
          <t>2026-06-24 13:59:02</t>
        </is>
      </c>
      <c r="N938" t="inlineStr">
        <is>
          <t>Maureen Ntsoko</t>
        </is>
      </c>
      <c r="O938" t="inlineStr">
        <is>
          <t>2026-06-22 14:11:25</t>
        </is>
      </c>
      <c r="P938" t="inlineStr">
        <is>
          <t>2026-06-22 14:11:25</t>
        </is>
      </c>
      <c r="Y938" t="inlineStr">
        <is>
          <t>27725564771</t>
        </is>
      </c>
    </row>
    <row r="939">
      <c r="A939" t="inlineStr">
        <is>
          <t>14973720</t>
        </is>
      </c>
      <c r="B939" t="inlineStr">
        <is>
          <t>299bb679-9ace-420b-a460-96e59e21a699</t>
        </is>
      </c>
      <c r="D939" t="inlineStr">
        <is>
          <t>11111127</t>
        </is>
      </c>
      <c r="E939" t="inlineStr">
        <is>
          <t>Vodacom Life 20260622</t>
        </is>
      </c>
      <c r="H939" t="inlineStr">
        <is>
          <t>27648188094</t>
        </is>
      </c>
      <c r="J939" t="inlineStr">
        <is>
          <t>CBACK</t>
        </is>
      </c>
      <c r="K939" t="inlineStr">
        <is>
          <t>Callback</t>
        </is>
      </c>
      <c r="L939" t="n">
        <v>4</v>
      </c>
      <c r="M939" t="inlineStr">
        <is>
          <t>2026-06-24 13:58:25</t>
        </is>
      </c>
      <c r="N939" t="inlineStr">
        <is>
          <t>Thandile Nokubeni</t>
        </is>
      </c>
      <c r="O939" t="inlineStr">
        <is>
          <t>2026-06-22 14:11:25</t>
        </is>
      </c>
      <c r="P939" t="inlineStr">
        <is>
          <t>2026-06-22 14:11:25</t>
        </is>
      </c>
      <c r="Y939" t="inlineStr">
        <is>
          <t>27648188094</t>
        </is>
      </c>
    </row>
    <row r="940">
      <c r="A940" t="inlineStr">
        <is>
          <t>14973704</t>
        </is>
      </c>
      <c r="B940" t="inlineStr">
        <is>
          <t>a1c76659-fda0-4564-b94e-512f9f0655cb</t>
        </is>
      </c>
      <c r="D940" t="inlineStr">
        <is>
          <t>11111127</t>
        </is>
      </c>
      <c r="E940" t="inlineStr">
        <is>
          <t>Vodacom Life 20260622</t>
        </is>
      </c>
      <c r="J940" t="inlineStr">
        <is>
          <t>NI</t>
        </is>
      </c>
      <c r="K940" t="inlineStr">
        <is>
          <t>Not Interested</t>
        </is>
      </c>
      <c r="L940" t="n">
        <v>3</v>
      </c>
      <c r="M940" t="inlineStr">
        <is>
          <t>2026-06-24 13:52:41</t>
        </is>
      </c>
      <c r="N940" t="inlineStr">
        <is>
          <t>Khensane Mabasa</t>
        </is>
      </c>
      <c r="O940" t="inlineStr">
        <is>
          <t>2026-06-22 14:11:25</t>
        </is>
      </c>
      <c r="P940" t="inlineStr">
        <is>
          <t>2026-06-22 14:11:25</t>
        </is>
      </c>
      <c r="Y940" t="inlineStr">
        <is>
          <t>27719198099</t>
        </is>
      </c>
    </row>
    <row r="941">
      <c r="A941" t="inlineStr">
        <is>
          <t>14974247</t>
        </is>
      </c>
      <c r="B941" t="inlineStr">
        <is>
          <t>ed25f8ce-7180-4cc8-a5c9-098a11c10aaf</t>
        </is>
      </c>
      <c r="D941" t="inlineStr">
        <is>
          <t>11111127</t>
        </is>
      </c>
      <c r="E941" t="inlineStr">
        <is>
          <t>Vodacom Life 20260622</t>
        </is>
      </c>
      <c r="H941" t="inlineStr">
        <is>
          <t>27838443402</t>
        </is>
      </c>
      <c r="J941" t="inlineStr">
        <is>
          <t>NI</t>
        </is>
      </c>
      <c r="K941" t="inlineStr">
        <is>
          <t>Not Interested</t>
        </is>
      </c>
      <c r="L941" t="n">
        <v>3</v>
      </c>
      <c r="M941" t="inlineStr">
        <is>
          <t>2026-06-24 13:50:38</t>
        </is>
      </c>
      <c r="N941" t="inlineStr">
        <is>
          <t>Khensane Mabasa</t>
        </is>
      </c>
      <c r="O941" t="inlineStr">
        <is>
          <t>2026-06-22 14:11:25</t>
        </is>
      </c>
      <c r="P941" t="inlineStr">
        <is>
          <t>2026-06-22 14:11:25</t>
        </is>
      </c>
      <c r="Y941" t="inlineStr">
        <is>
          <t>27838443402</t>
        </is>
      </c>
    </row>
    <row r="942">
      <c r="A942" t="inlineStr">
        <is>
          <t>14974250</t>
        </is>
      </c>
      <c r="B942" t="inlineStr">
        <is>
          <t>0e5dd046-9110-4f08-bf06-a47abb7de040</t>
        </is>
      </c>
      <c r="D942" t="inlineStr">
        <is>
          <t>11111127</t>
        </is>
      </c>
      <c r="E942" t="inlineStr">
        <is>
          <t>Vodacom Life 20260622</t>
        </is>
      </c>
      <c r="H942" t="inlineStr">
        <is>
          <t>27796811982</t>
        </is>
      </c>
      <c r="J942" t="inlineStr">
        <is>
          <t>DNQS</t>
        </is>
      </c>
      <c r="K942" t="inlineStr">
        <is>
          <t>Does Not Qualify</t>
        </is>
      </c>
      <c r="L942" t="n">
        <v>4</v>
      </c>
      <c r="M942" t="inlineStr">
        <is>
          <t>2026-06-24 13:48:17</t>
        </is>
      </c>
      <c r="N942" t="inlineStr">
        <is>
          <t>Khensane Mabasa</t>
        </is>
      </c>
      <c r="O942" t="inlineStr">
        <is>
          <t>2026-06-22 14:11:25</t>
        </is>
      </c>
      <c r="P942" t="inlineStr">
        <is>
          <t>2026-06-22 14:11:25</t>
        </is>
      </c>
      <c r="Y942" t="inlineStr">
        <is>
          <t>27796811982</t>
        </is>
      </c>
    </row>
    <row r="943">
      <c r="A943" t="inlineStr">
        <is>
          <t>14974236</t>
        </is>
      </c>
      <c r="B943" t="inlineStr">
        <is>
          <t>656d59b2-88ec-45cb-8286-3e2851de55b9</t>
        </is>
      </c>
      <c r="D943" t="inlineStr">
        <is>
          <t>11111127</t>
        </is>
      </c>
      <c r="E943" t="inlineStr">
        <is>
          <t>Vodacom Life 20260622</t>
        </is>
      </c>
      <c r="J943" t="inlineStr">
        <is>
          <t>NI</t>
        </is>
      </c>
      <c r="K943" t="inlineStr">
        <is>
          <t>Not Interested</t>
        </is>
      </c>
      <c r="L943" t="n">
        <v>3</v>
      </c>
      <c r="M943" t="inlineStr">
        <is>
          <t>2026-06-24 13:46:57</t>
        </is>
      </c>
      <c r="N943" t="inlineStr">
        <is>
          <t>Thandile Nokubeni</t>
        </is>
      </c>
      <c r="O943" t="inlineStr">
        <is>
          <t>2026-06-22 14:11:25</t>
        </is>
      </c>
      <c r="P943" t="inlineStr">
        <is>
          <t>2026-06-22 14:11:25</t>
        </is>
      </c>
      <c r="Y943" t="inlineStr">
        <is>
          <t>27636993502</t>
        </is>
      </c>
    </row>
    <row r="944">
      <c r="A944" t="inlineStr">
        <is>
          <t>14974123</t>
        </is>
      </c>
      <c r="B944" t="inlineStr">
        <is>
          <t>04de449b-071c-4a7a-ad0f-42e3bc997e30</t>
        </is>
      </c>
      <c r="D944" t="inlineStr">
        <is>
          <t>11111127</t>
        </is>
      </c>
      <c r="E944" t="inlineStr">
        <is>
          <t>Vodacom Life 20260622</t>
        </is>
      </c>
      <c r="J944" t="inlineStr">
        <is>
          <t>OAL</t>
        </is>
      </c>
      <c r="K944" t="inlineStr">
        <is>
          <t>Over Age Limit</t>
        </is>
      </c>
      <c r="L944" t="n">
        <v>3</v>
      </c>
      <c r="M944" t="inlineStr">
        <is>
          <t>2026-06-24 13:43:30</t>
        </is>
      </c>
      <c r="N944" t="inlineStr">
        <is>
          <t>bongiwe lushaba</t>
        </is>
      </c>
      <c r="O944" t="inlineStr">
        <is>
          <t>2026-06-22 14:11:25</t>
        </is>
      </c>
      <c r="P944" t="inlineStr">
        <is>
          <t>2026-06-22 14:11:25</t>
        </is>
      </c>
      <c r="Y944" t="inlineStr">
        <is>
          <t>27823050118</t>
        </is>
      </c>
    </row>
    <row r="945">
      <c r="A945" t="inlineStr">
        <is>
          <t>14974560</t>
        </is>
      </c>
      <c r="B945" t="inlineStr">
        <is>
          <t>28f30550-1c2f-4857-b6fe-a2df94f9c539</t>
        </is>
      </c>
      <c r="D945" t="inlineStr">
        <is>
          <t>11111127</t>
        </is>
      </c>
      <c r="E945" t="inlineStr">
        <is>
          <t>Vodacom Life 20260622</t>
        </is>
      </c>
      <c r="J945" t="inlineStr">
        <is>
          <t>NI</t>
        </is>
      </c>
      <c r="K945" t="inlineStr">
        <is>
          <t>Not Interested</t>
        </is>
      </c>
      <c r="L945" t="n">
        <v>3</v>
      </c>
      <c r="M945" t="inlineStr">
        <is>
          <t>2026-06-24 13:42:12</t>
        </is>
      </c>
      <c r="N945" t="inlineStr">
        <is>
          <t>Khensane Mabasa</t>
        </is>
      </c>
      <c r="O945" t="inlineStr">
        <is>
          <t>2026-06-22 14:11:25</t>
        </is>
      </c>
      <c r="P945" t="inlineStr">
        <is>
          <t>2026-06-22 14:11:25</t>
        </is>
      </c>
      <c r="Y945" t="inlineStr">
        <is>
          <t>27606386638</t>
        </is>
      </c>
    </row>
    <row r="946">
      <c r="A946" t="inlineStr">
        <is>
          <t>14974568</t>
        </is>
      </c>
      <c r="B946" t="inlineStr">
        <is>
          <t>4eb02d2c-8842-444c-ae3a-7af02018d423</t>
        </is>
      </c>
      <c r="D946" t="inlineStr">
        <is>
          <t>11111127</t>
        </is>
      </c>
      <c r="E946" t="inlineStr">
        <is>
          <t>Vodacom Life 20260622</t>
        </is>
      </c>
      <c r="H946" t="inlineStr">
        <is>
          <t>27724923906</t>
        </is>
      </c>
      <c r="J946" t="inlineStr">
        <is>
          <t>CBACK</t>
        </is>
      </c>
      <c r="K946" t="inlineStr">
        <is>
          <t>Callback</t>
        </is>
      </c>
      <c r="L946" t="n">
        <v>3</v>
      </c>
      <c r="M946" t="inlineStr">
        <is>
          <t>2026-06-24 13:41:27</t>
        </is>
      </c>
      <c r="N946" t="inlineStr">
        <is>
          <t>Khensane Mabasa</t>
        </is>
      </c>
      <c r="O946" t="inlineStr">
        <is>
          <t>2026-06-22 14:11:25</t>
        </is>
      </c>
      <c r="P946" t="inlineStr">
        <is>
          <t>2026-06-22 14:11:25</t>
        </is>
      </c>
      <c r="Y946" t="inlineStr">
        <is>
          <t>27724923906</t>
        </is>
      </c>
    </row>
    <row r="947">
      <c r="A947" t="inlineStr">
        <is>
          <t>14974006</t>
        </is>
      </c>
      <c r="B947" t="inlineStr">
        <is>
          <t>3d402cad-dcd6-4cbb-9f0a-f03fc7771b19</t>
        </is>
      </c>
      <c r="D947" t="inlineStr">
        <is>
          <t>11111127</t>
        </is>
      </c>
      <c r="E947" t="inlineStr">
        <is>
          <t>Vodacom Life 20260622</t>
        </is>
      </c>
      <c r="J947" t="inlineStr">
        <is>
          <t>AC</t>
        </is>
      </c>
      <c r="K947" t="inlineStr">
        <is>
          <t>Already Contacted</t>
        </is>
      </c>
      <c r="L947" t="n">
        <v>3</v>
      </c>
      <c r="M947" t="inlineStr">
        <is>
          <t>2026-06-24 13:20:46</t>
        </is>
      </c>
      <c r="N947" t="inlineStr">
        <is>
          <t>Maureen Ntsoko</t>
        </is>
      </c>
      <c r="O947" t="inlineStr">
        <is>
          <t>2026-06-22 14:11:25</t>
        </is>
      </c>
      <c r="P947" t="inlineStr">
        <is>
          <t>2026-06-22 14:11:25</t>
        </is>
      </c>
      <c r="Y947" t="inlineStr">
        <is>
          <t>27827624250</t>
        </is>
      </c>
    </row>
    <row r="948">
      <c r="A948" t="inlineStr">
        <is>
          <t>14974616</t>
        </is>
      </c>
      <c r="B948" t="inlineStr">
        <is>
          <t>2095706f-bd02-4a62-a8c7-cedf0b4c15f2</t>
        </is>
      </c>
      <c r="D948" t="inlineStr">
        <is>
          <t>11111127</t>
        </is>
      </c>
      <c r="E948" t="inlineStr">
        <is>
          <t>Vodacom Life 20260622</t>
        </is>
      </c>
      <c r="H948" t="inlineStr">
        <is>
          <t>27636798269</t>
        </is>
      </c>
      <c r="J948" t="inlineStr">
        <is>
          <t>AC</t>
        </is>
      </c>
      <c r="K948" t="inlineStr">
        <is>
          <t>Already Contacted</t>
        </is>
      </c>
      <c r="L948" t="n">
        <v>3</v>
      </c>
      <c r="M948" t="inlineStr">
        <is>
          <t>2026-06-24 12:36:05</t>
        </is>
      </c>
      <c r="N948" t="inlineStr">
        <is>
          <t>Maureen Ntsoko</t>
        </is>
      </c>
      <c r="O948" t="inlineStr">
        <is>
          <t>2026-06-22 14:11:25</t>
        </is>
      </c>
      <c r="P948" t="inlineStr">
        <is>
          <t>2026-06-22 14:11:25</t>
        </is>
      </c>
      <c r="Y948" t="inlineStr">
        <is>
          <t>27636798269</t>
        </is>
      </c>
    </row>
    <row r="949">
      <c r="A949" t="inlineStr">
        <is>
          <t>14974452</t>
        </is>
      </c>
      <c r="B949" t="inlineStr">
        <is>
          <t>98518380-638c-44d8-88ea-2ada582a416a</t>
        </is>
      </c>
      <c r="D949" t="inlineStr">
        <is>
          <t>11111127</t>
        </is>
      </c>
      <c r="E949" t="inlineStr">
        <is>
          <t>Vodacom Life 20260622</t>
        </is>
      </c>
      <c r="H949" t="inlineStr">
        <is>
          <t>27648645678</t>
        </is>
      </c>
      <c r="J949" t="inlineStr">
        <is>
          <t>U</t>
        </is>
      </c>
      <c r="K949" t="inlineStr">
        <is>
          <t>Unemployed</t>
        </is>
      </c>
      <c r="L949" t="n">
        <v>3</v>
      </c>
      <c r="M949" t="inlineStr">
        <is>
          <t>2026-06-24 09:58:01</t>
        </is>
      </c>
      <c r="N949" t="inlineStr">
        <is>
          <t>bongiwe lushaba</t>
        </is>
      </c>
      <c r="O949" t="inlineStr">
        <is>
          <t>2026-06-22 14:11:25</t>
        </is>
      </c>
      <c r="P949" t="inlineStr">
        <is>
          <t>2026-06-22 14:11:25</t>
        </is>
      </c>
      <c r="Y949" t="inlineStr">
        <is>
          <t>27648645678</t>
        </is>
      </c>
    </row>
    <row r="950">
      <c r="A950" t="inlineStr">
        <is>
          <t>14974187</t>
        </is>
      </c>
      <c r="B950" t="inlineStr">
        <is>
          <t>f9ac3540-74dc-4bf3-9048-062321c9870b</t>
        </is>
      </c>
      <c r="D950" t="inlineStr">
        <is>
          <t>11111127</t>
        </is>
      </c>
      <c r="E950" t="inlineStr">
        <is>
          <t>Vodacom Life 20260622</t>
        </is>
      </c>
      <c r="J950" t="inlineStr">
        <is>
          <t>QAVET</t>
        </is>
      </c>
      <c r="K950" t="inlineStr">
        <is>
          <t>Sale Made</t>
        </is>
      </c>
      <c r="L950" t="n">
        <v>2</v>
      </c>
      <c r="M950" t="inlineStr">
        <is>
          <t>2026-06-24 09:06:47</t>
        </is>
      </c>
      <c r="N950" t="inlineStr">
        <is>
          <t>Musiiwa Mary Mabirimisa</t>
        </is>
      </c>
      <c r="O950" t="inlineStr">
        <is>
          <t>2026-06-22 14:11:25</t>
        </is>
      </c>
      <c r="P950" t="inlineStr">
        <is>
          <t>2026-06-22 14:11:25</t>
        </is>
      </c>
      <c r="Y950" t="inlineStr">
        <is>
          <t>27762720063</t>
        </is>
      </c>
    </row>
    <row r="951">
      <c r="A951" t="inlineStr">
        <is>
          <t>14974317</t>
        </is>
      </c>
      <c r="B951" t="inlineStr">
        <is>
          <t>60b73d85-485a-4e16-bdf0-5d7d6a641008</t>
        </is>
      </c>
      <c r="D951" t="inlineStr">
        <is>
          <t>11111127</t>
        </is>
      </c>
      <c r="E951" t="inlineStr">
        <is>
          <t>Vodacom Life 20260622</t>
        </is>
      </c>
      <c r="J951" t="inlineStr">
        <is>
          <t>U</t>
        </is>
      </c>
      <c r="K951" t="inlineStr">
        <is>
          <t>Unemployed</t>
        </is>
      </c>
      <c r="L951" t="n">
        <v>2</v>
      </c>
      <c r="M951" t="inlineStr">
        <is>
          <t>2026-06-24 08:50:07</t>
        </is>
      </c>
      <c r="N951" t="inlineStr">
        <is>
          <t>Musiiwa Mary Mabirimisa</t>
        </is>
      </c>
      <c r="O951" t="inlineStr">
        <is>
          <t>2026-06-22 14:11:25</t>
        </is>
      </c>
      <c r="P951" t="inlineStr">
        <is>
          <t>2026-06-22 14:11:25</t>
        </is>
      </c>
      <c r="Y951" t="inlineStr">
        <is>
          <t>27827908767</t>
        </is>
      </c>
    </row>
    <row r="952">
      <c r="A952" t="inlineStr">
        <is>
          <t>14974282</t>
        </is>
      </c>
      <c r="B952" t="inlineStr">
        <is>
          <t>d8de132b-1780-448a-a197-162884c497d6</t>
        </is>
      </c>
      <c r="D952" t="inlineStr">
        <is>
          <t>11111127</t>
        </is>
      </c>
      <c r="E952" t="inlineStr">
        <is>
          <t>Vodacom Life 20260622</t>
        </is>
      </c>
      <c r="J952" t="inlineStr">
        <is>
          <t>SELECTED</t>
        </is>
      </c>
      <c r="K952" t="inlineStr">
        <is>
          <t>Selected</t>
        </is>
      </c>
      <c r="L952" t="n">
        <v>3</v>
      </c>
      <c r="M952" t="inlineStr">
        <is>
          <t>2026-06-24 08:46:39</t>
        </is>
      </c>
      <c r="N952" t="inlineStr">
        <is>
          <t>system</t>
        </is>
      </c>
      <c r="O952" t="inlineStr">
        <is>
          <t>2026-06-22 14:11:25</t>
        </is>
      </c>
      <c r="P952" t="inlineStr">
        <is>
          <t>2026-06-22 14:11:25</t>
        </is>
      </c>
      <c r="Y952" t="inlineStr">
        <is>
          <t>27766484348</t>
        </is>
      </c>
    </row>
    <row r="953">
      <c r="A953" t="inlineStr">
        <is>
          <t>14974335</t>
        </is>
      </c>
      <c r="B953" t="inlineStr">
        <is>
          <t>9e19dd70-cee1-459f-ae0f-ec610c66efb2</t>
        </is>
      </c>
      <c r="D953" t="inlineStr">
        <is>
          <t>11111127</t>
        </is>
      </c>
      <c r="E953" t="inlineStr">
        <is>
          <t>Vodacom Life 20260622</t>
        </is>
      </c>
      <c r="J953" t="inlineStr">
        <is>
          <t>DNQS</t>
        </is>
      </c>
      <c r="K953" t="inlineStr">
        <is>
          <t>Does Not Qualify</t>
        </is>
      </c>
      <c r="L953" t="n">
        <v>2</v>
      </c>
      <c r="M953" t="inlineStr">
        <is>
          <t>2026-06-24 08:39:43</t>
        </is>
      </c>
      <c r="N953" t="inlineStr">
        <is>
          <t>Musiiwa Mary Mabirimisa</t>
        </is>
      </c>
      <c r="O953" t="inlineStr">
        <is>
          <t>2026-06-22 14:11:25</t>
        </is>
      </c>
      <c r="P953" t="inlineStr">
        <is>
          <t>2026-06-22 14:11:25</t>
        </is>
      </c>
      <c r="Y953" t="inlineStr">
        <is>
          <t>27608714189</t>
        </is>
      </c>
    </row>
    <row r="954">
      <c r="A954" t="inlineStr">
        <is>
          <t>14974214</t>
        </is>
      </c>
      <c r="B954" t="inlineStr">
        <is>
          <t>380b5ad2-cf72-414d-b26d-f5f0922b30e8</t>
        </is>
      </c>
      <c r="D954" t="inlineStr">
        <is>
          <t>11111127</t>
        </is>
      </c>
      <c r="E954" t="inlineStr">
        <is>
          <t>Vodacom Life 20260622</t>
        </is>
      </c>
      <c r="J954" t="inlineStr">
        <is>
          <t>NI</t>
        </is>
      </c>
      <c r="K954" t="inlineStr">
        <is>
          <t>Not Interested</t>
        </is>
      </c>
      <c r="L954" t="n">
        <v>2</v>
      </c>
      <c r="M954" t="inlineStr">
        <is>
          <t>2026-06-24 07:56:00</t>
        </is>
      </c>
      <c r="N954" t="inlineStr">
        <is>
          <t>Maureen Ntsoko</t>
        </is>
      </c>
      <c r="O954" t="inlineStr">
        <is>
          <t>2026-06-22 14:11:25</t>
        </is>
      </c>
      <c r="P954" t="inlineStr">
        <is>
          <t>2026-06-22 14:11:25</t>
        </is>
      </c>
      <c r="Y954" t="inlineStr">
        <is>
          <t>27767735372</t>
        </is>
      </c>
    </row>
    <row r="955">
      <c r="A955" t="inlineStr">
        <is>
          <t>14974059</t>
        </is>
      </c>
      <c r="B955" t="inlineStr">
        <is>
          <t>28ed2f09-6c13-402b-893d-e27b888c943e</t>
        </is>
      </c>
      <c r="D955" t="inlineStr">
        <is>
          <t>11111127</t>
        </is>
      </c>
      <c r="E955" t="inlineStr">
        <is>
          <t>Vodacom Life 20260622</t>
        </is>
      </c>
      <c r="J955" t="inlineStr">
        <is>
          <t>CBACK</t>
        </is>
      </c>
      <c r="K955" t="inlineStr">
        <is>
          <t>Callback</t>
        </is>
      </c>
      <c r="L955" t="n">
        <v>2</v>
      </c>
      <c r="M955" t="inlineStr">
        <is>
          <t>2026-06-24 07:50:01</t>
        </is>
      </c>
      <c r="N955" t="inlineStr">
        <is>
          <t>Maureen Ntsoko</t>
        </is>
      </c>
      <c r="O955" t="inlineStr">
        <is>
          <t>2026-06-22 14:11:25</t>
        </is>
      </c>
      <c r="P955" t="inlineStr">
        <is>
          <t>2026-06-22 14:11:25</t>
        </is>
      </c>
      <c r="Y955" t="inlineStr">
        <is>
          <t>27790322555</t>
        </is>
      </c>
    </row>
    <row r="956">
      <c r="A956" t="inlineStr">
        <is>
          <t>14974511</t>
        </is>
      </c>
      <c r="B956" t="inlineStr">
        <is>
          <t>400f2fc2-e8cf-4afe-8ae4-a290805fb255</t>
        </is>
      </c>
      <c r="D956" t="inlineStr">
        <is>
          <t>11111127</t>
        </is>
      </c>
      <c r="E956" t="inlineStr">
        <is>
          <t>Vodacom Life 20260622</t>
        </is>
      </c>
      <c r="J956" t="inlineStr">
        <is>
          <t>U</t>
        </is>
      </c>
      <c r="K956" t="inlineStr">
        <is>
          <t>Unemployed</t>
        </is>
      </c>
      <c r="L956" t="n">
        <v>2</v>
      </c>
      <c r="M956" t="inlineStr">
        <is>
          <t>2026-06-24 07:44:32</t>
        </is>
      </c>
      <c r="N956" t="inlineStr">
        <is>
          <t>Maureen Ntsoko</t>
        </is>
      </c>
      <c r="O956" t="inlineStr">
        <is>
          <t>2026-06-22 14:11:25</t>
        </is>
      </c>
      <c r="P956" t="inlineStr">
        <is>
          <t>2026-06-22 14:11:25</t>
        </is>
      </c>
      <c r="Y956" t="inlineStr">
        <is>
          <t>27793870139</t>
        </is>
      </c>
    </row>
    <row r="957">
      <c r="A957" t="inlineStr">
        <is>
          <t>14974581</t>
        </is>
      </c>
      <c r="B957" t="inlineStr">
        <is>
          <t>55c2fe3e-ee84-48dc-b9a5-aeafcefb5b72</t>
        </is>
      </c>
      <c r="D957" t="inlineStr">
        <is>
          <t>11111127</t>
        </is>
      </c>
      <c r="E957" t="inlineStr">
        <is>
          <t>Vodacom Life 20260622</t>
        </is>
      </c>
      <c r="J957" t="inlineStr">
        <is>
          <t>U</t>
        </is>
      </c>
      <c r="K957" t="inlineStr">
        <is>
          <t>Unemployed</t>
        </is>
      </c>
      <c r="L957" t="n">
        <v>2</v>
      </c>
      <c r="M957" t="inlineStr">
        <is>
          <t>2026-06-24 07:29:33</t>
        </is>
      </c>
      <c r="N957" t="inlineStr">
        <is>
          <t>Musiiwa Mary Mabirimisa</t>
        </is>
      </c>
      <c r="O957" t="inlineStr">
        <is>
          <t>2026-06-22 14:11:25</t>
        </is>
      </c>
      <c r="P957" t="inlineStr">
        <is>
          <t>2026-06-22 14:11:25</t>
        </is>
      </c>
      <c r="Y957" t="inlineStr">
        <is>
          <t>27795755238</t>
        </is>
      </c>
    </row>
    <row r="958">
      <c r="A958" t="inlineStr">
        <is>
          <t>14974003</t>
        </is>
      </c>
      <c r="B958" t="inlineStr">
        <is>
          <t>ba9b544d-3640-4b3b-8dde-adbdfbc1273c</t>
        </is>
      </c>
      <c r="D958" t="inlineStr">
        <is>
          <t>11111127</t>
        </is>
      </c>
      <c r="E958" t="inlineStr">
        <is>
          <t>Vodacom Life 20260622</t>
        </is>
      </c>
      <c r="J958" t="inlineStr">
        <is>
          <t>CBACK</t>
        </is>
      </c>
      <c r="K958" t="inlineStr">
        <is>
          <t>Callback</t>
        </is>
      </c>
      <c r="L958" t="n">
        <v>2</v>
      </c>
      <c r="M958" t="inlineStr">
        <is>
          <t>2026-06-24 07:14:29</t>
        </is>
      </c>
      <c r="N958" t="inlineStr">
        <is>
          <t>Maureen Ntsoko</t>
        </is>
      </c>
      <c r="O958" t="inlineStr">
        <is>
          <t>2026-06-22 14:11:25</t>
        </is>
      </c>
      <c r="P958" t="inlineStr">
        <is>
          <t>2026-06-22 14:11:25</t>
        </is>
      </c>
      <c r="Y958" t="inlineStr">
        <is>
          <t>27795569279</t>
        </is>
      </c>
    </row>
    <row r="959">
      <c r="A959" t="inlineStr">
        <is>
          <t>14973995</t>
        </is>
      </c>
      <c r="B959" t="inlineStr">
        <is>
          <t>689240f2-5949-45da-8e5e-9928cd7272be</t>
        </is>
      </c>
      <c r="D959" t="inlineStr">
        <is>
          <t>11111127</t>
        </is>
      </c>
      <c r="E959" t="inlineStr">
        <is>
          <t>Vodacom Life 20260622</t>
        </is>
      </c>
      <c r="J959" t="inlineStr">
        <is>
          <t>NIUP</t>
        </is>
      </c>
      <c r="K959" t="inlineStr">
        <is>
          <t>Not Interested Upfront</t>
        </is>
      </c>
      <c r="L959" t="n">
        <v>2</v>
      </c>
      <c r="M959" t="inlineStr">
        <is>
          <t>2026-06-24 07:13:05</t>
        </is>
      </c>
      <c r="N959" t="inlineStr">
        <is>
          <t>Maureen Ntsoko</t>
        </is>
      </c>
      <c r="O959" t="inlineStr">
        <is>
          <t>2026-06-22 14:11:25</t>
        </is>
      </c>
      <c r="P959" t="inlineStr">
        <is>
          <t>2026-06-22 14:11:25</t>
        </is>
      </c>
      <c r="Y959" t="inlineStr">
        <is>
          <t>27721234648</t>
        </is>
      </c>
    </row>
    <row r="960">
      <c r="A960" t="inlineStr">
        <is>
          <t>14974631</t>
        </is>
      </c>
      <c r="B960" t="inlineStr">
        <is>
          <t>4b54da25-5416-4f5c-b642-7d58596c84fb</t>
        </is>
      </c>
      <c r="D960" t="inlineStr">
        <is>
          <t>11111127</t>
        </is>
      </c>
      <c r="E960" t="inlineStr">
        <is>
          <t>Vodacom Life 20260622</t>
        </is>
      </c>
      <c r="J960" t="inlineStr">
        <is>
          <t>CBACK</t>
        </is>
      </c>
      <c r="K960" t="inlineStr">
        <is>
          <t>Callback</t>
        </is>
      </c>
      <c r="L960" t="n">
        <v>2</v>
      </c>
      <c r="M960" t="inlineStr">
        <is>
          <t>2026-06-24 07:10:19</t>
        </is>
      </c>
      <c r="N960" t="inlineStr">
        <is>
          <t>Maureen Ntsoko</t>
        </is>
      </c>
      <c r="O960" t="inlineStr">
        <is>
          <t>2026-06-22 14:11:25</t>
        </is>
      </c>
      <c r="P960" t="inlineStr">
        <is>
          <t>2026-06-22 14:11:25</t>
        </is>
      </c>
      <c r="Y960" t="inlineStr">
        <is>
          <t>27824254526</t>
        </is>
      </c>
    </row>
    <row r="961">
      <c r="A961" t="inlineStr">
        <is>
          <t>14974612</t>
        </is>
      </c>
      <c r="B961" t="inlineStr">
        <is>
          <t>d21add08-c4b8-4edf-91a9-aa2fc857134d</t>
        </is>
      </c>
      <c r="D961" t="inlineStr">
        <is>
          <t>11111127</t>
        </is>
      </c>
      <c r="E961" t="inlineStr">
        <is>
          <t>Vodacom Life 20260622</t>
        </is>
      </c>
      <c r="H961" t="inlineStr">
        <is>
          <t>27721035860</t>
        </is>
      </c>
      <c r="J961" t="inlineStr">
        <is>
          <t>NI</t>
        </is>
      </c>
      <c r="K961" t="inlineStr">
        <is>
          <t>Not Interested</t>
        </is>
      </c>
      <c r="L961" t="n">
        <v>2</v>
      </c>
      <c r="M961" t="inlineStr">
        <is>
          <t>2026-06-24 07:05:10</t>
        </is>
      </c>
      <c r="N961" t="inlineStr">
        <is>
          <t>Khensane Mabasa</t>
        </is>
      </c>
      <c r="O961" t="inlineStr">
        <is>
          <t>2026-06-22 14:11:25</t>
        </is>
      </c>
      <c r="P961" t="inlineStr">
        <is>
          <t>2026-06-22 14:11:25</t>
        </is>
      </c>
      <c r="Y961" t="inlineStr">
        <is>
          <t>27721035860</t>
        </is>
      </c>
    </row>
    <row r="962">
      <c r="A962" t="inlineStr">
        <is>
          <t>14974101</t>
        </is>
      </c>
      <c r="B962" t="inlineStr">
        <is>
          <t>bf9b5c4f-84c9-4c70-b76c-0a569f70d597</t>
        </is>
      </c>
      <c r="D962" t="inlineStr">
        <is>
          <t>11111127</t>
        </is>
      </c>
      <c r="E962" t="inlineStr">
        <is>
          <t>Vodacom Life 20260622</t>
        </is>
      </c>
      <c r="J962" t="inlineStr">
        <is>
          <t>CBACK</t>
        </is>
      </c>
      <c r="K962" t="inlineStr">
        <is>
          <t>Callback</t>
        </is>
      </c>
      <c r="L962" t="n">
        <v>2</v>
      </c>
      <c r="M962" t="inlineStr">
        <is>
          <t>2026-06-24 07:01:02</t>
        </is>
      </c>
      <c r="N962" t="inlineStr">
        <is>
          <t>Maureen Ntsoko</t>
        </is>
      </c>
      <c r="O962" t="inlineStr">
        <is>
          <t>2026-06-22 14:11:25</t>
        </is>
      </c>
      <c r="P962" t="inlineStr">
        <is>
          <t>2026-06-22 14:11:25</t>
        </is>
      </c>
      <c r="Y962" t="inlineStr">
        <is>
          <t>27724871799</t>
        </is>
      </c>
    </row>
    <row r="963">
      <c r="A963" t="inlineStr">
        <is>
          <t>15000000</t>
        </is>
      </c>
      <c r="B963" t="inlineStr">
        <is>
          <t>31e903b4-2c20-4ea7-b238-cc9adfec7883</t>
        </is>
      </c>
      <c r="D963" t="inlineStr">
        <is>
          <t>11111127</t>
        </is>
      </c>
      <c r="E963" t="inlineStr">
        <is>
          <t>Vodacom Life 20260622</t>
        </is>
      </c>
      <c r="J963" t="inlineStr">
        <is>
          <t>QAVET</t>
        </is>
      </c>
      <c r="K963" t="inlineStr">
        <is>
          <t>Sale Made</t>
        </is>
      </c>
      <c r="L963" t="n">
        <v>2</v>
      </c>
      <c r="M963" t="inlineStr">
        <is>
          <t>2026-06-24 07:00:55</t>
        </is>
      </c>
      <c r="N963" t="inlineStr">
        <is>
          <t>bongiwe lushaba</t>
        </is>
      </c>
      <c r="O963" t="inlineStr">
        <is>
          <t>2026-06-22 14:11:25</t>
        </is>
      </c>
      <c r="P963" t="inlineStr">
        <is>
          <t>2026-06-22 14:11:25</t>
        </is>
      </c>
      <c r="Y963" t="inlineStr">
        <is>
          <t>27766311458</t>
        </is>
      </c>
    </row>
    <row r="964">
      <c r="A964" t="inlineStr">
        <is>
          <t>15000000</t>
        </is>
      </c>
      <c r="B964" t="inlineStr">
        <is>
          <t>8e29227f-89c0-4924-88b8-b94132dee237</t>
        </is>
      </c>
      <c r="D964" t="inlineStr">
        <is>
          <t>11111127</t>
        </is>
      </c>
      <c r="E964" t="inlineStr">
        <is>
          <t>Vodacom Life 20260622</t>
        </is>
      </c>
      <c r="H964" t="inlineStr">
        <is>
          <t>27822668186</t>
        </is>
      </c>
      <c r="J964" t="inlineStr">
        <is>
          <t>U</t>
        </is>
      </c>
      <c r="K964" t="inlineStr">
        <is>
          <t>Unemployed</t>
        </is>
      </c>
      <c r="L964" t="n">
        <v>2</v>
      </c>
      <c r="M964" t="inlineStr">
        <is>
          <t>2026-06-24 07:00:54</t>
        </is>
      </c>
      <c r="N964" t="inlineStr">
        <is>
          <t>Khensane Mabasa</t>
        </is>
      </c>
      <c r="O964" t="inlineStr">
        <is>
          <t>2026-06-22 14:11:25</t>
        </is>
      </c>
      <c r="P964" t="inlineStr">
        <is>
          <t>2026-06-22 14:11:25</t>
        </is>
      </c>
      <c r="Y964" t="inlineStr">
        <is>
          <t>27822668186</t>
        </is>
      </c>
    </row>
    <row r="965">
      <c r="A965" t="inlineStr">
        <is>
          <t>14974029</t>
        </is>
      </c>
      <c r="B965" t="inlineStr">
        <is>
          <t>9a8b002b-b112-46f7-a5e5-880b357ea7d6</t>
        </is>
      </c>
      <c r="D965" t="inlineStr">
        <is>
          <t>11111127</t>
        </is>
      </c>
      <c r="E965" t="inlineStr">
        <is>
          <t>Vodacom Life 20260622</t>
        </is>
      </c>
      <c r="H965" t="inlineStr">
        <is>
          <t>27722182618</t>
        </is>
      </c>
      <c r="J965" t="inlineStr">
        <is>
          <t>NI</t>
        </is>
      </c>
      <c r="K965" t="inlineStr">
        <is>
          <t>Not Interested</t>
        </is>
      </c>
      <c r="L965" t="n">
        <v>2</v>
      </c>
      <c r="M965" t="inlineStr">
        <is>
          <t>2026-06-24 06:59:37</t>
        </is>
      </c>
      <c r="N965" t="inlineStr">
        <is>
          <t>Musiiwa Mary Mabirimisa</t>
        </is>
      </c>
      <c r="O965" t="inlineStr">
        <is>
          <t>2026-06-22 14:11:25</t>
        </is>
      </c>
      <c r="P965" t="inlineStr">
        <is>
          <t>2026-06-22 14:11:25</t>
        </is>
      </c>
      <c r="Y965" t="inlineStr">
        <is>
          <t>27722182618</t>
        </is>
      </c>
    </row>
    <row r="966">
      <c r="A966" t="inlineStr">
        <is>
          <t>14973950</t>
        </is>
      </c>
      <c r="B966" t="inlineStr">
        <is>
          <t>239c53a6-3d89-497a-981c-e63ec9b4737c</t>
        </is>
      </c>
      <c r="D966" t="inlineStr">
        <is>
          <t>11111127</t>
        </is>
      </c>
      <c r="E966" t="inlineStr">
        <is>
          <t>Vodacom Life 20260622</t>
        </is>
      </c>
      <c r="H966" t="inlineStr">
        <is>
          <t>27646366710</t>
        </is>
      </c>
      <c r="J966" t="inlineStr">
        <is>
          <t>U</t>
        </is>
      </c>
      <c r="K966" t="inlineStr">
        <is>
          <t>Unemployed</t>
        </is>
      </c>
      <c r="L966" t="n">
        <v>3</v>
      </c>
      <c r="M966" t="inlineStr">
        <is>
          <t>2026-06-24 06:58:53</t>
        </is>
      </c>
      <c r="N966" t="inlineStr">
        <is>
          <t>Musiiwa Mary Mabirimisa</t>
        </is>
      </c>
      <c r="O966" t="inlineStr">
        <is>
          <t>2026-06-22 14:11:25</t>
        </is>
      </c>
      <c r="P966" t="inlineStr">
        <is>
          <t>2026-06-22 14:11:25</t>
        </is>
      </c>
      <c r="Y966" t="inlineStr">
        <is>
          <t>27646366710</t>
        </is>
      </c>
    </row>
    <row r="967">
      <c r="A967" t="inlineStr">
        <is>
          <t>14974025</t>
        </is>
      </c>
      <c r="B967" t="inlineStr">
        <is>
          <t>7177ee97-0c1d-4404-a5f9-9e0ba04aaee4</t>
        </is>
      </c>
      <c r="D967" t="inlineStr">
        <is>
          <t>11111127</t>
        </is>
      </c>
      <c r="E967" t="inlineStr">
        <is>
          <t>Vodacom Life 20260622</t>
        </is>
      </c>
      <c r="J967" t="inlineStr">
        <is>
          <t>CBACK</t>
        </is>
      </c>
      <c r="K967" t="inlineStr">
        <is>
          <t>Callback</t>
        </is>
      </c>
      <c r="L967" t="n">
        <v>2</v>
      </c>
      <c r="M967" t="inlineStr">
        <is>
          <t>2026-06-24 06:58:53</t>
        </is>
      </c>
      <c r="N967" t="inlineStr">
        <is>
          <t>Khensane Mabasa</t>
        </is>
      </c>
      <c r="O967" t="inlineStr">
        <is>
          <t>2026-06-22 14:11:25</t>
        </is>
      </c>
      <c r="P967" t="inlineStr">
        <is>
          <t>2026-06-22 14:11:25</t>
        </is>
      </c>
      <c r="Y967" t="inlineStr">
        <is>
          <t>27720933538</t>
        </is>
      </c>
    </row>
    <row r="968">
      <c r="A968" t="inlineStr">
        <is>
          <t>14974638</t>
        </is>
      </c>
      <c r="B968" t="inlineStr">
        <is>
          <t>3971733a-49d6-4931-8cc3-315f8fa68a96</t>
        </is>
      </c>
      <c r="D968" t="inlineStr">
        <is>
          <t>11111127</t>
        </is>
      </c>
      <c r="E968" t="inlineStr">
        <is>
          <t>Vodacom Life 20260622</t>
        </is>
      </c>
      <c r="J968" t="inlineStr">
        <is>
          <t>AC</t>
        </is>
      </c>
      <c r="K968" t="inlineStr">
        <is>
          <t>Already Contacted</t>
        </is>
      </c>
      <c r="L968" t="n">
        <v>2</v>
      </c>
      <c r="M968" t="inlineStr">
        <is>
          <t>2026-06-24 06:55:57</t>
        </is>
      </c>
      <c r="N968" t="inlineStr">
        <is>
          <t>Musiiwa Mary Mabirimisa</t>
        </is>
      </c>
      <c r="O968" t="inlineStr">
        <is>
          <t>2026-06-22 14:11:25</t>
        </is>
      </c>
      <c r="P968" t="inlineStr">
        <is>
          <t>2026-06-22 14:11:25</t>
        </is>
      </c>
      <c r="Y968" t="inlineStr">
        <is>
          <t>27765848358</t>
        </is>
      </c>
    </row>
    <row r="969">
      <c r="A969" t="inlineStr">
        <is>
          <t>14973904</t>
        </is>
      </c>
      <c r="B969" t="inlineStr">
        <is>
          <t>2b73dc65-97db-4ffd-9a87-37546683e350</t>
        </is>
      </c>
      <c r="D969" t="inlineStr">
        <is>
          <t>11111127</t>
        </is>
      </c>
      <c r="E969" t="inlineStr">
        <is>
          <t>Vodacom Life 20260622</t>
        </is>
      </c>
      <c r="J969" t="inlineStr">
        <is>
          <t>NI</t>
        </is>
      </c>
      <c r="K969" t="inlineStr">
        <is>
          <t>Not Interested</t>
        </is>
      </c>
      <c r="L969" t="n">
        <v>2</v>
      </c>
      <c r="M969" t="inlineStr">
        <is>
          <t>2026-06-24 06:48:04</t>
        </is>
      </c>
      <c r="N969" t="inlineStr">
        <is>
          <t>Musiiwa Mary Mabirimisa</t>
        </is>
      </c>
      <c r="O969" t="inlineStr">
        <is>
          <t>2026-06-22 14:11:25</t>
        </is>
      </c>
      <c r="P969" t="inlineStr">
        <is>
          <t>2026-06-22 14:11:25</t>
        </is>
      </c>
      <c r="Y969" t="inlineStr">
        <is>
          <t>27795501309</t>
        </is>
      </c>
    </row>
    <row r="970">
      <c r="A970" t="inlineStr">
        <is>
          <t>14973885</t>
        </is>
      </c>
      <c r="B970" t="inlineStr">
        <is>
          <t>6d1f2032-0ccb-46e9-8d30-fd72c759b75a</t>
        </is>
      </c>
      <c r="D970" t="inlineStr">
        <is>
          <t>11111127</t>
        </is>
      </c>
      <c r="E970" t="inlineStr">
        <is>
          <t>Vodacom Life 20260622</t>
        </is>
      </c>
      <c r="J970" t="inlineStr">
        <is>
          <t>NI</t>
        </is>
      </c>
      <c r="K970" t="inlineStr">
        <is>
          <t>Not Interested</t>
        </is>
      </c>
      <c r="L970" t="n">
        <v>2</v>
      </c>
      <c r="M970" t="inlineStr">
        <is>
          <t>2026-06-24 06:44:56</t>
        </is>
      </c>
      <c r="N970" t="inlineStr">
        <is>
          <t>Maureen Ntsoko</t>
        </is>
      </c>
      <c r="O970" t="inlineStr">
        <is>
          <t>2026-06-22 14:11:25</t>
        </is>
      </c>
      <c r="P970" t="inlineStr">
        <is>
          <t>2026-06-22 14:11:25</t>
        </is>
      </c>
      <c r="Y970" t="inlineStr">
        <is>
          <t>27712784345</t>
        </is>
      </c>
    </row>
    <row r="971">
      <c r="A971" t="inlineStr">
        <is>
          <t>14973878</t>
        </is>
      </c>
      <c r="B971" t="inlineStr">
        <is>
          <t>e41ad928-b50f-4388-8aec-a03826283a4d</t>
        </is>
      </c>
      <c r="D971" t="inlineStr">
        <is>
          <t>11111127</t>
        </is>
      </c>
      <c r="E971" t="inlineStr">
        <is>
          <t>Vodacom Life 20260622</t>
        </is>
      </c>
      <c r="J971" t="inlineStr">
        <is>
          <t>CBACK</t>
        </is>
      </c>
      <c r="K971" t="inlineStr">
        <is>
          <t>Callback</t>
        </is>
      </c>
      <c r="L971" t="n">
        <v>2</v>
      </c>
      <c r="M971" t="inlineStr">
        <is>
          <t>2026-06-24 06:43:49</t>
        </is>
      </c>
      <c r="N971" t="inlineStr">
        <is>
          <t>Maureen Ntsoko</t>
        </is>
      </c>
      <c r="O971" t="inlineStr">
        <is>
          <t>2026-06-22 14:11:25</t>
        </is>
      </c>
      <c r="P971" t="inlineStr">
        <is>
          <t>2026-06-22 14:11:25</t>
        </is>
      </c>
      <c r="Y971" t="inlineStr">
        <is>
          <t>27769157143</t>
        </is>
      </c>
    </row>
    <row r="972">
      <c r="A972" t="inlineStr">
        <is>
          <t>14973866</t>
        </is>
      </c>
      <c r="B972" t="inlineStr">
        <is>
          <t>6ac2ed23-21f0-44f0-83dd-ed6167def9ed</t>
        </is>
      </c>
      <c r="D972" t="inlineStr">
        <is>
          <t>11111127</t>
        </is>
      </c>
      <c r="E972" t="inlineStr">
        <is>
          <t>Vodacom Life 20260622</t>
        </is>
      </c>
      <c r="J972" t="inlineStr">
        <is>
          <t>AC</t>
        </is>
      </c>
      <c r="K972" t="inlineStr">
        <is>
          <t>Already Contacted</t>
        </is>
      </c>
      <c r="L972" t="n">
        <v>2</v>
      </c>
      <c r="M972" t="inlineStr">
        <is>
          <t>2026-06-24 06:43:10</t>
        </is>
      </c>
      <c r="N972" t="inlineStr">
        <is>
          <t>Maureen Ntsoko</t>
        </is>
      </c>
      <c r="O972" t="inlineStr">
        <is>
          <t>2026-06-22 14:11:25</t>
        </is>
      </c>
      <c r="P972" t="inlineStr">
        <is>
          <t>2026-06-22 14:11:25</t>
        </is>
      </c>
      <c r="Y972" t="inlineStr">
        <is>
          <t>27767315313</t>
        </is>
      </c>
    </row>
    <row r="973">
      <c r="A973" t="inlineStr">
        <is>
          <t>14973859</t>
        </is>
      </c>
      <c r="B973" t="inlineStr">
        <is>
          <t>03f76c96-6dda-4050-83c7-aede95178f4f</t>
        </is>
      </c>
      <c r="D973" t="inlineStr">
        <is>
          <t>11111127</t>
        </is>
      </c>
      <c r="E973" t="inlineStr">
        <is>
          <t>Vodacom Life 20260622</t>
        </is>
      </c>
      <c r="J973" t="inlineStr">
        <is>
          <t>NI</t>
        </is>
      </c>
      <c r="K973" t="inlineStr">
        <is>
          <t>Not Interested</t>
        </is>
      </c>
      <c r="L973" t="n">
        <v>2</v>
      </c>
      <c r="M973" t="inlineStr">
        <is>
          <t>2026-06-24 06:42:12</t>
        </is>
      </c>
      <c r="N973" t="inlineStr">
        <is>
          <t>Musiiwa Mary Mabirimisa</t>
        </is>
      </c>
      <c r="O973" t="inlineStr">
        <is>
          <t>2026-06-22 14:11:25</t>
        </is>
      </c>
      <c r="P973" t="inlineStr">
        <is>
          <t>2026-06-22 14:11:25</t>
        </is>
      </c>
      <c r="Y973" t="inlineStr">
        <is>
          <t>27727911329</t>
        </is>
      </c>
    </row>
    <row r="974">
      <c r="A974" t="inlineStr">
        <is>
          <t>14973843</t>
        </is>
      </c>
      <c r="B974" t="inlineStr">
        <is>
          <t>5184e41a-de88-4fea-9e90-b6dee4784ce9</t>
        </is>
      </c>
      <c r="D974" t="inlineStr">
        <is>
          <t>11111127</t>
        </is>
      </c>
      <c r="E974" t="inlineStr">
        <is>
          <t>Vodacom Life 20260622</t>
        </is>
      </c>
      <c r="H974" t="inlineStr">
        <is>
          <t>27608954746</t>
        </is>
      </c>
      <c r="J974" t="inlineStr">
        <is>
          <t>OAL</t>
        </is>
      </c>
      <c r="K974" t="inlineStr">
        <is>
          <t>Over Age Limit</t>
        </is>
      </c>
      <c r="L974" t="n">
        <v>2</v>
      </c>
      <c r="M974" t="inlineStr">
        <is>
          <t>2026-06-24 06:38:44</t>
        </is>
      </c>
      <c r="N974" t="inlineStr">
        <is>
          <t>Musiiwa Mary Mabirimisa</t>
        </is>
      </c>
      <c r="O974" t="inlineStr">
        <is>
          <t>2026-06-22 14:11:25</t>
        </is>
      </c>
      <c r="P974" t="inlineStr">
        <is>
          <t>2026-06-22 14:11:25</t>
        </is>
      </c>
      <c r="Y974" t="inlineStr">
        <is>
          <t>27608954746</t>
        </is>
      </c>
    </row>
    <row r="975">
      <c r="A975" t="inlineStr">
        <is>
          <t>14973791</t>
        </is>
      </c>
      <c r="B975" t="inlineStr">
        <is>
          <t>36a94809-ae6d-4c3d-98c0-57376137b634</t>
        </is>
      </c>
      <c r="D975" t="inlineStr">
        <is>
          <t>11111127</t>
        </is>
      </c>
      <c r="E975" t="inlineStr">
        <is>
          <t>Vodacom Life 20260622</t>
        </is>
      </c>
      <c r="J975" t="inlineStr">
        <is>
          <t>U</t>
        </is>
      </c>
      <c r="K975" t="inlineStr">
        <is>
          <t>Unemployed</t>
        </is>
      </c>
      <c r="L975" t="n">
        <v>2</v>
      </c>
      <c r="M975" t="inlineStr">
        <is>
          <t>2026-06-24 06:33:46</t>
        </is>
      </c>
      <c r="N975" t="inlineStr">
        <is>
          <t>bongiwe lushaba</t>
        </is>
      </c>
      <c r="O975" t="inlineStr">
        <is>
          <t>2026-06-22 14:11:25</t>
        </is>
      </c>
      <c r="P975" t="inlineStr">
        <is>
          <t>2026-06-22 14:11:25</t>
        </is>
      </c>
      <c r="Y975" t="inlineStr">
        <is>
          <t>27646479681</t>
        </is>
      </c>
    </row>
    <row r="976">
      <c r="A976" t="inlineStr">
        <is>
          <t>14974673</t>
        </is>
      </c>
      <c r="B976" t="inlineStr">
        <is>
          <t>d01f04af-8078-403e-a06b-39eb7d8d0130</t>
        </is>
      </c>
      <c r="D976" t="inlineStr">
        <is>
          <t>11111127</t>
        </is>
      </c>
      <c r="E976" t="inlineStr">
        <is>
          <t>Vodacom Life 20260622</t>
        </is>
      </c>
      <c r="J976" t="inlineStr">
        <is>
          <t>NI</t>
        </is>
      </c>
      <c r="K976" t="inlineStr">
        <is>
          <t>Not Interested</t>
        </is>
      </c>
      <c r="L976" t="n">
        <v>2</v>
      </c>
      <c r="M976" t="inlineStr">
        <is>
          <t>2026-06-24 06:31:59</t>
        </is>
      </c>
      <c r="N976" t="inlineStr">
        <is>
          <t>Musiiwa Mary Mabirimisa</t>
        </is>
      </c>
      <c r="O976" t="inlineStr">
        <is>
          <t>2026-06-22 14:11:25</t>
        </is>
      </c>
      <c r="P976" t="inlineStr">
        <is>
          <t>2026-06-22 14:11:25</t>
        </is>
      </c>
      <c r="Y976" t="inlineStr">
        <is>
          <t>27660529957</t>
        </is>
      </c>
    </row>
    <row r="977">
      <c r="A977" t="inlineStr">
        <is>
          <t>14973724</t>
        </is>
      </c>
      <c r="B977" t="inlineStr">
        <is>
          <t>1b54b5ca-cb60-4845-90e5-37b8ac014cca</t>
        </is>
      </c>
      <c r="D977" t="inlineStr">
        <is>
          <t>11111127</t>
        </is>
      </c>
      <c r="E977" t="inlineStr">
        <is>
          <t>Vodacom Life 20260622</t>
        </is>
      </c>
      <c r="J977" t="inlineStr">
        <is>
          <t>NI</t>
        </is>
      </c>
      <c r="K977" t="inlineStr">
        <is>
          <t>Not Interested</t>
        </is>
      </c>
      <c r="L977" t="n">
        <v>2</v>
      </c>
      <c r="M977" t="inlineStr">
        <is>
          <t>2026-06-24 06:29:02</t>
        </is>
      </c>
      <c r="N977" t="inlineStr">
        <is>
          <t>Musiiwa Mary Mabirimisa</t>
        </is>
      </c>
      <c r="O977" t="inlineStr">
        <is>
          <t>2026-06-22 14:11:25</t>
        </is>
      </c>
      <c r="P977" t="inlineStr">
        <is>
          <t>2026-06-22 14:11:25</t>
        </is>
      </c>
      <c r="Y977" t="inlineStr">
        <is>
          <t>27760194779</t>
        </is>
      </c>
    </row>
    <row r="978">
      <c r="A978" t="inlineStr">
        <is>
          <t>14974678</t>
        </is>
      </c>
      <c r="B978" t="inlineStr">
        <is>
          <t>d47efa38-9695-4f05-9b7c-0b9259e2cc18</t>
        </is>
      </c>
      <c r="D978" t="inlineStr">
        <is>
          <t>11111127</t>
        </is>
      </c>
      <c r="E978" t="inlineStr">
        <is>
          <t>Vodacom Life 20260622</t>
        </is>
      </c>
      <c r="J978" t="inlineStr">
        <is>
          <t>AC</t>
        </is>
      </c>
      <c r="K978" t="inlineStr">
        <is>
          <t>Already Contacted</t>
        </is>
      </c>
      <c r="L978" t="n">
        <v>2</v>
      </c>
      <c r="M978" t="inlineStr">
        <is>
          <t>2026-06-24 06:25:51</t>
        </is>
      </c>
      <c r="N978" t="inlineStr">
        <is>
          <t>bongiwe lushaba</t>
        </is>
      </c>
      <c r="O978" t="inlineStr">
        <is>
          <t>2026-06-22 14:11:25</t>
        </is>
      </c>
      <c r="P978" t="inlineStr">
        <is>
          <t>2026-06-22 14:11:25</t>
        </is>
      </c>
      <c r="Y978" t="inlineStr">
        <is>
          <t>27665544782</t>
        </is>
      </c>
    </row>
    <row r="979">
      <c r="A979" t="inlineStr">
        <is>
          <t>14973841</t>
        </is>
      </c>
      <c r="B979" t="inlineStr">
        <is>
          <t>a8002119-9bea-4d8c-adb1-9f199b35064a</t>
        </is>
      </c>
      <c r="D979" t="inlineStr">
        <is>
          <t>11111127</t>
        </is>
      </c>
      <c r="E979" t="inlineStr">
        <is>
          <t>Vodacom Life 20260622</t>
        </is>
      </c>
      <c r="J979" t="inlineStr">
        <is>
          <t>NI</t>
        </is>
      </c>
      <c r="K979" t="inlineStr">
        <is>
          <t>Not Interested</t>
        </is>
      </c>
      <c r="L979" t="n">
        <v>1</v>
      </c>
      <c r="M979" t="inlineStr">
        <is>
          <t>2026-06-23 09:14:35</t>
        </is>
      </c>
      <c r="N979" t="inlineStr">
        <is>
          <t>Maureen Ntsoko</t>
        </is>
      </c>
      <c r="O979" t="inlineStr">
        <is>
          <t>2026-06-22 14:11:25</t>
        </is>
      </c>
      <c r="P979" t="inlineStr">
        <is>
          <t>2026-06-22 14:11:25</t>
        </is>
      </c>
      <c r="Y979" t="inlineStr">
        <is>
          <t>27636449569</t>
        </is>
      </c>
    </row>
    <row r="980">
      <c r="A980" t="inlineStr">
        <is>
          <t>14973969</t>
        </is>
      </c>
      <c r="B980" t="inlineStr">
        <is>
          <t>4b8ba190-0428-4cb3-aa37-a3163ec247bb</t>
        </is>
      </c>
      <c r="D980" t="inlineStr">
        <is>
          <t>11111127</t>
        </is>
      </c>
      <c r="E980" t="inlineStr">
        <is>
          <t>Vodacom Life 20260622</t>
        </is>
      </c>
      <c r="J980" t="inlineStr">
        <is>
          <t>NI</t>
        </is>
      </c>
      <c r="K980" t="inlineStr">
        <is>
          <t>Not Interested</t>
        </is>
      </c>
      <c r="L980" t="n">
        <v>1</v>
      </c>
      <c r="M980" t="inlineStr">
        <is>
          <t>2026-06-23 09:02:12</t>
        </is>
      </c>
      <c r="N980" t="inlineStr">
        <is>
          <t>Khensane Mabasa</t>
        </is>
      </c>
      <c r="O980" t="inlineStr">
        <is>
          <t>2026-06-22 14:11:25</t>
        </is>
      </c>
      <c r="P980" t="inlineStr">
        <is>
          <t>2026-06-22 14:11:25</t>
        </is>
      </c>
      <c r="Y980" t="inlineStr">
        <is>
          <t>27829297539</t>
        </is>
      </c>
    </row>
    <row r="981">
      <c r="A981" t="inlineStr">
        <is>
          <t>14974136</t>
        </is>
      </c>
      <c r="B981" t="inlineStr">
        <is>
          <t>63b49d2e-70db-42ba-b934-d92ae78895fd</t>
        </is>
      </c>
      <c r="D981" t="inlineStr">
        <is>
          <t>11111127</t>
        </is>
      </c>
      <c r="E981" t="inlineStr">
        <is>
          <t>Vodacom Life 20260622</t>
        </is>
      </c>
      <c r="J981" t="inlineStr">
        <is>
          <t>U</t>
        </is>
      </c>
      <c r="K981" t="inlineStr">
        <is>
          <t>Unemployed</t>
        </is>
      </c>
      <c r="L981" t="n">
        <v>1</v>
      </c>
      <c r="M981" t="inlineStr">
        <is>
          <t>2026-06-23 08:48:56</t>
        </is>
      </c>
      <c r="N981" t="inlineStr">
        <is>
          <t>bongiwe lushaba</t>
        </is>
      </c>
      <c r="O981" t="inlineStr">
        <is>
          <t>2026-06-22 14:11:25</t>
        </is>
      </c>
      <c r="P981" t="inlineStr">
        <is>
          <t>2026-06-22 14:11:25</t>
        </is>
      </c>
      <c r="Y981" t="inlineStr">
        <is>
          <t>27716673411</t>
        </is>
      </c>
    </row>
    <row r="982">
      <c r="A982" t="inlineStr">
        <is>
          <t>14973955</t>
        </is>
      </c>
      <c r="B982" t="inlineStr">
        <is>
          <t>eb2c831d-ef0c-461d-95e0-82b81aecb136</t>
        </is>
      </c>
      <c r="D982" t="inlineStr">
        <is>
          <t>11111127</t>
        </is>
      </c>
      <c r="E982" t="inlineStr">
        <is>
          <t>Vodacom Life 20260622</t>
        </is>
      </c>
      <c r="H982" t="inlineStr">
        <is>
          <t>27826976639</t>
        </is>
      </c>
      <c r="J982" t="inlineStr">
        <is>
          <t>OAL</t>
        </is>
      </c>
      <c r="K982" t="inlineStr">
        <is>
          <t>Over Age Limit</t>
        </is>
      </c>
      <c r="L982" t="n">
        <v>2</v>
      </c>
      <c r="M982" t="inlineStr">
        <is>
          <t>2026-06-23 07:57:37</t>
        </is>
      </c>
      <c r="N982" t="inlineStr">
        <is>
          <t>bongiwe lushaba</t>
        </is>
      </c>
      <c r="O982" t="inlineStr">
        <is>
          <t>2026-06-22 14:11:25</t>
        </is>
      </c>
      <c r="P982" t="inlineStr">
        <is>
          <t>2026-06-22 14:11:25</t>
        </is>
      </c>
      <c r="Y982" t="inlineStr">
        <is>
          <t>27826976639</t>
        </is>
      </c>
    </row>
    <row r="983">
      <c r="A983" t="inlineStr">
        <is>
          <t>14973916</t>
        </is>
      </c>
      <c r="B983" t="inlineStr">
        <is>
          <t>a6891767-440b-4ed8-92ae-458e2107e0e3</t>
        </is>
      </c>
      <c r="D983" t="inlineStr">
        <is>
          <t>11111127</t>
        </is>
      </c>
      <c r="E983" t="inlineStr">
        <is>
          <t>Vodacom Life 20260622</t>
        </is>
      </c>
      <c r="H983" t="inlineStr">
        <is>
          <t>27663712226</t>
        </is>
      </c>
      <c r="J983" t="inlineStr">
        <is>
          <t>U</t>
        </is>
      </c>
      <c r="K983" t="inlineStr">
        <is>
          <t>Unemployed</t>
        </is>
      </c>
      <c r="L983" t="n">
        <v>2</v>
      </c>
      <c r="M983" t="inlineStr">
        <is>
          <t>2026-06-23 07:26:38</t>
        </is>
      </c>
      <c r="N983" t="inlineStr">
        <is>
          <t>Maureen Ntsoko</t>
        </is>
      </c>
      <c r="O983" t="inlineStr">
        <is>
          <t>2026-06-22 14:11:25</t>
        </is>
      </c>
      <c r="P983" t="inlineStr">
        <is>
          <t>2026-06-22 14:11:25</t>
        </is>
      </c>
      <c r="Y983" t="inlineStr">
        <is>
          <t>27663712226</t>
        </is>
      </c>
    </row>
    <row r="984">
      <c r="A984" t="inlineStr">
        <is>
          <t>14974159</t>
        </is>
      </c>
      <c r="B984" t="inlineStr">
        <is>
          <t>7bd09f61-3885-415e-9cc6-077db83deef5</t>
        </is>
      </c>
      <c r="D984" t="inlineStr">
        <is>
          <t>11111127</t>
        </is>
      </c>
      <c r="E984" t="inlineStr">
        <is>
          <t>Vodacom Life 20260622</t>
        </is>
      </c>
      <c r="J984" t="inlineStr">
        <is>
          <t>GTTB</t>
        </is>
      </c>
      <c r="K984" t="inlineStr">
        <is>
          <t>Go To The Branch</t>
        </is>
      </c>
      <c r="L984" t="n">
        <v>1</v>
      </c>
      <c r="M984" t="inlineStr">
        <is>
          <t>2026-06-23 07:23:08</t>
        </is>
      </c>
      <c r="N984" t="inlineStr">
        <is>
          <t>Maureen Ntsoko</t>
        </is>
      </c>
      <c r="O984" t="inlineStr">
        <is>
          <t>2026-06-22 14:11:25</t>
        </is>
      </c>
      <c r="P984" t="inlineStr">
        <is>
          <t>2026-06-22 14:11:25</t>
        </is>
      </c>
      <c r="Y984" t="inlineStr">
        <is>
          <t>27664037817</t>
        </is>
      </c>
    </row>
    <row r="985">
      <c r="A985" t="inlineStr">
        <is>
          <t>14973800</t>
        </is>
      </c>
      <c r="B985" t="inlineStr">
        <is>
          <t>f9e8639e-0165-4ac6-8d3c-968555e8dfb8</t>
        </is>
      </c>
      <c r="D985" t="inlineStr">
        <is>
          <t>11111127</t>
        </is>
      </c>
      <c r="E985" t="inlineStr">
        <is>
          <t>Vodacom Life 20260622</t>
        </is>
      </c>
      <c r="J985" t="inlineStr">
        <is>
          <t>NI</t>
        </is>
      </c>
      <c r="K985" t="inlineStr">
        <is>
          <t>Not Interested</t>
        </is>
      </c>
      <c r="L985" t="n">
        <v>1</v>
      </c>
      <c r="M985" t="inlineStr">
        <is>
          <t>2026-06-23 07:21:11</t>
        </is>
      </c>
      <c r="N985" t="inlineStr">
        <is>
          <t>Maureen Ntsoko</t>
        </is>
      </c>
      <c r="O985" t="inlineStr">
        <is>
          <t>2026-06-22 14:11:25</t>
        </is>
      </c>
      <c r="P985" t="inlineStr">
        <is>
          <t>2026-06-22 14:11:25</t>
        </is>
      </c>
      <c r="Y985" t="inlineStr">
        <is>
          <t>27761090756</t>
        </is>
      </c>
    </row>
    <row r="986">
      <c r="A986" t="inlineStr">
        <is>
          <t>14974290</t>
        </is>
      </c>
      <c r="B986" t="inlineStr">
        <is>
          <t>85d60857-c78a-42ef-ada1-f8953f78a862</t>
        </is>
      </c>
      <c r="D986" t="inlineStr">
        <is>
          <t>11111127</t>
        </is>
      </c>
      <c r="E986" t="inlineStr">
        <is>
          <t>Vodacom Life 20260622</t>
        </is>
      </c>
      <c r="J986" t="inlineStr">
        <is>
          <t>AF</t>
        </is>
      </c>
      <c r="K986" t="inlineStr">
        <is>
          <t>Cannot Afford</t>
        </is>
      </c>
      <c r="L986" t="n">
        <v>1</v>
      </c>
      <c r="M986" t="inlineStr">
        <is>
          <t>2026-06-23 07:18:50</t>
        </is>
      </c>
      <c r="N986" t="inlineStr">
        <is>
          <t>Maureen Ntsoko</t>
        </is>
      </c>
      <c r="O986" t="inlineStr">
        <is>
          <t>2026-06-22 14:11:25</t>
        </is>
      </c>
      <c r="P986" t="inlineStr">
        <is>
          <t>2026-06-22 14:11:25</t>
        </is>
      </c>
      <c r="Y986" t="inlineStr">
        <is>
          <t>27768972654</t>
        </is>
      </c>
    </row>
    <row r="987">
      <c r="A987" t="inlineStr">
        <is>
          <t>14974653</t>
        </is>
      </c>
      <c r="B987" t="inlineStr">
        <is>
          <t>bbed9151-039b-4269-9932-01b46fba590b</t>
        </is>
      </c>
      <c r="D987" t="inlineStr">
        <is>
          <t>11111127</t>
        </is>
      </c>
      <c r="E987" t="inlineStr">
        <is>
          <t>Vodacom Life 20260622</t>
        </is>
      </c>
      <c r="H987" t="inlineStr">
        <is>
          <t>27711415809</t>
        </is>
      </c>
      <c r="J987" t="inlineStr">
        <is>
          <t>AC</t>
        </is>
      </c>
      <c r="K987" t="inlineStr">
        <is>
          <t>Already Contacted</t>
        </is>
      </c>
      <c r="L987" t="n">
        <v>3</v>
      </c>
      <c r="M987" t="inlineStr">
        <is>
          <t>2026-06-23 06:58:58</t>
        </is>
      </c>
      <c r="N987" t="inlineStr">
        <is>
          <t>Maureen Ntsoko</t>
        </is>
      </c>
      <c r="O987" t="inlineStr">
        <is>
          <t>2026-06-22 14:11:25</t>
        </is>
      </c>
      <c r="P987" t="inlineStr">
        <is>
          <t>2026-06-22 14:11:25</t>
        </is>
      </c>
      <c r="Y987" t="inlineStr">
        <is>
          <t>27711415809</t>
        </is>
      </c>
    </row>
    <row r="988">
      <c r="A988" t="inlineStr">
        <is>
          <t>14974437</t>
        </is>
      </c>
      <c r="B988" t="inlineStr">
        <is>
          <t>a7a64acf-0393-44c0-8283-ce0430ad1e2c</t>
        </is>
      </c>
      <c r="D988" t="inlineStr">
        <is>
          <t>11111127</t>
        </is>
      </c>
      <c r="E988" t="inlineStr">
        <is>
          <t>Vodacom Life 20260622</t>
        </is>
      </c>
      <c r="J988" t="inlineStr">
        <is>
          <t>SELECTED</t>
        </is>
      </c>
      <c r="K988" t="inlineStr">
        <is>
          <t>Selected</t>
        </is>
      </c>
      <c r="L988" t="n">
        <v>2</v>
      </c>
      <c r="M988" t="inlineStr">
        <is>
          <t>2026-06-23 06:57:39</t>
        </is>
      </c>
      <c r="N988" t="inlineStr">
        <is>
          <t>system</t>
        </is>
      </c>
      <c r="O988" t="inlineStr">
        <is>
          <t>2026-06-22 14:11:25</t>
        </is>
      </c>
      <c r="P988" t="inlineStr">
        <is>
          <t>2026-06-22 14:11:25</t>
        </is>
      </c>
      <c r="Y988" t="inlineStr">
        <is>
          <t>27662348580</t>
        </is>
      </c>
    </row>
    <row r="989">
      <c r="A989" t="inlineStr">
        <is>
          <t>14974275</t>
        </is>
      </c>
      <c r="B989" t="inlineStr">
        <is>
          <t>b8a26846-fd5f-4b0c-b79c-1f0b37120dc8</t>
        </is>
      </c>
      <c r="D989" t="inlineStr">
        <is>
          <t>11111127</t>
        </is>
      </c>
      <c r="E989" t="inlineStr">
        <is>
          <t>Vodacom Life 20260622</t>
        </is>
      </c>
      <c r="H989" t="inlineStr">
        <is>
          <t>27714221422</t>
        </is>
      </c>
      <c r="J989" t="inlineStr">
        <is>
          <t>CBACK</t>
        </is>
      </c>
      <c r="K989" t="inlineStr">
        <is>
          <t>Callback</t>
        </is>
      </c>
      <c r="L989" t="n">
        <v>1</v>
      </c>
      <c r="M989" t="inlineStr">
        <is>
          <t>2026-06-23 06:56:51</t>
        </is>
      </c>
      <c r="N989" t="inlineStr">
        <is>
          <t>Maureen Ntsoko</t>
        </is>
      </c>
      <c r="O989" t="inlineStr">
        <is>
          <t>2026-06-22 14:11:25</t>
        </is>
      </c>
      <c r="P989" t="inlineStr">
        <is>
          <t>2026-06-22 14:11:25</t>
        </is>
      </c>
      <c r="Y989" t="inlineStr">
        <is>
          <t>27714221422</t>
        </is>
      </c>
    </row>
    <row r="990">
      <c r="A990" t="inlineStr">
        <is>
          <t>14974184</t>
        </is>
      </c>
      <c r="B990" t="inlineStr">
        <is>
          <t>479f37c2-e8e7-45e9-a10a-d42e2fae27c4</t>
        </is>
      </c>
      <c r="D990" t="inlineStr">
        <is>
          <t>11111127</t>
        </is>
      </c>
      <c r="E990" t="inlineStr">
        <is>
          <t>Vodacom Life 20260622</t>
        </is>
      </c>
      <c r="J990" t="inlineStr">
        <is>
          <t>U</t>
        </is>
      </c>
      <c r="K990" t="inlineStr">
        <is>
          <t>Unemployed</t>
        </is>
      </c>
      <c r="L990" t="n">
        <v>1</v>
      </c>
      <c r="M990" t="inlineStr">
        <is>
          <t>2026-06-23 06:48:36</t>
        </is>
      </c>
      <c r="N990" t="inlineStr">
        <is>
          <t>bongiwe lushaba</t>
        </is>
      </c>
      <c r="O990" t="inlineStr">
        <is>
          <t>2026-06-22 14:11:25</t>
        </is>
      </c>
      <c r="P990" t="inlineStr">
        <is>
          <t>2026-06-22 14:11:25</t>
        </is>
      </c>
      <c r="Y990" t="inlineStr">
        <is>
          <t>27792374139</t>
        </is>
      </c>
    </row>
    <row r="991">
      <c r="A991" t="inlineStr">
        <is>
          <t>14974419</t>
        </is>
      </c>
      <c r="B991" t="inlineStr">
        <is>
          <t>72540ff0-a5b9-46ff-9cd1-3fb341c137d2</t>
        </is>
      </c>
      <c r="D991" t="inlineStr">
        <is>
          <t>11111127</t>
        </is>
      </c>
      <c r="E991" t="inlineStr">
        <is>
          <t>Vodacom Life 20260622</t>
        </is>
      </c>
      <c r="J991" t="inlineStr">
        <is>
          <t>CBACK</t>
        </is>
      </c>
      <c r="K991" t="inlineStr">
        <is>
          <t>Callback</t>
        </is>
      </c>
      <c r="L991" t="n">
        <v>1</v>
      </c>
      <c r="M991" t="inlineStr">
        <is>
          <t>2026-06-23 06:30:48</t>
        </is>
      </c>
      <c r="N991" t="inlineStr">
        <is>
          <t>bongiwe lushaba</t>
        </is>
      </c>
      <c r="O991" t="inlineStr">
        <is>
          <t>2026-06-22 14:11:25</t>
        </is>
      </c>
      <c r="P991" t="inlineStr">
        <is>
          <t>2026-06-22 14:11:25</t>
        </is>
      </c>
      <c r="Y991" t="inlineStr">
        <is>
          <t>27673892614</t>
        </is>
      </c>
    </row>
    <row r="992">
      <c r="A992" t="inlineStr">
        <is>
          <t>14974530</t>
        </is>
      </c>
      <c r="B992" t="inlineStr">
        <is>
          <t>30a87e31-a2d7-475f-9759-d591345fcc2e</t>
        </is>
      </c>
      <c r="D992" t="inlineStr">
        <is>
          <t>11111127</t>
        </is>
      </c>
      <c r="E992" t="inlineStr">
        <is>
          <t>Vodacom Life 20260622</t>
        </is>
      </c>
      <c r="J992" t="inlineStr">
        <is>
          <t>CBACK</t>
        </is>
      </c>
      <c r="K992" t="inlineStr">
        <is>
          <t>Callback</t>
        </is>
      </c>
      <c r="L992" t="n">
        <v>1</v>
      </c>
      <c r="M992" t="inlineStr">
        <is>
          <t>2026-06-23 06:28:04</t>
        </is>
      </c>
      <c r="N992" t="inlineStr">
        <is>
          <t>Khensane Mabasa</t>
        </is>
      </c>
      <c r="O992" t="inlineStr">
        <is>
          <t>2026-06-22 14:11:25</t>
        </is>
      </c>
      <c r="P992" t="inlineStr">
        <is>
          <t>2026-06-22 14:11:25</t>
        </is>
      </c>
      <c r="Y992" t="inlineStr">
        <is>
          <t>27609228750</t>
        </is>
      </c>
    </row>
    <row r="993">
      <c r="A993" t="inlineStr">
        <is>
          <t>15000000</t>
        </is>
      </c>
      <c r="B993" t="inlineStr">
        <is>
          <t>e838a78c-9593-4677-96a8-606cd216e1fe</t>
        </is>
      </c>
      <c r="D993" t="inlineStr">
        <is>
          <t>11111127</t>
        </is>
      </c>
      <c r="E993" t="inlineStr">
        <is>
          <t>Vodacom Life 20260622</t>
        </is>
      </c>
      <c r="J993" t="inlineStr">
        <is>
          <t>U</t>
        </is>
      </c>
      <c r="K993" t="inlineStr">
        <is>
          <t>Unemployed</t>
        </is>
      </c>
      <c r="L993" t="n">
        <v>1</v>
      </c>
      <c r="M993" t="inlineStr">
        <is>
          <t>2026-06-23 06:23:03</t>
        </is>
      </c>
      <c r="N993" t="inlineStr">
        <is>
          <t>bongiwe lushaba</t>
        </is>
      </c>
      <c r="O993" t="inlineStr">
        <is>
          <t>2026-06-22 14:11:25</t>
        </is>
      </c>
      <c r="P993" t="inlineStr">
        <is>
          <t>2026-06-22 14:11:25</t>
        </is>
      </c>
      <c r="Y993" t="inlineStr">
        <is>
          <t>27820436847</t>
        </is>
      </c>
    </row>
    <row r="994">
      <c r="A994" t="inlineStr">
        <is>
          <t>14974538</t>
        </is>
      </c>
      <c r="B994" t="inlineStr">
        <is>
          <t>81664709-922c-43dd-a4a2-97a358e1d994</t>
        </is>
      </c>
      <c r="D994" t="inlineStr">
        <is>
          <t>11111127</t>
        </is>
      </c>
      <c r="E994" t="inlineStr">
        <is>
          <t>Vodacom Life 20260622</t>
        </is>
      </c>
      <c r="J994" t="inlineStr">
        <is>
          <t>WN</t>
        </is>
      </c>
      <c r="K994" t="inlineStr">
        <is>
          <t>Wrong Number</t>
        </is>
      </c>
      <c r="L994" t="n">
        <v>1</v>
      </c>
      <c r="M994" t="inlineStr">
        <is>
          <t>2026-06-23 06:23:03</t>
        </is>
      </c>
      <c r="N994" t="inlineStr">
        <is>
          <t>Maureen Ntsoko</t>
        </is>
      </c>
      <c r="O994" t="inlineStr">
        <is>
          <t>2026-06-22 14:11:25</t>
        </is>
      </c>
      <c r="P994" t="inlineStr">
        <is>
          <t>2026-06-22 14:11:25</t>
        </is>
      </c>
      <c r="Y994" t="inlineStr">
        <is>
          <t>27715953394</t>
        </is>
      </c>
    </row>
    <row r="995">
      <c r="A995" t="inlineStr">
        <is>
          <t>15000000</t>
        </is>
      </c>
      <c r="B995" t="inlineStr">
        <is>
          <t>e5384aa9-834f-4de3-b7f9-822e974c62e8</t>
        </is>
      </c>
      <c r="D995" t="inlineStr">
        <is>
          <t>11111127</t>
        </is>
      </c>
      <c r="E995" t="inlineStr">
        <is>
          <t>Vodacom Life 20260622</t>
        </is>
      </c>
      <c r="J995" t="inlineStr">
        <is>
          <t>CBACK</t>
        </is>
      </c>
      <c r="K995" t="inlineStr">
        <is>
          <t>Callback</t>
        </is>
      </c>
      <c r="L995" t="n">
        <v>1</v>
      </c>
      <c r="M995" t="inlineStr">
        <is>
          <t>2026-06-23 06:19:47</t>
        </is>
      </c>
      <c r="N995" t="inlineStr">
        <is>
          <t>Maureen Ntsoko</t>
        </is>
      </c>
      <c r="O995" t="inlineStr">
        <is>
          <t>2026-06-22 14:11:25</t>
        </is>
      </c>
      <c r="P995" t="inlineStr">
        <is>
          <t>2026-06-22 14:11:25</t>
        </is>
      </c>
      <c r="Y995" t="inlineStr">
        <is>
          <t>27636141741</t>
        </is>
      </c>
    </row>
    <row r="996">
      <c r="A996" t="inlineStr">
        <is>
          <t>14974629</t>
        </is>
      </c>
      <c r="B996" t="inlineStr">
        <is>
          <t>048eddc6-765a-4039-b75d-bcf784458ac7</t>
        </is>
      </c>
      <c r="D996" t="inlineStr">
        <is>
          <t>11111127</t>
        </is>
      </c>
      <c r="E996" t="inlineStr">
        <is>
          <t>Vodacom Life 20260622</t>
        </is>
      </c>
      <c r="J996" t="inlineStr">
        <is>
          <t>CBACK</t>
        </is>
      </c>
      <c r="K996" t="inlineStr">
        <is>
          <t>Callback</t>
        </is>
      </c>
      <c r="L996" t="n">
        <v>1</v>
      </c>
      <c r="M996" t="inlineStr">
        <is>
          <t>2026-06-23 06:16:31</t>
        </is>
      </c>
      <c r="N996" t="inlineStr">
        <is>
          <t>Maureen Ntsoko</t>
        </is>
      </c>
      <c r="O996" t="inlineStr">
        <is>
          <t>2026-06-22 14:11:25</t>
        </is>
      </c>
      <c r="P996" t="inlineStr">
        <is>
          <t>2026-06-22 14:11:25</t>
        </is>
      </c>
      <c r="Y996" t="inlineStr">
        <is>
          <t>27665039924</t>
        </is>
      </c>
    </row>
    <row r="997">
      <c r="A997" t="inlineStr">
        <is>
          <t>14974597</t>
        </is>
      </c>
      <c r="B997" t="inlineStr">
        <is>
          <t>2d6c6942-33b4-4941-95cd-7d96f4f3195a</t>
        </is>
      </c>
      <c r="D997" t="inlineStr">
        <is>
          <t>11111127</t>
        </is>
      </c>
      <c r="E997" t="inlineStr">
        <is>
          <t>Vodacom Life 20260622</t>
        </is>
      </c>
      <c r="J997" t="inlineStr">
        <is>
          <t>CBACK</t>
        </is>
      </c>
      <c r="K997" t="inlineStr">
        <is>
          <t>Callback</t>
        </is>
      </c>
      <c r="L997" t="n">
        <v>1</v>
      </c>
      <c r="M997" t="inlineStr">
        <is>
          <t>2026-06-23 06:04:53</t>
        </is>
      </c>
      <c r="N997" t="inlineStr">
        <is>
          <t>Maureen Ntsoko</t>
        </is>
      </c>
      <c r="O997" t="inlineStr">
        <is>
          <t>2026-06-22 14:11:25</t>
        </is>
      </c>
      <c r="P997" t="inlineStr">
        <is>
          <t>2026-06-22 14:11:25</t>
        </is>
      </c>
      <c r="Y997" t="inlineStr">
        <is>
          <t>27673320120</t>
        </is>
      </c>
    </row>
    <row r="998">
      <c r="A998" t="inlineStr">
        <is>
          <t>14973785</t>
        </is>
      </c>
      <c r="B998" t="inlineStr">
        <is>
          <t>1ac72f07-d8a4-4676-97a8-8bee48ca24a1</t>
        </is>
      </c>
      <c r="D998" t="inlineStr">
        <is>
          <t>11111127</t>
        </is>
      </c>
      <c r="E998" t="inlineStr">
        <is>
          <t>Vodacom Life 20260622</t>
        </is>
      </c>
      <c r="H998" t="inlineStr">
        <is>
          <t>27674342718</t>
        </is>
      </c>
      <c r="J998" t="inlineStr">
        <is>
          <t>SELECTED</t>
        </is>
      </c>
      <c r="K998" t="inlineStr">
        <is>
          <t>Selected</t>
        </is>
      </c>
      <c r="L998" t="n">
        <v>2</v>
      </c>
      <c r="M998" t="inlineStr">
        <is>
          <t>2026-06-22 15:31:22</t>
        </is>
      </c>
      <c r="N998" t="inlineStr">
        <is>
          <t>system</t>
        </is>
      </c>
      <c r="O998" t="inlineStr">
        <is>
          <t>2026-06-22 14:11:25</t>
        </is>
      </c>
      <c r="P998" t="inlineStr">
        <is>
          <t>2026-06-22 14:11:25</t>
        </is>
      </c>
      <c r="Y998" t="inlineStr">
        <is>
          <t>27674342718</t>
        </is>
      </c>
    </row>
    <row r="999">
      <c r="A999" t="inlineStr">
        <is>
          <t>14973778</t>
        </is>
      </c>
      <c r="B999" t="inlineStr">
        <is>
          <t>c5f68ec2-d2f0-43b8-aee9-b360b057571f</t>
        </is>
      </c>
      <c r="D999" t="inlineStr">
        <is>
          <t>11111127</t>
        </is>
      </c>
      <c r="E999" t="inlineStr">
        <is>
          <t>Vodacom Life 20260622</t>
        </is>
      </c>
      <c r="J999" t="inlineStr">
        <is>
          <t>SELECTED</t>
        </is>
      </c>
      <c r="K999" t="inlineStr">
        <is>
          <t>Selected</t>
        </is>
      </c>
      <c r="L999" t="n">
        <v>2</v>
      </c>
      <c r="M999" t="inlineStr">
        <is>
          <t>2026-06-22 15:11:45</t>
        </is>
      </c>
      <c r="N999" t="inlineStr">
        <is>
          <t>system</t>
        </is>
      </c>
      <c r="O999" t="inlineStr">
        <is>
          <t>2026-06-22 14:11:25</t>
        </is>
      </c>
      <c r="P999" t="inlineStr">
        <is>
          <t>2026-06-22 14:11:25</t>
        </is>
      </c>
      <c r="Y999" t="inlineStr">
        <is>
          <t>27792270303</t>
        </is>
      </c>
    </row>
    <row r="1000">
      <c r="A1000" t="inlineStr">
        <is>
          <t>14973773</t>
        </is>
      </c>
      <c r="B1000" t="inlineStr">
        <is>
          <t>eab813de-ca23-44fc-ace8-e5cb0c2a17ae</t>
        </is>
      </c>
      <c r="D1000" t="inlineStr">
        <is>
          <t>11111127</t>
        </is>
      </c>
      <c r="E1000" t="inlineStr">
        <is>
          <t>Vodacom Life 20260622</t>
        </is>
      </c>
      <c r="J1000" t="inlineStr">
        <is>
          <t>NI</t>
        </is>
      </c>
      <c r="K1000" t="inlineStr">
        <is>
          <t>Not Interested</t>
        </is>
      </c>
      <c r="L1000" t="n">
        <v>1</v>
      </c>
      <c r="M1000" t="inlineStr">
        <is>
          <t>2026-06-22 15:08:38</t>
        </is>
      </c>
      <c r="N1000" t="inlineStr">
        <is>
          <t>Maureen Ntsoko</t>
        </is>
      </c>
      <c r="O1000" t="inlineStr">
        <is>
          <t>2026-06-22 14:11:25</t>
        </is>
      </c>
      <c r="P1000" t="inlineStr">
        <is>
          <t>2026-06-22 14:11:25</t>
        </is>
      </c>
      <c r="Y1000" t="inlineStr">
        <is>
          <t>27716144547</t>
        </is>
      </c>
    </row>
    <row r="1001">
      <c r="A1001" t="inlineStr">
        <is>
          <t>14973767</t>
        </is>
      </c>
      <c r="B1001" t="inlineStr">
        <is>
          <t>450c12f0-7d33-4d32-b3f6-a965f0f0c144</t>
        </is>
      </c>
      <c r="D1001" t="inlineStr">
        <is>
          <t>11111127</t>
        </is>
      </c>
      <c r="E1001" t="inlineStr">
        <is>
          <t>Vodacom Life 20260622</t>
        </is>
      </c>
      <c r="J1001" t="inlineStr">
        <is>
          <t>NI</t>
        </is>
      </c>
      <c r="K1001" t="inlineStr">
        <is>
          <t>Not Interested</t>
        </is>
      </c>
      <c r="L1001" t="n">
        <v>1</v>
      </c>
      <c r="M1001" t="inlineStr">
        <is>
          <t>2026-06-22 15:06:08</t>
        </is>
      </c>
      <c r="N1001" t="inlineStr">
        <is>
          <t>Maureen Ntsoko</t>
        </is>
      </c>
      <c r="O1001" t="inlineStr">
        <is>
          <t>2026-06-22 14:11:25</t>
        </is>
      </c>
      <c r="P1001" t="inlineStr">
        <is>
          <t>2026-06-22 14:11:25</t>
        </is>
      </c>
      <c r="Y1001" t="inlineStr">
        <is>
          <t>27760648190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/>
    <row r="4"/>
    <row r="5" ht="15.75" customHeight="1">
      <c r="A5" s="2" t="n"/>
    </row>
    <row r="6">
      <c r="A6" s="3" t="inlineStr">
        <is>
          <t>Total Leads</t>
        </is>
      </c>
      <c r="B6" t="n">
        <v>1000</v>
      </c>
    </row>
    <row r="7">
      <c r="A7" s="4" t="inlineStr">
        <is>
          <t>Unworked Leads (New Leads)</t>
        </is>
      </c>
      <c r="B7" t="n">
        <v>0</v>
      </c>
    </row>
    <row r="8">
      <c r="A8" s="4" t="inlineStr">
        <is>
          <t>Succesful Contacts</t>
        </is>
      </c>
      <c r="B8" t="n">
        <v>171</v>
      </c>
    </row>
    <row r="9">
      <c r="A9" s="4" t="inlineStr">
        <is>
          <t>True Contacts</t>
        </is>
      </c>
      <c r="B9" t="n">
        <v>167</v>
      </c>
    </row>
    <row r="10">
      <c r="A10" s="4" t="inlineStr">
        <is>
          <t>Conversion</t>
        </is>
      </c>
      <c r="B10" t="n">
        <v>0.004</v>
      </c>
    </row>
    <row r="11">
      <c r="A11" s="4" t="inlineStr">
        <is>
          <t>True Sales (post QA)</t>
        </is>
      </c>
      <c r="B11" t="n">
        <v>4</v>
      </c>
    </row>
    <row r="12">
      <c r="A12" s="4" t="inlineStr">
        <is>
          <t>Collections</t>
        </is>
      </c>
    </row>
    <row r="13">
      <c r="A13" s="4" t="inlineStr">
        <is>
          <t>Number of missed 1st Collections</t>
        </is>
      </c>
    </row>
    <row r="14">
      <c r="A14" s="4" t="inlineStr">
        <is>
          <t>NTU</t>
        </is>
      </c>
    </row>
    <row r="15">
      <c r="A15" s="4" t="inlineStr">
        <is>
          <t>Cancellations/Lapse</t>
        </is>
      </c>
    </row>
    <row r="16">
      <c r="A16" s="4" t="n"/>
    </row>
    <row r="17">
      <c r="A17" s="4" t="inlineStr">
        <is>
          <t>Contactability</t>
        </is>
      </c>
      <c r="B17" t="n">
        <v>0.171</v>
      </c>
    </row>
    <row r="18">
      <c r="A18" s="4" t="inlineStr">
        <is>
          <t>Lead to Sale Conversion</t>
        </is>
      </c>
      <c r="B18" t="n">
        <v>0.004</v>
      </c>
    </row>
    <row r="19">
      <c r="A19" s="4" t="inlineStr">
        <is>
          <t>Conversion to True Sale</t>
        </is>
      </c>
      <c r="B19" t="n">
        <v>0.02339181286549707</v>
      </c>
    </row>
    <row r="20">
      <c r="A20" s="4" t="inlineStr">
        <is>
          <t>True contacts to sales</t>
        </is>
      </c>
      <c r="B20" t="n">
        <v>0.02395209580838323</v>
      </c>
    </row>
    <row r="21">
      <c r="A21" s="4" t="inlineStr">
        <is>
          <t>True Sale to Collections</t>
        </is>
      </c>
    </row>
    <row r="22">
      <c r="A22" s="4" t="n"/>
    </row>
    <row r="23">
      <c r="A23" s="4" t="inlineStr">
        <is>
          <t>Number of Calls to Leads</t>
        </is>
      </c>
    </row>
    <row r="24">
      <c r="A24" s="4" t="inlineStr">
        <is>
          <t>Number of Calls Made</t>
        </is>
      </c>
    </row>
    <row r="25">
      <c r="A25" s="4" t="inlineStr">
        <is>
          <t>Number of Calls per Lead</t>
        </is>
      </c>
    </row>
    <row r="26">
      <c r="A26" s="4" t="inlineStr">
        <is>
          <t>Number of Agents</t>
        </is>
      </c>
    </row>
    <row r="27">
      <c r="A27" s="4" t="inlineStr">
        <is>
          <t>Number of Working Days</t>
        </is>
      </c>
    </row>
    <row r="28">
      <c r="A28" s="4" t="n"/>
    </row>
    <row r="29">
      <c r="A29" s="5" t="inlineStr">
        <is>
          <t>Unsuccesful Contacts Dispositions</t>
        </is>
      </c>
    </row>
    <row r="30">
      <c r="A30" s="4" t="inlineStr">
        <is>
          <t>Auto Dial Disconnected</t>
        </is>
      </c>
      <c r="B30" t="n">
        <v>41</v>
      </c>
    </row>
    <row r="31">
      <c r="A31" s="4" t="inlineStr">
        <is>
          <t>Answering Machine Autodial</t>
        </is>
      </c>
      <c r="B31" t="n">
        <v>249</v>
      </c>
    </row>
    <row r="32">
      <c r="A32" s="4" t="inlineStr">
        <is>
          <t>No Answer AutoDial</t>
        </is>
      </c>
      <c r="B32" t="n">
        <v>97</v>
      </c>
    </row>
    <row r="33">
      <c r="A33" s="6" t="inlineStr">
        <is>
          <t>Dropped</t>
        </is>
      </c>
      <c r="B33" t="n">
        <v>117</v>
      </c>
    </row>
    <row r="34">
      <c r="A34" s="6" t="inlineStr">
        <is>
          <t>Answering Machine</t>
        </is>
      </c>
      <c r="B34" t="n">
        <v>17</v>
      </c>
    </row>
    <row r="35">
      <c r="A35" s="6" t="inlineStr">
        <is>
          <t>Temporary Disconnected Number</t>
        </is>
      </c>
      <c r="B35" t="n">
        <v>5</v>
      </c>
    </row>
    <row r="36">
      <c r="A36" s="4" t="inlineStr">
        <is>
          <t>Auto Engaged</t>
        </is>
      </c>
      <c r="B36" t="n">
        <v>166</v>
      </c>
    </row>
    <row r="37">
      <c r="A37" s="4" t="inlineStr">
        <is>
          <t>Bad Line Quality</t>
        </is>
      </c>
      <c r="B37" t="n">
        <v>1</v>
      </c>
    </row>
    <row r="38">
      <c r="A38" s="6" t="inlineStr">
        <is>
          <t>Outbound Pre-Routing Drop</t>
        </is>
      </c>
      <c r="B38" t="n">
        <v>0</v>
      </c>
    </row>
    <row r="39">
      <c r="A39" s="6" t="inlineStr">
        <is>
          <t>No Answer</t>
        </is>
      </c>
      <c r="B39" t="n">
        <v>8</v>
      </c>
    </row>
    <row r="40">
      <c r="A40" s="6" t="inlineStr">
        <is>
          <t>Busy Tone</t>
        </is>
      </c>
      <c r="B40" t="n">
        <v>3</v>
      </c>
    </row>
    <row r="41">
      <c r="A41" s="4" t="inlineStr">
        <is>
          <t>Inbound Abandon</t>
        </is>
      </c>
      <c r="B41" t="n">
        <v>35</v>
      </c>
    </row>
    <row r="42">
      <c r="A42" s="6" t="inlineStr">
        <is>
          <t>Selected</t>
        </is>
      </c>
      <c r="B42" t="n">
        <v>6</v>
      </c>
    </row>
    <row r="43">
      <c r="A43" s="4" t="inlineStr">
        <is>
          <t>Inbound After Hours Drop</t>
        </is>
      </c>
      <c r="B43" t="n">
        <v>4</v>
      </c>
    </row>
    <row r="44">
      <c r="A44" s="4" t="inlineStr">
        <is>
          <t>New</t>
        </is>
      </c>
      <c r="B44" t="n">
        <v>0</v>
      </c>
    </row>
    <row r="45">
      <c r="A45" s="4" t="inlineStr">
        <is>
          <t>Missed</t>
        </is>
      </c>
      <c r="B45" t="n">
        <v>0</v>
      </c>
    </row>
    <row r="46">
      <c r="A46" s="4" t="inlineStr">
        <is>
          <t>Multiple Calls</t>
        </is>
      </c>
      <c r="B46" t="n">
        <v>0</v>
      </c>
    </row>
    <row r="47">
      <c r="A47" s="4" t="inlineStr">
        <is>
          <t>Call Dropped</t>
        </is>
      </c>
      <c r="B47" t="n">
        <v>9</v>
      </c>
    </row>
    <row r="48">
      <c r="A48" s="4" t="inlineStr">
        <is>
          <t>Disconnected</t>
        </is>
      </c>
      <c r="B48" t="n">
        <v>0</v>
      </c>
    </row>
    <row r="49">
      <c r="A49" s="6" t="inlineStr">
        <is>
          <t>Customer drop</t>
        </is>
      </c>
      <c r="B49" t="n">
        <v>0</v>
      </c>
    </row>
    <row r="50">
      <c r="A50" s="4" t="inlineStr">
        <is>
          <t>Auto Alt-Dialling</t>
        </is>
      </c>
    </row>
    <row r="51">
      <c r="A51" s="4" t="inlineStr">
        <is>
          <t>Disconnected Number Auto</t>
        </is>
      </c>
      <c r="B51" t="n">
        <v>0</v>
      </c>
    </row>
    <row r="52">
      <c r="A52" s="4" t="inlineStr">
        <is>
          <t>TPS Registered Number</t>
        </is>
      </c>
      <c r="B52" t="n">
        <v>0</v>
      </c>
    </row>
    <row r="53">
      <c r="A53" s="4" t="inlineStr">
        <is>
          <t>Engaged</t>
        </is>
      </c>
      <c r="B53" t="n">
        <v>0</v>
      </c>
    </row>
    <row r="54">
      <c r="A54" s="4" t="inlineStr">
        <is>
          <t>Busy</t>
        </is>
      </c>
    </row>
    <row r="55">
      <c r="A55" s="4" t="inlineStr">
        <is>
          <t>Flow Inbound Abandon</t>
        </is>
      </c>
      <c r="B55" t="n">
        <v>0</v>
      </c>
    </row>
    <row r="56">
      <c r="A56" s="4" t="n"/>
    </row>
    <row r="57">
      <c r="A57" s="5" t="inlineStr">
        <is>
          <t>Unworkable Leads Dispositions</t>
        </is>
      </c>
    </row>
    <row r="58">
      <c r="A58" s="4" t="inlineStr">
        <is>
          <t>Unemployed</t>
        </is>
      </c>
      <c r="B58" t="n">
        <v>21</v>
      </c>
    </row>
    <row r="59">
      <c r="A59" s="4" t="inlineStr">
        <is>
          <t>Under Age</t>
        </is>
      </c>
      <c r="B59" t="n">
        <v>0</v>
      </c>
    </row>
    <row r="60">
      <c r="A60" s="4" t="inlineStr">
        <is>
          <t>Over Age Limit</t>
        </is>
      </c>
      <c r="B60" t="n">
        <v>6</v>
      </c>
    </row>
    <row r="61">
      <c r="A61" s="4" t="inlineStr">
        <is>
          <t>Does Not Qualify</t>
        </is>
      </c>
      <c r="B61" t="n">
        <v>5</v>
      </c>
    </row>
    <row r="62">
      <c r="A62" s="4" t="inlineStr">
        <is>
          <t>Go to the Branch</t>
        </is>
      </c>
      <c r="B62" t="n">
        <v>1</v>
      </c>
    </row>
    <row r="63">
      <c r="A63" s="4" t="inlineStr">
        <is>
          <t>Existing Client</t>
        </is>
      </c>
      <c r="B63" t="n">
        <v>1</v>
      </c>
    </row>
    <row r="64">
      <c r="A64" s="4" t="inlineStr">
        <is>
          <t>Do not call</t>
        </is>
      </c>
      <c r="B64" t="n">
        <v>2</v>
      </c>
    </row>
    <row r="65">
      <c r="A65" s="4" t="inlineStr">
        <is>
          <t>Wrong number</t>
        </is>
      </c>
      <c r="B65" t="n">
        <v>1</v>
      </c>
    </row>
    <row r="66">
      <c r="A66" s="4" t="inlineStr">
        <is>
          <t>Language Barrier</t>
        </is>
      </c>
      <c r="B66" t="n">
        <v>0</v>
      </c>
    </row>
    <row r="67">
      <c r="A67" s="4" t="inlineStr">
        <is>
          <t>Client Deceased</t>
        </is>
      </c>
      <c r="B67" t="n">
        <v>0</v>
      </c>
    </row>
    <row r="68">
      <c r="A68" s="4" t="inlineStr">
        <is>
          <t>Right Party Not Available</t>
        </is>
      </c>
      <c r="B68" t="n">
        <v>0</v>
      </c>
    </row>
    <row r="69">
      <c r="A69" s="4" t="inlineStr">
        <is>
          <t>Client Contacted For Documents</t>
        </is>
      </c>
    </row>
    <row r="70">
      <c r="A70" s="4" t="inlineStr">
        <is>
          <t>Already Contacted</t>
        </is>
      </c>
      <c r="B70" t="n">
        <v>30</v>
      </c>
    </row>
    <row r="71">
      <c r="A71" s="4" t="inlineStr">
        <is>
          <t>Existing Client - Store</t>
        </is>
      </c>
    </row>
    <row r="72">
      <c r="A72" s="4" t="inlineStr">
        <is>
          <t>Account In Arrears</t>
        </is>
      </c>
    </row>
    <row r="73">
      <c r="A73" s="4" t="inlineStr">
        <is>
          <t>Existing Client - Bytes</t>
        </is>
      </c>
    </row>
    <row r="74">
      <c r="A74" s="4" t="inlineStr">
        <is>
          <t>Scheduled Appointment</t>
        </is>
      </c>
      <c r="B74" t="n">
        <v>0</v>
      </c>
    </row>
    <row r="75">
      <c r="A75" s="4" t="inlineStr">
        <is>
          <t>Refund Request</t>
        </is>
      </c>
      <c r="B75" t="n">
        <v>0</v>
      </c>
    </row>
    <row r="76">
      <c r="A76" s="4" t="inlineStr">
        <is>
          <t>Not Working Cannot Afford</t>
        </is>
      </c>
      <c r="B76" t="n">
        <v>4</v>
      </c>
    </row>
    <row r="77">
      <c r="A77" s="4" t="inlineStr">
        <is>
          <t>Device Not Working</t>
        </is>
      </c>
    </row>
    <row r="78">
      <c r="A78" s="4" t="inlineStr">
        <is>
          <t>Account Suspended</t>
        </is>
      </c>
      <c r="B78" t="n">
        <v>0</v>
      </c>
    </row>
    <row r="79">
      <c r="A79" s="4" t="inlineStr">
        <is>
          <t>Wanted medical aid</t>
        </is>
      </c>
    </row>
    <row r="80">
      <c r="A80" s="4" t="inlineStr">
        <is>
          <t>Lead Being Called</t>
        </is>
      </c>
    </row>
    <row r="81">
      <c r="A81" s="4" t="inlineStr">
        <is>
          <t>Insured at another company</t>
        </is>
      </c>
      <c r="B81" t="n">
        <v>0</v>
      </c>
    </row>
    <row r="82">
      <c r="A82" s="4" t="n"/>
    </row>
    <row r="83">
      <c r="A83" s="5" t="inlineStr">
        <is>
          <t>True Contacts</t>
        </is>
      </c>
      <c r="B83" t="n">
        <v>167</v>
      </c>
    </row>
    <row r="84">
      <c r="A84" s="4" t="inlineStr">
        <is>
          <t>Client Hung Up</t>
        </is>
      </c>
      <c r="B84" t="n">
        <v>74</v>
      </c>
    </row>
    <row r="85">
      <c r="A85" s="4" t="inlineStr">
        <is>
          <t>Affordability</t>
        </is>
      </c>
      <c r="B85" t="n">
        <v>0</v>
      </c>
    </row>
    <row r="86">
      <c r="A86" s="6" t="inlineStr">
        <is>
          <t>Not Interested</t>
        </is>
      </c>
      <c r="B86" t="n">
        <v>39</v>
      </c>
    </row>
    <row r="87">
      <c r="A87" s="6" t="inlineStr">
        <is>
          <t>Callback</t>
        </is>
      </c>
      <c r="B87" t="n">
        <v>45</v>
      </c>
    </row>
    <row r="88">
      <c r="A88" s="4" t="inlineStr">
        <is>
          <t>Not Interested Upfront</t>
        </is>
      </c>
      <c r="B88" t="n">
        <v>5</v>
      </c>
    </row>
    <row r="89">
      <c r="A89" s="4" t="inlineStr">
        <is>
          <t>Client Quoted Not Interested</t>
        </is>
      </c>
    </row>
    <row r="90">
      <c r="A90" s="4" t="inlineStr">
        <is>
          <t>DNQ Quote Declined</t>
        </is>
      </c>
      <c r="B90" t="n">
        <v>1</v>
      </c>
    </row>
    <row r="91">
      <c r="A91" s="4" t="inlineStr">
        <is>
          <t>Do Not Qualify Failed Medical Question</t>
        </is>
      </c>
      <c r="B91" t="n">
        <v>3</v>
      </c>
    </row>
    <row r="92">
      <c r="A92" s="4" t="inlineStr">
        <is>
          <t>Not Interested Household Contents</t>
        </is>
      </c>
      <c r="B92" t="n">
        <v>0</v>
      </c>
    </row>
    <row r="93">
      <c r="A93" s="4" t="inlineStr">
        <is>
          <t>Not Interested Premium Cost</t>
        </is>
      </c>
    </row>
    <row r="94">
      <c r="A94" s="6" t="inlineStr">
        <is>
          <t>Not Interested Device Cost</t>
        </is>
      </c>
    </row>
    <row r="95">
      <c r="A95" s="4" t="inlineStr">
        <is>
          <t>Cannot Afford</t>
        </is>
      </c>
      <c r="B95" t="n">
        <v>4</v>
      </c>
    </row>
    <row r="96">
      <c r="A96" s="6" t="inlineStr">
        <is>
          <t>Not interested SMS</t>
        </is>
      </c>
    </row>
    <row r="97">
      <c r="A97" s="4" t="inlineStr">
        <is>
          <t>Call Back Hold</t>
        </is>
      </c>
      <c r="B97" t="n">
        <v>0</v>
      </c>
    </row>
    <row r="98">
      <c r="A98" s="4" t="inlineStr">
        <is>
          <t>NI Household Contents</t>
        </is>
      </c>
    </row>
    <row r="99">
      <c r="A99" s="4" t="inlineStr">
        <is>
          <t>Not interested - Pitched</t>
        </is>
      </c>
      <c r="B99" t="n">
        <v>0</v>
      </c>
    </row>
    <row r="100">
      <c r="A100" s="4" t="inlineStr">
        <is>
          <t>Declined Sale</t>
        </is>
      </c>
      <c r="B100" t="n">
        <v>0</v>
      </c>
    </row>
    <row r="101">
      <c r="A101" s="4" t="inlineStr">
        <is>
          <t>Sale Made</t>
        </is>
      </c>
      <c r="B101" t="n">
        <v>4</v>
      </c>
    </row>
    <row r="102">
      <c r="A102" s="4" t="inlineStr">
        <is>
          <t>QA Rework</t>
        </is>
      </c>
      <c r="B102" t="n">
        <v>0</v>
      </c>
    </row>
    <row r="103">
      <c r="A103" s="4" t="inlineStr">
        <is>
          <t>Sale SMS</t>
        </is>
      </c>
    </row>
    <row r="104">
      <c r="A104" s="4" t="n"/>
    </row>
    <row r="105">
      <c r="A105" s="5" t="inlineStr">
        <is>
          <t>Unsuccesful Contacts Dispositions</t>
        </is>
      </c>
    </row>
    <row r="106">
      <c r="A106" s="4" t="inlineStr">
        <is>
          <t>Auto Dial Disconnected</t>
        </is>
      </c>
      <c r="B106" t="n">
        <v>41</v>
      </c>
    </row>
    <row r="107">
      <c r="A107" s="4" t="inlineStr">
        <is>
          <t>Answering Machine Autodial</t>
        </is>
      </c>
      <c r="B107" t="n">
        <v>249</v>
      </c>
    </row>
    <row r="108">
      <c r="A108" s="4" t="inlineStr">
        <is>
          <t>No Answer AutoDial</t>
        </is>
      </c>
      <c r="B108" t="n">
        <v>97</v>
      </c>
    </row>
    <row r="109">
      <c r="A109" s="6" t="inlineStr">
        <is>
          <t>Dropped</t>
        </is>
      </c>
      <c r="B109" t="n">
        <v>117</v>
      </c>
    </row>
    <row r="110">
      <c r="A110" s="6" t="inlineStr">
        <is>
          <t>Answering Machine</t>
        </is>
      </c>
      <c r="B110" t="n">
        <v>17</v>
      </c>
    </row>
    <row r="111">
      <c r="A111" s="6" t="inlineStr">
        <is>
          <t>Temporary Disconnected Number</t>
        </is>
      </c>
      <c r="B111" t="n">
        <v>5</v>
      </c>
    </row>
    <row r="112">
      <c r="A112" s="4" t="inlineStr">
        <is>
          <t>Auto Engaged</t>
        </is>
      </c>
      <c r="B112" t="n">
        <v>166</v>
      </c>
    </row>
    <row r="113">
      <c r="A113" s="4" t="inlineStr">
        <is>
          <t>Bad Line Quality</t>
        </is>
      </c>
      <c r="B113" t="n">
        <v>1</v>
      </c>
    </row>
    <row r="114">
      <c r="A114" s="6" t="inlineStr">
        <is>
          <t>Outbound Pre-Routing Drop</t>
        </is>
      </c>
      <c r="B114" t="n">
        <v>0</v>
      </c>
    </row>
    <row r="115">
      <c r="A115" s="6" t="inlineStr">
        <is>
          <t>No Answer</t>
        </is>
      </c>
      <c r="B115" t="n">
        <v>8</v>
      </c>
    </row>
    <row r="116">
      <c r="A116" s="6" t="inlineStr">
        <is>
          <t>Busy Tone</t>
        </is>
      </c>
      <c r="B116" t="n">
        <v>3</v>
      </c>
    </row>
    <row r="117">
      <c r="A117" s="4" t="inlineStr">
        <is>
          <t>Inbound Abandon</t>
        </is>
      </c>
      <c r="B117" t="n">
        <v>35</v>
      </c>
    </row>
    <row r="118">
      <c r="A118" s="6" t="inlineStr">
        <is>
          <t>Selected</t>
        </is>
      </c>
      <c r="B118" t="n">
        <v>6</v>
      </c>
    </row>
    <row r="119">
      <c r="A119" s="4" t="inlineStr">
        <is>
          <t>Inbound After Hours Drop</t>
        </is>
      </c>
      <c r="B119" t="n">
        <v>4</v>
      </c>
    </row>
    <row r="120">
      <c r="A120" s="4" t="inlineStr">
        <is>
          <t>New</t>
        </is>
      </c>
      <c r="B120" t="n">
        <v>0</v>
      </c>
    </row>
    <row r="121">
      <c r="A121" s="4" t="inlineStr">
        <is>
          <t>Missed</t>
        </is>
      </c>
      <c r="B121" t="n">
        <v>0</v>
      </c>
    </row>
    <row r="122">
      <c r="A122" s="4" t="inlineStr">
        <is>
          <t>Multiple Calls</t>
        </is>
      </c>
      <c r="B122" t="n">
        <v>0</v>
      </c>
    </row>
    <row r="123">
      <c r="A123" s="4" t="inlineStr">
        <is>
          <t>Call Dropped</t>
        </is>
      </c>
      <c r="B123" t="n">
        <v>9</v>
      </c>
    </row>
    <row r="124">
      <c r="A124" s="4" t="inlineStr">
        <is>
          <t>Disconnected</t>
        </is>
      </c>
      <c r="B124" t="n">
        <v>0</v>
      </c>
    </row>
    <row r="125">
      <c r="A125" s="6" t="inlineStr">
        <is>
          <t>Customer drop</t>
        </is>
      </c>
      <c r="B125" t="n">
        <v>0</v>
      </c>
    </row>
    <row r="126">
      <c r="A126" s="4" t="inlineStr">
        <is>
          <t>Auto Alt-Dialling</t>
        </is>
      </c>
    </row>
    <row r="127">
      <c r="A127" s="4" t="inlineStr">
        <is>
          <t>Disconnected Number Auto</t>
        </is>
      </c>
      <c r="B127" t="n">
        <v>0</v>
      </c>
    </row>
    <row r="128">
      <c r="A128" s="4" t="inlineStr">
        <is>
          <t>TPS Registered Number</t>
        </is>
      </c>
      <c r="B128" t="n">
        <v>0</v>
      </c>
    </row>
    <row r="129">
      <c r="A129" s="4" t="inlineStr">
        <is>
          <t>Engaged</t>
        </is>
      </c>
      <c r="B129" t="n">
        <v>0</v>
      </c>
    </row>
    <row r="130">
      <c r="A130" s="4" t="inlineStr">
        <is>
          <t>Busy</t>
        </is>
      </c>
    </row>
    <row r="131">
      <c r="A131" s="4" t="inlineStr">
        <is>
          <t>Flow Inbound Abandon</t>
        </is>
      </c>
      <c r="B131" t="n">
        <v>0</v>
      </c>
    </row>
    <row r="132">
      <c r="A132" s="4" t="n"/>
    </row>
    <row r="133">
      <c r="A133" s="5" t="inlineStr">
        <is>
          <t>Unworkable Leads Dispositions</t>
        </is>
      </c>
    </row>
    <row r="134">
      <c r="A134" s="4" t="inlineStr">
        <is>
          <t>Unemployed</t>
        </is>
      </c>
      <c r="B134" t="n">
        <v>21</v>
      </c>
    </row>
    <row r="135">
      <c r="A135" s="4" t="inlineStr">
        <is>
          <t>Under Age</t>
        </is>
      </c>
      <c r="B135" t="n">
        <v>0</v>
      </c>
    </row>
    <row r="136">
      <c r="A136" s="4" t="inlineStr">
        <is>
          <t>Over Age Limit</t>
        </is>
      </c>
      <c r="B136" t="n">
        <v>6</v>
      </c>
    </row>
    <row r="137">
      <c r="A137" s="4" t="inlineStr">
        <is>
          <t>Does Not Qualify</t>
        </is>
      </c>
      <c r="B137" t="n">
        <v>5</v>
      </c>
    </row>
    <row r="138">
      <c r="A138" s="4" t="inlineStr">
        <is>
          <t>Go to the Branch</t>
        </is>
      </c>
      <c r="B138" t="n">
        <v>1</v>
      </c>
    </row>
    <row r="139">
      <c r="A139" s="4" t="inlineStr">
        <is>
          <t>Existing Client</t>
        </is>
      </c>
      <c r="B139" t="n">
        <v>1</v>
      </c>
    </row>
    <row r="140">
      <c r="A140" s="4" t="inlineStr">
        <is>
          <t>Do not call</t>
        </is>
      </c>
      <c r="B140" t="n">
        <v>2</v>
      </c>
    </row>
    <row r="141">
      <c r="A141" s="4" t="inlineStr">
        <is>
          <t>Wrong number</t>
        </is>
      </c>
      <c r="B141" t="n">
        <v>1</v>
      </c>
    </row>
    <row r="142">
      <c r="A142" s="4" t="inlineStr">
        <is>
          <t>Language Barrier</t>
        </is>
      </c>
      <c r="B142" t="n">
        <v>0</v>
      </c>
    </row>
    <row r="143">
      <c r="A143" s="4" t="inlineStr">
        <is>
          <t>Client Deceased</t>
        </is>
      </c>
      <c r="B143" t="n">
        <v>0</v>
      </c>
    </row>
    <row r="144">
      <c r="A144" s="4" t="inlineStr">
        <is>
          <t>Right Party Not Available</t>
        </is>
      </c>
      <c r="B144" t="n">
        <v>0</v>
      </c>
    </row>
    <row r="145">
      <c r="A145" s="4" t="inlineStr">
        <is>
          <t>Client Contacted For Documents</t>
        </is>
      </c>
    </row>
    <row r="146">
      <c r="A146" s="4" t="inlineStr">
        <is>
          <t>Already Contacted</t>
        </is>
      </c>
      <c r="B146" t="n">
        <v>30</v>
      </c>
    </row>
    <row r="147">
      <c r="A147" s="4" t="inlineStr">
        <is>
          <t>Existing Client - Store</t>
        </is>
      </c>
    </row>
    <row r="148">
      <c r="A148" s="4" t="inlineStr">
        <is>
          <t>Account In Arrears</t>
        </is>
      </c>
    </row>
    <row r="149">
      <c r="A149" s="4" t="inlineStr">
        <is>
          <t>Existing Client - Bytes</t>
        </is>
      </c>
    </row>
    <row r="150">
      <c r="A150" s="4" t="inlineStr">
        <is>
          <t>Scheduled Appointment</t>
        </is>
      </c>
      <c r="B150" t="n">
        <v>0</v>
      </c>
    </row>
    <row r="151">
      <c r="A151" s="4" t="inlineStr">
        <is>
          <t>Refund Request</t>
        </is>
      </c>
      <c r="B151" t="n">
        <v>0</v>
      </c>
    </row>
    <row r="152">
      <c r="A152" s="4" t="inlineStr">
        <is>
          <t>Not Working Cannot Afford</t>
        </is>
      </c>
      <c r="B152" t="n">
        <v>4</v>
      </c>
    </row>
    <row r="153">
      <c r="A153" s="4" t="inlineStr">
        <is>
          <t>Device Not Working</t>
        </is>
      </c>
    </row>
    <row r="154">
      <c r="A154" s="4" t="inlineStr">
        <is>
          <t>Account Suspended</t>
        </is>
      </c>
      <c r="B154" t="n">
        <v>0</v>
      </c>
    </row>
    <row r="155">
      <c r="A155" s="4" t="inlineStr">
        <is>
          <t>Wanted medical aid</t>
        </is>
      </c>
    </row>
    <row r="156">
      <c r="A156" s="4" t="inlineStr">
        <is>
          <t>Lead Being Called</t>
        </is>
      </c>
    </row>
    <row r="157">
      <c r="A157" s="4" t="inlineStr">
        <is>
          <t>Insured at another company</t>
        </is>
      </c>
      <c r="B157" t="n">
        <v>0</v>
      </c>
    </row>
    <row r="158">
      <c r="A158" s="4" t="n"/>
    </row>
    <row r="159">
      <c r="A159" s="5" t="inlineStr">
        <is>
          <t>True Contacts</t>
        </is>
      </c>
      <c r="B159" t="n">
        <v>167</v>
      </c>
    </row>
    <row r="160">
      <c r="A160" s="4" t="inlineStr">
        <is>
          <t>Client Hung Up</t>
        </is>
      </c>
      <c r="B160" t="n">
        <v>74</v>
      </c>
    </row>
    <row r="161">
      <c r="A161" s="4" t="inlineStr">
        <is>
          <t>Affordability</t>
        </is>
      </c>
      <c r="B161" t="n">
        <v>0</v>
      </c>
    </row>
    <row r="162">
      <c r="A162" s="6" t="inlineStr">
        <is>
          <t>Not Interested</t>
        </is>
      </c>
      <c r="B162" t="n">
        <v>39</v>
      </c>
    </row>
    <row r="163">
      <c r="A163" s="6" t="inlineStr">
        <is>
          <t>Callback</t>
        </is>
      </c>
      <c r="B163" t="n">
        <v>45</v>
      </c>
    </row>
    <row r="164">
      <c r="A164" s="4" t="inlineStr">
        <is>
          <t>Not Interested Upfront</t>
        </is>
      </c>
      <c r="B164" t="n">
        <v>5</v>
      </c>
    </row>
    <row r="165">
      <c r="A165" s="4" t="inlineStr">
        <is>
          <t>Client Quoted Not Interested</t>
        </is>
      </c>
    </row>
    <row r="166">
      <c r="A166" s="4" t="inlineStr">
        <is>
          <t>DNQ Quote Declined</t>
        </is>
      </c>
      <c r="B166" t="n">
        <v>1</v>
      </c>
    </row>
    <row r="167">
      <c r="A167" s="4" t="inlineStr">
        <is>
          <t>Do Not Qualify Failed Medical Question</t>
        </is>
      </c>
      <c r="B167" t="n">
        <v>3</v>
      </c>
    </row>
    <row r="168">
      <c r="A168" s="4" t="inlineStr">
        <is>
          <t>Not Interested Household Contents</t>
        </is>
      </c>
      <c r="B168" t="n">
        <v>0</v>
      </c>
    </row>
    <row r="169">
      <c r="A169" s="4" t="inlineStr">
        <is>
          <t>Not Interested Premium Cost</t>
        </is>
      </c>
    </row>
    <row r="170">
      <c r="A170" s="6" t="inlineStr">
        <is>
          <t>Not Interested Device Cost</t>
        </is>
      </c>
    </row>
    <row r="171">
      <c r="A171" s="4" t="inlineStr">
        <is>
          <t>Cannot Afford</t>
        </is>
      </c>
      <c r="B171" t="n">
        <v>4</v>
      </c>
    </row>
    <row r="172">
      <c r="A172" s="6" t="inlineStr">
        <is>
          <t>Not interested SMS</t>
        </is>
      </c>
    </row>
    <row r="173">
      <c r="A173" s="4" t="inlineStr">
        <is>
          <t>Call Back Hold</t>
        </is>
      </c>
      <c r="B173" t="n">
        <v>0</v>
      </c>
    </row>
    <row r="174">
      <c r="A174" s="4" t="inlineStr">
        <is>
          <t>NI Household Contents</t>
        </is>
      </c>
    </row>
    <row r="175">
      <c r="A175" s="4" t="inlineStr">
        <is>
          <t>Not interested - Pitched</t>
        </is>
      </c>
      <c r="B175" t="n">
        <v>0</v>
      </c>
    </row>
    <row r="176">
      <c r="A176" s="4" t="inlineStr">
        <is>
          <t>Declined Sale</t>
        </is>
      </c>
      <c r="B176" t="n">
        <v>0</v>
      </c>
    </row>
    <row r="177">
      <c r="A177" s="4" t="inlineStr">
        <is>
          <t>Sale Made</t>
        </is>
      </c>
      <c r="B177" t="n">
        <v>4</v>
      </c>
    </row>
    <row r="178">
      <c r="A178" s="4" t="inlineStr">
        <is>
          <t>QA Rework</t>
        </is>
      </c>
      <c r="B178" t="n">
        <v>0</v>
      </c>
    </row>
    <row r="179" ht="15.75" customHeight="1">
      <c r="A179" s="7" t="inlineStr">
        <is>
          <t>Sale SMS</t>
        </is>
      </c>
    </row>
    <row r="180"/>
    <row r="181"/>
    <row r="182"/>
    <row r="183">
      <c r="A183" s="8" t="n"/>
    </row>
    <row r="184"/>
    <row r="185"/>
    <row r="186"/>
    <row r="187"/>
    <row r="188"/>
    <row r="189"/>
    <row r="190"/>
    <row r="191"/>
    <row r="192"/>
    <row r="193"/>
    <row r="194">
      <c r="A19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Campaign Analysis – Vodacom Life</t>
        </is>
      </c>
    </row>
    <row r="2"/>
    <row r="3"/>
    <row r="4">
      <c r="A4" s="10" t="inlineStr">
        <is>
          <t>Total Leads</t>
        </is>
      </c>
      <c r="B4" s="11" t="n">
        <v>1000</v>
      </c>
    </row>
    <row r="5">
      <c r="A5" s="10" t="inlineStr">
        <is>
          <t>Unworked Leads (New Leads)</t>
        </is>
      </c>
      <c r="B5" s="11" t="n">
        <v>0</v>
      </c>
    </row>
    <row r="6">
      <c r="A6" s="10" t="inlineStr">
        <is>
          <t>Successful Contacts</t>
        </is>
      </c>
      <c r="B6" s="11" t="n">
        <v>171</v>
      </c>
    </row>
    <row r="7">
      <c r="A7" s="10" t="inlineStr">
        <is>
          <t>True Contacts</t>
        </is>
      </c>
      <c r="B7" s="11" t="n">
        <v>167</v>
      </c>
    </row>
    <row r="8">
      <c r="A8" s="10" t="inlineStr">
        <is>
          <t>Conversion</t>
        </is>
      </c>
      <c r="B8" s="12" t="n">
        <v>0.004</v>
      </c>
    </row>
    <row r="9">
      <c r="A9" s="10" t="inlineStr">
        <is>
          <t>True Sales (post QA)</t>
        </is>
      </c>
      <c r="B9" s="11" t="n">
        <v>4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3" t="inlineStr">
        <is>
          <t>Answering Machine Autodial</t>
        </is>
      </c>
      <c r="C13" s="14">
        <f>IFERROR(VLOOKUP("Answering Machine Autodial",Pivot!$A$2:$B$31,2,FALSE),0)</f>
        <v/>
      </c>
      <c r="D13" s="13" t="inlineStr">
        <is>
          <t>Sale Made - Completed Mandate</t>
        </is>
      </c>
      <c r="E13" s="14">
        <f>IFERROR(VLOOKUP("Sale Made - Completed Mandate",Pivot!$A$2:$B$31,2,FALSE),0)</f>
        <v/>
      </c>
      <c r="F13" s="13" t="inlineStr">
        <is>
          <t>Already Contacted</t>
        </is>
      </c>
      <c r="G13" s="14">
        <f>IFERROR(VLOOKUP("Already Contacted",Pivot!$A$2:$B$31,2,FALSE),0)</f>
        <v/>
      </c>
      <c r="H13" s="13" t="inlineStr">
        <is>
          <t>Client Hung Up</t>
        </is>
      </c>
      <c r="I13" s="14">
        <f>IFERROR(VLOOKUP("Client Hung Up",Pivot!$A$2:$B$31,2,FALSE),0)</f>
        <v/>
      </c>
    </row>
    <row r="14">
      <c r="B14" s="13" t="inlineStr">
        <is>
          <t>No Answer Autodial</t>
        </is>
      </c>
      <c r="C14" s="14">
        <f>IFERROR(VLOOKUP("No Answer Autodial",Pivot!$A$2:$B$31,2,FALSE),0)</f>
        <v/>
      </c>
      <c r="D14" s="13" t="inlineStr">
        <is>
          <t>Sale Made - Pending Mandate</t>
        </is>
      </c>
      <c r="E14" s="14">
        <f>IFERROR(VLOOKUP("Sale Made - Pending Mandate",Pivot!$A$2:$B$31,2,FALSE),0)</f>
        <v/>
      </c>
      <c r="F14" s="13" t="inlineStr">
        <is>
          <t>Existing Client</t>
        </is>
      </c>
      <c r="G14" s="14">
        <f>IFERROR(VLOOKUP("Existing Client",Pivot!$A$2:$B$31,2,FALSE),0)</f>
        <v/>
      </c>
      <c r="H14" s="13" t="inlineStr">
        <is>
          <t>CallBack</t>
        </is>
      </c>
      <c r="I14" s="14">
        <f>IFERROR(VLOOKUP("CallBack",Pivot!$A$2:$B$31,2,FALSE),0)</f>
        <v/>
      </c>
    </row>
    <row r="15">
      <c r="B15" s="13" t="inlineStr">
        <is>
          <t>Auto Engaged</t>
        </is>
      </c>
      <c r="C15" s="14">
        <f>IFERROR(VLOOKUP("Auto Engaged",Pivot!$A$2:$B$31,2,FALSE),0)</f>
        <v/>
      </c>
      <c r="D15" s="13" t="inlineStr">
        <is>
          <t>Sale Made</t>
        </is>
      </c>
      <c r="E15" s="14">
        <f>IFERROR(VLOOKUP("Sale Made",Pivot!$A$2:$B$31,2,FALSE),0)</f>
        <v/>
      </c>
      <c r="F15" s="13" t="inlineStr">
        <is>
          <t>Unemployed</t>
        </is>
      </c>
      <c r="G15" s="14">
        <f>IFERROR(VLOOKUP("Unemployed",Pivot!$A$2:$B$31,2,FALSE),0)</f>
        <v/>
      </c>
      <c r="H15" s="13" t="inlineStr">
        <is>
          <t>Not Interested</t>
        </is>
      </c>
      <c r="I15" s="14">
        <f>IFERROR(VLOOKUP("Not Interested",Pivot!$A$2:$B$31,2,FALSE),0)</f>
        <v/>
      </c>
    </row>
    <row r="16">
      <c r="B16" s="13" t="inlineStr">
        <is>
          <t>Disconnected Number Auto</t>
        </is>
      </c>
      <c r="C16" s="14">
        <f>IFERROR(VLOOKUP("Disconnected Number Auto",Pivot!$A$2:$B$31,2,FALSE),0)</f>
        <v/>
      </c>
      <c r="D16" s="13" t="inlineStr">
        <is>
          <t>Tyme Bank Account Sale</t>
        </is>
      </c>
      <c r="E16" s="14">
        <f>IFERROR(VLOOKUP("Tyme Bank Account Sale",Pivot!$A$2:$B$31,2,FALSE),0)</f>
        <v/>
      </c>
      <c r="F16" s="13" t="inlineStr">
        <is>
          <t>Wrong Number</t>
        </is>
      </c>
      <c r="G16" s="14">
        <f>IFERROR(VLOOKUP("Wrong Number",Pivot!$A$2:$B$31,2,FALSE),0)</f>
        <v/>
      </c>
      <c r="H16" s="13" t="inlineStr">
        <is>
          <t>Not Interested Upfront</t>
        </is>
      </c>
      <c r="I16" s="14">
        <f>IFERROR(VLOOKUP("Not Interested Upfront",Pivot!$A$2:$B$31,2,FALSE),0)</f>
        <v/>
      </c>
    </row>
    <row r="17">
      <c r="B17" s="13" t="inlineStr">
        <is>
          <t>Answering Machine</t>
        </is>
      </c>
      <c r="C17" s="14">
        <f>IFERROR(VLOOKUP("Answering Machine",Pivot!$A$2:$B$31,2,FALSE),0)</f>
        <v/>
      </c>
      <c r="D17" s="13" t="inlineStr">
        <is>
          <t>QA Rework</t>
        </is>
      </c>
      <c r="E17" s="14">
        <f>IFERROR(VLOOKUP("QA Rework",Pivot!$A$2:$B$31,2,FALSE),0)</f>
        <v/>
      </c>
      <c r="F17" s="13" t="inlineStr">
        <is>
          <t>Do Not Call</t>
        </is>
      </c>
      <c r="G17" s="14">
        <f>IFERROR(VLOOKUP("Do Not Call",Pivot!$A$2:$B$31,2,FALSE),0)</f>
        <v/>
      </c>
      <c r="H17" s="13" t="inlineStr">
        <is>
          <t>Cannot Afford Premium</t>
        </is>
      </c>
      <c r="I17" s="14">
        <f>IFERROR(VLOOKUP("Cannot Afford Premium",Pivot!$A$2:$B$31,2,FALSE),0)</f>
        <v/>
      </c>
    </row>
    <row r="18">
      <c r="B18" s="13" t="inlineStr">
        <is>
          <t>Selected</t>
        </is>
      </c>
      <c r="C18" s="14">
        <f>IFERROR(VLOOKUP("Selected",Pivot!$A$2:$B$31,2,FALSE),0)</f>
        <v/>
      </c>
      <c r="F18" s="13" t="inlineStr">
        <is>
          <t>No Smartphones</t>
        </is>
      </c>
      <c r="G18" s="14">
        <f>IFERROR(VLOOKUP("No Smartphones",Pivot!$A$2:$B$31,2,FALSE),0)</f>
        <v/>
      </c>
      <c r="H18" s="13" t="inlineStr">
        <is>
          <t>Not interested - Pitched</t>
        </is>
      </c>
      <c r="I18" s="14">
        <f>IFERROR(VLOOKUP("Not interested - Pitched",Pivot!$A$2:$B$31,2,FALSE),0)</f>
        <v/>
      </c>
    </row>
    <row r="19">
      <c r="B19" s="13" t="inlineStr">
        <is>
          <t>No Answer</t>
        </is>
      </c>
      <c r="C19" s="14">
        <f>IFERROR(VLOOKUP("No Answer",Pivot!$A$2:$B$31,2,FALSE),0)</f>
        <v/>
      </c>
      <c r="F19" s="13" t="inlineStr">
        <is>
          <t>Client Deceased</t>
        </is>
      </c>
      <c r="G19" s="14">
        <f>IFERROR(VLOOKUP("Client Deceased",Pivot!$A$2:$B$31,2,FALSE),0)</f>
        <v/>
      </c>
      <c r="H19" s="13" t="inlineStr">
        <is>
          <t>Affordability</t>
        </is>
      </c>
      <c r="I19" s="14">
        <f>IFERROR(VLOOKUP("Affordability",Pivot!$A$2:$B$31,2,FALSE),0)</f>
        <v/>
      </c>
    </row>
    <row r="20">
      <c r="B20" s="13" t="inlineStr">
        <is>
          <t>Busy Tone</t>
        </is>
      </c>
      <c r="C20" s="14">
        <f>IFERROR(VLOOKUP("Busy Tone",Pivot!$A$2:$B$31,2,FALSE),0)</f>
        <v/>
      </c>
      <c r="F20" s="13" t="inlineStr">
        <is>
          <t>Right Party Not Available</t>
        </is>
      </c>
      <c r="G20" s="14">
        <f>IFERROR(VLOOKUP("Right Party Not Available",Pivot!$A$2:$B$31,2,FALSE),0)</f>
        <v/>
      </c>
      <c r="H20" s="13" t="inlineStr">
        <is>
          <t>Quoted Client Not Interested</t>
        </is>
      </c>
      <c r="I20" s="14">
        <f>IFERROR(VLOOKUP("Quoted Client Not Interested",Pivot!$A$2:$B$31,2,FALSE),0)</f>
        <v/>
      </c>
    </row>
    <row r="21">
      <c r="B21" s="13" t="inlineStr">
        <is>
          <t>Dropped</t>
        </is>
      </c>
      <c r="C21" s="14">
        <f>IFERROR(VLOOKUP("Dropped",Pivot!$A$2:$B$31,2,FALSE),0)</f>
        <v/>
      </c>
      <c r="F21" s="13" t="inlineStr">
        <is>
          <t>Client Overage Limit</t>
        </is>
      </c>
      <c r="G21" s="14">
        <f>IFERROR(VLOOKUP("Client Overage Limit",Pivot!$A$2:$B$31,2,FALSE),0)</f>
        <v/>
      </c>
      <c r="H21" s="13" t="inlineStr">
        <is>
          <t>Not interested business does not use speed point mac</t>
        </is>
      </c>
      <c r="I21" s="14">
        <f>IFERROR(VLOOKUP("Not interested business does not use speed point mac",Pivot!$A$2:$B$31,2,FALSE),0)</f>
        <v/>
      </c>
    </row>
    <row r="22">
      <c r="B22" s="13" t="inlineStr">
        <is>
          <t>New</t>
        </is>
      </c>
      <c r="C22" s="14">
        <f>IFERROR(VLOOKUP("New",Pivot!$A$2:$B$31,2,FALSE),0)</f>
        <v/>
      </c>
      <c r="F22" s="13" t="inlineStr">
        <is>
          <t>Language Barrier</t>
        </is>
      </c>
      <c r="G22" s="14">
        <f>IFERROR(VLOOKUP("Language Barrier",Pivot!$A$2:$B$31,2,FALSE),0)</f>
        <v/>
      </c>
      <c r="H22" s="13" t="inlineStr">
        <is>
          <t>Call Back Technical Error</t>
        </is>
      </c>
      <c r="I22" s="14">
        <f>IFERROR(VLOOKUP("Call Back Technical Error",Pivot!$A$2:$B$31,2,FALSE),0)</f>
        <v/>
      </c>
    </row>
    <row r="23">
      <c r="B23" s="13" t="inlineStr">
        <is>
          <t>Call Dropped</t>
        </is>
      </c>
      <c r="C23" s="14">
        <f>IFERROR(VLOOKUP("Call Dropped",Pivot!$A$2:$B$31,2,FALSE),0)</f>
        <v/>
      </c>
      <c r="F23" s="13" t="inlineStr">
        <is>
          <t>Non SA Citizen</t>
        </is>
      </c>
      <c r="G23" s="14">
        <f>IFERROR(VLOOKUP("Non SA Citizen",Pivot!$A$2:$B$31,2,FALSE),0)</f>
        <v/>
      </c>
      <c r="H23" s="13" t="inlineStr">
        <is>
          <t>Not Interested Transaction Fees</t>
        </is>
      </c>
      <c r="I23" s="14">
        <f>IFERROR(VLOOKUP("Not Interested Transaction Fees",Pivot!$A$2:$B$31,2,FALSE),0)</f>
        <v/>
      </c>
    </row>
    <row r="24">
      <c r="B24" s="13" t="inlineStr">
        <is>
          <t>Inbound After Hours Drop</t>
        </is>
      </c>
      <c r="C24" s="14">
        <f>IFERROR(VLOOKUP("Inbound After Hours Drop",Pivot!$A$2:$B$31,2,FALSE),0)</f>
        <v/>
      </c>
      <c r="F24" s="13" t="inlineStr">
        <is>
          <t>No Bank Account</t>
        </is>
      </c>
      <c r="G24" s="14">
        <f>IFERROR(VLOOKUP("No Bank Account",Pivot!$A$2:$B$31,2,FALSE),0)</f>
        <v/>
      </c>
      <c r="H24" s="13" t="inlineStr">
        <is>
          <t>Cannot Afford</t>
        </is>
      </c>
      <c r="I24" s="14">
        <f>IFERROR(VLOOKUP("Cannot Afford",Pivot!$A$2:$B$31,2,FALSE),0)</f>
        <v/>
      </c>
    </row>
    <row r="25">
      <c r="B25" s="13" t="inlineStr">
        <is>
          <t>TPS Registered Number</t>
        </is>
      </c>
      <c r="C25" s="14">
        <f>IFERROR(VLOOKUP("TPS Registered Number",Pivot!$A$2:$B$31,2,FALSE),0)</f>
        <v/>
      </c>
      <c r="F25" s="13" t="inlineStr">
        <is>
          <t>Client Underage</t>
        </is>
      </c>
      <c r="G25" s="14">
        <f>IFERROR(VLOOKUP("Client Underage",Pivot!$A$2:$B$31,2,FALSE),0)</f>
        <v/>
      </c>
      <c r="H25" s="13" t="inlineStr">
        <is>
          <t>Not Interested Household Contents</t>
        </is>
      </c>
      <c r="I25" s="14">
        <f>IFERROR(VLOOKUP("Not Interested Household Contents",Pivot!$A$2:$B$31,2,FALSE),0)</f>
        <v/>
      </c>
    </row>
    <row r="26">
      <c r="B26" s="13" t="inlineStr">
        <is>
          <t>Temporary Disconnected Number</t>
        </is>
      </c>
      <c r="C26" s="14">
        <f>IFERROR(VLOOKUP("Temporary Disconnected Number",Pivot!$A$2:$B$31,2,FALSE),0)</f>
        <v/>
      </c>
      <c r="F26" s="13" t="inlineStr">
        <is>
          <t>Go To The Branch</t>
        </is>
      </c>
      <c r="G26" s="14">
        <f>IFERROR(VLOOKUP("Go To The Branch",Pivot!$A$2:$B$31,2,FALSE),0)</f>
        <v/>
      </c>
      <c r="H26" s="13" t="inlineStr">
        <is>
          <t>Call Back Hold</t>
        </is>
      </c>
      <c r="I26" s="14">
        <f>IFERROR(VLOOKUP("Call Back Hold",Pivot!$A$2:$B$31,2,FALSE),0)</f>
        <v/>
      </c>
    </row>
    <row r="27">
      <c r="B27" s="13" t="inlineStr">
        <is>
          <t>Bad Line Quality</t>
        </is>
      </c>
      <c r="C27" s="14">
        <f>IFERROR(VLOOKUP("Bad Line Quality",Pivot!$A$2:$B$31,2,FALSE),0)</f>
        <v/>
      </c>
      <c r="F27" s="13" t="inlineStr">
        <is>
          <t>Completed</t>
        </is>
      </c>
      <c r="G27" s="14">
        <f>IFERROR(VLOOKUP("Completed",Pivot!$A$2:$B$31,2,FALSE),0)</f>
        <v/>
      </c>
      <c r="H27" s="13" t="inlineStr">
        <is>
          <t>Declined Sale</t>
        </is>
      </c>
      <c r="I27" s="14">
        <f>IFERROR(VLOOKUP("Declined Sale",Pivot!$A$2:$B$31,2,FALSE),0)</f>
        <v/>
      </c>
    </row>
    <row r="28">
      <c r="B28" s="13" t="inlineStr">
        <is>
          <t>Inbound Abandon</t>
        </is>
      </c>
      <c r="C28" s="14">
        <f>IFERROR(VLOOKUP("Inbound Abandon",Pivot!$A$2:$B$31,2,FALSE),0)</f>
        <v/>
      </c>
      <c r="F28" s="13" t="inlineStr">
        <is>
          <t>Cannot Afford Upfront Payment</t>
        </is>
      </c>
      <c r="G28" s="14">
        <f>IFERROR(VLOOKUP("Cannot Afford Upfront Payment",Pivot!$A$2:$B$31,2,FALSE),0)</f>
        <v/>
      </c>
    </row>
    <row r="29">
      <c r="B29" s="13" t="inlineStr">
        <is>
          <t>Outbound Pre-Routing Drop</t>
        </is>
      </c>
      <c r="C29" s="14">
        <f>IFERROR(VLOOKUP("Outbound Pre-Routing Drop",Pivot!$A$2:$B$31,2,FALSE),0)</f>
        <v/>
      </c>
      <c r="F29" s="13" t="inlineStr">
        <is>
          <t>Account Suspended</t>
        </is>
      </c>
      <c r="G29" s="14">
        <f>IFERROR(VLOOKUP("Account Suspended",Pivot!$A$2:$B$31,2,FALSE),0)</f>
        <v/>
      </c>
    </row>
    <row r="30">
      <c r="B30" s="13" t="inlineStr">
        <is>
          <t>Engaged</t>
        </is>
      </c>
      <c r="C30" s="14">
        <f>IFERROR(VLOOKUP("Engaged",Pivot!$A$2:$B$31,2,FALSE),0)</f>
        <v/>
      </c>
      <c r="F30" s="13" t="inlineStr">
        <is>
          <t>Insured at another company</t>
        </is>
      </c>
      <c r="G30" s="14">
        <f>IFERROR(VLOOKUP("Insured at another company",Pivot!$A$2:$B$31,2,FALSE),0)</f>
        <v/>
      </c>
    </row>
    <row r="31">
      <c r="B31" s="13" t="inlineStr">
        <is>
          <t>Disconnected</t>
        </is>
      </c>
      <c r="C31" s="14">
        <f>IFERROR(VLOOKUP("Disconnected",Pivot!$A$2:$B$31,2,FALSE),0)</f>
        <v/>
      </c>
      <c r="F31" s="13" t="inlineStr">
        <is>
          <t>Scheduled Appointment</t>
        </is>
      </c>
      <c r="G31" s="14">
        <f>IFERROR(VLOOKUP("Scheduled Appointment",Pivot!$A$2:$B$31,2,FALSE),0)</f>
        <v/>
      </c>
    </row>
    <row r="32">
      <c r="B32" s="13" t="inlineStr">
        <is>
          <t>CONGESTED</t>
        </is>
      </c>
      <c r="C32" s="14">
        <f>IFERROR(VLOOKUP("CONGESTED",Pivot!$A$2:$B$31,2,FALSE),0)</f>
        <v/>
      </c>
      <c r="F32" s="13" t="inlineStr">
        <is>
          <t>Refund Request</t>
        </is>
      </c>
      <c r="G32" s="14">
        <f>IFERROR(VLOOKUP("Refund Request",Pivot!$A$2:$B$31,2,FALSE),0)</f>
        <v/>
      </c>
    </row>
    <row r="33">
      <c r="B33" s="13" t="inlineStr">
        <is>
          <t>Flow Inbound Abandon</t>
        </is>
      </c>
      <c r="C33" s="14">
        <f>IFERROR(VLOOKUP("Flow Inbound Abandon",Pivot!$A$2:$B$31,2,FALSE),0)</f>
        <v/>
      </c>
      <c r="F33" s="13" t="inlineStr">
        <is>
          <t>Does Not Qualify</t>
        </is>
      </c>
      <c r="G33" s="14">
        <f>IFERROR(VLOOKUP("Does Not Qualify",Pivot!$A$2:$B$31,2,FALSE),0)</f>
        <v/>
      </c>
    </row>
    <row r="34">
      <c r="B34" s="13" t="inlineStr">
        <is>
          <t>Multiple Calls</t>
        </is>
      </c>
      <c r="C34" s="14">
        <f>IFERROR(VLOOKUP("Multiple Calls",Pivot!$A$2:$B$31,2,FALSE),0)</f>
        <v/>
      </c>
      <c r="F34" s="13" t="inlineStr">
        <is>
          <t>Does Not Have a Business</t>
        </is>
      </c>
      <c r="G34" s="14">
        <f>IFERROR(VLOOKUP("Does Not Have a Business",Pivot!$A$2:$B$31,2,FALSE),0)</f>
        <v/>
      </c>
    </row>
    <row r="35">
      <c r="B35" s="13" t="inlineStr">
        <is>
          <t>Missed</t>
        </is>
      </c>
      <c r="C35" s="14">
        <f>IFERROR(VLOOKUP("Missed",Pivot!$A$2:$B$31,2,FALSE),0)</f>
        <v/>
      </c>
      <c r="F35" s="13" t="inlineStr">
        <is>
          <t>Refer To Store - Doesn't want to complete online</t>
        </is>
      </c>
      <c r="G35" s="14">
        <f>IFERROR(VLOOKUP("Refer To Store - Doesn't want to complete online",Pivot!$A$2:$B$31,2,FALSE),0)</f>
        <v/>
      </c>
    </row>
    <row r="36">
      <c r="B36" s="13" t="inlineStr">
        <is>
          <t>Answered</t>
        </is>
      </c>
      <c r="C36" s="14">
        <f>IFERROR(VLOOKUP("Answered",Pivot!$A$2:$B$31,2,FALSE),0)</f>
        <v/>
      </c>
      <c r="F36" s="13" t="inlineStr">
        <is>
          <t>Does Not Need It Now</t>
        </is>
      </c>
      <c r="G36" s="14">
        <f>IFERROR(VLOOKUP("Does Not Need It Now",Pivot!$A$2:$B$31,2,FALSE),0)</f>
        <v/>
      </c>
    </row>
    <row r="37">
      <c r="B37" s="13" t="inlineStr">
        <is>
          <t>Customer drop</t>
        </is>
      </c>
      <c r="C37" s="14">
        <f>IFERROR(VLOOKUP("Customer drop",Pivot!$A$2:$B$31,2,FALSE),0)</f>
        <v/>
      </c>
      <c r="F37" s="13" t="inlineStr">
        <is>
          <t>Technical Issue</t>
        </is>
      </c>
      <c r="G37" s="14">
        <f>IFERROR(VLOOKUP("Technical Issue",Pivot!$A$2:$B$31,2,FALSE),0)</f>
        <v/>
      </c>
    </row>
    <row r="38">
      <c r="B38" s="13" t="inlineStr">
        <is>
          <t>Auto Dial Disconnected</t>
        </is>
      </c>
      <c r="C38" s="14">
        <f>IFERROR(VLOOKUP("Auto Dial Disconnected",Pivot!$A$2:$B$31,2,FALSE),0)</f>
        <v/>
      </c>
      <c r="F38" s="13" t="inlineStr">
        <is>
          <t>Unsuccessful Application</t>
        </is>
      </c>
      <c r="G38" s="14">
        <f>IFERROR(VLOOKUP("Unsuccessful Application",Pivot!$A$2:$B$31,2,FALSE),0)</f>
        <v/>
      </c>
    </row>
    <row r="39">
      <c r="B39" s="13" t="inlineStr">
        <is>
          <t>Disconnected Number Temporary</t>
        </is>
      </c>
      <c r="C39" s="14">
        <f>IFERROR(VLOOKUP("Disconnected Number Temporary",Pivot!$A$2:$B$31,2,FALSE),0)</f>
        <v/>
      </c>
    </row>
    <row r="40"/>
    <row r="41"/>
    <row r="42">
      <c r="A42" s="15" t="inlineStr">
        <is>
          <t>TOTAL LEADS DIALLED</t>
        </is>
      </c>
      <c r="B42" s="14">
        <f>SUM(C13:C39)+SUM(E13:E17)</f>
        <v/>
      </c>
    </row>
    <row r="43"/>
    <row r="44">
      <c r="A44" s="15" t="inlineStr">
        <is>
          <t>CAMPAIGN STATISTICS</t>
        </is>
      </c>
    </row>
    <row r="45">
      <c r="A45" s="13" t="inlineStr">
        <is>
          <t>Successful Contacts</t>
        </is>
      </c>
      <c r="B45" s="14">
        <f>SUM(F13:F17)</f>
        <v/>
      </c>
    </row>
    <row r="46">
      <c r="A46" s="13" t="inlineStr">
        <is>
          <t>True Contacts (TC)</t>
        </is>
      </c>
      <c r="B46" s="14">
        <f>SUM(I13:I27)</f>
        <v/>
      </c>
    </row>
    <row r="47">
      <c r="A47" s="13" t="inlineStr">
        <is>
          <t>Unworkable Leads</t>
        </is>
      </c>
      <c r="B47" s="14">
        <f>SUM(G13:G38)</f>
        <v/>
      </c>
    </row>
    <row r="48">
      <c r="A48" s="13" t="inlineStr">
        <is>
          <t>Conversions</t>
        </is>
      </c>
      <c r="B48" s="14">
        <f>F13</f>
        <v/>
      </c>
    </row>
    <row r="49">
      <c r="A49" s="13" t="inlineStr">
        <is>
          <t>Conversion Ratio (vs TC)</t>
        </is>
      </c>
      <c r="B49" s="16">
        <f>B47/B45</f>
        <v/>
      </c>
    </row>
    <row r="50">
      <c r="A50" s="13" t="inlineStr">
        <is>
          <t>Contact Ratio</t>
        </is>
      </c>
      <c r="B50" s="16">
        <f>(B44+B45)/B42</f>
        <v/>
      </c>
    </row>
    <row r="51"/>
    <row r="52"/>
    <row r="53"/>
    <row r="54">
      <c r="A54" s="15" t="inlineStr">
        <is>
          <t>Top 5 Statuses</t>
        </is>
      </c>
      <c r="B54" s="15" t="inlineStr">
        <is>
          <t>Count</t>
        </is>
      </c>
      <c r="C54" s="15" t="inlineStr">
        <is>
          <t>% Contribution</t>
        </is>
      </c>
    </row>
    <row r="55">
      <c r="A55" s="13" t="inlineStr">
        <is>
          <t>Answering Machine Autodial</t>
        </is>
      </c>
      <c r="B55" s="17" t="n">
        <v>249</v>
      </c>
      <c r="C55" s="16">
        <f>B55/B42</f>
        <v/>
      </c>
    </row>
    <row r="56">
      <c r="A56" s="13" t="inlineStr">
        <is>
          <t>Auto Engaged</t>
        </is>
      </c>
      <c r="B56" s="17" t="n">
        <v>166</v>
      </c>
      <c r="C56" s="16">
        <f>B56/B42</f>
        <v/>
      </c>
    </row>
    <row r="57">
      <c r="A57" s="13" t="inlineStr">
        <is>
          <t>Dropped</t>
        </is>
      </c>
      <c r="B57" s="17" t="n">
        <v>117</v>
      </c>
      <c r="C57" s="16">
        <f>B57/B42</f>
        <v/>
      </c>
    </row>
    <row r="58">
      <c r="A58" s="13" t="inlineStr">
        <is>
          <t>No Answer Autodial</t>
        </is>
      </c>
      <c r="B58" s="17" t="n">
        <v>97</v>
      </c>
      <c r="C58" s="16">
        <f>B58/B42</f>
        <v/>
      </c>
    </row>
    <row r="59">
      <c r="A59" s="13" t="inlineStr">
        <is>
          <t>Client Hung Up</t>
        </is>
      </c>
      <c r="B59" s="17" t="n">
        <v>74</v>
      </c>
      <c r="C59" s="16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3" t="inlineStr">
        <is>
          <t>Answering Machine Autodial</t>
        </is>
      </c>
      <c r="B2" s="17" t="n">
        <v>249</v>
      </c>
    </row>
    <row r="3">
      <c r="A3" s="13" t="inlineStr">
        <is>
          <t>Auto Engaged</t>
        </is>
      </c>
      <c r="B3" s="17" t="n">
        <v>166</v>
      </c>
    </row>
    <row r="4">
      <c r="A4" s="13" t="inlineStr">
        <is>
          <t>Dropped</t>
        </is>
      </c>
      <c r="B4" s="17" t="n">
        <v>117</v>
      </c>
    </row>
    <row r="5">
      <c r="A5" s="13" t="inlineStr">
        <is>
          <t>No Answer Autodial</t>
        </is>
      </c>
      <c r="B5" s="17" t="n">
        <v>97</v>
      </c>
    </row>
    <row r="6">
      <c r="A6" s="13" t="inlineStr">
        <is>
          <t>Client Hung Up</t>
        </is>
      </c>
      <c r="B6" s="17" t="n">
        <v>74</v>
      </c>
    </row>
    <row r="7">
      <c r="A7" s="13" t="inlineStr">
        <is>
          <t>Callback</t>
        </is>
      </c>
      <c r="B7" s="17" t="n">
        <v>45</v>
      </c>
    </row>
    <row r="8">
      <c r="A8" s="13" t="inlineStr">
        <is>
          <t>Auto Dial Disconnected</t>
        </is>
      </c>
      <c r="B8" s="17" t="n">
        <v>41</v>
      </c>
    </row>
    <row r="9">
      <c r="A9" s="13" t="inlineStr">
        <is>
          <t>Not Interested</t>
        </is>
      </c>
      <c r="B9" s="17" t="n">
        <v>39</v>
      </c>
    </row>
    <row r="10">
      <c r="A10" s="13" t="inlineStr">
        <is>
          <t>Inbound Abandon</t>
        </is>
      </c>
      <c r="B10" s="17" t="n">
        <v>35</v>
      </c>
    </row>
    <row r="11">
      <c r="A11" s="13" t="inlineStr">
        <is>
          <t>Already Contacted</t>
        </is>
      </c>
      <c r="B11" s="17" t="n">
        <v>30</v>
      </c>
    </row>
    <row r="12">
      <c r="A12" s="13" t="inlineStr">
        <is>
          <t>Unemployed</t>
        </is>
      </c>
      <c r="B12" s="17" t="n">
        <v>21</v>
      </c>
    </row>
    <row r="13">
      <c r="A13" s="13" t="inlineStr">
        <is>
          <t>Answering Machine</t>
        </is>
      </c>
      <c r="B13" s="17" t="n">
        <v>17</v>
      </c>
    </row>
    <row r="14">
      <c r="A14" s="13" t="inlineStr">
        <is>
          <t>Call Dropped</t>
        </is>
      </c>
      <c r="B14" s="17" t="n">
        <v>9</v>
      </c>
    </row>
    <row r="15">
      <c r="A15" s="13" t="inlineStr">
        <is>
          <t>No Answer</t>
        </is>
      </c>
      <c r="B15" s="17" t="n">
        <v>8</v>
      </c>
    </row>
    <row r="16">
      <c r="A16" s="13" t="inlineStr">
        <is>
          <t>Over Age Limit</t>
        </is>
      </c>
      <c r="B16" s="17" t="n">
        <v>6</v>
      </c>
    </row>
    <row r="17">
      <c r="A17" s="13" t="inlineStr">
        <is>
          <t>Selected</t>
        </is>
      </c>
      <c r="B17" s="17" t="n">
        <v>6</v>
      </c>
    </row>
    <row r="18">
      <c r="A18" s="13" t="inlineStr">
        <is>
          <t>Does Not Qualify</t>
        </is>
      </c>
      <c r="B18" s="17" t="n">
        <v>5</v>
      </c>
    </row>
    <row r="19">
      <c r="A19" s="13" t="inlineStr">
        <is>
          <t>Not Interested Upfront</t>
        </is>
      </c>
      <c r="B19" s="17" t="n">
        <v>5</v>
      </c>
    </row>
    <row r="20">
      <c r="A20" s="13" t="inlineStr">
        <is>
          <t>Temporary Disconnected Number</t>
        </is>
      </c>
      <c r="B20" s="17" t="n">
        <v>5</v>
      </c>
    </row>
    <row r="21">
      <c r="A21" s="13" t="inlineStr">
        <is>
          <t>Cannot Afford</t>
        </is>
      </c>
      <c r="B21" s="17" t="n">
        <v>4</v>
      </c>
    </row>
    <row r="22">
      <c r="A22" s="13" t="inlineStr">
        <is>
          <t>Inbound After Hours Drop</t>
        </is>
      </c>
      <c r="B22" s="17" t="n">
        <v>4</v>
      </c>
    </row>
    <row r="23">
      <c r="A23" s="13" t="inlineStr">
        <is>
          <t>Sale Made</t>
        </is>
      </c>
      <c r="B23" s="17" t="n">
        <v>4</v>
      </c>
    </row>
    <row r="24">
      <c r="A24" s="13" t="inlineStr">
        <is>
          <t>Busy Tone</t>
        </is>
      </c>
      <c r="B24" s="17" t="n">
        <v>3</v>
      </c>
    </row>
    <row r="25">
      <c r="A25" s="13" t="inlineStr">
        <is>
          <t>Do Not Qualify Failed Medical Question</t>
        </is>
      </c>
      <c r="B25" s="17" t="n">
        <v>3</v>
      </c>
    </row>
    <row r="26">
      <c r="A26" s="13" t="inlineStr">
        <is>
          <t>Do Not Call</t>
        </is>
      </c>
      <c r="B26" s="17" t="n">
        <v>2</v>
      </c>
    </row>
    <row r="27">
      <c r="A27" s="13" t="inlineStr">
        <is>
          <t>Bad Line Quality</t>
        </is>
      </c>
      <c r="B27" s="17" t="n">
        <v>1</v>
      </c>
    </row>
    <row r="28">
      <c r="A28" s="13" t="inlineStr">
        <is>
          <t>DNQ Quote Declined</t>
        </is>
      </c>
      <c r="B28" s="17" t="n">
        <v>1</v>
      </c>
    </row>
    <row r="29">
      <c r="A29" s="13" t="inlineStr">
        <is>
          <t>Existing Client</t>
        </is>
      </c>
      <c r="B29" s="17" t="n">
        <v>1</v>
      </c>
    </row>
    <row r="30">
      <c r="A30" s="13" t="inlineStr">
        <is>
          <t>Go To The Branch</t>
        </is>
      </c>
      <c r="B30" s="17" t="n">
        <v>1</v>
      </c>
    </row>
    <row r="31">
      <c r="A31" s="13" t="inlineStr">
        <is>
          <t>Wrong Number</t>
        </is>
      </c>
      <c r="B31" s="17" t="n">
        <v>1</v>
      </c>
    </row>
    <row r="32">
      <c r="A32" s="18" t="inlineStr">
        <is>
          <t>Grand Total</t>
        </is>
      </c>
      <c r="B32" s="1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2026-07-05T16:56:27Z</dcterms:created>
  <dcterms:modified xsi:type="dcterms:W3CDTF">2026-07-05T16:56:28Z</dcterms:modified>
</cp:coreProperties>
</file>